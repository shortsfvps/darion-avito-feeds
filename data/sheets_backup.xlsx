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3 Потолочное и настенное - Трек" sheetId="1" state="visible" r:id="rId1"/>
    <sheet xmlns:r="http://schemas.openxmlformats.org/officeDocument/2006/relationships" name="5 Мебель и интерьер - Другое" sheetId="2" state="visible" r:id="rId2"/>
    <sheet xmlns:r="http://schemas.openxmlformats.org/officeDocument/2006/relationships" name="6 Освещение - Декоративное осве" sheetId="3" state="visible" r:id="rId3"/>
    <sheet xmlns:r="http://schemas.openxmlformats.org/officeDocument/2006/relationships" name="7 Электрика - Другое" sheetId="4" state="visible" r:id="rId4"/>
    <sheet xmlns:r="http://schemas.openxmlformats.org/officeDocument/2006/relationships" name="8 Комплектующие - Питание и упр" sheetId="5" state="visible" r:id="rId5"/>
    <sheet xmlns:r="http://schemas.openxmlformats.org/officeDocument/2006/relationships" name="Остатки СПБ запасы" sheetId="6" state="visible" r:id="rId6"/>
    <sheet xmlns:r="http://schemas.openxmlformats.org/officeDocument/2006/relationships" name="Ссылки" sheetId="7" state="visible" r:id="rId7"/>
    <sheet xmlns:r="http://schemas.openxmlformats.org/officeDocument/2006/relationships" name="1 Потолочное и настенное" sheetId="8" state="visible" r:id="rId8"/>
    <sheet xmlns:r="http://schemas.openxmlformats.org/officeDocument/2006/relationships" name="2 Освещение - Уличное" sheetId="9" state="visible" r:id="rId9"/>
    <sheet xmlns:r="http://schemas.openxmlformats.org/officeDocument/2006/relationships" name="4 Комплектующие - Лампочк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  <font>
      <name val="Arial"/>
      <color theme="1"/>
    </font>
    <font>
      <name val="Arial"/>
      <color rgb="FF1155CC"/>
      <u val="single"/>
    </font>
    <font>
      <color rgb="FF0000FF"/>
      <u val="single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9" fontId="1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hyperlink" Target="https://docs.google.com/spreadsheets/d/1UY1NZ9G0sT7F7W35hU8I1i7IYmRb6JNVmytW6Of_o14/edit?usp=sharing" TargetMode="External" Id="rId1"/><Relationship Type="http://schemas.openxmlformats.org/officeDocument/2006/relationships/hyperlink" Target="https://docs.google.com/spreadsheets/d/1Mrmt5ErbNUpzAE8fcLlO5TCd07vho-RGL586zulCSoc/edit?usp=sharing" TargetMode="External" Id="rId2"/><Relationship Type="http://schemas.openxmlformats.org/officeDocument/2006/relationships/hyperlink" Target="https://docs.google.com/spreadsheets/d/1ExDjS6UjKsniJPLGl9Zy98mzx6uyZHIo94a5iAIX8Ug/edit?usp=sharing" TargetMode="External" Id="rId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79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">
        <f>IFERROR(__xludf.DUMMYFUNCTION("IMPORTRANGE('Ссылки'!B2,""Лист1!A:M"")"),"Отчёт о товарах 06.10.2026 Stock")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5">
        <f>IFERROR(__xludf.DUMMYFUNCTION("""COMPUTED_VALUE"""),"Артикул")</f>
        <v/>
      </c>
      <c r="B2" s="5">
        <f>IFERROR(__xludf.DUMMYFUNCTION("""COMPUTED_VALUE"""),"Раб. наименование")</f>
        <v/>
      </c>
      <c r="C2" s="2">
        <f>IFERROR(__xludf.DUMMYFUNCTION("""COMPUTED_VALUE"""),"Масса ед")</f>
        <v/>
      </c>
      <c r="D2" s="2">
        <f>IFERROR(__xludf.DUMMYFUNCTION("""COMPUTED_VALUE"""),"Объем ед")</f>
        <v/>
      </c>
      <c r="E2" s="2">
        <f>IFERROR(__xludf.DUMMYFUNCTION("""COMPUTED_VALUE"""),"Прайс-Лист Закупок по Умолчанию")</f>
        <v/>
      </c>
      <c r="F2" s="2">
        <f>IFERROR(__xludf.DUMMYFUNCTION("""COMPUTED_VALUE"""),"Дилерский Р1 прайс-лист")</f>
        <v/>
      </c>
      <c r="G2" s="2">
        <f>IFERROR(__xludf.DUMMYFUNCTION("""COMPUTED_VALUE"""),"МРЦ прайс-лист")</f>
        <v/>
      </c>
      <c r="H2" s="2">
        <f>IFERROR(__xludf.DUMMYFUNCTION("""COMPUTED_VALUE"""),"Оптовый прайс-лист")</f>
        <v/>
      </c>
      <c r="I2" s="2">
        <f>IFERROR(__xludf.DUMMYFUNCTION("""COMPUTED_VALUE"""),"Розничный прайс-лист")</f>
        <v/>
      </c>
      <c r="J2" s="2">
        <f>IFERROR(__xludf.DUMMYFUNCTION("""COMPUTED_VALUE"""),"Прайс-лист распродажи")</f>
        <v/>
      </c>
      <c r="K2" s="2">
        <f>IFERROR(__xludf.DUMMYFUNCTION("""COMPUTED_VALUE"""),"Кол-во свободно")</f>
        <v/>
      </c>
      <c r="L2" s="2">
        <f>IFERROR(__xludf.DUMMYFUNCTION("""COMPUTED_VALUE"""),"Внутр категория")</f>
        <v/>
      </c>
      <c r="M2" s="2">
        <f>IFERROR(__xludf.DUMMYFUNCTION("""COMPUTED_VALUE"""),"Открытая категория")</f>
        <v/>
      </c>
    </row>
    <row r="3">
      <c r="A3" s="5">
        <f>IFERROR(__xludf.DUMMYFUNCTION("""COMPUTED_VALUE"""),"4690612035413")</f>
        <v/>
      </c>
      <c r="B3" s="5">
        <f>IFERROR(__xludf.DUMMYFUNCTION("""COMPUTED_VALUE"""),"ELEGANT ARIS-B 90Вт 230В 3000-6500K 7000Лм 590х590х130мм c пультом ДУ черный IN HOME")</f>
        <v/>
      </c>
      <c r="C3" s="2">
        <f>IFERROR(__xludf.DUMMYFUNCTION("""COMPUTED_VALUE"""),2.24)</f>
        <v/>
      </c>
      <c r="D3" s="2">
        <f>IFERROR(__xludf.DUMMYFUNCTION("""COMPUTED_VALUE"""),0.012)</f>
        <v/>
      </c>
      <c r="E3" s="2">
        <f>IFERROR(__xludf.DUMMYFUNCTION("""COMPUTED_VALUE"""),3156.14)</f>
        <v/>
      </c>
      <c r="F3" s="2">
        <f>IFERROR(__xludf.DUMMYFUNCTION("""COMPUTED_VALUE"""),2482.0)</f>
        <v/>
      </c>
      <c r="G3" s="2">
        <f>IFERROR(__xludf.DUMMYFUNCTION("""COMPUTED_VALUE"""),2792.0)</f>
        <v/>
      </c>
      <c r="H3" s="2">
        <f>IFERROR(__xludf.DUMMYFUNCTION("""COMPUTED_VALUE"""),3239.0)</f>
        <v/>
      </c>
      <c r="I3" s="2">
        <f>IFERROR(__xludf.DUMMYFUNCTION("""COMPUTED_VALUE"""),3723.0)</f>
        <v/>
      </c>
      <c r="J3" s="2">
        <f>IFERROR(__xludf.DUMMYFUNCTION("""COMPUTED_VALUE"""),1862.0)</f>
        <v/>
      </c>
      <c r="K3" s="2">
        <f>IFERROR(__xludf.DUMMYFUNCTION("""COMPUTED_VALUE"""),2.0)</f>
        <v/>
      </c>
      <c r="L3" s="2">
        <f>IFERROR(__xludf.DUMMYFUNCTION("""COMPUTED_VALUE"""),"Светильники светодиодные серии ELEGANT IN HOME")</f>
        <v/>
      </c>
      <c r="M3" s="2">
        <f>IFERROR(__xludf.DUMMYFUNCTION("""COMPUTED_VALUE"""),"Накладные, Декоративные, LED Светильники")</f>
        <v/>
      </c>
    </row>
    <row r="4">
      <c r="A4" s="5">
        <f>IFERROR(__xludf.DUMMYFUNCTION("""COMPUTED_VALUE"""),"R101082")</f>
        <v/>
      </c>
      <c r="B4" s="5">
        <f>IFERROR(__xludf.DUMMYFUNCTION("""COMPUTED_VALUE"""),"RSV-SPO-02-120W-6500K OPL")</f>
        <v/>
      </c>
      <c r="C4" s="2">
        <f>IFERROR(__xludf.DUMMYFUNCTION("""COMPUTED_VALUE"""),0.42)</f>
        <v/>
      </c>
      <c r="D4" s="2">
        <f>IFERROR(__xludf.DUMMYFUNCTION("""COMPUTED_VALUE"""),0.00355)</f>
        <v/>
      </c>
      <c r="E4" s="2">
        <f>IFERROR(__xludf.DUMMYFUNCTION("""COMPUTED_VALUE"""),559.35)</f>
        <v/>
      </c>
      <c r="F4" s="2">
        <f>IFERROR(__xludf.DUMMYFUNCTION("""COMPUTED_VALUE"""),388.0)</f>
        <v/>
      </c>
      <c r="G4" s="2">
        <f>IFERROR(__xludf.DUMMYFUNCTION("""COMPUTED_VALUE"""),457.0)</f>
        <v/>
      </c>
      <c r="H4" s="2">
        <f>IFERROR(__xludf.DUMMYFUNCTION("""COMPUTED_VALUE"""),470.0)</f>
        <v/>
      </c>
      <c r="I4" s="2">
        <f>IFERROR(__xludf.DUMMYFUNCTION("""COMPUTED_VALUE"""),541.0)</f>
        <v/>
      </c>
      <c r="J4" s="2">
        <f>IFERROR(__xludf.DUMMYFUNCTION("""COMPUTED_VALUE"""),541.0)</f>
        <v/>
      </c>
      <c r="K4" s="2">
        <f>IFERROR(__xludf.DUMMYFUNCTION("""COMPUTED_VALUE"""),9.0)</f>
        <v/>
      </c>
      <c r="L4" s="2">
        <f>IFERROR(__xludf.DUMMYFUNCTION("""COMPUTED_VALUE"""),"Офисный светильник RSV-SPO-02, SPO-03 (Сталь)")</f>
        <v/>
      </c>
      <c r="M4" s="2">
        <f>IFERROR(__xludf.DUMMYFUNCTION("""COMPUTED_VALUE"""),"Светильники общего назначения (LED), С равномерной засветкой, LED Светильники")</f>
        <v/>
      </c>
    </row>
    <row r="5">
      <c r="A5" s="5">
        <f>IFERROR(__xludf.DUMMYFUNCTION("""COMPUTED_VALUE"""),"GL8290")</f>
        <v/>
      </c>
      <c r="B5" s="5">
        <f>IFERROR(__xludf.DUMMYFUNCTION("""COMPUTED_VALUE"""),"GLERIO Line Ultra 48 Вт 4000К 94P-48D-4N-M")</f>
        <v/>
      </c>
      <c r="C5" s="2">
        <f>IFERROR(__xludf.DUMMYFUNCTION("""COMPUTED_VALUE"""),0.7200000000000001)</f>
        <v/>
      </c>
      <c r="D5" s="2">
        <f>IFERROR(__xludf.DUMMYFUNCTION("""COMPUTED_VALUE"""),0.00485)</f>
        <v/>
      </c>
      <c r="E5" s="2">
        <f>IFERROR(__xludf.DUMMYFUNCTION("""COMPUTED_VALUE"""),2475.31)</f>
        <v/>
      </c>
      <c r="F5" s="2">
        <f>IFERROR(__xludf.DUMMYFUNCTION("""COMPUTED_VALUE"""),3060.0)</f>
        <v/>
      </c>
      <c r="G5" s="2">
        <f>IFERROR(__xludf.DUMMYFUNCTION("""COMPUTED_VALUE"""),3853.0)</f>
        <v/>
      </c>
      <c r="H5" s="2">
        <f>IFERROR(__xludf.DUMMYFUNCTION("""COMPUTED_VALUE"""),4327.0)</f>
        <v/>
      </c>
      <c r="I5" s="2">
        <f>IFERROR(__xludf.DUMMYFUNCTION("""COMPUTED_VALUE"""),4801.0)</f>
        <v/>
      </c>
      <c r="J5" s="2">
        <f>IFERROR(__xludf.DUMMYFUNCTION("""COMPUTED_VALUE"""),3853.0)</f>
        <v/>
      </c>
      <c r="K5" s="2">
        <f>IFERROR(__xludf.DUMMYFUNCTION("""COMPUTED_VALUE"""),7.0)</f>
        <v/>
      </c>
      <c r="L5" s="2">
        <f>IFERROR(__xludf.DUMMYFUNCTION("""COMPUTED_VALUE"""),"Line Ultra (Сеть) до 10.2025")</f>
        <v/>
      </c>
      <c r="M5" s="2">
        <f>IFERROR(__xludf.DUMMYFUNCTION("""COMPUTED_VALUE"""),"Пластиковые (линейные), LED Светильники")</f>
        <v/>
      </c>
    </row>
    <row r="6">
      <c r="A6" s="5">
        <f>IFERROR(__xludf.DUMMYFUNCTION("""COMPUTED_VALUE"""),"4690612053011-2")</f>
        <v/>
      </c>
      <c r="B6" s="5">
        <f>IFERROR(__xludf.DUMMYFUNCTION("""COMPUTED_VALUE"""),"ДВО-02-EMERGENCY 3640-ПРИЗМА 36Вт 4000К 595х595х19 NEOX без БАП-10W90 (2 шт в упак.)")</f>
        <v/>
      </c>
      <c r="C6" s="2">
        <f>IFERROR(__xludf.DUMMYFUNCTION("""COMPUTED_VALUE"""),1.38)</f>
        <v/>
      </c>
      <c r="D6" s="2">
        <f>IFERROR(__xludf.DUMMYFUNCTION("""COMPUTED_VALUE"""),0.0)</f>
        <v/>
      </c>
      <c r="E6" s="2">
        <f>IFERROR(__xludf.DUMMYFUNCTION("""COMPUTED_VALUE"""),1099.56)</f>
        <v/>
      </c>
      <c r="F6" s="2">
        <f>IFERROR(__xludf.DUMMYFUNCTION("""COMPUTED_VALUE"""),1206.0)</f>
        <v/>
      </c>
      <c r="G6" s="2">
        <f>IFERROR(__xludf.DUMMYFUNCTION("""COMPUTED_VALUE"""),1407.0)</f>
        <v/>
      </c>
      <c r="H6" s="2">
        <f>IFERROR(__xludf.DUMMYFUNCTION("""COMPUTED_VALUE"""),1583.0)</f>
        <v/>
      </c>
      <c r="I6" s="2">
        <f>IFERROR(__xludf.DUMMYFUNCTION("""COMPUTED_VALUE"""),1759.0)</f>
        <v/>
      </c>
      <c r="J6" s="2">
        <f>IFERROR(__xludf.DUMMYFUNCTION("""COMPUTED_VALUE"""),880.0)</f>
        <v/>
      </c>
      <c r="K6" s="2">
        <f>IFERROR(__xludf.DUMMYFUNCTION("""COMPUTED_VALUE"""),4.0)</f>
        <v/>
      </c>
      <c r="L6" s="2">
        <f>IFERROR(__xludf.DUMMYFUNCTION("""COMPUTED_VALUE"""),"NEOX Светильники LED ДВО - Призма производство, упаковка")</f>
        <v/>
      </c>
      <c r="M6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7">
      <c r="A7" s="5">
        <f>IFERROR(__xludf.DUMMYFUNCTION("""COMPUTED_VALUE"""),"4690612000879")</f>
        <v/>
      </c>
      <c r="B7" s="5">
        <f>IFERROR(__xludf.DUMMYFUNCTION("""COMPUTED_VALUE"""),"LS50-RGB CС 20см")</f>
        <v/>
      </c>
      <c r="C7" s="2">
        <f>IFERROR(__xludf.DUMMYFUNCTION("""COMPUTED_VALUE"""),0.001)</f>
        <v/>
      </c>
      <c r="D7" s="2">
        <f>IFERROR(__xludf.DUMMYFUNCTION("""COMPUTED_VALUE"""),1.0E-5)</f>
        <v/>
      </c>
      <c r="E7" s="2">
        <f>IFERROR(__xludf.DUMMYFUNCTION("""COMPUTED_VALUE"""),27.65)</f>
        <v/>
      </c>
      <c r="F7" s="2">
        <f>IFERROR(__xludf.DUMMYFUNCTION("""COMPUTED_VALUE"""),30.0)</f>
        <v/>
      </c>
      <c r="G7" s="2">
        <f>IFERROR(__xludf.DUMMYFUNCTION("""COMPUTED_VALUE"""),34.0)</f>
        <v/>
      </c>
      <c r="H7" s="2">
        <f>IFERROR(__xludf.DUMMYFUNCTION("""COMPUTED_VALUE"""),39.0)</f>
        <v/>
      </c>
      <c r="I7" s="2">
        <f>IFERROR(__xludf.DUMMYFUNCTION("""COMPUTED_VALUE"""),45.0)</f>
        <v/>
      </c>
      <c r="J7" s="2">
        <f>IFERROR(__xludf.DUMMYFUNCTION("""COMPUTED_VALUE"""),23.0)</f>
        <v/>
      </c>
      <c r="K7" s="2">
        <f>IFERROR(__xludf.DUMMYFUNCTION("""COMPUTED_VALUE"""),97.0)</f>
        <v/>
      </c>
      <c r="L7" s="2">
        <f>IFERROR(__xludf.DUMMYFUNCTION("""COMPUTED_VALUE"""),"ASD Комплектующие")</f>
        <v/>
      </c>
      <c r="M7" s="2">
        <f>IFERROR(__xludf.DUMMYFUNCTION("""COMPUTED_VALUE"""),"Прочие товары")</f>
        <v/>
      </c>
    </row>
    <row r="8">
      <c r="A8" s="5">
        <f>IFERROR(__xludf.DUMMYFUNCTION("""COMPUTED_VALUE"""),"4690612053028")</f>
        <v/>
      </c>
      <c r="B8" s="5">
        <f>IFERROR(__xludf.DUMMYFUNCTION("""COMPUTED_VALUE"""),"ДВО-02-EMERGENCY 3665-ПРИЗМА 36Вт 6500К 595х595х19 NEOX без БАП-10W90")</f>
        <v/>
      </c>
      <c r="C8" s="2">
        <f>IFERROR(__xludf.DUMMYFUNCTION("""COMPUTED_VALUE"""),1.14)</f>
        <v/>
      </c>
      <c r="D8" s="2">
        <f>IFERROR(__xludf.DUMMYFUNCTION("""COMPUTED_VALUE"""),0.008)</f>
        <v/>
      </c>
      <c r="E8" s="2">
        <f>IFERROR(__xludf.DUMMYFUNCTION("""COMPUTED_VALUE"""),551.91)</f>
        <v/>
      </c>
      <c r="F8" s="2">
        <f>IFERROR(__xludf.DUMMYFUNCTION("""COMPUTED_VALUE"""),644.0)</f>
        <v/>
      </c>
      <c r="G8" s="2">
        <f>IFERROR(__xludf.DUMMYFUNCTION("""COMPUTED_VALUE"""),725.0)</f>
        <v/>
      </c>
      <c r="H8" s="2">
        <f>IFERROR(__xludf.DUMMYFUNCTION("""COMPUTED_VALUE"""),840.0)</f>
        <v/>
      </c>
      <c r="I8" s="2">
        <f>IFERROR(__xludf.DUMMYFUNCTION("""COMPUTED_VALUE"""),966.0)</f>
        <v/>
      </c>
      <c r="J8" s="2">
        <f>IFERROR(__xludf.DUMMYFUNCTION("""COMPUTED_VALUE"""),483.0)</f>
        <v/>
      </c>
      <c r="K8" s="2">
        <f>IFERROR(__xludf.DUMMYFUNCTION("""COMPUTED_VALUE"""),1.0)</f>
        <v/>
      </c>
      <c r="L8" s="2">
        <f>IFERROR(__xludf.DUMMYFUNCTION("""COMPUTED_VALUE"""),"NEOX Светильники LED ДВО")</f>
        <v/>
      </c>
      <c r="M8" s="2">
        <f>IFERROR(__xludf.DUMMYFUNCTION("""COMPUTED_VALUE"""),"Светильники общего назначения (LED), Встраиваемые, Накладные, Встраиваемые, LED Светильники")</f>
        <v/>
      </c>
    </row>
    <row r="9">
      <c r="A9" s="5">
        <f>IFERROR(__xludf.DUMMYFUNCTION("""COMPUTED_VALUE"""),"4690612020792")</f>
        <v/>
      </c>
      <c r="B9" s="5">
        <f>IFERROR(__xludf.DUMMYFUNCTION("""COMPUTED_VALUE"""),"LED-GX53-VC 12Вт 230В 4000К 1140Лм IN HOME")</f>
        <v/>
      </c>
      <c r="C9" s="2">
        <f>IFERROR(__xludf.DUMMYFUNCTION("""COMPUTED_VALUE"""),0.03800000000000001)</f>
        <v/>
      </c>
      <c r="D9" s="2">
        <f>IFERROR(__xludf.DUMMYFUNCTION("""COMPUTED_VALUE"""),2.1E-4)</f>
        <v/>
      </c>
      <c r="E9" s="2">
        <f>IFERROR(__xludf.DUMMYFUNCTION("""COMPUTED_VALUE"""),47.09)</f>
        <v/>
      </c>
      <c r="F9" s="2">
        <f>IFERROR(__xludf.DUMMYFUNCTION("""COMPUTED_VALUE"""),48.0)</f>
        <v/>
      </c>
      <c r="G9" s="2">
        <f>IFERROR(__xludf.DUMMYFUNCTION("""COMPUTED_VALUE"""),54.0)</f>
        <v/>
      </c>
      <c r="H9" s="2">
        <f>IFERROR(__xludf.DUMMYFUNCTION("""COMPUTED_VALUE"""),62.0)</f>
        <v/>
      </c>
      <c r="I9" s="2">
        <f>IFERROR(__xludf.DUMMYFUNCTION("""COMPUTED_VALUE"""),71.9)</f>
        <v/>
      </c>
      <c r="J9" s="2">
        <f>IFERROR(__xludf.DUMMYFUNCTION("""COMPUTED_VALUE"""),36.0)</f>
        <v/>
      </c>
      <c r="K9" s="2">
        <f>IFERROR(__xludf.DUMMYFUNCTION("""COMPUTED_VALUE"""),1.0)</f>
        <v/>
      </c>
      <c r="L9" s="2">
        <f>IFERROR(__xludf.DUMMYFUNCTION("""COMPUTED_VALUE"""),"Лампа светодиодная LED-GX53-standard")</f>
        <v/>
      </c>
      <c r="M9" s="2">
        <f>IFERROR(__xludf.DUMMYFUNCTION("""COMPUTED_VALUE"""),"Лампы")</f>
        <v/>
      </c>
    </row>
    <row r="10">
      <c r="A10" s="5">
        <f>IFERROR(__xludf.DUMMYFUNCTION("""COMPUTED_VALUE"""),"ves033")</f>
        <v/>
      </c>
      <c r="B10" s="5">
        <f>IFERROR(__xludf.DUMMYFUNCTION("""COMPUTED_VALUE"""),"Светильник под лампу накаливания НСП 02-100-003")</f>
        <v/>
      </c>
      <c r="C10" s="2">
        <f>IFERROR(__xludf.DUMMYFUNCTION("""COMPUTED_VALUE"""),0.0)</f>
        <v/>
      </c>
      <c r="D10" s="2">
        <f>IFERROR(__xludf.DUMMYFUNCTION("""COMPUTED_VALUE"""),0.0)</f>
        <v/>
      </c>
      <c r="E10" s="2">
        <f>IFERROR(__xludf.DUMMYFUNCTION("""COMPUTED_VALUE"""),335.03)</f>
        <v/>
      </c>
      <c r="F10" s="2">
        <f>IFERROR(__xludf.DUMMYFUNCTION("""COMPUTED_VALUE"""),525.0)</f>
        <v/>
      </c>
      <c r="G10" s="2">
        <f>IFERROR(__xludf.DUMMYFUNCTION("""COMPUTED_VALUE"""),560.0)</f>
        <v/>
      </c>
      <c r="H10" s="2">
        <f>IFERROR(__xludf.DUMMYFUNCTION("""COMPUTED_VALUE"""),630.0)</f>
        <v/>
      </c>
      <c r="I10" s="2">
        <f>IFERROR(__xludf.DUMMYFUNCTION("""COMPUTED_VALUE"""),700.0)</f>
        <v/>
      </c>
      <c r="J10" s="2">
        <f>IFERROR(__xludf.DUMMYFUNCTION("""COMPUTED_VALUE"""),335.0)</f>
        <v/>
      </c>
      <c r="K10" s="2">
        <f>IFERROR(__xludf.DUMMYFUNCTION("""COMPUTED_VALUE"""),30.0)</f>
        <v/>
      </c>
      <c r="L10" s="2">
        <f>IFERROR(__xludf.DUMMYFUNCTION("""COMPUTED_VALUE"""),"ves")</f>
        <v/>
      </c>
      <c r="M10" s="2">
        <f>IFERROR(__xludf.DUMMYFUNCTION("""COMPUTED_VALUE"""),"LED Светильники")</f>
        <v/>
      </c>
    </row>
    <row r="11">
      <c r="A11" s="5">
        <f>IFERROR(__xludf.DUMMYFUNCTION("""COMPUTED_VALUE"""),"4690612036717")</f>
        <v/>
      </c>
      <c r="B11" s="5">
        <f>IFERROR(__xludf.DUMMYFUNCTION("""COMPUTED_VALUE"""),"RLP-FL 36Вт 230В 4000К 2520Лм 225мм с рег. монтаж. 50-210мм белая IP20 IN HOME")</f>
        <v/>
      </c>
      <c r="C11" s="2">
        <f>IFERROR(__xludf.DUMMYFUNCTION("""COMPUTED_VALUE"""),0.225)</f>
        <v/>
      </c>
      <c r="D11" s="2">
        <f>IFERROR(__xludf.DUMMYFUNCTION("""COMPUTED_VALUE"""),0.002)</f>
        <v/>
      </c>
      <c r="E11" s="2">
        <f>IFERROR(__xludf.DUMMYFUNCTION("""COMPUTED_VALUE"""),390.15)</f>
        <v/>
      </c>
      <c r="F11" s="2">
        <f>IFERROR(__xludf.DUMMYFUNCTION("""COMPUTED_VALUE"""),363.0)</f>
        <v/>
      </c>
      <c r="G11" s="2">
        <f>IFERROR(__xludf.DUMMYFUNCTION("""COMPUTED_VALUE"""),408.0)</f>
        <v/>
      </c>
      <c r="H11" s="2">
        <f>IFERROR(__xludf.DUMMYFUNCTION("""COMPUTED_VALUE"""),474.0)</f>
        <v/>
      </c>
      <c r="I11" s="2">
        <f>IFERROR(__xludf.DUMMYFUNCTION("""COMPUTED_VALUE"""),545.0)</f>
        <v/>
      </c>
      <c r="J11" s="2">
        <f>IFERROR(__xludf.DUMMYFUNCTION("""COMPUTED_VALUE"""),273.0)</f>
        <v/>
      </c>
      <c r="K11" s="2">
        <f>IFERROR(__xludf.DUMMYFUNCTION("""COMPUTED_VALUE"""),2.0)</f>
        <v/>
      </c>
      <c r="L11" s="2">
        <f>IFERROR(__xludf.DUMMYFUNCTION("""COMPUTED_VALUE"""),"Панели светодиодные круглые встраиваемые RLP")</f>
        <v/>
      </c>
      <c r="M11" s="2">
        <f>IFERROR(__xludf.DUMMYFUNCTION("""COMPUTED_VALUE"""),"Точечные круглые Downlight, LED Светильники")</f>
        <v/>
      </c>
    </row>
    <row r="12">
      <c r="A12" s="5">
        <f>IFERROR(__xludf.DUMMYFUNCTION("""COMPUTED_VALUE"""),"4690612037653-2")</f>
        <v/>
      </c>
      <c r="B12" s="5">
        <f>IFERROR(__xludf.DUMMYFUNCTION("""COMPUTED_VALUE"""),"ДВО-02 4565-ПРИЗМА 45Вт 230В 6500К 4500Лм 100Лм/Вт 595х595х19 NEOX (2 шт в упак.)")</f>
        <v/>
      </c>
      <c r="C12" s="2">
        <f>IFERROR(__xludf.DUMMYFUNCTION("""COMPUTED_VALUE"""),1.24)</f>
        <v/>
      </c>
      <c r="D12" s="2">
        <f>IFERROR(__xludf.DUMMYFUNCTION("""COMPUTED_VALUE"""),0.0)</f>
        <v/>
      </c>
      <c r="E12" s="2">
        <f>IFERROR(__xludf.DUMMYFUNCTION("""COMPUTED_VALUE"""),1230.51)</f>
        <v/>
      </c>
      <c r="F12" s="2">
        <f>IFERROR(__xludf.DUMMYFUNCTION("""COMPUTED_VALUE"""),1350.0)</f>
        <v/>
      </c>
      <c r="G12" s="2">
        <f>IFERROR(__xludf.DUMMYFUNCTION("""COMPUTED_VALUE"""),1575.0)</f>
        <v/>
      </c>
      <c r="H12" s="2">
        <f>IFERROR(__xludf.DUMMYFUNCTION("""COMPUTED_VALUE"""),1772.0)</f>
        <v/>
      </c>
      <c r="I12" s="2">
        <f>IFERROR(__xludf.DUMMYFUNCTION("""COMPUTED_VALUE"""),1969.0)</f>
        <v/>
      </c>
      <c r="J12" s="2">
        <f>IFERROR(__xludf.DUMMYFUNCTION("""COMPUTED_VALUE"""),985.0)</f>
        <v/>
      </c>
      <c r="K12" s="2">
        <f>IFERROR(__xludf.DUMMYFUNCTION("""COMPUTED_VALUE"""),12.0)</f>
        <v/>
      </c>
      <c r="L12" s="2">
        <f>IFERROR(__xludf.DUMMYFUNCTION("""COMPUTED_VALUE"""),"NEOX Светильники LED ДВО - Призма производство, упаковка")</f>
        <v/>
      </c>
      <c r="M12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13">
      <c r="A13" s="5">
        <f>IFERROR(__xludf.DUMMYFUNCTION("""COMPUTED_VALUE"""),"4690612062877")</f>
        <v/>
      </c>
      <c r="B13" s="5">
        <f>IFERROR(__xludf.DUMMYFUNCTION("""COMPUTED_VALUE"""),"ГРИЛЬЯТО ДВО-02 G3640-ОПАЛ 36Вт 4000К IP40 588х588x19мм NEOX")</f>
        <v/>
      </c>
      <c r="C13" s="2">
        <f>IFERROR(__xludf.DUMMYFUNCTION("""COMPUTED_VALUE"""),1.1)</f>
        <v/>
      </c>
      <c r="D13" s="2">
        <f>IFERROR(__xludf.DUMMYFUNCTION("""COMPUTED_VALUE"""),0.007500000000000001)</f>
        <v/>
      </c>
      <c r="E13" s="2">
        <f>IFERROR(__xludf.DUMMYFUNCTION("""COMPUTED_VALUE"""),600.14)</f>
        <v/>
      </c>
      <c r="F13" s="2">
        <f>IFERROR(__xludf.DUMMYFUNCTION("""COMPUTED_VALUE"""),707.0)</f>
        <v/>
      </c>
      <c r="G13" s="2">
        <f>IFERROR(__xludf.DUMMYFUNCTION("""COMPUTED_VALUE"""),796.0)</f>
        <v/>
      </c>
      <c r="H13" s="2">
        <f>IFERROR(__xludf.DUMMYFUNCTION("""COMPUTED_VALUE"""),923.0)</f>
        <v/>
      </c>
      <c r="I13" s="2">
        <f>IFERROR(__xludf.DUMMYFUNCTION("""COMPUTED_VALUE"""),1061.0)</f>
        <v/>
      </c>
      <c r="J13" s="2">
        <f>IFERROR(__xludf.DUMMYFUNCTION("""COMPUTED_VALUE"""),1061.0)</f>
        <v/>
      </c>
      <c r="K13" s="2">
        <f>IFERROR(__xludf.DUMMYFUNCTION("""COMPUTED_VALUE"""),2.0)</f>
        <v/>
      </c>
      <c r="L13" s="2">
        <f>IFERROR(__xludf.DUMMYFUNCTION("""COMPUTED_VALUE"""),"NEOX Светильники LED ДВО")</f>
        <v/>
      </c>
      <c r="M13" s="2">
        <f>IFERROR(__xludf.DUMMYFUNCTION("""COMPUTED_VALUE"""),"Светильники общего назначения (LED), Встраиваемые, Накладные, Встраиваемые, LED Светильники")</f>
        <v/>
      </c>
    </row>
    <row r="14">
      <c r="A14" s="5">
        <f>IFERROR(__xludf.DUMMYFUNCTION("""COMPUTED_VALUE"""),"4690612029818")</f>
        <v/>
      </c>
      <c r="B14" s="5">
        <f>IFERROR(__xludf.DUMMYFUNCTION("""COMPUTED_VALUE"""),"LPU-01 36Вт ПРИЗМА 230В 6500K 3420Лм 180х1195х19мм IP40 IN HOME")</f>
        <v/>
      </c>
      <c r="C14" s="2">
        <f>IFERROR(__xludf.DUMMYFUNCTION("""COMPUTED_VALUE"""),1.2)</f>
        <v/>
      </c>
      <c r="D14" s="2">
        <f>IFERROR(__xludf.DUMMYFUNCTION("""COMPUTED_VALUE"""),0.00525)</f>
        <v/>
      </c>
      <c r="E14" s="2">
        <f>IFERROR(__xludf.DUMMYFUNCTION("""COMPUTED_VALUE"""),485.21)</f>
        <v/>
      </c>
      <c r="F14" s="2">
        <f>IFERROR(__xludf.DUMMYFUNCTION("""COMPUTED_VALUE"""),537.0)</f>
        <v/>
      </c>
      <c r="G14" s="2">
        <f>IFERROR(__xludf.DUMMYFUNCTION("""COMPUTED_VALUE"""),605.0)</f>
        <v/>
      </c>
      <c r="H14" s="2">
        <f>IFERROR(__xludf.DUMMYFUNCTION("""COMPUTED_VALUE"""),701.0)</f>
        <v/>
      </c>
      <c r="I14" s="2">
        <f>IFERROR(__xludf.DUMMYFUNCTION("""COMPUTED_VALUE"""),806.0)</f>
        <v/>
      </c>
      <c r="J14" s="2">
        <f>IFERROR(__xludf.DUMMYFUNCTION("""COMPUTED_VALUE"""),403.0)</f>
        <v/>
      </c>
      <c r="K14" s="2">
        <f>IFERROR(__xludf.DUMMYFUNCTION("""COMPUTED_VALUE"""),11.0)</f>
        <v/>
      </c>
      <c r="L14" s="2">
        <f>IFERROR(__xludf.DUMMYFUNCTION("""COMPUTED_VALUE"""),"Панели светодиодные LP серии ПРИЗМА")</f>
        <v/>
      </c>
      <c r="M14" s="2">
        <f>IFERROR(__xludf.DUMMYFUNCTION("""COMPUTED_VALUE"""),"Встраиваемые, Накладные, LED Светильники")</f>
        <v/>
      </c>
    </row>
    <row r="15">
      <c r="A15" s="5">
        <f>IFERROR(__xludf.DUMMYFUNCTION("""COMPUTED_VALUE"""),"12-0133")</f>
        <v/>
      </c>
      <c r="B15" s="5">
        <f>IFERROR(__xludf.DUMMYFUNCTION("""COMPUTED_VALUE"""),"Паяльник импульсный с керамическим нагревателем 220 В/30-70 Вт REXANT")</f>
        <v/>
      </c>
      <c r="C15" s="2">
        <f>IFERROR(__xludf.DUMMYFUNCTION("""COMPUTED_VALUE"""),0.0)</f>
        <v/>
      </c>
      <c r="D15" s="2">
        <f>IFERROR(__xludf.DUMMYFUNCTION("""COMPUTED_VALUE"""),0.0)</f>
        <v/>
      </c>
      <c r="E15" s="2">
        <f>IFERROR(__xludf.DUMMYFUNCTION("""COMPUTED_VALUE"""),1.0)</f>
        <v/>
      </c>
      <c r="F15" s="2">
        <f>IFERROR(__xludf.DUMMYFUNCTION("""COMPUTED_VALUE"""),794.0)</f>
        <v/>
      </c>
      <c r="G15" s="2">
        <f>IFERROR(__xludf.DUMMYFUNCTION("""COMPUTED_VALUE"""),847.0)</f>
        <v/>
      </c>
      <c r="H15" s="2">
        <f>IFERROR(__xludf.DUMMYFUNCTION("""COMPUTED_VALUE"""),952.0)</f>
        <v/>
      </c>
      <c r="I15" s="2">
        <f>IFERROR(__xludf.DUMMYFUNCTION("""COMPUTED_VALUE"""),1058.26)</f>
        <v/>
      </c>
      <c r="J15" s="2">
        <f>IFERROR(__xludf.DUMMYFUNCTION("""COMPUTED_VALUE"""),529.0)</f>
        <v/>
      </c>
      <c r="K15" s="2">
        <f>IFERROR(__xludf.DUMMYFUNCTION("""COMPUTED_VALUE"""),1.0)</f>
        <v/>
      </c>
      <c r="L15" s="2">
        <f>IFERROR(__xludf.DUMMYFUNCTION("""COMPUTED_VALUE"""),"Rexant")</f>
        <v/>
      </c>
      <c r="M15" s="2">
        <f>IFERROR(__xludf.DUMMYFUNCTION("""COMPUTED_VALUE"""),"Прочие товары")</f>
        <v/>
      </c>
    </row>
    <row r="16">
      <c r="A16" s="5">
        <f>IFERROR(__xludf.DUMMYFUNCTION("""COMPUTED_VALUE"""),"83800404")</f>
        <v/>
      </c>
      <c r="B16" s="5">
        <f>IFERROR(__xludf.DUMMYFUNCTION("""COMPUTED_VALUE"""),"ДВП 3.2 мм 1220X610 мм 0.75 м²")</f>
        <v/>
      </c>
      <c r="C16" s="2">
        <f>IFERROR(__xludf.DUMMYFUNCTION("""COMPUTED_VALUE"""),0.0)</f>
        <v/>
      </c>
      <c r="D16" s="2">
        <f>IFERROR(__xludf.DUMMYFUNCTION("""COMPUTED_VALUE"""),0.0)</f>
        <v/>
      </c>
      <c r="E16" s="2">
        <f>IFERROR(__xludf.DUMMYFUNCTION("""COMPUTED_VALUE"""),144.33)</f>
        <v/>
      </c>
      <c r="F16" s="2">
        <f>IFERROR(__xludf.DUMMYFUNCTION("""COMPUTED_VALUE"""),0.0)</f>
        <v/>
      </c>
      <c r="G16" s="2">
        <f>IFERROR(__xludf.DUMMYFUNCTION("""COMPUTED_VALUE"""),0.0)</f>
        <v/>
      </c>
      <c r="H16" s="2">
        <f>IFERROR(__xludf.DUMMYFUNCTION("""COMPUTED_VALUE"""),0.0)</f>
        <v/>
      </c>
      <c r="I16" s="2">
        <f>IFERROR(__xludf.DUMMYFUNCTION("""COMPUTED_VALUE"""),0.5)</f>
        <v/>
      </c>
      <c r="J16" s="2">
        <f>IFERROR(__xludf.DUMMYFUNCTION("""COMPUTED_VALUE"""),0.5)</f>
        <v/>
      </c>
      <c r="K16" s="2">
        <f>IFERROR(__xludf.DUMMYFUNCTION("""COMPUTED_VALUE"""),71.0)</f>
        <v/>
      </c>
      <c r="L16" s="2">
        <f>IFERROR(__xludf.DUMMYFUNCTION("""COMPUTED_VALUE"""),"Упаковка")</f>
        <v/>
      </c>
      <c r="M16" s="2">
        <f>IFERROR(__xludf.DUMMYFUNCTION("""COMPUTED_VALUE"""),"Прочие товары")</f>
        <v/>
      </c>
    </row>
    <row r="17">
      <c r="A17" s="5">
        <f>IFERROR(__xludf.DUMMYFUNCTION("""COMPUTED_VALUE"""),"4690612003047")</f>
        <v/>
      </c>
      <c r="B17" s="5">
        <f>IFERROR(__xludf.DUMMYFUNCTION("""COMPUTED_VALUE"""),"СПБ-Т5 10Вт 230В 4000К 900Лм 900мм IN HOME")</f>
        <v/>
      </c>
      <c r="C17" s="2">
        <f>IFERROR(__xludf.DUMMYFUNCTION("""COMPUTED_VALUE"""),0.2)</f>
        <v/>
      </c>
      <c r="D17" s="2">
        <f>IFERROR(__xludf.DUMMYFUNCTION("""COMPUTED_VALUE"""),0.00124)</f>
        <v/>
      </c>
      <c r="E17" s="2">
        <f>IFERROR(__xludf.DUMMYFUNCTION("""COMPUTED_VALUE"""),224.41)</f>
        <v/>
      </c>
      <c r="F17" s="2">
        <f>IFERROR(__xludf.DUMMYFUNCTION("""COMPUTED_VALUE"""),260.0)</f>
        <v/>
      </c>
      <c r="G17" s="2">
        <f>IFERROR(__xludf.DUMMYFUNCTION("""COMPUTED_VALUE"""),293.0)</f>
        <v/>
      </c>
      <c r="H17" s="2">
        <f>IFERROR(__xludf.DUMMYFUNCTION("""COMPUTED_VALUE"""),340.0)</f>
        <v/>
      </c>
      <c r="I17" s="2">
        <f>IFERROR(__xludf.DUMMYFUNCTION("""COMPUTED_VALUE"""),391.0)</f>
        <v/>
      </c>
      <c r="J17" s="2">
        <f>IFERROR(__xludf.DUMMYFUNCTION("""COMPUTED_VALUE"""),391.0)</f>
        <v/>
      </c>
      <c r="K17" s="2">
        <f>IFERROR(__xludf.DUMMYFUNCTION("""COMPUTED_VALUE"""),50.0)</f>
        <v/>
      </c>
      <c r="L17" s="2">
        <f>IFERROR(__xludf.DUMMYFUNCTION("""COMPUTED_VALUE"""),"Светильники светодиодные СПБ-T5, СПБ-Т5Д ")</f>
        <v/>
      </c>
      <c r="M17" s="2">
        <f>IFERROR(__xludf.DUMMYFUNCTION("""COMPUTED_VALUE"""),"Пластиковые (линейные), LED Светильники")</f>
        <v/>
      </c>
    </row>
    <row r="18">
      <c r="A18" s="5">
        <f>IFERROR(__xludf.DUMMYFUNCTION("""COMPUTED_VALUE"""),"12-3441")</f>
        <v/>
      </c>
      <c r="B18" s="5">
        <f>IFERROR(__xludf.DUMMYFUNCTION("""COMPUTED_VALUE"""),"Кримпер для обжима 8P8C / 6P6C / 4P4C (ht-200), заделка витой пары (ht-318М) REXANT")</f>
        <v/>
      </c>
      <c r="C18" s="2">
        <f>IFERROR(__xludf.DUMMYFUNCTION("""COMPUTED_VALUE"""),0.0)</f>
        <v/>
      </c>
      <c r="D18" s="2">
        <f>IFERROR(__xludf.DUMMYFUNCTION("""COMPUTED_VALUE"""),0.0)</f>
        <v/>
      </c>
      <c r="E18" s="2">
        <f>IFERROR(__xludf.DUMMYFUNCTION("""COMPUTED_VALUE"""),1.0)</f>
        <v/>
      </c>
      <c r="F18" s="2">
        <f>IFERROR(__xludf.DUMMYFUNCTION("""COMPUTED_VALUE"""),978.0)</f>
        <v/>
      </c>
      <c r="G18" s="2">
        <f>IFERROR(__xludf.DUMMYFUNCTION("""COMPUTED_VALUE"""),1043.0)</f>
        <v/>
      </c>
      <c r="H18" s="2">
        <f>IFERROR(__xludf.DUMMYFUNCTION("""COMPUTED_VALUE"""),1173.0)</f>
        <v/>
      </c>
      <c r="I18" s="2">
        <f>IFERROR(__xludf.DUMMYFUNCTION("""COMPUTED_VALUE"""),1303.52)</f>
        <v/>
      </c>
      <c r="J18" s="2">
        <f>IFERROR(__xludf.DUMMYFUNCTION("""COMPUTED_VALUE"""),652.0)</f>
        <v/>
      </c>
      <c r="K18" s="2">
        <f>IFERROR(__xludf.DUMMYFUNCTION("""COMPUTED_VALUE"""),2.0)</f>
        <v/>
      </c>
      <c r="L18" s="2">
        <f>IFERROR(__xludf.DUMMYFUNCTION("""COMPUTED_VALUE"""),"Rexant")</f>
        <v/>
      </c>
      <c r="M18" s="2">
        <f>IFERROR(__xludf.DUMMYFUNCTION("""COMPUTED_VALUE"""),"Прочие товары")</f>
        <v/>
      </c>
    </row>
    <row r="19">
      <c r="A19" s="5">
        <f>IFERROR(__xludf.DUMMYFUNCTION("""COMPUTED_VALUE"""),"4690612008141")</f>
        <v/>
      </c>
      <c r="B19" s="5">
        <f>IFERROR(__xludf.DUMMYFUNCTION("""COMPUTED_VALUE"""),"NRLP-eco 24Вт 230В 4000К 1680Лм 300мм белая накладная IP40 IN HOME")</f>
        <v/>
      </c>
      <c r="C19" s="2">
        <f>IFERROR(__xludf.DUMMYFUNCTION("""COMPUTED_VALUE"""),0.5860000000000001)</f>
        <v/>
      </c>
      <c r="D19" s="2">
        <f>IFERROR(__xludf.DUMMYFUNCTION("""COMPUTED_VALUE"""),0.004350000000000001)</f>
        <v/>
      </c>
      <c r="E19" s="2">
        <f>IFERROR(__xludf.DUMMYFUNCTION("""COMPUTED_VALUE"""),515.9)</f>
        <v/>
      </c>
      <c r="F19" s="2">
        <f>IFERROR(__xludf.DUMMYFUNCTION("""COMPUTED_VALUE"""),504.0)</f>
        <v/>
      </c>
      <c r="G19" s="2">
        <f>IFERROR(__xludf.DUMMYFUNCTION("""COMPUTED_VALUE"""),567.0)</f>
        <v/>
      </c>
      <c r="H19" s="2">
        <f>IFERROR(__xludf.DUMMYFUNCTION("""COMPUTED_VALUE"""),658.0)</f>
        <v/>
      </c>
      <c r="I19" s="2">
        <f>IFERROR(__xludf.DUMMYFUNCTION("""COMPUTED_VALUE"""),756.0)</f>
        <v/>
      </c>
      <c r="J19" s="2">
        <f>IFERROR(__xludf.DUMMYFUNCTION("""COMPUTED_VALUE"""),378.0)</f>
        <v/>
      </c>
      <c r="K19" s="2">
        <f>IFERROR(__xludf.DUMMYFUNCTION("""COMPUTED_VALUE"""),1.0)</f>
        <v/>
      </c>
      <c r="L19" s="2">
        <f>IFERROR(__xludf.DUMMYFUNCTION("""COMPUTED_VALUE"""),"Панели светодиодные круглые накладные NRLP")</f>
        <v/>
      </c>
      <c r="M19" s="2">
        <f>IFERROR(__xludf.DUMMYFUNCTION("""COMPUTED_VALUE"""),"Точечные круглые Downlight, LED Светильники")</f>
        <v/>
      </c>
    </row>
    <row r="20">
      <c r="A20" s="5">
        <f>IFERROR(__xludf.DUMMYFUNCTION("""COMPUTED_VALUE"""),"06-0107-A")</f>
        <v/>
      </c>
      <c r="B20" s="5">
        <f>IFERROR(__xludf.DUMMYFUNCTION("""COMPUTED_VALUE"""),"Переходник телефонный, (гнездо 6Р-4С (RJ-11) - гнездо 6Р-4С (RJ-11)) REXANT")</f>
        <v/>
      </c>
      <c r="C20" s="2">
        <f>IFERROR(__xludf.DUMMYFUNCTION("""COMPUTED_VALUE"""),0.0)</f>
        <v/>
      </c>
      <c r="D20" s="2">
        <f>IFERROR(__xludf.DUMMYFUNCTION("""COMPUTED_VALUE"""),0.0)</f>
        <v/>
      </c>
      <c r="E20" s="2">
        <f>IFERROR(__xludf.DUMMYFUNCTION("""COMPUTED_VALUE"""),1.0)</f>
        <v/>
      </c>
      <c r="F20" s="2">
        <f>IFERROR(__xludf.DUMMYFUNCTION("""COMPUTED_VALUE"""),45.0)</f>
        <v/>
      </c>
      <c r="G20" s="2">
        <f>IFERROR(__xludf.DUMMYFUNCTION("""COMPUTED_VALUE"""),48.0)</f>
        <v/>
      </c>
      <c r="H20" s="2">
        <f>IFERROR(__xludf.DUMMYFUNCTION("""COMPUTED_VALUE"""),54.0)</f>
        <v/>
      </c>
      <c r="I20" s="2">
        <f>IFERROR(__xludf.DUMMYFUNCTION("""COMPUTED_VALUE"""),59.5)</f>
        <v/>
      </c>
      <c r="J20" s="2">
        <f>IFERROR(__xludf.DUMMYFUNCTION("""COMPUTED_VALUE"""),30.0)</f>
        <v/>
      </c>
      <c r="K20" s="2">
        <f>IFERROR(__xludf.DUMMYFUNCTION("""COMPUTED_VALUE"""),8.0)</f>
        <v/>
      </c>
      <c r="L20" s="2">
        <f>IFERROR(__xludf.DUMMYFUNCTION("""COMPUTED_VALUE"""),"Rexant")</f>
        <v/>
      </c>
      <c r="M20" s="2">
        <f>IFERROR(__xludf.DUMMYFUNCTION("""COMPUTED_VALUE"""),"Прочие товары")</f>
        <v/>
      </c>
    </row>
    <row r="21">
      <c r="A21" s="5">
        <f>IFERROR(__xludf.DUMMYFUNCTION("""COMPUTED_VALUE"""),"4260652193284")</f>
        <v/>
      </c>
      <c r="B21" s="5">
        <f>IFERROR(__xludf.DUMMYFUNCTION("""COMPUTED_VALUE"""),"LCL04-8W-R11-6K-SOA")</f>
        <v/>
      </c>
      <c r="C21" s="2">
        <f>IFERROR(__xludf.DUMMYFUNCTION("""COMPUTED_VALUE"""),0.09200000000000001)</f>
        <v/>
      </c>
      <c r="D21" s="2">
        <f>IFERROR(__xludf.DUMMYFUNCTION("""COMPUTED_VALUE"""),0.0)</f>
        <v/>
      </c>
      <c r="E21" s="2">
        <f>IFERROR(__xludf.DUMMYFUNCTION("""COMPUTED_VALUE"""),120.0)</f>
        <v/>
      </c>
      <c r="F21" s="2">
        <f>IFERROR(__xludf.DUMMYFUNCTION("""COMPUTED_VALUE"""),291.0)</f>
        <v/>
      </c>
      <c r="G21" s="2">
        <f>IFERROR(__xludf.DUMMYFUNCTION("""COMPUTED_VALUE"""),301.0)</f>
        <v/>
      </c>
      <c r="H21" s="2">
        <f>IFERROR(__xludf.DUMMYFUNCTION("""COMPUTED_VALUE"""),394.0)</f>
        <v/>
      </c>
      <c r="I21" s="2">
        <f>IFERROR(__xludf.DUMMYFUNCTION("""COMPUTED_VALUE"""),493.0)</f>
        <v/>
      </c>
      <c r="J21" s="2">
        <f>IFERROR(__xludf.DUMMYFUNCTION("""COMPUTED_VALUE"""),247.0)</f>
        <v/>
      </c>
      <c r="K21" s="2">
        <f>IFERROR(__xludf.DUMMYFUNCTION("""COMPUTED_VALUE"""),17.0)</f>
        <v/>
      </c>
      <c r="L21" s="2">
        <f>IFERROR(__xludf.DUMMYFUNCTION("""COMPUTED_VALUE"""),"Wolta ЖКХ")</f>
        <v/>
      </c>
      <c r="M21" s="2">
        <f>IFERROR(__xludf.DUMMYFUNCTION("""COMPUTED_VALUE"""),"Для ЖКХ, дома, дачи, LED Светильники")</f>
        <v/>
      </c>
    </row>
    <row r="22">
      <c r="A22" s="5">
        <f>IFERROR(__xludf.DUMMYFUNCTION("""COMPUTED_VALUE"""),"12-0180")</f>
        <v/>
      </c>
      <c r="B22" s="5">
        <f>IFERROR(__xludf.DUMMYFUNCTION("""COMPUTED_VALUE"""),"Паяльник Мини (питание через USB) 5 V/8 Вт REXANT")</f>
        <v/>
      </c>
      <c r="C22" s="2">
        <f>IFERROR(__xludf.DUMMYFUNCTION("""COMPUTED_VALUE"""),0.0)</f>
        <v/>
      </c>
      <c r="D22" s="2">
        <f>IFERROR(__xludf.DUMMYFUNCTION("""COMPUTED_VALUE"""),0.0)</f>
        <v/>
      </c>
      <c r="E22" s="2">
        <f>IFERROR(__xludf.DUMMYFUNCTION("""COMPUTED_VALUE"""),1.0)</f>
        <v/>
      </c>
      <c r="F22" s="2">
        <f>IFERROR(__xludf.DUMMYFUNCTION("""COMPUTED_VALUE"""),937.0)</f>
        <v/>
      </c>
      <c r="G22" s="2">
        <f>IFERROR(__xludf.DUMMYFUNCTION("""COMPUTED_VALUE"""),1000.0)</f>
        <v/>
      </c>
      <c r="H22" s="2">
        <f>IFERROR(__xludf.DUMMYFUNCTION("""COMPUTED_VALUE"""),1125.0)</f>
        <v/>
      </c>
      <c r="I22" s="2">
        <f>IFERROR(__xludf.DUMMYFUNCTION("""COMPUTED_VALUE"""),1249.5)</f>
        <v/>
      </c>
      <c r="J22" s="2">
        <f>IFERROR(__xludf.DUMMYFUNCTION("""COMPUTED_VALUE"""),625.0)</f>
        <v/>
      </c>
      <c r="K22" s="2">
        <f>IFERROR(__xludf.DUMMYFUNCTION("""COMPUTED_VALUE"""),12.0)</f>
        <v/>
      </c>
      <c r="L22" s="2">
        <f>IFERROR(__xludf.DUMMYFUNCTION("""COMPUTED_VALUE"""),"Rexant")</f>
        <v/>
      </c>
      <c r="M22" s="2">
        <f>IFERROR(__xludf.DUMMYFUNCTION("""COMPUTED_VALUE"""),"Прочие товары")</f>
        <v/>
      </c>
    </row>
    <row r="23">
      <c r="A23" s="5">
        <f>IFERROR(__xludf.DUMMYFUNCTION("""COMPUTED_VALUE"""),"4690612024653")</f>
        <v/>
      </c>
      <c r="B23" s="5">
        <f>IFERROR(__xludf.DUMMYFUNCTION("""COMPUTED_VALUE"""),"LED-A70-std 30Вт 230В Е27 4000К 2700Лм ASD")</f>
        <v/>
      </c>
      <c r="C23" s="2">
        <f>IFERROR(__xludf.DUMMYFUNCTION("""COMPUTED_VALUE"""),0.085)</f>
        <v/>
      </c>
      <c r="D23" s="2">
        <f>IFERROR(__xludf.DUMMYFUNCTION("""COMPUTED_VALUE"""),8.0E-4)</f>
        <v/>
      </c>
      <c r="E23" s="2">
        <f>IFERROR(__xludf.DUMMYFUNCTION("""COMPUTED_VALUE"""),116.9)</f>
        <v/>
      </c>
      <c r="F23" s="2">
        <f>IFERROR(__xludf.DUMMYFUNCTION("""COMPUTED_VALUE"""),93.0)</f>
        <v/>
      </c>
      <c r="G23" s="2">
        <f>IFERROR(__xludf.DUMMYFUNCTION("""COMPUTED_VALUE"""),105.0)</f>
        <v/>
      </c>
      <c r="H23" s="2">
        <f>IFERROR(__xludf.DUMMYFUNCTION("""COMPUTED_VALUE"""),122.0)</f>
        <v/>
      </c>
      <c r="I23" s="2">
        <f>IFERROR(__xludf.DUMMYFUNCTION("""COMPUTED_VALUE"""),140.5)</f>
        <v/>
      </c>
      <c r="J23" s="2">
        <f>IFERROR(__xludf.DUMMYFUNCTION("""COMPUTED_VALUE"""),105.0)</f>
        <v/>
      </c>
      <c r="K23" s="2">
        <f>IFERROR(__xludf.DUMMYFUNCTION("""COMPUTED_VALUE"""),39.0)</f>
        <v/>
      </c>
      <c r="L23" s="2">
        <f>IFERROR(__xludf.DUMMYFUNCTION("""COMPUTED_VALUE"""),"Лампа светодиодная LED-A60-standard")</f>
        <v/>
      </c>
      <c r="M23" s="2">
        <f>IFERROR(__xludf.DUMMYFUNCTION("""COMPUTED_VALUE"""),"Лампы")</f>
        <v/>
      </c>
    </row>
    <row r="24">
      <c r="A24" s="5">
        <f>IFERROR(__xludf.DUMMYFUNCTION("""COMPUTED_VALUE"""),"4690612053059")</f>
        <v/>
      </c>
      <c r="B24" s="5">
        <f>IFERROR(__xludf.DUMMYFUNCTION("""COMPUTED_VALUE"""),"ДВО-02 5040-ОПАЛ 50Вт 4000К 595х595х25 NEOX")</f>
        <v/>
      </c>
      <c r="C24" s="2">
        <f>IFERROR(__xludf.DUMMYFUNCTION("""COMPUTED_VALUE"""),1.2)</f>
        <v/>
      </c>
      <c r="D24" s="2">
        <f>IFERROR(__xludf.DUMMYFUNCTION("""COMPUTED_VALUE"""),0.00975)</f>
        <v/>
      </c>
      <c r="E24" s="2">
        <f>IFERROR(__xludf.DUMMYFUNCTION("""COMPUTED_VALUE"""),674.94)</f>
        <v/>
      </c>
      <c r="F24" s="2">
        <f>IFERROR(__xludf.DUMMYFUNCTION("""COMPUTED_VALUE"""),896.0)</f>
        <v/>
      </c>
      <c r="G24" s="2">
        <f>IFERROR(__xludf.DUMMYFUNCTION("""COMPUTED_VALUE"""),1008.0)</f>
        <v/>
      </c>
      <c r="H24" s="2">
        <f>IFERROR(__xludf.DUMMYFUNCTION("""COMPUTED_VALUE"""),1169.0)</f>
        <v/>
      </c>
      <c r="I24" s="2">
        <f>IFERROR(__xludf.DUMMYFUNCTION("""COMPUTED_VALUE"""),1344.0)</f>
        <v/>
      </c>
      <c r="J24" s="2">
        <f>IFERROR(__xludf.DUMMYFUNCTION("""COMPUTED_VALUE"""),672.0)</f>
        <v/>
      </c>
      <c r="K24" s="2">
        <f>IFERROR(__xludf.DUMMYFUNCTION("""COMPUTED_VALUE"""),2.0)</f>
        <v/>
      </c>
      <c r="L24" s="2">
        <f>IFERROR(__xludf.DUMMYFUNCTION("""COMPUTED_VALUE"""),"NEOX Светильники LED ДВО")</f>
        <v/>
      </c>
      <c r="M24" s="2">
        <f>IFERROR(__xludf.DUMMYFUNCTION("""COMPUTED_VALUE"""),"С равномерной засветкой, С равномерной засветкой, LED Светильники")</f>
        <v/>
      </c>
    </row>
    <row r="25">
      <c r="A25" s="5">
        <f>IFERROR(__xludf.DUMMYFUNCTION("""COMPUTED_VALUE"""),"4690612029115")</f>
        <v/>
      </c>
      <c r="B25" s="5">
        <f>IFERROR(__xludf.DUMMYFUNCTION("""COMPUTED_VALUE"""),"NLA 08-DY-DS УТЁНОК желтый с датчиком освещения 230В IN HOME")</f>
        <v/>
      </c>
      <c r="C25" s="2">
        <f>IFERROR(__xludf.DUMMYFUNCTION("""COMPUTED_VALUE"""),0.05792000000000001)</f>
        <v/>
      </c>
      <c r="D25" s="2">
        <f>IFERROR(__xludf.DUMMYFUNCTION("""COMPUTED_VALUE"""),7.1E-4)</f>
        <v/>
      </c>
      <c r="E25" s="2">
        <f>IFERROR(__xludf.DUMMYFUNCTION("""COMPUTED_VALUE"""),82.52)</f>
        <v/>
      </c>
      <c r="F25" s="2">
        <f>IFERROR(__xludf.DUMMYFUNCTION("""COMPUTED_VALUE"""),93.0)</f>
        <v/>
      </c>
      <c r="G25" s="2">
        <f>IFERROR(__xludf.DUMMYFUNCTION("""COMPUTED_VALUE"""),104.0)</f>
        <v/>
      </c>
      <c r="H25" s="2">
        <f>IFERROR(__xludf.DUMMYFUNCTION("""COMPUTED_VALUE"""),121.0)</f>
        <v/>
      </c>
      <c r="I25" s="2">
        <f>IFERROR(__xludf.DUMMYFUNCTION("""COMPUTED_VALUE"""),139.0)</f>
        <v/>
      </c>
      <c r="J25" s="2">
        <f>IFERROR(__xludf.DUMMYFUNCTION("""COMPUTED_VALUE"""),70.0)</f>
        <v/>
      </c>
      <c r="K25" s="2">
        <f>IFERROR(__xludf.DUMMYFUNCTION("""COMPUTED_VALUE"""),1.0)</f>
        <v/>
      </c>
      <c r="L25" s="2">
        <f>IFERROR(__xludf.DUMMYFUNCTION("""COMPUTED_VALUE"""),"Светильники ночники")</f>
        <v/>
      </c>
      <c r="M25" s="2">
        <f>IFERROR(__xludf.DUMMYFUNCTION("""COMPUTED_VALUE"""),"Светильники общего назначения (LED), Декоративные, LED Светильники")</f>
        <v/>
      </c>
    </row>
    <row r="26">
      <c r="A26" s="5">
        <f>IFERROR(__xludf.DUMMYFUNCTION("""COMPUTED_VALUE"""),"4690612047492")</f>
        <v/>
      </c>
      <c r="B26" s="5">
        <f>IFERROR(__xludf.DUMMYFUNCTION("""COMPUTED_VALUE"""),"TR-08-TL 25Вт 6000К 2500Лм IP40 36 градусов черный серии TOP-LINE IN HOME")</f>
        <v/>
      </c>
      <c r="C26" s="2">
        <f>IFERROR(__xludf.DUMMYFUNCTION("""COMPUTED_VALUE"""),0.275)</f>
        <v/>
      </c>
      <c r="D26" s="2">
        <f>IFERROR(__xludf.DUMMYFUNCTION("""COMPUTED_VALUE"""),0.00118)</f>
        <v/>
      </c>
      <c r="E26" s="2">
        <f>IFERROR(__xludf.DUMMYFUNCTION("""COMPUTED_VALUE"""),453.0)</f>
        <v/>
      </c>
      <c r="F26" s="2">
        <f>IFERROR(__xludf.DUMMYFUNCTION("""COMPUTED_VALUE"""),609.0)</f>
        <v/>
      </c>
      <c r="G26" s="2">
        <f>IFERROR(__xludf.DUMMYFUNCTION("""COMPUTED_VALUE"""),685.0)</f>
        <v/>
      </c>
      <c r="H26" s="2">
        <f>IFERROR(__xludf.DUMMYFUNCTION("""COMPUTED_VALUE"""),794.0)</f>
        <v/>
      </c>
      <c r="I26" s="2">
        <f>IFERROR(__xludf.DUMMYFUNCTION("""COMPUTED_VALUE"""),913.0)</f>
        <v/>
      </c>
      <c r="J26" s="2">
        <f>IFERROR(__xludf.DUMMYFUNCTION("""COMPUTED_VALUE"""),457.0)</f>
        <v/>
      </c>
      <c r="K26" s="2">
        <f>IFERROR(__xludf.DUMMYFUNCTION("""COMPUTED_VALUE"""),8.0)</f>
        <v/>
      </c>
      <c r="L26" s="2">
        <f>IFERROR(__xludf.DUMMYFUNCTION("""COMPUTED_VALUE"""),"Светильники светодиодные трековые TR-01, 02, 03, 04, 05, 06, 07, 08")</f>
        <v/>
      </c>
      <c r="M26" s="2">
        <f>IFERROR(__xludf.DUMMYFUNCTION("""COMPUTED_VALUE"""),"Трековые, LED Светильники")</f>
        <v/>
      </c>
    </row>
    <row r="27">
      <c r="A27" s="5">
        <f>IFERROR(__xludf.DUMMYFUNCTION("""COMPUTED_VALUE"""),"KRAS030")</f>
        <v/>
      </c>
      <c r="B27" s="5">
        <f>IFERROR(__xludf.DUMMYFUNCTION("""COMPUTED_VALUE"""),"Светильник ПСХ-60-002")</f>
        <v/>
      </c>
      <c r="C27" s="2">
        <f>IFERROR(__xludf.DUMMYFUNCTION("""COMPUTED_VALUE"""),0.0)</f>
        <v/>
      </c>
      <c r="D27" s="2">
        <f>IFERROR(__xludf.DUMMYFUNCTION("""COMPUTED_VALUE"""),0.0)</f>
        <v/>
      </c>
      <c r="E27" s="2">
        <f>IFERROR(__xludf.DUMMYFUNCTION("""COMPUTED_VALUE"""),158.49)</f>
        <v/>
      </c>
      <c r="F27" s="2">
        <f>IFERROR(__xludf.DUMMYFUNCTION("""COMPUTED_VALUE"""),387.0)</f>
        <v/>
      </c>
      <c r="G27" s="2">
        <f>IFERROR(__xludf.DUMMYFUNCTION("""COMPUTED_VALUE"""),413.0)</f>
        <v/>
      </c>
      <c r="H27" s="2">
        <f>IFERROR(__xludf.DUMMYFUNCTION("""COMPUTED_VALUE"""),464.0)</f>
        <v/>
      </c>
      <c r="I27" s="2">
        <f>IFERROR(__xludf.DUMMYFUNCTION("""COMPUTED_VALUE"""),516.0)</f>
        <v/>
      </c>
      <c r="J27" s="2">
        <f>IFERROR(__xludf.DUMMYFUNCTION("""COMPUTED_VALUE"""),158.0)</f>
        <v/>
      </c>
      <c r="K27" s="2">
        <f>IFERROR(__xludf.DUMMYFUNCTION("""COMPUTED_VALUE"""),26.0)</f>
        <v/>
      </c>
      <c r="L27" s="2">
        <f>IFERROR(__xludf.DUMMYFUNCTION("""COMPUTED_VALUE"""),"KRAS (тендер)")</f>
        <v/>
      </c>
      <c r="M27" s="2">
        <f>IFERROR(__xludf.DUMMYFUNCTION("""COMPUTED_VALUE"""),"LED Светильники")</f>
        <v/>
      </c>
    </row>
    <row r="28">
      <c r="A28" s="5">
        <f>IFERROR(__xludf.DUMMYFUNCTION("""COMPUTED_VALUE"""),"4690612000398")</f>
        <v/>
      </c>
      <c r="B28" s="5">
        <f>IFERROR(__xludf.DUMMYFUNCTION("""COMPUTED_VALUE"""),"Розетка ТЛФ BOLLETO белая накл 7034")</f>
        <v/>
      </c>
      <c r="C28" s="2">
        <f>IFERROR(__xludf.DUMMYFUNCTION("""COMPUTED_VALUE"""),0.04)</f>
        <v/>
      </c>
      <c r="D28" s="2">
        <f>IFERROR(__xludf.DUMMYFUNCTION("""COMPUTED_VALUE"""),3.0E-4)</f>
        <v/>
      </c>
      <c r="E28" s="2">
        <f>IFERROR(__xludf.DUMMYFUNCTION("""COMPUTED_VALUE"""),39.72)</f>
        <v/>
      </c>
      <c r="F28" s="2">
        <f>IFERROR(__xludf.DUMMYFUNCTION("""COMPUTED_VALUE"""),69.0)</f>
        <v/>
      </c>
      <c r="G28" s="2">
        <f>IFERROR(__xludf.DUMMYFUNCTION("""COMPUTED_VALUE"""),78.0)</f>
        <v/>
      </c>
      <c r="H28" s="2">
        <f>IFERROR(__xludf.DUMMYFUNCTION("""COMPUTED_VALUE"""),90.0)</f>
        <v/>
      </c>
      <c r="I28" s="2">
        <f>IFERROR(__xludf.DUMMYFUNCTION("""COMPUTED_VALUE"""),104.0)</f>
        <v/>
      </c>
      <c r="J28" s="2">
        <f>IFERROR(__xludf.DUMMYFUNCTION("""COMPUTED_VALUE"""),52.0)</f>
        <v/>
      </c>
      <c r="K28" s="2">
        <f>IFERROR(__xludf.DUMMYFUNCTION("""COMPUTED_VALUE"""),3.0)</f>
        <v/>
      </c>
      <c r="L28" s="2">
        <f>IFERROR(__xludf.DUMMYFUNCTION("""COMPUTED_VALUE"""),"ASD электромонтажные изделия")</f>
        <v/>
      </c>
      <c r="M28" s="2">
        <f>IFERROR(__xludf.DUMMYFUNCTION("""COMPUTED_VALUE"""),"Прочие товары")</f>
        <v/>
      </c>
    </row>
    <row r="29">
      <c r="A29" s="5">
        <f>IFERROR(__xludf.DUMMYFUNCTION("""COMPUTED_VALUE"""),"4260652191099")</f>
        <v/>
      </c>
      <c r="B29" s="5">
        <f>IFERROR(__xludf.DUMMYFUNCTION("""COMPUTED_VALUE"""),"WLFS18W05")</f>
        <v/>
      </c>
      <c r="C29" s="2">
        <f>IFERROR(__xludf.DUMMYFUNCTION("""COMPUTED_VALUE"""),0.25)</f>
        <v/>
      </c>
      <c r="D29" s="2">
        <f>IFERROR(__xludf.DUMMYFUNCTION("""COMPUTED_VALUE"""),4.7E-4)</f>
        <v/>
      </c>
      <c r="E29" s="2">
        <f>IFERROR(__xludf.DUMMYFUNCTION("""COMPUTED_VALUE"""),272.74)</f>
        <v/>
      </c>
      <c r="F29" s="2">
        <f>IFERROR(__xludf.DUMMYFUNCTION("""COMPUTED_VALUE"""),208.0)</f>
        <v/>
      </c>
      <c r="G29" s="2">
        <f>IFERROR(__xludf.DUMMYFUNCTION("""COMPUTED_VALUE"""),215.0)</f>
        <v/>
      </c>
      <c r="H29" s="2">
        <f>IFERROR(__xludf.DUMMYFUNCTION("""COMPUTED_VALUE"""),282.0)</f>
        <v/>
      </c>
      <c r="I29" s="2">
        <f>IFERROR(__xludf.DUMMYFUNCTION("""COMPUTED_VALUE"""),353.0)</f>
        <v/>
      </c>
      <c r="J29" s="2">
        <f>IFERROR(__xludf.DUMMYFUNCTION("""COMPUTED_VALUE"""),177.0)</f>
        <v/>
      </c>
      <c r="K29" s="2">
        <f>IFERROR(__xludf.DUMMYFUNCTION("""COMPUTED_VALUE"""),17.0)</f>
        <v/>
      </c>
      <c r="L29" s="2">
        <f>IFERROR(__xludf.DUMMYFUNCTION("""COMPUTED_VALUE"""),"Wolta офисные")</f>
        <v/>
      </c>
      <c r="M29" s="2">
        <f>IFERROR(__xludf.DUMMYFUNCTION("""COMPUTED_VALUE"""),"Светильники общего назначения (LED), LED Светильники")</f>
        <v/>
      </c>
    </row>
    <row r="30">
      <c r="A30" s="5">
        <f>IFERROR(__xludf.DUMMYFUNCTION("""COMPUTED_VALUE"""),"4690612057293-2")</f>
        <v/>
      </c>
      <c r="B30" s="5">
        <f>IFERROR(__xludf.DUMMYFUNCTION("""COMPUTED_VALUE"""),"ДВО-PRO 5040-ОПАЛ 50Вт 4000К 120лм/Вт CRI80 IP40 595х595х30мм NEOX (2 шт в упак.)")</f>
        <v/>
      </c>
      <c r="C30" s="2">
        <f>IFERROR(__xludf.DUMMYFUNCTION("""COMPUTED_VALUE"""),0.0)</f>
        <v/>
      </c>
      <c r="D30" s="2">
        <f>IFERROR(__xludf.DUMMYFUNCTION("""COMPUTED_VALUE"""),0.0)</f>
        <v/>
      </c>
      <c r="E30" s="2">
        <f>IFERROR(__xludf.DUMMYFUNCTION("""COMPUTED_VALUE"""),1665.9)</f>
        <v/>
      </c>
      <c r="F30" s="2">
        <f>IFERROR(__xludf.DUMMYFUNCTION("""COMPUTED_VALUE"""),1828.0)</f>
        <v/>
      </c>
      <c r="G30" s="2">
        <f>IFERROR(__xludf.DUMMYFUNCTION("""COMPUTED_VALUE"""),2132.0)</f>
        <v/>
      </c>
      <c r="H30" s="2">
        <f>IFERROR(__xludf.DUMMYFUNCTION("""COMPUTED_VALUE"""),2399.0)</f>
        <v/>
      </c>
      <c r="I30" s="2">
        <f>IFERROR(__xludf.DUMMYFUNCTION("""COMPUTED_VALUE"""),2665.0)</f>
        <v/>
      </c>
      <c r="J30" s="2">
        <f>IFERROR(__xludf.DUMMYFUNCTION("""COMPUTED_VALUE"""),1333.0)</f>
        <v/>
      </c>
      <c r="K30" s="2">
        <f>IFERROR(__xludf.DUMMYFUNCTION("""COMPUTED_VALUE"""),20.0)</f>
        <v/>
      </c>
      <c r="L30" s="2">
        <f>IFERROR(__xludf.DUMMYFUNCTION("""COMPUTED_VALUE"""),"NEOX Светильники LED ДВО-PRO производство, упаковка")</f>
        <v/>
      </c>
      <c r="M30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31">
      <c r="A31" s="5">
        <f>IFERROR(__xludf.DUMMYFUNCTION("""COMPUTED_VALUE"""),"4690612030999")</f>
        <v/>
      </c>
      <c r="B31" s="5">
        <f>IFERROR(__xludf.DUMMYFUNCTION("""COMPUTED_VALUE"""),"LED-T8-М-PRO 20Вт 230В G13 6500К 2000Лм 1200мм матовая IN HOME")</f>
        <v/>
      </c>
      <c r="C31" s="2">
        <f>IFERROR(__xludf.DUMMYFUNCTION("""COMPUTED_VALUE"""),0.188)</f>
        <v/>
      </c>
      <c r="D31" s="2">
        <f>IFERROR(__xludf.DUMMYFUNCTION("""COMPUTED_VALUE"""),0.00144)</f>
        <v/>
      </c>
      <c r="E31" s="2">
        <f>IFERROR(__xludf.DUMMYFUNCTION("""COMPUTED_VALUE"""),87.60000000000001)</f>
        <v/>
      </c>
      <c r="F31" s="2">
        <f>IFERROR(__xludf.DUMMYFUNCTION("""COMPUTED_VALUE"""),111.0)</f>
        <v/>
      </c>
      <c r="G31" s="2">
        <f>IFERROR(__xludf.DUMMYFUNCTION("""COMPUTED_VALUE"""),125.0)</f>
        <v/>
      </c>
      <c r="H31" s="2">
        <f>IFERROR(__xludf.DUMMYFUNCTION("""COMPUTED_VALUE"""),145.0)</f>
        <v/>
      </c>
      <c r="I31" s="2">
        <f>IFERROR(__xludf.DUMMYFUNCTION("""COMPUTED_VALUE"""),166.6)</f>
        <v/>
      </c>
      <c r="J31" s="2">
        <f>IFERROR(__xludf.DUMMYFUNCTION("""COMPUTED_VALUE"""),83.0)</f>
        <v/>
      </c>
      <c r="K31" s="2">
        <f>IFERROR(__xludf.DUMMYFUNCTION("""COMPUTED_VALUE"""),10.0)</f>
        <v/>
      </c>
      <c r="L31" s="2">
        <f>IFERROR(__xludf.DUMMYFUNCTION("""COMPUTED_VALUE"""),"Лампа светодиодная LED-T8")</f>
        <v/>
      </c>
      <c r="M31" s="2">
        <f>IFERROR(__xludf.DUMMYFUNCTION("""COMPUTED_VALUE"""),"Лампы")</f>
        <v/>
      </c>
    </row>
    <row r="32">
      <c r="A32" s="5">
        <f>IFERROR(__xludf.DUMMYFUNCTION("""COMPUTED_VALUE"""),"4690612015446")</f>
        <v/>
      </c>
      <c r="B32" s="5">
        <f>IFERROR(__xludf.DUMMYFUNCTION("""COMPUTED_VALUE"""),"LED-ШАР-standard 10Вт 230В Е14 3000К 900Лм ASD")</f>
        <v/>
      </c>
      <c r="C32" s="2">
        <f>IFERROR(__xludf.DUMMYFUNCTION("""COMPUTED_VALUE"""),0.036)</f>
        <v/>
      </c>
      <c r="D32" s="2">
        <f>IFERROR(__xludf.DUMMYFUNCTION("""COMPUTED_VALUE"""),2.3E-4)</f>
        <v/>
      </c>
      <c r="E32" s="2">
        <f>IFERROR(__xludf.DUMMYFUNCTION("""COMPUTED_VALUE"""),48.02)</f>
        <v/>
      </c>
      <c r="F32" s="2">
        <f>IFERROR(__xludf.DUMMYFUNCTION("""COMPUTED_VALUE"""),33.0)</f>
        <v/>
      </c>
      <c r="G32" s="2">
        <f>IFERROR(__xludf.DUMMYFUNCTION("""COMPUTED_VALUE"""),37.0)</f>
        <v/>
      </c>
      <c r="H32" s="2">
        <f>IFERROR(__xludf.DUMMYFUNCTION("""COMPUTED_VALUE"""),43.0)</f>
        <v/>
      </c>
      <c r="I32" s="2">
        <f>IFERROR(__xludf.DUMMYFUNCTION("""COMPUTED_VALUE"""),49.9)</f>
        <v/>
      </c>
      <c r="J32" s="2">
        <f>IFERROR(__xludf.DUMMYFUNCTION("""COMPUTED_VALUE"""),25.0)</f>
        <v/>
      </c>
      <c r="K32" s="2">
        <f>IFERROR(__xludf.DUMMYFUNCTION("""COMPUTED_VALUE"""),30.0)</f>
        <v/>
      </c>
      <c r="L32" s="2">
        <f>IFERROR(__xludf.DUMMYFUNCTION("""COMPUTED_VALUE"""),"Лампа светодиодная LED-ШАР-standard")</f>
        <v/>
      </c>
      <c r="M32" s="2">
        <f>IFERROR(__xludf.DUMMYFUNCTION("""COMPUTED_VALUE"""),"Лампы")</f>
        <v/>
      </c>
    </row>
    <row r="33">
      <c r="A33" s="5">
        <f>IFERROR(__xludf.DUMMYFUNCTION("""COMPUTED_VALUE"""),"4690612002125")</f>
        <v/>
      </c>
      <c r="B33" s="5">
        <f>IFERROR(__xludf.DUMMYFUNCTION("""COMPUTED_VALUE"""),"LED-ШАР-standard 5.0Вт 220В Е14 3000К 400Лм")</f>
        <v/>
      </c>
      <c r="C33" s="2">
        <f>IFERROR(__xludf.DUMMYFUNCTION("""COMPUTED_VALUE"""),0.029)</f>
        <v/>
      </c>
      <c r="D33" s="2">
        <f>IFERROR(__xludf.DUMMYFUNCTION("""COMPUTED_VALUE"""),2.3E-4)</f>
        <v/>
      </c>
      <c r="E33" s="2">
        <f>IFERROR(__xludf.DUMMYFUNCTION("""COMPUTED_VALUE"""),33.58)</f>
        <v/>
      </c>
      <c r="F33" s="2">
        <f>IFERROR(__xludf.DUMMYFUNCTION("""COMPUTED_VALUE"""),25.0)</f>
        <v/>
      </c>
      <c r="G33" s="2">
        <f>IFERROR(__xludf.DUMMYFUNCTION("""COMPUTED_VALUE"""),29.0)</f>
        <v/>
      </c>
      <c r="H33" s="2">
        <f>IFERROR(__xludf.DUMMYFUNCTION("""COMPUTED_VALUE"""),33.0)</f>
        <v/>
      </c>
      <c r="I33" s="2">
        <f>IFERROR(__xludf.DUMMYFUNCTION("""COMPUTED_VALUE"""),38.5)</f>
        <v/>
      </c>
      <c r="J33" s="2">
        <f>IFERROR(__xludf.DUMMYFUNCTION("""COMPUTED_VALUE"""),19.0)</f>
        <v/>
      </c>
      <c r="K33" s="2">
        <f>IFERROR(__xludf.DUMMYFUNCTION("""COMPUTED_VALUE"""),10.0)</f>
        <v/>
      </c>
      <c r="L33" s="2">
        <f>IFERROR(__xludf.DUMMYFUNCTION("""COMPUTED_VALUE"""),"Лампа светодиодная LED-ШАР-standard")</f>
        <v/>
      </c>
      <c r="M33" s="2">
        <f>IFERROR(__xludf.DUMMYFUNCTION("""COMPUTED_VALUE"""),"Лампы")</f>
        <v/>
      </c>
    </row>
    <row r="34">
      <c r="A34" s="5">
        <f>IFERROR(__xludf.DUMMYFUNCTION("""COMPUTED_VALUE"""),"GL8111")</f>
        <v/>
      </c>
      <c r="B34" s="5">
        <f>IFERROR(__xludf.DUMMYFUNCTION("""COMPUTED_VALUE"""),"GLERIO Office Casual 24 Вт 4000К 81P-24D-4V-P")</f>
        <v/>
      </c>
      <c r="C34" s="2">
        <f>IFERROR(__xludf.DUMMYFUNCTION("""COMPUTED_VALUE"""),1.04)</f>
        <v/>
      </c>
      <c r="D34" s="2">
        <f>IFERROR(__xludf.DUMMYFUNCTION("""COMPUTED_VALUE"""),0.008190000000000001)</f>
        <v/>
      </c>
      <c r="E34" s="2">
        <f>IFERROR(__xludf.DUMMYFUNCTION("""COMPUTED_VALUE"""),1464.7)</f>
        <v/>
      </c>
      <c r="F34" s="2">
        <f>IFERROR(__xludf.DUMMYFUNCTION("""COMPUTED_VALUE"""),1700.0)</f>
        <v/>
      </c>
      <c r="G34" s="2">
        <f>IFERROR(__xludf.DUMMYFUNCTION("""COMPUTED_VALUE"""),2140.0)</f>
        <v/>
      </c>
      <c r="H34" s="2">
        <f>IFERROR(__xludf.DUMMYFUNCTION("""COMPUTED_VALUE"""),2404.0)</f>
        <v/>
      </c>
      <c r="I34" s="2">
        <f>IFERROR(__xludf.DUMMYFUNCTION("""COMPUTED_VALUE"""),2667.0)</f>
        <v/>
      </c>
      <c r="J34" s="2">
        <f>IFERROR(__xludf.DUMMYFUNCTION("""COMPUTED_VALUE"""),2667.0)</f>
        <v/>
      </c>
      <c r="K34" s="2">
        <f>IFERROR(__xludf.DUMMYFUNCTION("""COMPUTED_VALUE"""),-4.0)</f>
        <v/>
      </c>
      <c r="L34" s="2">
        <f>IFERROR(__xludf.DUMMYFUNCTION("""COMPUTED_VALUE"""),"Office Casual (Офис) до 10.2025")</f>
        <v/>
      </c>
      <c r="M34" s="2">
        <f>IFERROR(__xludf.DUMMYFUNCTION("""COMPUTED_VALUE"""),"Встраиваемые, Накладные, LED Светильники")</f>
        <v/>
      </c>
    </row>
    <row r="35">
      <c r="A35" s="5">
        <f>IFERROR(__xludf.DUMMYFUNCTION("""COMPUTED_VALUE"""),"4690612016597")</f>
        <v/>
      </c>
      <c r="B35" s="5">
        <f>IFERROR(__xludf.DUMMYFUNCTION("""COMPUTED_VALUE"""),"Е27-ПВ-deco подвесной с выключателем Бронза IN HOME")</f>
        <v/>
      </c>
      <c r="C35" s="2">
        <f>IFERROR(__xludf.DUMMYFUNCTION("""COMPUTED_VALUE"""),1.5E-4)</f>
        <v/>
      </c>
      <c r="D35" s="2">
        <f>IFERROR(__xludf.DUMMYFUNCTION("""COMPUTED_VALUE"""),1.5E-4)</f>
        <v/>
      </c>
      <c r="E35" s="2">
        <f>IFERROR(__xludf.DUMMYFUNCTION("""COMPUTED_VALUE"""),221.1)</f>
        <v/>
      </c>
      <c r="F35" s="2">
        <f>IFERROR(__xludf.DUMMYFUNCTION("""COMPUTED_VALUE"""),220.0)</f>
        <v/>
      </c>
      <c r="G35" s="2">
        <f>IFERROR(__xludf.DUMMYFUNCTION("""COMPUTED_VALUE"""),248.0)</f>
        <v/>
      </c>
      <c r="H35" s="2">
        <f>IFERROR(__xludf.DUMMYFUNCTION("""COMPUTED_VALUE"""),287.0)</f>
        <v/>
      </c>
      <c r="I35" s="2">
        <f>IFERROR(__xludf.DUMMYFUNCTION("""COMPUTED_VALUE"""),330.0)</f>
        <v/>
      </c>
      <c r="J35" s="2">
        <f>IFERROR(__xludf.DUMMYFUNCTION("""COMPUTED_VALUE"""),165.0)</f>
        <v/>
      </c>
      <c r="K35" s="2">
        <f>IFERROR(__xludf.DUMMYFUNCTION("""COMPUTED_VALUE"""),2.0)</f>
        <v/>
      </c>
      <c r="L35" s="2">
        <f>IFERROR(__xludf.DUMMYFUNCTION("""COMPUTED_VALUE"""),"ASD электромонтажные изделия")</f>
        <v/>
      </c>
      <c r="M35" s="2">
        <f>IFERROR(__xludf.DUMMYFUNCTION("""COMPUTED_VALUE"""),"Прочие товары")</f>
        <v/>
      </c>
    </row>
    <row r="36">
      <c r="A36" s="5">
        <f>IFERROR(__xludf.DUMMYFUNCTION("""COMPUTED_VALUE"""),"V12008")</f>
        <v/>
      </c>
      <c r="B36" s="5">
        <f>IFERROR(__xludf.DUMMYFUNCTION("""COMPUTED_VALUE"""),"VRN-LME136X78-64-A50K67-K, 64Вт, Консольный")</f>
        <v/>
      </c>
      <c r="C36" s="2">
        <f>IFERROR(__xludf.DUMMYFUNCTION("""COMPUTED_VALUE"""),0.16)</f>
        <v/>
      </c>
      <c r="D36" s="2">
        <f>IFERROR(__xludf.DUMMYFUNCTION("""COMPUTED_VALUE"""),0.00902)</f>
        <v/>
      </c>
      <c r="E36" s="2">
        <f>IFERROR(__xludf.DUMMYFUNCTION("""COMPUTED_VALUE"""),3255.57)</f>
        <v/>
      </c>
      <c r="F36" s="2">
        <f>IFERROR(__xludf.DUMMYFUNCTION("""COMPUTED_VALUE"""),3760.0)</f>
        <v/>
      </c>
      <c r="G36" s="2">
        <f>IFERROR(__xludf.DUMMYFUNCTION("""COMPUTED_VALUE"""),4888.0)</f>
        <v/>
      </c>
      <c r="H36" s="2">
        <f>IFERROR(__xludf.DUMMYFUNCTION("""COMPUTED_VALUE"""),5132.0)</f>
        <v/>
      </c>
      <c r="I36" s="2">
        <f>IFERROR(__xludf.DUMMYFUNCTION("""COMPUTED_VALUE"""),5377.0)</f>
        <v/>
      </c>
      <c r="J36" s="2">
        <f>IFERROR(__xludf.DUMMYFUNCTION("""COMPUTED_VALUE"""),2689.0)</f>
        <v/>
      </c>
      <c r="K36" s="2">
        <f>IFERROR(__xludf.DUMMYFUNCTION("""COMPUTED_VALUE"""),7.0)</f>
        <v/>
      </c>
      <c r="L36" s="2">
        <f>IFERROR(__xludf.DUMMYFUNCTION("""COMPUTED_VALUE"""),"Магистраль Эконом")</f>
        <v/>
      </c>
      <c r="M36" s="2">
        <f>IFERROR(__xludf.DUMMYFUNCTION("""COMPUTED_VALUE"""),"Для автомагистралей, LED Светильники")</f>
        <v/>
      </c>
    </row>
    <row r="37">
      <c r="A37" s="5">
        <f>IFERROR(__xludf.DUMMYFUNCTION("""COMPUTED_VALUE"""),"4690612006789")</f>
        <v/>
      </c>
      <c r="B37" s="5">
        <f>IFERROR(__xludf.DUMMYFUNCTION("""COMPUTED_VALUE"""),"LED-СВЕЧА-deco 7Вт 230В Е14 4000К 630Лм матовая IN HOME")</f>
        <v/>
      </c>
      <c r="C37" s="2">
        <f>IFERROR(__xludf.DUMMYFUNCTION("""COMPUTED_VALUE"""),0.025)</f>
        <v/>
      </c>
      <c r="D37" s="2">
        <f>IFERROR(__xludf.DUMMYFUNCTION("""COMPUTED_VALUE"""),2.6E-4)</f>
        <v/>
      </c>
      <c r="E37" s="2">
        <f>IFERROR(__xludf.DUMMYFUNCTION("""COMPUTED_VALUE"""),53.14)</f>
        <v/>
      </c>
      <c r="F37" s="2">
        <f>IFERROR(__xludf.DUMMYFUNCTION("""COMPUTED_VALUE"""),53.0)</f>
        <v/>
      </c>
      <c r="G37" s="2">
        <f>IFERROR(__xludf.DUMMYFUNCTION("""COMPUTED_VALUE"""),60.0)</f>
        <v/>
      </c>
      <c r="H37" s="2">
        <f>IFERROR(__xludf.DUMMYFUNCTION("""COMPUTED_VALUE"""),70.0)</f>
        <v/>
      </c>
      <c r="I37" s="2">
        <f>IFERROR(__xludf.DUMMYFUNCTION("""COMPUTED_VALUE"""),80.5)</f>
        <v/>
      </c>
      <c r="J37" s="2">
        <f>IFERROR(__xludf.DUMMYFUNCTION("""COMPUTED_VALUE"""),40.0)</f>
        <v/>
      </c>
      <c r="K37" s="2">
        <f>IFERROR(__xludf.DUMMYFUNCTION("""COMPUTED_VALUE"""),1.0)</f>
        <v/>
      </c>
      <c r="L37" s="2">
        <f>IFERROR(__xludf.DUMMYFUNCTION("""COMPUTED_VALUE"""),"Лампа светодиодная LED-СВЕЧА-DECO")</f>
        <v/>
      </c>
      <c r="M37" s="2">
        <f>IFERROR(__xludf.DUMMYFUNCTION("""COMPUTED_VALUE"""),"Лампы")</f>
        <v/>
      </c>
    </row>
    <row r="38">
      <c r="A38" s="5">
        <f>IFERROR(__xludf.DUMMYFUNCTION("""COMPUTED_VALUE"""),"G101505205-10")</f>
        <v/>
      </c>
      <c r="B38" s="5">
        <f>IFERROR(__xludf.DUMMYFUNCTION("""COMPUTED_VALUE"""),"10 шт. Лампа MR16 GU5.3 5W 4100K 1/10/100 (Комплект 10 шт)")</f>
        <v/>
      </c>
      <c r="C38" s="2">
        <f>IFERROR(__xludf.DUMMYFUNCTION("""COMPUTED_VALUE"""),0.04)</f>
        <v/>
      </c>
      <c r="D38" s="2">
        <f>IFERROR(__xludf.DUMMYFUNCTION("""COMPUTED_VALUE"""),0.0)</f>
        <v/>
      </c>
      <c r="E38" s="2">
        <f>IFERROR(__xludf.DUMMYFUNCTION("""COMPUTED_VALUE"""),664.1)</f>
        <v/>
      </c>
      <c r="F38" s="2">
        <f>IFERROR(__xludf.DUMMYFUNCTION("""COMPUTED_VALUE"""),729.0)</f>
        <v/>
      </c>
      <c r="G38" s="2">
        <f>IFERROR(__xludf.DUMMYFUNCTION("""COMPUTED_VALUE"""),850.0)</f>
        <v/>
      </c>
      <c r="H38" s="2">
        <f>IFERROR(__xludf.DUMMYFUNCTION("""COMPUTED_VALUE"""),957.0)</f>
        <v/>
      </c>
      <c r="I38" s="2">
        <f>IFERROR(__xludf.DUMMYFUNCTION("""COMPUTED_VALUE"""),1063.0)</f>
        <v/>
      </c>
      <c r="J38" s="2">
        <f>IFERROR(__xludf.DUMMYFUNCTION("""COMPUTED_VALUE"""),532.0)</f>
        <v/>
      </c>
      <c r="K38" s="2">
        <f>IFERROR(__xludf.DUMMYFUNCTION("""COMPUTED_VALUE"""),7.0)</f>
        <v/>
      </c>
      <c r="L38" s="2">
        <f>IFERROR(__xludf.DUMMYFUNCTION("""COMPUTED_VALUE"""),"Лампы производство, упаковка")</f>
        <v/>
      </c>
      <c r="M38" s="2">
        <f>IFERROR(__xludf.DUMMYFUNCTION("""COMPUTED_VALUE"""),"Лампы")</f>
        <v/>
      </c>
    </row>
    <row r="39">
      <c r="A39" s="5">
        <f>IFERROR(__xludf.DUMMYFUNCTION("""COMPUTED_VALUE"""),"4690612035765")</f>
        <v/>
      </c>
      <c r="B39" s="5">
        <f>IFERROR(__xludf.DUMMYFUNCTION("""COMPUTED_VALUE"""),"GEO LOTOS 120Вт 230В 3000-6500К 8400Лм 500x60мм с пультом ДУ IN HOME")</f>
        <v/>
      </c>
      <c r="C39" s="2">
        <f>IFERROR(__xludf.DUMMYFUNCTION("""COMPUTED_VALUE"""),3.4)</f>
        <v/>
      </c>
      <c r="D39" s="2">
        <f>IFERROR(__xludf.DUMMYFUNCTION("""COMPUTED_VALUE"""),0.028)</f>
        <v/>
      </c>
      <c r="E39" s="2">
        <f>IFERROR(__xludf.DUMMYFUNCTION("""COMPUTED_VALUE"""),2092.0)</f>
        <v/>
      </c>
      <c r="F39" s="2">
        <f>IFERROR(__xludf.DUMMYFUNCTION("""COMPUTED_VALUE"""),3517.0)</f>
        <v/>
      </c>
      <c r="G39" s="2">
        <f>IFERROR(__xludf.DUMMYFUNCTION("""COMPUTED_VALUE"""),3956.0)</f>
        <v/>
      </c>
      <c r="H39" s="2">
        <f>IFERROR(__xludf.DUMMYFUNCTION("""COMPUTED_VALUE"""),4589.0)</f>
        <v/>
      </c>
      <c r="I39" s="2">
        <f>IFERROR(__xludf.DUMMYFUNCTION("""COMPUTED_VALUE"""),5275.0)</f>
        <v/>
      </c>
      <c r="J39" s="2">
        <f>IFERROR(__xludf.DUMMYFUNCTION("""COMPUTED_VALUE"""),5275.0)</f>
        <v/>
      </c>
      <c r="K39" s="2">
        <f>IFERROR(__xludf.DUMMYFUNCTION("""COMPUTED_VALUE"""),1.0)</f>
        <v/>
      </c>
      <c r="L39" s="2">
        <f>IFERROR(__xludf.DUMMYFUNCTION("""COMPUTED_VALUE"""),"Светильники светодиодные GEO")</f>
        <v/>
      </c>
      <c r="M39" s="2">
        <f>IFERROR(__xludf.DUMMYFUNCTION("""COMPUTED_VALUE"""),"Накладные, Декоративные, LED Светильники")</f>
        <v/>
      </c>
    </row>
    <row r="40">
      <c r="A40" s="5">
        <f>IFERROR(__xludf.DUMMYFUNCTION("""COMPUTED_VALUE"""),"4690612038179-2")</f>
        <v/>
      </c>
      <c r="B40" s="5">
        <f>IFERROR(__xludf.DUMMYFUNCTION("""COMPUTED_VALUE"""),"ДВО-02 3665-ПРИЗМА 36Вт 230В 6500К 4020Лм 110Лм/Вт 595х595х19 NEOX (2 шт в упак.)")</f>
        <v/>
      </c>
      <c r="C40" s="2">
        <f>IFERROR(__xludf.DUMMYFUNCTION("""COMPUTED_VALUE"""),1.29)</f>
        <v/>
      </c>
      <c r="D40" s="2">
        <f>IFERROR(__xludf.DUMMYFUNCTION("""COMPUTED_VALUE"""),0.0)</f>
        <v/>
      </c>
      <c r="E40" s="2">
        <f>IFERROR(__xludf.DUMMYFUNCTION("""COMPUTED_VALUE"""),946.86)</f>
        <v/>
      </c>
      <c r="F40" s="2">
        <f>IFERROR(__xludf.DUMMYFUNCTION("""COMPUTED_VALUE"""),1039.0)</f>
        <v/>
      </c>
      <c r="G40" s="2">
        <f>IFERROR(__xludf.DUMMYFUNCTION("""COMPUTED_VALUE"""),1212.0)</f>
        <v/>
      </c>
      <c r="H40" s="2">
        <f>IFERROR(__xludf.DUMMYFUNCTION("""COMPUTED_VALUE"""),1364.0)</f>
        <v/>
      </c>
      <c r="I40" s="2">
        <f>IFERROR(__xludf.DUMMYFUNCTION("""COMPUTED_VALUE"""),1515.0)</f>
        <v/>
      </c>
      <c r="J40" s="2">
        <f>IFERROR(__xludf.DUMMYFUNCTION("""COMPUTED_VALUE"""),758.0)</f>
        <v/>
      </c>
      <c r="K40" s="2">
        <f>IFERROR(__xludf.DUMMYFUNCTION("""COMPUTED_VALUE"""),6.0)</f>
        <v/>
      </c>
      <c r="L40" s="2">
        <f>IFERROR(__xludf.DUMMYFUNCTION("""COMPUTED_VALUE"""),"NEOX Светильники LED ДВО - Призма производство, упаковка")</f>
        <v/>
      </c>
      <c r="M40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41">
      <c r="A41" s="5">
        <f>IFERROR(__xludf.DUMMYFUNCTION("""COMPUTED_VALUE"""),"4690612051970")</f>
        <v/>
      </c>
      <c r="B41" s="5">
        <f>IFERROR(__xludf.DUMMYFUNCTION("""COMPUTED_VALUE"""),"ДБУ TWIN-1030BL 10Вт 3000К IP54 черный IN HOME")</f>
        <v/>
      </c>
      <c r="C41" s="2">
        <f>IFERROR(__xludf.DUMMYFUNCTION("""COMPUTED_VALUE"""),0.343)</f>
        <v/>
      </c>
      <c r="D41" s="2">
        <f>IFERROR(__xludf.DUMMYFUNCTION("""COMPUTED_VALUE"""),0.00132)</f>
        <v/>
      </c>
      <c r="E41" s="2">
        <f>IFERROR(__xludf.DUMMYFUNCTION("""COMPUTED_VALUE"""),478.2)</f>
        <v/>
      </c>
      <c r="F41" s="2">
        <f>IFERROR(__xludf.DUMMYFUNCTION("""COMPUTED_VALUE"""),527.0)</f>
        <v/>
      </c>
      <c r="G41" s="2">
        <f>IFERROR(__xludf.DUMMYFUNCTION("""COMPUTED_VALUE"""),593.0)</f>
        <v/>
      </c>
      <c r="H41" s="2">
        <f>IFERROR(__xludf.DUMMYFUNCTION("""COMPUTED_VALUE"""),688.0)</f>
        <v/>
      </c>
      <c r="I41" s="2">
        <f>IFERROR(__xludf.DUMMYFUNCTION("""COMPUTED_VALUE"""),791.0)</f>
        <v/>
      </c>
      <c r="J41" s="2">
        <f>IFERROR(__xludf.DUMMYFUNCTION("""COMPUTED_VALUE"""),396.0)</f>
        <v/>
      </c>
      <c r="K41" s="2">
        <f>IFERROR(__xludf.DUMMYFUNCTION("""COMPUTED_VALUE"""),3.0)</f>
        <v/>
      </c>
      <c r="L41" s="2">
        <f>IFERROR(__xludf.DUMMYFUNCTION("""COMPUTED_VALUE"""),"Светильники светодиодные уличные ДБУ")</f>
        <v/>
      </c>
      <c r="M41" s="2">
        <f>IFERROR(__xludf.DUMMYFUNCTION("""COMPUTED_VALUE"""),"Садово-парковые, ландшафтные, LED Светильники")</f>
        <v/>
      </c>
    </row>
    <row r="42">
      <c r="A42" s="5">
        <f>IFERROR(__xludf.DUMMYFUNCTION("""COMPUTED_VALUE"""),"4260652193512")</f>
        <v/>
      </c>
      <c r="B42" s="5">
        <f>IFERROR(__xludf.DUMMYFUNCTION("""COMPUTED_VALUE"""),"LCL04-18W-R11-4K-SOA")</f>
        <v/>
      </c>
      <c r="C42" s="2">
        <f>IFERROR(__xludf.DUMMYFUNCTION("""COMPUTED_VALUE"""),0.149)</f>
        <v/>
      </c>
      <c r="D42" s="2">
        <f>IFERROR(__xludf.DUMMYFUNCTION("""COMPUTED_VALUE"""),0.043)</f>
        <v/>
      </c>
      <c r="E42" s="2">
        <f>IFERROR(__xludf.DUMMYFUNCTION("""COMPUTED_VALUE"""),402.82)</f>
        <v/>
      </c>
      <c r="F42" s="2">
        <f>IFERROR(__xludf.DUMMYFUNCTION("""COMPUTED_VALUE"""),417.0)</f>
        <v/>
      </c>
      <c r="G42" s="2">
        <f>IFERROR(__xludf.DUMMYFUNCTION("""COMPUTED_VALUE"""),431.0)</f>
        <v/>
      </c>
      <c r="H42" s="2">
        <f>IFERROR(__xludf.DUMMYFUNCTION("""COMPUTED_VALUE"""),565.0)</f>
        <v/>
      </c>
      <c r="I42" s="2">
        <f>IFERROR(__xludf.DUMMYFUNCTION("""COMPUTED_VALUE"""),707.0)</f>
        <v/>
      </c>
      <c r="J42" s="2">
        <f>IFERROR(__xludf.DUMMYFUNCTION("""COMPUTED_VALUE"""),354.0)</f>
        <v/>
      </c>
      <c r="K42" s="2">
        <f>IFERROR(__xludf.DUMMYFUNCTION("""COMPUTED_VALUE"""),43.0)</f>
        <v/>
      </c>
      <c r="L42" s="2">
        <f>IFERROR(__xludf.DUMMYFUNCTION("""COMPUTED_VALUE"""),"Wolta ЖКХ")</f>
        <v/>
      </c>
      <c r="M42" s="2">
        <f>IFERROR(__xludf.DUMMYFUNCTION("""COMPUTED_VALUE"""),"Для ЖКХ, дома, дачи, LED Светильники")</f>
        <v/>
      </c>
    </row>
    <row r="43">
      <c r="A43" s="5">
        <f>IFERROR(__xludf.DUMMYFUNCTION("""COMPUTED_VALUE"""),"4690612020747-10")</f>
        <v/>
      </c>
      <c r="B43" s="5">
        <f>IFERROR(__xludf.DUMMYFUNCTION("""COMPUTED_VALUE"""),"10 шт. Лампа LED-GX53-VC 8Вт 230В 6500К 760Лм IN HOME (Комплект 10 шт)")</f>
        <v/>
      </c>
      <c r="C43" s="2">
        <f>IFERROR(__xludf.DUMMYFUNCTION("""COMPUTED_VALUE"""),0.04)</f>
        <v/>
      </c>
      <c r="D43" s="2">
        <f>IFERROR(__xludf.DUMMYFUNCTION("""COMPUTED_VALUE"""),0.0021)</f>
        <v/>
      </c>
      <c r="E43" s="2">
        <f>IFERROR(__xludf.DUMMYFUNCTION("""COMPUTED_VALUE"""),390.0)</f>
        <v/>
      </c>
      <c r="F43" s="2">
        <f>IFERROR(__xludf.DUMMYFUNCTION("""COMPUTED_VALUE"""),428.0)</f>
        <v/>
      </c>
      <c r="G43" s="2">
        <f>IFERROR(__xludf.DUMMYFUNCTION("""COMPUTED_VALUE"""),499.0)</f>
        <v/>
      </c>
      <c r="H43" s="2">
        <f>IFERROR(__xludf.DUMMYFUNCTION("""COMPUTED_VALUE"""),562.0)</f>
        <v/>
      </c>
      <c r="I43" s="2">
        <f>IFERROR(__xludf.DUMMYFUNCTION("""COMPUTED_VALUE"""),624.0)</f>
        <v/>
      </c>
      <c r="J43" s="2">
        <f>IFERROR(__xludf.DUMMYFUNCTION("""COMPUTED_VALUE"""),312.0)</f>
        <v/>
      </c>
      <c r="K43" s="2">
        <f>IFERROR(__xludf.DUMMYFUNCTION("""COMPUTED_VALUE"""),10.0)</f>
        <v/>
      </c>
      <c r="L43" s="2">
        <f>IFERROR(__xludf.DUMMYFUNCTION("""COMPUTED_VALUE"""),"Лампы производство, упаковка")</f>
        <v/>
      </c>
      <c r="M43" s="2">
        <f>IFERROR(__xludf.DUMMYFUNCTION("""COMPUTED_VALUE"""),"Лампы")</f>
        <v/>
      </c>
    </row>
    <row r="44">
      <c r="A44" s="5">
        <f>IFERROR(__xludf.DUMMYFUNCTION("""COMPUTED_VALUE"""),"4690612024691")</f>
        <v/>
      </c>
      <c r="B44" s="5">
        <f>IFERROR(__xludf.DUMMYFUNCTION("""COMPUTED_VALUE"""),"LED-HP-PRO 40Вт 230В Е27 с адаптером E40 4000К 3600Лм ASD")</f>
        <v/>
      </c>
      <c r="C44" s="2">
        <f>IFERROR(__xludf.DUMMYFUNCTION("""COMPUTED_VALUE"""),0.31)</f>
        <v/>
      </c>
      <c r="D44" s="2">
        <f>IFERROR(__xludf.DUMMYFUNCTION("""COMPUTED_VALUE"""),0.00395)</f>
        <v/>
      </c>
      <c r="E44" s="2">
        <f>IFERROR(__xludf.DUMMYFUNCTION("""COMPUTED_VALUE"""),174.2)</f>
        <v/>
      </c>
      <c r="F44" s="2">
        <f>IFERROR(__xludf.DUMMYFUNCTION("""COMPUTED_VALUE"""),173.0)</f>
        <v/>
      </c>
      <c r="G44" s="2">
        <f>IFERROR(__xludf.DUMMYFUNCTION("""COMPUTED_VALUE"""),195.0)</f>
        <v/>
      </c>
      <c r="H44" s="2">
        <f>IFERROR(__xludf.DUMMYFUNCTION("""COMPUTED_VALUE"""),226.0)</f>
        <v/>
      </c>
      <c r="I44" s="2">
        <f>IFERROR(__xludf.DUMMYFUNCTION("""COMPUTED_VALUE"""),260.5)</f>
        <v/>
      </c>
      <c r="J44" s="2">
        <f>IFERROR(__xludf.DUMMYFUNCTION("""COMPUTED_VALUE"""),130.0)</f>
        <v/>
      </c>
      <c r="K44" s="2">
        <f>IFERROR(__xludf.DUMMYFUNCTION("""COMPUTED_VALUE"""),1.0)</f>
        <v/>
      </c>
      <c r="L44" s="2">
        <f>IFERROR(__xludf.DUMMYFUNCTION("""COMPUTED_VALUE"""),"Лампа светодиодная HP PRO")</f>
        <v/>
      </c>
      <c r="M44" s="2">
        <f>IFERROR(__xludf.DUMMYFUNCTION("""COMPUTED_VALUE"""),"Лампы")</f>
        <v/>
      </c>
    </row>
    <row r="45">
      <c r="A45" s="5">
        <f>IFERROR(__xludf.DUMMYFUNCTION("""COMPUTED_VALUE"""),"4690612020747")</f>
        <v/>
      </c>
      <c r="B45" s="5">
        <f>IFERROR(__xludf.DUMMYFUNCTION("""COMPUTED_VALUE"""),"LED-GX53-VC 8Вт 230В 6500К 760Лм IN HOME")</f>
        <v/>
      </c>
      <c r="C45" s="2">
        <f>IFERROR(__xludf.DUMMYFUNCTION("""COMPUTED_VALUE"""),0.035)</f>
        <v/>
      </c>
      <c r="D45" s="2">
        <f>IFERROR(__xludf.DUMMYFUNCTION("""COMPUTED_VALUE"""),2.1E-4)</f>
        <v/>
      </c>
      <c r="E45" s="2">
        <f>IFERROR(__xludf.DUMMYFUNCTION("""COMPUTED_VALUE"""),39.0)</f>
        <v/>
      </c>
      <c r="F45" s="2">
        <f>IFERROR(__xludf.DUMMYFUNCTION("""COMPUTED_VALUE"""),43.0)</f>
        <v/>
      </c>
      <c r="G45" s="2">
        <f>IFERROR(__xludf.DUMMYFUNCTION("""COMPUTED_VALUE"""),49.0)</f>
        <v/>
      </c>
      <c r="H45" s="2">
        <f>IFERROR(__xludf.DUMMYFUNCTION("""COMPUTED_VALUE"""),57.0)</f>
        <v/>
      </c>
      <c r="I45" s="2">
        <f>IFERROR(__xludf.DUMMYFUNCTION("""COMPUTED_VALUE"""),65.6)</f>
        <v/>
      </c>
      <c r="J45" s="2">
        <f>IFERROR(__xludf.DUMMYFUNCTION("""COMPUTED_VALUE"""),33.0)</f>
        <v/>
      </c>
      <c r="K45" s="2">
        <f>IFERROR(__xludf.DUMMYFUNCTION("""COMPUTED_VALUE"""),3.0)</f>
        <v/>
      </c>
      <c r="L45" s="2">
        <f>IFERROR(__xludf.DUMMYFUNCTION("""COMPUTED_VALUE"""),"Лампа светодиодная LED-GX53-standard")</f>
        <v/>
      </c>
      <c r="M45" s="2">
        <f>IFERROR(__xludf.DUMMYFUNCTION("""COMPUTED_VALUE"""),"Лампы")</f>
        <v/>
      </c>
    </row>
    <row r="46">
      <c r="A46" s="5">
        <f>IFERROR(__xludf.DUMMYFUNCTION("""COMPUTED_VALUE"""),"GL82311")</f>
        <v/>
      </c>
      <c r="B46" s="5">
        <f>IFERROR(__xludf.DUMMYFUNCTION("""COMPUTED_VALUE"""),"GLERIO Line 30 Вт 4000K 91P-30D-4N-P")</f>
        <v/>
      </c>
      <c r="C46" s="2">
        <f>IFERROR(__xludf.DUMMYFUNCTION("""COMPUTED_VALUE"""),0.5)</f>
        <v/>
      </c>
      <c r="D46" s="2">
        <f>IFERROR(__xludf.DUMMYFUNCTION("""COMPUTED_VALUE"""),0.00396)</f>
        <v/>
      </c>
      <c r="E46" s="2">
        <f>IFERROR(__xludf.DUMMYFUNCTION("""COMPUTED_VALUE"""),1966.5)</f>
        <v/>
      </c>
      <c r="F46" s="2">
        <f>IFERROR(__xludf.DUMMYFUNCTION("""COMPUTED_VALUE"""),2310.0)</f>
        <v/>
      </c>
      <c r="G46" s="2">
        <f>IFERROR(__xludf.DUMMYFUNCTION("""COMPUTED_VALUE"""),2908.0)</f>
        <v/>
      </c>
      <c r="H46" s="2">
        <f>IFERROR(__xludf.DUMMYFUNCTION("""COMPUTED_VALUE"""),3266.0)</f>
        <v/>
      </c>
      <c r="I46" s="2">
        <f>IFERROR(__xludf.DUMMYFUNCTION("""COMPUTED_VALUE"""),3624.0)</f>
        <v/>
      </c>
      <c r="J46" s="2">
        <f>IFERROR(__xludf.DUMMYFUNCTION("""COMPUTED_VALUE"""),3624.0)</f>
        <v/>
      </c>
      <c r="K46" s="2">
        <f>IFERROR(__xludf.DUMMYFUNCTION("""COMPUTED_VALUE"""),0.0)</f>
        <v/>
      </c>
      <c r="L46" s="2">
        <f>IFERROR(__xludf.DUMMYFUNCTION("""COMPUTED_VALUE"""),"Line+ GLERIO (Айсберг)")</f>
        <v/>
      </c>
      <c r="M46" s="2">
        <f>IFERROR(__xludf.DUMMYFUNCTION("""COMPUTED_VALUE"""),"С равномерной засветкой, LED Светильники")</f>
        <v/>
      </c>
    </row>
    <row r="47">
      <c r="A47" s="5">
        <f>IFERROR(__xludf.DUMMYFUNCTION("""COMPUTED_VALUE"""),"4690612024028")</f>
        <v/>
      </c>
      <c r="B47" s="5">
        <f>IFERROR(__xludf.DUMMYFUNCTION("""COMPUTED_VALUE"""),"LED-A60-VC 8Вт 230В Е27 4000К 760Лм IN HOME")</f>
        <v/>
      </c>
      <c r="C47" s="2">
        <f>IFERROR(__xludf.DUMMYFUNCTION("""COMPUTED_VALUE"""),0.05500000000000001)</f>
        <v/>
      </c>
      <c r="D47" s="2">
        <f>IFERROR(__xludf.DUMMYFUNCTION("""COMPUTED_VALUE"""),4.0E-4)</f>
        <v/>
      </c>
      <c r="E47" s="2">
        <f>IFERROR(__xludf.DUMMYFUNCTION("""COMPUTED_VALUE"""),38.4)</f>
        <v/>
      </c>
      <c r="F47" s="2">
        <f>IFERROR(__xludf.DUMMYFUNCTION("""COMPUTED_VALUE"""),39.0)</f>
        <v/>
      </c>
      <c r="G47" s="2">
        <f>IFERROR(__xludf.DUMMYFUNCTION("""COMPUTED_VALUE"""),44.0)</f>
        <v/>
      </c>
      <c r="H47" s="2">
        <f>IFERROR(__xludf.DUMMYFUNCTION("""COMPUTED_VALUE"""),50.0)</f>
        <v/>
      </c>
      <c r="I47" s="2">
        <f>IFERROR(__xludf.DUMMYFUNCTION("""COMPUTED_VALUE"""),58.5)</f>
        <v/>
      </c>
      <c r="J47" s="2">
        <f>IFERROR(__xludf.DUMMYFUNCTION("""COMPUTED_VALUE"""),29.0)</f>
        <v/>
      </c>
      <c r="K47" s="2">
        <f>IFERROR(__xludf.DUMMYFUNCTION("""COMPUTED_VALUE"""),4.0)</f>
        <v/>
      </c>
      <c r="L47" s="2">
        <f>IFERROR(__xludf.DUMMYFUNCTION("""COMPUTED_VALUE"""),"Лампа светодиодная LED-A60-standard")</f>
        <v/>
      </c>
      <c r="M47" s="2">
        <f>IFERROR(__xludf.DUMMYFUNCTION("""COMPUTED_VALUE"""),"Лампы")</f>
        <v/>
      </c>
    </row>
    <row r="48">
      <c r="A48" s="5">
        <f>IFERROR(__xludf.DUMMYFUNCTION("""COMPUTED_VALUE"""),"4690612038179-1")</f>
        <v/>
      </c>
      <c r="B48" s="5">
        <f>IFERROR(__xludf.DUMMYFUNCTION("""COMPUTED_VALUE"""),"ДВО-02 3665-ПРИЗМА 36Вт 230В 6500К 4020Лм 110Лм/Вт 595х595х19 NEOX (в индивид. уп)")</f>
        <v/>
      </c>
      <c r="C48" s="2">
        <f>IFERROR(__xludf.DUMMYFUNCTION("""COMPUTED_VALUE"""),1.28)</f>
        <v/>
      </c>
      <c r="D48" s="2">
        <f>IFERROR(__xludf.DUMMYFUNCTION("""COMPUTED_VALUE"""),0.006730000000000001)</f>
        <v/>
      </c>
      <c r="E48" s="2">
        <f>IFERROR(__xludf.DUMMYFUNCTION("""COMPUTED_VALUE"""),537.82)</f>
        <v/>
      </c>
      <c r="F48" s="2">
        <f>IFERROR(__xludf.DUMMYFUNCTION("""COMPUTED_VALUE"""),590.0)</f>
        <v/>
      </c>
      <c r="G48" s="2">
        <f>IFERROR(__xludf.DUMMYFUNCTION("""COMPUTED_VALUE"""),689.0)</f>
        <v/>
      </c>
      <c r="H48" s="2">
        <f>IFERROR(__xludf.DUMMYFUNCTION("""COMPUTED_VALUE"""),775.0)</f>
        <v/>
      </c>
      <c r="I48" s="2">
        <f>IFERROR(__xludf.DUMMYFUNCTION("""COMPUTED_VALUE"""),861.0)</f>
        <v/>
      </c>
      <c r="J48" s="2">
        <f>IFERROR(__xludf.DUMMYFUNCTION("""COMPUTED_VALUE"""),431.0)</f>
        <v/>
      </c>
      <c r="K48" s="2">
        <f>IFERROR(__xludf.DUMMYFUNCTION("""COMPUTED_VALUE"""),1.0)</f>
        <v/>
      </c>
      <c r="L48" s="2">
        <f>IFERROR(__xludf.DUMMYFUNCTION("""COMPUTED_VALUE"""),"NEOX Светильники LED ДВО - Призма производство, упаковка")</f>
        <v/>
      </c>
      <c r="M48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49">
      <c r="A49" s="5">
        <f>IFERROR(__xludf.DUMMYFUNCTION("""COMPUTED_VALUE"""),"4690612020327")</f>
        <v/>
      </c>
      <c r="B49" s="5">
        <f>IFERROR(__xludf.DUMMYFUNCTION("""COMPUTED_VALUE"""),"LED-JCDR-VC 8Вт 230В GU5.3 3000К 720Лм IN HOME")</f>
        <v/>
      </c>
      <c r="C49" s="2">
        <f>IFERROR(__xludf.DUMMYFUNCTION("""COMPUTED_VALUE"""),0.03)</f>
        <v/>
      </c>
      <c r="D49" s="2">
        <f>IFERROR(__xludf.DUMMYFUNCTION("""COMPUTED_VALUE"""),2.1E-4)</f>
        <v/>
      </c>
      <c r="E49" s="2">
        <f>IFERROR(__xludf.DUMMYFUNCTION("""COMPUTED_VALUE"""),33.6)</f>
        <v/>
      </c>
      <c r="F49" s="2">
        <f>IFERROR(__xludf.DUMMYFUNCTION("""COMPUTED_VALUE"""),45.0)</f>
        <v/>
      </c>
      <c r="G49" s="2">
        <f>IFERROR(__xludf.DUMMYFUNCTION("""COMPUTED_VALUE"""),50.0)</f>
        <v/>
      </c>
      <c r="H49" s="2">
        <f>IFERROR(__xludf.DUMMYFUNCTION("""COMPUTED_VALUE"""),58.0)</f>
        <v/>
      </c>
      <c r="I49" s="2">
        <f>IFERROR(__xludf.DUMMYFUNCTION("""COMPUTED_VALUE"""),67.6)</f>
        <v/>
      </c>
      <c r="J49" s="2">
        <f>IFERROR(__xludf.DUMMYFUNCTION("""COMPUTED_VALUE"""),34.0)</f>
        <v/>
      </c>
      <c r="K49" s="2">
        <f>IFERROR(__xludf.DUMMYFUNCTION("""COMPUTED_VALUE"""),64.0)</f>
        <v/>
      </c>
      <c r="L49" s="2">
        <f>IFERROR(__xludf.DUMMYFUNCTION("""COMPUTED_VALUE"""),"Лампа светодиодная LED-JCDR-standard")</f>
        <v/>
      </c>
      <c r="M49" s="2">
        <f>IFERROR(__xludf.DUMMYFUNCTION("""COMPUTED_VALUE"""),"Лампы")</f>
        <v/>
      </c>
    </row>
    <row r="50">
      <c r="A50" s="5">
        <f>IFERROR(__xludf.DUMMYFUNCTION("""COMPUTED_VALUE"""),"XRUN073")</f>
        <v/>
      </c>
      <c r="B50" s="5">
        <f>IFERROR(__xludf.DUMMYFUNCTION("""COMPUTED_VALUE"""),"Панель светодиодная 36Вт 4000К")</f>
        <v/>
      </c>
      <c r="C50" s="2">
        <f>IFERROR(__xludf.DUMMYFUNCTION("""COMPUTED_VALUE"""),0.0)</f>
        <v/>
      </c>
      <c r="D50" s="2">
        <f>IFERROR(__xludf.DUMMYFUNCTION("""COMPUTED_VALUE"""),0.0)</f>
        <v/>
      </c>
      <c r="E50" s="2">
        <f>IFERROR(__xludf.DUMMYFUNCTION("""COMPUTED_VALUE"""),427.77)</f>
        <v/>
      </c>
      <c r="F50" s="2">
        <f>IFERROR(__xludf.DUMMYFUNCTION("""COMPUTED_VALUE"""),664.0)</f>
        <v/>
      </c>
      <c r="G50" s="2">
        <f>IFERROR(__xludf.DUMMYFUNCTION("""COMPUTED_VALUE"""),708.0)</f>
        <v/>
      </c>
      <c r="H50" s="2">
        <f>IFERROR(__xludf.DUMMYFUNCTION("""COMPUTED_VALUE"""),796.0)</f>
        <v/>
      </c>
      <c r="I50" s="2">
        <f>IFERROR(__xludf.DUMMYFUNCTION("""COMPUTED_VALUE"""),884.86)</f>
        <v/>
      </c>
      <c r="J50" s="2">
        <f>IFERROR(__xludf.DUMMYFUNCTION("""COMPUTED_VALUE"""),428.0)</f>
        <v/>
      </c>
      <c r="K50" s="2">
        <f>IFERROR(__xludf.DUMMYFUNCTION("""COMPUTED_VALUE"""),1.0)</f>
        <v/>
      </c>
      <c r="L50" s="2">
        <f>IFERROR(__xludf.DUMMYFUNCTION("""COMPUTED_VALUE"""),"XRUM(тендеры)")</f>
        <v/>
      </c>
      <c r="M50" s="2">
        <f>IFERROR(__xludf.DUMMYFUNCTION("""COMPUTED_VALUE"""),"LED Светильники")</f>
        <v/>
      </c>
    </row>
    <row r="51">
      <c r="A51" s="5">
        <f>IFERROR(__xludf.DUMMYFUNCTION("""COMPUTED_VALUE"""),"4690612012193")</f>
        <v/>
      </c>
      <c r="B51" s="5">
        <f>IFERROR(__xludf.DUMMYFUNCTION("""COMPUTED_VALUE"""),"GX53S-standard RW металл под лампу GX53 230В белый IN HOME")</f>
        <v/>
      </c>
      <c r="C51" s="2">
        <f>IFERROR(__xludf.DUMMYFUNCTION("""COMPUTED_VALUE"""),0.08700000000000001)</f>
        <v/>
      </c>
      <c r="D51" s="2">
        <f>IFERROR(__xludf.DUMMYFUNCTION("""COMPUTED_VALUE"""),3.2E-4)</f>
        <v/>
      </c>
      <c r="E51" s="2">
        <f>IFERROR(__xludf.DUMMYFUNCTION("""COMPUTED_VALUE"""),63.35)</f>
        <v/>
      </c>
      <c r="F51" s="2">
        <f>IFERROR(__xludf.DUMMYFUNCTION("""COMPUTED_VALUE"""),93.0)</f>
        <v/>
      </c>
      <c r="G51" s="2">
        <f>IFERROR(__xludf.DUMMYFUNCTION("""COMPUTED_VALUE"""),104.0)</f>
        <v/>
      </c>
      <c r="H51" s="2">
        <f>IFERROR(__xludf.DUMMYFUNCTION("""COMPUTED_VALUE"""),121.0)</f>
        <v/>
      </c>
      <c r="I51" s="2">
        <f>IFERROR(__xludf.DUMMYFUNCTION("""COMPUTED_VALUE"""),139.0)</f>
        <v/>
      </c>
      <c r="J51" s="2">
        <f>IFERROR(__xludf.DUMMYFUNCTION("""COMPUTED_VALUE"""),63.0)</f>
        <v/>
      </c>
      <c r="K51" s="2">
        <f>IFERROR(__xludf.DUMMYFUNCTION("""COMPUTED_VALUE"""),29.0)</f>
        <v/>
      </c>
      <c r="L51" s="2">
        <f>IFERROR(__xludf.DUMMYFUNCTION("""COMPUTED_VALUE"""),"Накладной по лампу GX53")</f>
        <v/>
      </c>
      <c r="M51" s="2">
        <f>IFERROR(__xludf.DUMMYFUNCTION("""COMPUTED_VALUE"""),"Светильники общего назначения (LED), Накладные, Ламповые светильники")</f>
        <v/>
      </c>
    </row>
    <row r="52">
      <c r="A52" s="5">
        <f>IFERROR(__xludf.DUMMYFUNCTION("""COMPUTED_VALUE"""),"GL8140")</f>
        <v/>
      </c>
      <c r="B52" s="5">
        <f>IFERROR(__xludf.DUMMYFUNCTION("""COMPUTED_VALUE"""),"GLERIO Office Special 24 Вт 4000К 82P-24D-4V-M")</f>
        <v/>
      </c>
      <c r="C52" s="2">
        <f>IFERROR(__xludf.DUMMYFUNCTION("""COMPUTED_VALUE"""),1.04)</f>
        <v/>
      </c>
      <c r="D52" s="2">
        <f>IFERROR(__xludf.DUMMYFUNCTION("""COMPUTED_VALUE"""),0.008190000000000001)</f>
        <v/>
      </c>
      <c r="E52" s="2">
        <f>IFERROR(__xludf.DUMMYFUNCTION("""COMPUTED_VALUE"""),1436.39)</f>
        <v/>
      </c>
      <c r="F52" s="2">
        <f>IFERROR(__xludf.DUMMYFUNCTION("""COMPUTED_VALUE"""),1700.0)</f>
        <v/>
      </c>
      <c r="G52" s="2">
        <f>IFERROR(__xludf.DUMMYFUNCTION("""COMPUTED_VALUE"""),2140.0)</f>
        <v/>
      </c>
      <c r="H52" s="2">
        <f>IFERROR(__xludf.DUMMYFUNCTION("""COMPUTED_VALUE"""),2404.0)</f>
        <v/>
      </c>
      <c r="I52" s="2">
        <f>IFERROR(__xludf.DUMMYFUNCTION("""COMPUTED_VALUE"""),2667.0)</f>
        <v/>
      </c>
      <c r="J52" s="2">
        <f>IFERROR(__xludf.DUMMYFUNCTION("""COMPUTED_VALUE"""),2667.0)</f>
        <v/>
      </c>
      <c r="K52" s="2">
        <f>IFERROR(__xludf.DUMMYFUNCTION("""COMPUTED_VALUE"""),21.0)</f>
        <v/>
      </c>
      <c r="L52" s="2">
        <f>IFERROR(__xludf.DUMMYFUNCTION("""COMPUTED_VALUE"""),"Office Special (Офис Премиум) до 10.2025")</f>
        <v/>
      </c>
      <c r="M52" s="2">
        <f>IFERROR(__xludf.DUMMYFUNCTION("""COMPUTED_VALUE"""),"Встраиваемые, Накладные, LED Светильники")</f>
        <v/>
      </c>
    </row>
    <row r="53">
      <c r="A53" s="5">
        <f>IFERROR(__xludf.DUMMYFUNCTION("""COMPUTED_VALUE"""),"64404")</f>
        <v/>
      </c>
      <c r="B53" s="5">
        <f>IFERROR(__xludf.DUMMYFUNCTION("""COMPUTED_VALUE"""),"ECO HALOLUX CERAM 205W 230V E27 (прозрач) l=105 d=32")</f>
        <v/>
      </c>
      <c r="C53" s="2">
        <f>IFERROR(__xludf.DUMMYFUNCTION("""COMPUTED_VALUE"""),0.0)</f>
        <v/>
      </c>
      <c r="D53" s="2">
        <f>IFERROR(__xludf.DUMMYFUNCTION("""COMPUTED_VALUE"""),0.0)</f>
        <v/>
      </c>
      <c r="E53" s="2">
        <f>IFERROR(__xludf.DUMMYFUNCTION("""COMPUTED_VALUE"""),260.98)</f>
        <v/>
      </c>
      <c r="F53" s="2">
        <f>IFERROR(__xludf.DUMMYFUNCTION("""COMPUTED_VALUE"""),1.0)</f>
        <v/>
      </c>
      <c r="G53" s="2">
        <f>IFERROR(__xludf.DUMMYFUNCTION("""COMPUTED_VALUE"""),1.0)</f>
        <v/>
      </c>
      <c r="H53" s="2">
        <f>IFERROR(__xludf.DUMMYFUNCTION("""COMPUTED_VALUE"""),1.0)</f>
        <v/>
      </c>
      <c r="I53" s="2">
        <f>IFERROR(__xludf.DUMMYFUNCTION("""COMPUTED_VALUE"""),1.5)</f>
        <v/>
      </c>
      <c r="J53" s="2">
        <f>IFERROR(__xludf.DUMMYFUNCTION("""COMPUTED_VALUE"""),1.5)</f>
        <v/>
      </c>
      <c r="K53" s="2">
        <f>IFERROR(__xludf.DUMMYFUNCTION("""COMPUTED_VALUE"""),11.0)</f>
        <v/>
      </c>
      <c r="L53" s="2">
        <f>IFERROR(__xludf.DUMMYFUNCTION("""COMPUTED_VALUE"""),"OSRAM галогенные")</f>
        <v/>
      </c>
      <c r="M53" s="2">
        <f>IFERROR(__xludf.DUMMYFUNCTION("""COMPUTED_VALUE"""),"Лампы")</f>
        <v/>
      </c>
    </row>
    <row r="54">
      <c r="A54" s="5">
        <f>IFERROR(__xludf.DUMMYFUNCTION("""COMPUTED_VALUE"""),"4690612020815-10")</f>
        <v/>
      </c>
      <c r="B54" s="5">
        <f>IFERROR(__xludf.DUMMYFUNCTION("""COMPUTED_VALUE"""),"10 шт. Лампа LED-GX53-VC 15Вт 230В 3000К 1430Лм IN HOME (Комплект 10 шт)")</f>
        <v/>
      </c>
      <c r="C54" s="2">
        <f>IFERROR(__xludf.DUMMYFUNCTION("""COMPUTED_VALUE"""),0.05)</f>
        <v/>
      </c>
      <c r="D54" s="2">
        <f>IFERROR(__xludf.DUMMYFUNCTION("""COMPUTED_VALUE"""),0.0021)</f>
        <v/>
      </c>
      <c r="E54" s="2">
        <f>IFERROR(__xludf.DUMMYFUNCTION("""COMPUTED_VALUE"""),534.0)</f>
        <v/>
      </c>
      <c r="F54" s="2">
        <f>IFERROR(__xludf.DUMMYFUNCTION("""COMPUTED_VALUE"""),586.0)</f>
        <v/>
      </c>
      <c r="G54" s="2">
        <f>IFERROR(__xludf.DUMMYFUNCTION("""COMPUTED_VALUE"""),683.0)</f>
        <v/>
      </c>
      <c r="H54" s="2">
        <f>IFERROR(__xludf.DUMMYFUNCTION("""COMPUTED_VALUE"""),769.0)</f>
        <v/>
      </c>
      <c r="I54" s="2">
        <f>IFERROR(__xludf.DUMMYFUNCTION("""COMPUTED_VALUE"""),854.0)</f>
        <v/>
      </c>
      <c r="J54" s="2">
        <f>IFERROR(__xludf.DUMMYFUNCTION("""COMPUTED_VALUE"""),427.0)</f>
        <v/>
      </c>
      <c r="K54" s="2">
        <f>IFERROR(__xludf.DUMMYFUNCTION("""COMPUTED_VALUE"""),7.0)</f>
        <v/>
      </c>
      <c r="L54" s="2">
        <f>IFERROR(__xludf.DUMMYFUNCTION("""COMPUTED_VALUE"""),"Лампы производство, упаковка")</f>
        <v/>
      </c>
      <c r="M54" s="2">
        <f>IFERROR(__xludf.DUMMYFUNCTION("""COMPUTED_VALUE"""),"Лампы")</f>
        <v/>
      </c>
    </row>
    <row r="55">
      <c r="A55" s="5">
        <f>IFERROR(__xludf.DUMMYFUNCTION("""COMPUTED_VALUE"""),"1176040-5000K")</f>
        <v/>
      </c>
      <c r="B55" s="5">
        <f>IFERROR(__xludf.DUMMYFUNCTION("""COMPUTED_VALUE"""),"76 Вт 01A-76D-5U-5000K")</f>
        <v/>
      </c>
      <c r="C55" s="2">
        <f>IFERROR(__xludf.DUMMYFUNCTION("""COMPUTED_VALUE"""),1.8)</f>
        <v/>
      </c>
      <c r="D55" s="2">
        <f>IFERROR(__xludf.DUMMYFUNCTION("""COMPUTED_VALUE"""),0.007940000000000001)</f>
        <v/>
      </c>
      <c r="E55" s="2">
        <f>IFERROR(__xludf.DUMMYFUNCTION("""COMPUTED_VALUE"""),3690.0)</f>
        <v/>
      </c>
      <c r="F55" s="2">
        <f>IFERROR(__xludf.DUMMYFUNCTION("""COMPUTED_VALUE"""),4061.0)</f>
        <v/>
      </c>
      <c r="G55" s="2">
        <f>IFERROR(__xludf.DUMMYFUNCTION("""COMPUTED_VALUE"""),5113.0)</f>
        <v/>
      </c>
      <c r="H55" s="2">
        <f>IFERROR(__xludf.DUMMYFUNCTION("""COMPUTED_VALUE"""),5742.0)</f>
        <v/>
      </c>
      <c r="I55" s="2">
        <f>IFERROR(__xludf.DUMMYFUNCTION("""COMPUTED_VALUE"""),6371.0)</f>
        <v/>
      </c>
      <c r="J55" s="2">
        <f>IFERROR(__xludf.DUMMYFUNCTION("""COMPUTED_VALUE"""),3186.0)</f>
        <v/>
      </c>
      <c r="K55" s="2">
        <f>IFERROR(__xludf.DUMMYFUNCTION("""COMPUTED_VALUE"""),1.0)</f>
        <v/>
      </c>
      <c r="L55" s="2">
        <f>IFERROR(__xludf.DUMMYFUNCTION("""COMPUTED_VALUE"""),"Архивные GLERIO")</f>
        <v/>
      </c>
      <c r="M55" s="2">
        <f>IFERROR(__xludf.DUMMYFUNCTION("""COMPUTED_VALUE"""),"Для обычных дорог, Модульные, LED Светильники")</f>
        <v/>
      </c>
    </row>
    <row r="56">
      <c r="A56" s="5">
        <f>IFERROR(__xludf.DUMMYFUNCTION("""COMPUTED_VALUE"""),"4690612033655")</f>
        <v/>
      </c>
      <c r="B56" s="5">
        <f>IFERROR(__xludf.DUMMYFUNCTION("""COMPUTED_VALUE"""),"DECO ДАЙМОНД 18Вт 230В 6500К 1620Лм 260х55мм IN HOME")</f>
        <v/>
      </c>
      <c r="C56" s="2">
        <f>IFERROR(__xludf.DUMMYFUNCTION("""COMPUTED_VALUE"""),0.31)</f>
        <v/>
      </c>
      <c r="D56" s="2">
        <f>IFERROR(__xludf.DUMMYFUNCTION("""COMPUTED_VALUE"""),0.00455)</f>
        <v/>
      </c>
      <c r="E56" s="2">
        <f>IFERROR(__xludf.DUMMYFUNCTION("""COMPUTED_VALUE"""),294.68)</f>
        <v/>
      </c>
      <c r="F56" s="2">
        <f>IFERROR(__xludf.DUMMYFUNCTION("""COMPUTED_VALUE"""),365.0)</f>
        <v/>
      </c>
      <c r="G56" s="2">
        <f>IFERROR(__xludf.DUMMYFUNCTION("""COMPUTED_VALUE"""),411.0)</f>
        <v/>
      </c>
      <c r="H56" s="2">
        <f>IFERROR(__xludf.DUMMYFUNCTION("""COMPUTED_VALUE"""),477.0)</f>
        <v/>
      </c>
      <c r="I56" s="2">
        <f>IFERROR(__xludf.DUMMYFUNCTION("""COMPUTED_VALUE"""),548.0)</f>
        <v/>
      </c>
      <c r="J56" s="2">
        <f>IFERROR(__xludf.DUMMYFUNCTION("""COMPUTED_VALUE"""),274.0)</f>
        <v/>
      </c>
      <c r="K56" s="2">
        <f>IFERROR(__xludf.DUMMYFUNCTION("""COMPUTED_VALUE"""),1.0)</f>
        <v/>
      </c>
      <c r="L56" s="2">
        <f>IFERROR(__xludf.DUMMYFUNCTION("""COMPUTED_VALUE"""),"Светильник светодиодный серии DECO")</f>
        <v/>
      </c>
      <c r="M56" s="2">
        <f>IFERROR(__xludf.DUMMYFUNCTION("""COMPUTED_VALUE"""),"Накладные, Декоративные, LED Светильники")</f>
        <v/>
      </c>
    </row>
    <row r="57">
      <c r="A57" s="5">
        <f>IFERROR(__xludf.DUMMYFUNCTION("""COMPUTED_VALUE"""),"4690612036748")</f>
        <v/>
      </c>
      <c r="B57" s="5">
        <f>IFERROR(__xludf.DUMMYFUNCTION("""COMPUTED_VALUE"""),"RLP-FL 24Вт 230В 6500К 1680Лм 170мм с рег. монтаж. 50-160мм белая IP20 IN HOME")</f>
        <v/>
      </c>
      <c r="C57" s="2">
        <f>IFERROR(__xludf.DUMMYFUNCTION("""COMPUTED_VALUE"""),0.145)</f>
        <v/>
      </c>
      <c r="D57" s="2">
        <f>IFERROR(__xludf.DUMMYFUNCTION("""COMPUTED_VALUE"""),0.00125)</f>
        <v/>
      </c>
      <c r="E57" s="2">
        <f>IFERROR(__xludf.DUMMYFUNCTION("""COMPUTED_VALUE"""),285.02)</f>
        <v/>
      </c>
      <c r="F57" s="2">
        <f>IFERROR(__xludf.DUMMYFUNCTION("""COMPUTED_VALUE"""),264.0)</f>
        <v/>
      </c>
      <c r="G57" s="2">
        <f>IFERROR(__xludf.DUMMYFUNCTION("""COMPUTED_VALUE"""),297.0)</f>
        <v/>
      </c>
      <c r="H57" s="2">
        <f>IFERROR(__xludf.DUMMYFUNCTION("""COMPUTED_VALUE"""),345.0)</f>
        <v/>
      </c>
      <c r="I57" s="2">
        <f>IFERROR(__xludf.DUMMYFUNCTION("""COMPUTED_VALUE"""),396.0)</f>
        <v/>
      </c>
      <c r="J57" s="2">
        <f>IFERROR(__xludf.DUMMYFUNCTION("""COMPUTED_VALUE"""),198.0)</f>
        <v/>
      </c>
      <c r="K57" s="2">
        <f>IFERROR(__xludf.DUMMYFUNCTION("""COMPUTED_VALUE"""),1.0)</f>
        <v/>
      </c>
      <c r="L57" s="2">
        <f>IFERROR(__xludf.DUMMYFUNCTION("""COMPUTED_VALUE"""),"Панели светодиодные круглые встраиваемые RLP")</f>
        <v/>
      </c>
      <c r="M57" s="2">
        <f>IFERROR(__xludf.DUMMYFUNCTION("""COMPUTED_VALUE"""),"Точечные круглые Downlight, LED Светильники")</f>
        <v/>
      </c>
    </row>
    <row r="58">
      <c r="A58" s="5">
        <f>IFERROR(__xludf.DUMMYFUNCTION("""COMPUTED_VALUE"""),"55083")</f>
        <v/>
      </c>
      <c r="B58" s="5">
        <f>IFERROR(__xludf.DUMMYFUNCTION("""COMPUTED_VALUE"""),"Бриллианты 25 теплых LED ламп, прозрачный провод, 5 м, 220 v /20")</f>
        <v/>
      </c>
      <c r="C58" s="2">
        <f>IFERROR(__xludf.DUMMYFUNCTION("""COMPUTED_VALUE"""),0.0)</f>
        <v/>
      </c>
      <c r="D58" s="2">
        <f>IFERROR(__xludf.DUMMYFUNCTION("""COMPUTED_VALUE"""),0.0)</f>
        <v/>
      </c>
      <c r="E58" s="2">
        <f>IFERROR(__xludf.DUMMYFUNCTION("""COMPUTED_VALUE"""),405.48)</f>
        <v/>
      </c>
      <c r="F58" s="2">
        <f>IFERROR(__xludf.DUMMYFUNCTION("""COMPUTED_VALUE"""),500.0)</f>
        <v/>
      </c>
      <c r="G58" s="2">
        <f>IFERROR(__xludf.DUMMYFUNCTION("""COMPUTED_VALUE"""),545.0)</f>
        <v/>
      </c>
      <c r="H58" s="2">
        <f>IFERROR(__xludf.DUMMYFUNCTION("""COMPUTED_VALUE"""),591.0)</f>
        <v/>
      </c>
      <c r="I58" s="2">
        <f>IFERROR(__xludf.DUMMYFUNCTION("""COMPUTED_VALUE"""),636.0)</f>
        <v/>
      </c>
      <c r="J58" s="2">
        <f>IFERROR(__xludf.DUMMYFUNCTION("""COMPUTED_VALUE"""),318.0)</f>
        <v/>
      </c>
      <c r="K58" s="2">
        <f>IFERROR(__xludf.DUMMYFUNCTION("""COMPUTED_VALUE"""),33.0)</f>
        <v/>
      </c>
      <c r="L58" s="2">
        <f>IFERROR(__xludf.DUMMYFUNCTION("""COMPUTED_VALUE"""),"Праздничная иллюминация")</f>
        <v/>
      </c>
      <c r="M58" s="2">
        <f>IFERROR(__xludf.DUMMYFUNCTION("""COMPUTED_VALUE"""),"Гирлянды светодиодные (LED), Прочие товары")</f>
        <v/>
      </c>
    </row>
    <row r="59">
      <c r="A59" s="5">
        <f>IFERROR(__xludf.DUMMYFUNCTION("""COMPUTED_VALUE"""),"4680005959013-10")</f>
        <v/>
      </c>
      <c r="B59" s="5">
        <f>IFERROR(__xludf.DUMMYFUNCTION("""COMPUTED_VALUE"""),"10 шт. LS50-P 20см Шнур питания (Упаковка 10 шт.)")</f>
        <v/>
      </c>
      <c r="C59" s="2">
        <f>IFERROR(__xludf.DUMMYFUNCTION("""COMPUTED_VALUE"""),0.0054)</f>
        <v/>
      </c>
      <c r="D59" s="2">
        <f>IFERROR(__xludf.DUMMYFUNCTION("""COMPUTED_VALUE"""),1.0E-5)</f>
        <v/>
      </c>
      <c r="E59" s="2">
        <f>IFERROR(__xludf.DUMMYFUNCTION("""COMPUTED_VALUE"""),131.7)</f>
        <v/>
      </c>
      <c r="F59" s="2">
        <f>IFERROR(__xludf.DUMMYFUNCTION("""COMPUTED_VALUE"""),15.0)</f>
        <v/>
      </c>
      <c r="G59" s="2">
        <f>IFERROR(__xludf.DUMMYFUNCTION("""COMPUTED_VALUE"""),17.0)</f>
        <v/>
      </c>
      <c r="H59" s="2">
        <f>IFERROR(__xludf.DUMMYFUNCTION("""COMPUTED_VALUE"""),19.0)</f>
        <v/>
      </c>
      <c r="I59" s="2">
        <f>IFERROR(__xludf.DUMMYFUNCTION("""COMPUTED_VALUE"""),22.0)</f>
        <v/>
      </c>
      <c r="J59" s="2">
        <f>IFERROR(__xludf.DUMMYFUNCTION("""COMPUTED_VALUE"""),11.0)</f>
        <v/>
      </c>
      <c r="K59" s="2">
        <f>IFERROR(__xludf.DUMMYFUNCTION("""COMPUTED_VALUE"""),74.0)</f>
        <v/>
      </c>
      <c r="L59" s="2">
        <f>IFERROR(__xludf.DUMMYFUNCTION("""COMPUTED_VALUE"""),"ASD электромонтажные изделия")</f>
        <v/>
      </c>
      <c r="M59" s="2">
        <f>IFERROR(__xludf.DUMMYFUNCTION("""COMPUTED_VALUE"""),"Прочие товары")</f>
        <v/>
      </c>
    </row>
    <row r="60">
      <c r="A60" s="5">
        <f>IFERROR(__xludf.DUMMYFUNCTION("""COMPUTED_VALUE"""),"4260693449494")</f>
        <v/>
      </c>
      <c r="B60" s="5">
        <f>IFERROR(__xludf.DUMMYFUNCTION("""COMPUTED_VALUE"""),"WML-MK5/01B")</f>
        <v/>
      </c>
      <c r="C60" s="2">
        <f>IFERROR(__xludf.DUMMYFUNCTION("""COMPUTED_VALUE"""),0.095)</f>
        <v/>
      </c>
      <c r="D60" s="2">
        <f>IFERROR(__xludf.DUMMYFUNCTION("""COMPUTED_VALUE"""),0.0)</f>
        <v/>
      </c>
      <c r="E60" s="2">
        <f>IFERROR(__xludf.DUMMYFUNCTION("""COMPUTED_VALUE"""),282.65)</f>
        <v/>
      </c>
      <c r="F60" s="2">
        <f>IFERROR(__xludf.DUMMYFUNCTION("""COMPUTED_VALUE"""),201.0)</f>
        <v/>
      </c>
      <c r="G60" s="2">
        <f>IFERROR(__xludf.DUMMYFUNCTION("""COMPUTED_VALUE"""),207.0)</f>
        <v/>
      </c>
      <c r="H60" s="2">
        <f>IFERROR(__xludf.DUMMYFUNCTION("""COMPUTED_VALUE"""),272.0)</f>
        <v/>
      </c>
      <c r="I60" s="2">
        <f>IFERROR(__xludf.DUMMYFUNCTION("""COMPUTED_VALUE"""),340.0)</f>
        <v/>
      </c>
      <c r="J60" s="2">
        <f>IFERROR(__xludf.DUMMYFUNCTION("""COMPUTED_VALUE"""),170.0)</f>
        <v/>
      </c>
      <c r="K60" s="2">
        <f>IFERROR(__xludf.DUMMYFUNCTION("""COMPUTED_VALUE"""),29.0)</f>
        <v/>
      </c>
      <c r="L60" s="2">
        <f>IFERROR(__xludf.DUMMYFUNCTION("""COMPUTED_VALUE"""),"Wolta трековые")</f>
        <v/>
      </c>
      <c r="M60" s="2">
        <f>IFERROR(__xludf.DUMMYFUNCTION("""COMPUTED_VALUE"""),"Трековые, LED Светильники")</f>
        <v/>
      </c>
    </row>
    <row r="61">
      <c r="A61" s="5">
        <f>IFERROR(__xludf.DUMMYFUNCTION("""COMPUTED_VALUE"""),"12-9926")</f>
        <v/>
      </c>
      <c r="B61" s="5">
        <f>IFERROR(__xludf.DUMMYFUNCTION("""COMPUTED_VALUE"""),"Rexant Жало для паяльника 100 Вт 12-9926")</f>
        <v/>
      </c>
      <c r="C61" s="2">
        <f>IFERROR(__xludf.DUMMYFUNCTION("""COMPUTED_VALUE"""),0.0)</f>
        <v/>
      </c>
      <c r="D61" s="2">
        <f>IFERROR(__xludf.DUMMYFUNCTION("""COMPUTED_VALUE"""),0.0)</f>
        <v/>
      </c>
      <c r="E61" s="2">
        <f>IFERROR(__xludf.DUMMYFUNCTION("""COMPUTED_VALUE"""),1.0)</f>
        <v/>
      </c>
      <c r="F61" s="2">
        <f>IFERROR(__xludf.DUMMYFUNCTION("""COMPUTED_VALUE"""),211.0)</f>
        <v/>
      </c>
      <c r="G61" s="2">
        <f>IFERROR(__xludf.DUMMYFUNCTION("""COMPUTED_VALUE"""),226.0)</f>
        <v/>
      </c>
      <c r="H61" s="2">
        <f>IFERROR(__xludf.DUMMYFUNCTION("""COMPUTED_VALUE"""),254.0)</f>
        <v/>
      </c>
      <c r="I61" s="2">
        <f>IFERROR(__xludf.DUMMYFUNCTION("""COMPUTED_VALUE"""),281.98)</f>
        <v/>
      </c>
      <c r="J61" s="2">
        <f>IFERROR(__xludf.DUMMYFUNCTION("""COMPUTED_VALUE"""),141.0)</f>
        <v/>
      </c>
      <c r="K61" s="2">
        <f>IFERROR(__xludf.DUMMYFUNCTION("""COMPUTED_VALUE"""),2.0)</f>
        <v/>
      </c>
      <c r="L61" s="2">
        <f>IFERROR(__xludf.DUMMYFUNCTION("""COMPUTED_VALUE"""),"Rexant")</f>
        <v/>
      </c>
      <c r="M61" s="2">
        <f>IFERROR(__xludf.DUMMYFUNCTION("""COMPUTED_VALUE"""),"Прочие товары")</f>
        <v/>
      </c>
    </row>
    <row r="62">
      <c r="A62" s="5">
        <f>IFERROR(__xludf.DUMMYFUNCTION("""COMPUTED_VALUE"""),"AR12524")</f>
        <v/>
      </c>
      <c r="B62" s="5">
        <f>IFERROR(__xludf.DUMMYFUNCTION("""COMPUTED_VALUE"""),"C LITE 100 (цена договорная)")</f>
        <v/>
      </c>
      <c r="C62" s="2">
        <f>IFERROR(__xludf.DUMMYFUNCTION("""COMPUTED_VALUE"""),0.0)</f>
        <v/>
      </c>
      <c r="D62" s="2">
        <f>IFERROR(__xludf.DUMMYFUNCTION("""COMPUTED_VALUE"""),0.0)</f>
        <v/>
      </c>
      <c r="E62" s="2">
        <f>IFERROR(__xludf.DUMMYFUNCTION("""COMPUTED_VALUE"""),4378.0)</f>
        <v/>
      </c>
      <c r="F62" s="2">
        <f>IFERROR(__xludf.DUMMYFUNCTION("""COMPUTED_VALUE"""),4838.0)</f>
        <v/>
      </c>
      <c r="G62" s="2">
        <f>IFERROR(__xludf.DUMMYFUNCTION("""COMPUTED_VALUE"""),5122.0)</f>
        <v/>
      </c>
      <c r="H62" s="2">
        <f>IFERROR(__xludf.DUMMYFUNCTION("""COMPUTED_VALUE"""),5692.0)</f>
        <v/>
      </c>
      <c r="I62" s="2">
        <f>IFERROR(__xludf.DUMMYFUNCTION("""COMPUTED_VALUE"""),7399.0)</f>
        <v/>
      </c>
      <c r="J62" s="2">
        <f>IFERROR(__xludf.DUMMYFUNCTION("""COMPUTED_VALUE"""),2189.0)</f>
        <v/>
      </c>
      <c r="K62" s="2">
        <f>IFERROR(__xludf.DUMMYFUNCTION("""COMPUTED_VALUE"""),1.0)</f>
        <v/>
      </c>
      <c r="L62" s="2">
        <f>IFERROR(__xludf.DUMMYFUNCTION("""COMPUTED_VALUE"""),"RSD C LITE")</f>
        <v/>
      </c>
      <c r="M62" s="2">
        <f>IFERROR(__xludf.DUMMYFUNCTION("""COMPUTED_VALUE"""),"Для обычных дорог, LED Светильники")</f>
        <v/>
      </c>
    </row>
    <row r="63">
      <c r="A63" s="5">
        <f>IFERROR(__xludf.DUMMYFUNCTION("""COMPUTED_VALUE"""),"G13629")</f>
        <v/>
      </c>
      <c r="B63" s="5">
        <f>IFERROR(__xludf.DUMMYFUNCTION("""COMPUTED_VALUE"""),"Лампа Gauss LED Elementary MR16 GU10 9W 660lm 4100К 1/10/100")</f>
        <v/>
      </c>
      <c r="C63" s="2">
        <f>IFERROR(__xludf.DUMMYFUNCTION("""COMPUTED_VALUE"""),0.0)</f>
        <v/>
      </c>
      <c r="D63" s="2">
        <f>IFERROR(__xludf.DUMMYFUNCTION("""COMPUTED_VALUE"""),0.0)</f>
        <v/>
      </c>
      <c r="E63" s="2">
        <f>IFERROR(__xludf.DUMMYFUNCTION("""COMPUTED_VALUE"""),122.02)</f>
        <v/>
      </c>
      <c r="F63" s="2">
        <f>IFERROR(__xludf.DUMMYFUNCTION("""COMPUTED_VALUE"""),143.0)</f>
        <v/>
      </c>
      <c r="G63" s="2">
        <f>IFERROR(__xludf.DUMMYFUNCTION("""COMPUTED_VALUE"""),158.0)</f>
        <v/>
      </c>
      <c r="H63" s="2">
        <f>IFERROR(__xludf.DUMMYFUNCTION("""COMPUTED_VALUE"""),186.0)</f>
        <v/>
      </c>
      <c r="I63" s="2">
        <f>IFERROR(__xludf.DUMMYFUNCTION("""COMPUTED_VALUE"""),234.0)</f>
        <v/>
      </c>
      <c r="J63" s="2">
        <f>IFERROR(__xludf.DUMMYFUNCTION("""COMPUTED_VALUE"""),117.0)</f>
        <v/>
      </c>
      <c r="K63" s="2">
        <f>IFERROR(__xludf.DUMMYFUNCTION("""COMPUTED_VALUE"""),17.0)</f>
        <v/>
      </c>
      <c r="L63" s="2">
        <f>IFERROR(__xludf.DUMMYFUNCTION("""COMPUTED_VALUE"""),"GAUSS лампы LED")</f>
        <v/>
      </c>
      <c r="M63" s="2">
        <f>IFERROR(__xludf.DUMMYFUNCTION("""COMPUTED_VALUE"""),"Лампы")</f>
        <v/>
      </c>
    </row>
    <row r="64">
      <c r="A64" s="5">
        <f>IFERROR(__xludf.DUMMYFUNCTION("""COMPUTED_VALUE"""),"4690612040189")</f>
        <v/>
      </c>
      <c r="B64" s="5">
        <f>IFERROR(__xludf.DUMMYFUNCTION("""COMPUTED_VALUE"""),"TR-07-TL 35Вт 6500К 3500Лм IP40 24 градуса черный серии TOP-LINE IN HOME")</f>
        <v/>
      </c>
      <c r="C64" s="2">
        <f>IFERROR(__xludf.DUMMYFUNCTION("""COMPUTED_VALUE"""),0.43)</f>
        <v/>
      </c>
      <c r="D64" s="2">
        <f>IFERROR(__xludf.DUMMYFUNCTION("""COMPUTED_VALUE"""),0.00133)</f>
        <v/>
      </c>
      <c r="E64" s="2">
        <f>IFERROR(__xludf.DUMMYFUNCTION("""COMPUTED_VALUE"""),740.24)</f>
        <v/>
      </c>
      <c r="F64" s="2">
        <f>IFERROR(__xludf.DUMMYFUNCTION("""COMPUTED_VALUE"""),823.0)</f>
        <v/>
      </c>
      <c r="G64" s="2">
        <f>IFERROR(__xludf.DUMMYFUNCTION("""COMPUTED_VALUE"""),926.0)</f>
        <v/>
      </c>
      <c r="H64" s="2">
        <f>IFERROR(__xludf.DUMMYFUNCTION("""COMPUTED_VALUE"""),1074.0)</f>
        <v/>
      </c>
      <c r="I64" s="2">
        <f>IFERROR(__xludf.DUMMYFUNCTION("""COMPUTED_VALUE"""),1234.0)</f>
        <v/>
      </c>
      <c r="J64" s="2">
        <f>IFERROR(__xludf.DUMMYFUNCTION("""COMPUTED_VALUE"""),617.0)</f>
        <v/>
      </c>
      <c r="K64" s="2">
        <f>IFERROR(__xludf.DUMMYFUNCTION("""COMPUTED_VALUE"""),13.0)</f>
        <v/>
      </c>
      <c r="L64" s="2">
        <f>IFERROR(__xludf.DUMMYFUNCTION("""COMPUTED_VALUE"""),"Светильники светодиодные трековые TR-01, 02, 03, 04, 05, 06, 07, 08")</f>
        <v/>
      </c>
      <c r="M64" s="2">
        <f>IFERROR(__xludf.DUMMYFUNCTION("""COMPUTED_VALUE"""),"Трековые, LED Светильники")</f>
        <v/>
      </c>
    </row>
    <row r="65">
      <c r="A65" s="5">
        <f>IFERROR(__xludf.DUMMYFUNCTION("""COMPUTED_VALUE"""),"01-4015")</f>
        <v/>
      </c>
      <c r="B65" s="5">
        <f>IFERROR(__xludf.DUMMYFUNCTION("""COMPUTED_VALUE"""),"Кабель КВК-П-1,5+2x0,75 мм (Cu/Cu) черный (бухта 200 м) REXANT")</f>
        <v/>
      </c>
      <c r="C65" s="2">
        <f>IFERROR(__xludf.DUMMYFUNCTION("""COMPUTED_VALUE"""),0.0)</f>
        <v/>
      </c>
      <c r="D65" s="2">
        <f>IFERROR(__xludf.DUMMYFUNCTION("""COMPUTED_VALUE"""),0.0)</f>
        <v/>
      </c>
      <c r="E65" s="2">
        <f>IFERROR(__xludf.DUMMYFUNCTION("""COMPUTED_VALUE"""),1.0)</f>
        <v/>
      </c>
      <c r="F65" s="2">
        <f>IFERROR(__xludf.DUMMYFUNCTION("""COMPUTED_VALUE"""),11135.0)</f>
        <v/>
      </c>
      <c r="G65" s="2">
        <f>IFERROR(__xludf.DUMMYFUNCTION("""COMPUTED_VALUE"""),11878.0)</f>
        <v/>
      </c>
      <c r="H65" s="2">
        <f>IFERROR(__xludf.DUMMYFUNCTION("""COMPUTED_VALUE"""),13362.0)</f>
        <v/>
      </c>
      <c r="I65" s="2">
        <f>IFERROR(__xludf.DUMMYFUNCTION("""COMPUTED_VALUE"""),14846.96)</f>
        <v/>
      </c>
      <c r="J65" s="2">
        <f>IFERROR(__xludf.DUMMYFUNCTION("""COMPUTED_VALUE"""),7423.0)</f>
        <v/>
      </c>
      <c r="K65" s="2">
        <f>IFERROR(__xludf.DUMMYFUNCTION("""COMPUTED_VALUE"""),1.0)</f>
        <v/>
      </c>
      <c r="L65" s="2">
        <f>IFERROR(__xludf.DUMMYFUNCTION("""COMPUTED_VALUE"""),"Rexant")</f>
        <v/>
      </c>
      <c r="M65" s="2">
        <f>IFERROR(__xludf.DUMMYFUNCTION("""COMPUTED_VALUE"""),"Прочие товары")</f>
        <v/>
      </c>
    </row>
    <row r="66">
      <c r="A66" s="5">
        <f>IFERROR(__xludf.DUMMYFUNCTION("""COMPUTED_VALUE"""),"4690612029337")</f>
        <v/>
      </c>
      <c r="B66" s="5">
        <f>IFERROR(__xludf.DUMMYFUNCTION("""COMPUTED_VALUE"""),"Шинопровод однофазный R-2B-TL 2м черный серии TOP-LINE IN HOME")</f>
        <v/>
      </c>
      <c r="C66" s="2">
        <f>IFERROR(__xludf.DUMMYFUNCTION("""COMPUTED_VALUE"""),0.43)</f>
        <v/>
      </c>
      <c r="D66" s="2">
        <f>IFERROR(__xludf.DUMMYFUNCTION("""COMPUTED_VALUE"""),0.0012)</f>
        <v/>
      </c>
      <c r="E66" s="2">
        <f>IFERROR(__xludf.DUMMYFUNCTION("""COMPUTED_VALUE"""),394.84)</f>
        <v/>
      </c>
      <c r="F66" s="2">
        <f>IFERROR(__xludf.DUMMYFUNCTION("""COMPUTED_VALUE"""),401.0)</f>
        <v/>
      </c>
      <c r="G66" s="2">
        <f>IFERROR(__xludf.DUMMYFUNCTION("""COMPUTED_VALUE"""),452.0)</f>
        <v/>
      </c>
      <c r="H66" s="2">
        <f>IFERROR(__xludf.DUMMYFUNCTION("""COMPUTED_VALUE"""),524.0)</f>
        <v/>
      </c>
      <c r="I66" s="2">
        <f>IFERROR(__xludf.DUMMYFUNCTION("""COMPUTED_VALUE"""),602.0)</f>
        <v/>
      </c>
      <c r="J66" s="2">
        <f>IFERROR(__xludf.DUMMYFUNCTION("""COMPUTED_VALUE"""),301.0)</f>
        <v/>
      </c>
      <c r="K66" s="2">
        <f>IFERROR(__xludf.DUMMYFUNCTION("""COMPUTED_VALUE"""),5.0)</f>
        <v/>
      </c>
      <c r="L66" s="2">
        <f>IFERROR(__xludf.DUMMYFUNCTION("""COMPUTED_VALUE"""),"Шинопровод и комплектующие")</f>
        <v/>
      </c>
      <c r="M66" s="2">
        <f>IFERROR(__xludf.DUMMYFUNCTION("""COMPUTED_VALUE"""),"Прочие товары")</f>
        <v/>
      </c>
    </row>
    <row r="67">
      <c r="A67" s="5">
        <f>IFERROR(__xludf.DUMMYFUNCTION("""COMPUTED_VALUE"""),"ves029")</f>
        <v/>
      </c>
      <c r="B67" s="5">
        <f>IFERROR(__xludf.DUMMYFUNCTION("""COMPUTED_VALUE"""),"Светильник светодиодный 80W SP3050")</f>
        <v/>
      </c>
      <c r="C67" s="2">
        <f>IFERROR(__xludf.DUMMYFUNCTION("""COMPUTED_VALUE"""),0.0)</f>
        <v/>
      </c>
      <c r="D67" s="2">
        <f>IFERROR(__xludf.DUMMYFUNCTION("""COMPUTED_VALUE"""),0.0)</f>
        <v/>
      </c>
      <c r="E67" s="2">
        <f>IFERROR(__xludf.DUMMYFUNCTION("""COMPUTED_VALUE"""),2958.32)</f>
        <v/>
      </c>
      <c r="F67" s="2">
        <f>IFERROR(__xludf.DUMMYFUNCTION("""COMPUTED_VALUE"""),2738.0)</f>
        <v/>
      </c>
      <c r="G67" s="2">
        <f>IFERROR(__xludf.DUMMYFUNCTION("""COMPUTED_VALUE"""),2920.0)</f>
        <v/>
      </c>
      <c r="H67" s="2">
        <f>IFERROR(__xludf.DUMMYFUNCTION("""COMPUTED_VALUE"""),3285.0)</f>
        <v/>
      </c>
      <c r="I67" s="2">
        <f>IFERROR(__xludf.DUMMYFUNCTION("""COMPUTED_VALUE"""),3650.0)</f>
        <v/>
      </c>
      <c r="J67" s="2">
        <f>IFERROR(__xludf.DUMMYFUNCTION("""COMPUTED_VALUE"""),1825.0)</f>
        <v/>
      </c>
      <c r="K67" s="2">
        <f>IFERROR(__xludf.DUMMYFUNCTION("""COMPUTED_VALUE"""),5.0)</f>
        <v/>
      </c>
      <c r="L67" s="2">
        <f>IFERROR(__xludf.DUMMYFUNCTION("""COMPUTED_VALUE"""),"ves")</f>
        <v/>
      </c>
      <c r="M67" s="2">
        <f>IFERROR(__xludf.DUMMYFUNCTION("""COMPUTED_VALUE"""),"LED Светильники")</f>
        <v/>
      </c>
    </row>
    <row r="68">
      <c r="A68" s="5">
        <f>IFERROR(__xludf.DUMMYFUNCTION("""COMPUTED_VALUE"""),"4630015264812")</f>
        <v/>
      </c>
      <c r="B68" s="5">
        <f>IFERROR(__xludf.DUMMYFUNCTION("""COMPUTED_VALUE"""),"CT108BR-DL50GU5.3")</f>
        <v/>
      </c>
      <c r="C68" s="2">
        <f>IFERROR(__xludf.DUMMYFUNCTION("""COMPUTED_VALUE"""),0.0)</f>
        <v/>
      </c>
      <c r="D68" s="2">
        <f>IFERROR(__xludf.DUMMYFUNCTION("""COMPUTED_VALUE"""),0.0)</f>
        <v/>
      </c>
      <c r="E68" s="2">
        <f>IFERROR(__xludf.DUMMYFUNCTION("""COMPUTED_VALUE"""),262.14)</f>
        <v/>
      </c>
      <c r="F68" s="2">
        <f>IFERROR(__xludf.DUMMYFUNCTION("""COMPUTED_VALUE"""),148.0)</f>
        <v/>
      </c>
      <c r="G68" s="2">
        <f>IFERROR(__xludf.DUMMYFUNCTION("""COMPUTED_VALUE"""),153.0)</f>
        <v/>
      </c>
      <c r="H68" s="2">
        <f>IFERROR(__xludf.DUMMYFUNCTION("""COMPUTED_VALUE"""),200.0)</f>
        <v/>
      </c>
      <c r="I68" s="2">
        <f>IFERROR(__xludf.DUMMYFUNCTION("""COMPUTED_VALUE"""),250.0)</f>
        <v/>
      </c>
      <c r="J68" s="2">
        <f>IFERROR(__xludf.DUMMYFUNCTION("""COMPUTED_VALUE"""),125.0)</f>
        <v/>
      </c>
      <c r="K68" s="2">
        <f>IFERROR(__xludf.DUMMYFUNCTION("""COMPUTED_VALUE"""),8.0)</f>
        <v/>
      </c>
      <c r="L68" s="2">
        <f>IFERROR(__xludf.DUMMYFUNCTION("""COMPUTED_VALUE"""),"Wolta декоративные")</f>
        <v/>
      </c>
      <c r="M68" s="2">
        <f>IFERROR(__xludf.DUMMYFUNCTION("""COMPUTED_VALUE"""),"Встраиваемые, Декоративные, LED Светильники")</f>
        <v/>
      </c>
    </row>
    <row r="69">
      <c r="A69" s="5">
        <f>IFERROR(__xludf.DUMMYFUNCTION("""COMPUTED_VALUE"""),"4690612020273")</f>
        <v/>
      </c>
      <c r="B69" s="5">
        <f>IFERROR(__xludf.DUMMYFUNCTION("""COMPUTED_VALUE"""),"LED-A60-VC 15Вт 230В Е27 4000К 1430Лм IN HOME")</f>
        <v/>
      </c>
      <c r="C69" s="2">
        <f>IFERROR(__xludf.DUMMYFUNCTION("""COMPUTED_VALUE"""),0.05500000000000001)</f>
        <v/>
      </c>
      <c r="D69" s="2">
        <f>IFERROR(__xludf.DUMMYFUNCTION("""COMPUTED_VALUE"""),4.0E-4)</f>
        <v/>
      </c>
      <c r="E69" s="2">
        <f>IFERROR(__xludf.DUMMYFUNCTION("""COMPUTED_VALUE"""),43.8)</f>
        <v/>
      </c>
      <c r="F69" s="2">
        <f>IFERROR(__xludf.DUMMYFUNCTION("""COMPUTED_VALUE"""),54.0)</f>
        <v/>
      </c>
      <c r="G69" s="2">
        <f>IFERROR(__xludf.DUMMYFUNCTION("""COMPUTED_VALUE"""),60.0)</f>
        <v/>
      </c>
      <c r="H69" s="2">
        <f>IFERROR(__xludf.DUMMYFUNCTION("""COMPUTED_VALUE"""),70.0)</f>
        <v/>
      </c>
      <c r="I69" s="2">
        <f>IFERROR(__xludf.DUMMYFUNCTION("""COMPUTED_VALUE"""),80.8)</f>
        <v/>
      </c>
      <c r="J69" s="2">
        <f>IFERROR(__xludf.DUMMYFUNCTION("""COMPUTED_VALUE"""),60.0)</f>
        <v/>
      </c>
      <c r="K69" s="2">
        <f>IFERROR(__xludf.DUMMYFUNCTION("""COMPUTED_VALUE"""),9.0)</f>
        <v/>
      </c>
      <c r="L69" s="2">
        <f>IFERROR(__xludf.DUMMYFUNCTION("""COMPUTED_VALUE"""),"Лампа светодиодная LED-A60-standard")</f>
        <v/>
      </c>
      <c r="M69" s="2">
        <f>IFERROR(__xludf.DUMMYFUNCTION("""COMPUTED_VALUE"""),"Лампы")</f>
        <v/>
      </c>
    </row>
    <row r="70">
      <c r="A70" s="5">
        <f>IFERROR(__xludf.DUMMYFUNCTION("""COMPUTED_VALUE"""),"4690612031101")</f>
        <v/>
      </c>
      <c r="B70" s="5">
        <f>IFERROR(__xludf.DUMMYFUNCTION("""COMPUTED_VALUE"""),"LED-HP-PRO 40Вт 230В Е27 с адаптером E40 6500К 3800Лм IN HOME")</f>
        <v/>
      </c>
      <c r="C70" s="2">
        <f>IFERROR(__xludf.DUMMYFUNCTION("""COMPUTED_VALUE"""),0.2)</f>
        <v/>
      </c>
      <c r="D70" s="2">
        <f>IFERROR(__xludf.DUMMYFUNCTION("""COMPUTED_VALUE"""),0.003)</f>
        <v/>
      </c>
      <c r="E70" s="2">
        <f>IFERROR(__xludf.DUMMYFUNCTION("""COMPUTED_VALUE"""),166.66)</f>
        <v/>
      </c>
      <c r="F70" s="2">
        <f>IFERROR(__xludf.DUMMYFUNCTION("""COMPUTED_VALUE"""),182.0)</f>
        <v/>
      </c>
      <c r="G70" s="2">
        <f>IFERROR(__xludf.DUMMYFUNCTION("""COMPUTED_VALUE"""),205.0)</f>
        <v/>
      </c>
      <c r="H70" s="2">
        <f>IFERROR(__xludf.DUMMYFUNCTION("""COMPUTED_VALUE"""),237.0)</f>
        <v/>
      </c>
      <c r="I70" s="2">
        <f>IFERROR(__xludf.DUMMYFUNCTION("""COMPUTED_VALUE"""),273.3)</f>
        <v/>
      </c>
      <c r="J70" s="2">
        <f>IFERROR(__xludf.DUMMYFUNCTION("""COMPUTED_VALUE"""),137.0)</f>
        <v/>
      </c>
      <c r="K70" s="2">
        <f>IFERROR(__xludf.DUMMYFUNCTION("""COMPUTED_VALUE"""),17.0)</f>
        <v/>
      </c>
      <c r="L70" s="2">
        <f>IFERROR(__xludf.DUMMYFUNCTION("""COMPUTED_VALUE"""),"Лампа светодиодная HP PRO")</f>
        <v/>
      </c>
      <c r="M70" s="2">
        <f>IFERROR(__xludf.DUMMYFUNCTION("""COMPUTED_VALUE"""),"Лампы")</f>
        <v/>
      </c>
    </row>
    <row r="71">
      <c r="A71" s="5">
        <f>IFERROR(__xludf.DUMMYFUNCTION("""COMPUTED_VALUE"""),"4690612035345")</f>
        <v/>
      </c>
      <c r="B71" s="5">
        <f>IFERROR(__xludf.DUMMYFUNCTION("""COMPUTED_VALUE"""),"ELEGANT BLISS-W 15Вт 230В 3000-6500K 1050Лм STEP COLOR белый IN HOME")</f>
        <v/>
      </c>
      <c r="C71" s="2">
        <f>IFERROR(__xludf.DUMMYFUNCTION("""COMPUTED_VALUE"""),0.35)</f>
        <v/>
      </c>
      <c r="D71" s="2">
        <f>IFERROR(__xludf.DUMMYFUNCTION("""COMPUTED_VALUE"""),0.0035)</f>
        <v/>
      </c>
      <c r="E71" s="2">
        <f>IFERROR(__xludf.DUMMYFUNCTION("""COMPUTED_VALUE"""),655.28)</f>
        <v/>
      </c>
      <c r="F71" s="2">
        <f>IFERROR(__xludf.DUMMYFUNCTION("""COMPUTED_VALUE"""),622.0)</f>
        <v/>
      </c>
      <c r="G71" s="2">
        <f>IFERROR(__xludf.DUMMYFUNCTION("""COMPUTED_VALUE"""),700.0)</f>
        <v/>
      </c>
      <c r="H71" s="2">
        <f>IFERROR(__xludf.DUMMYFUNCTION("""COMPUTED_VALUE"""),812.0)</f>
        <v/>
      </c>
      <c r="I71" s="2">
        <f>IFERROR(__xludf.DUMMYFUNCTION("""COMPUTED_VALUE"""),933.0)</f>
        <v/>
      </c>
      <c r="J71" s="2">
        <f>IFERROR(__xludf.DUMMYFUNCTION("""COMPUTED_VALUE"""),467.0)</f>
        <v/>
      </c>
      <c r="K71" s="2">
        <f>IFERROR(__xludf.DUMMYFUNCTION("""COMPUTED_VALUE"""),2.0)</f>
        <v/>
      </c>
      <c r="L71" s="2">
        <f>IFERROR(__xludf.DUMMYFUNCTION("""COMPUTED_VALUE"""),"Светильники светодиодные серии ELEGANT IN HOME")</f>
        <v/>
      </c>
      <c r="M71" s="2">
        <f>IFERROR(__xludf.DUMMYFUNCTION("""COMPUTED_VALUE"""),"Накладные, Декоративные, LED Светильники")</f>
        <v/>
      </c>
    </row>
    <row r="72">
      <c r="A72" s="5">
        <f>IFERROR(__xludf.DUMMYFUNCTION("""COMPUTED_VALUE"""),"4690612035734")</f>
        <v/>
      </c>
      <c r="B72" s="5">
        <f>IFERROR(__xludf.DUMMYFUNCTION("""COMPUTED_VALUE"""),"COMFORT LEGION 75Вт 230В 3000-6500K 6000Лм 490x85мм с пультом ДУ IN HOME")</f>
        <v/>
      </c>
      <c r="C72" s="2">
        <f>IFERROR(__xludf.DUMMYFUNCTION("""COMPUTED_VALUE"""),1.34)</f>
        <v/>
      </c>
      <c r="D72" s="2">
        <f>IFERROR(__xludf.DUMMYFUNCTION("""COMPUTED_VALUE"""),0.028)</f>
        <v/>
      </c>
      <c r="E72" s="2">
        <f>IFERROR(__xludf.DUMMYFUNCTION("""COMPUTED_VALUE"""),2378.5)</f>
        <v/>
      </c>
      <c r="F72" s="2">
        <f>IFERROR(__xludf.DUMMYFUNCTION("""COMPUTED_VALUE"""),2243.0)</f>
        <v/>
      </c>
      <c r="G72" s="2">
        <f>IFERROR(__xludf.DUMMYFUNCTION("""COMPUTED_VALUE"""),2523.0)</f>
        <v/>
      </c>
      <c r="H72" s="2">
        <f>IFERROR(__xludf.DUMMYFUNCTION("""COMPUTED_VALUE"""),2927.0)</f>
        <v/>
      </c>
      <c r="I72" s="2">
        <f>IFERROR(__xludf.DUMMYFUNCTION("""COMPUTED_VALUE"""),3364.0)</f>
        <v/>
      </c>
      <c r="J72" s="2">
        <f>IFERROR(__xludf.DUMMYFUNCTION("""COMPUTED_VALUE"""),1682.0)</f>
        <v/>
      </c>
      <c r="K72" s="2">
        <f>IFERROR(__xludf.DUMMYFUNCTION("""COMPUTED_VALUE"""),1.0)</f>
        <v/>
      </c>
      <c r="L72" s="2">
        <f>IFERROR(__xludf.DUMMYFUNCTION("""COMPUTED_VALUE"""),"Светильники светодиодные COMFORT")</f>
        <v/>
      </c>
      <c r="M72" s="2">
        <f>IFERROR(__xludf.DUMMYFUNCTION("""COMPUTED_VALUE"""),"Накладные, Декоративные, LED Светильники")</f>
        <v/>
      </c>
    </row>
    <row r="73">
      <c r="A73" s="5">
        <f>IFERROR(__xludf.DUMMYFUNCTION("""COMPUTED_VALUE"""),"V5004")</f>
        <v/>
      </c>
      <c r="B73" s="5">
        <f>IFERROR(__xludf.DUMMYFUNCTION("""COMPUTED_VALUE"""),"VRN-LUX153X84-76-A50K67-K")</f>
        <v/>
      </c>
      <c r="C73" s="2">
        <f>IFERROR(__xludf.DUMMYFUNCTION("""COMPUTED_VALUE"""),2.4)</f>
        <v/>
      </c>
      <c r="D73" s="2">
        <f>IFERROR(__xludf.DUMMYFUNCTION("""COMPUTED_VALUE"""),0.0088)</f>
        <v/>
      </c>
      <c r="E73" s="2">
        <f>IFERROR(__xludf.DUMMYFUNCTION("""COMPUTED_VALUE"""),7172.5)</f>
        <v/>
      </c>
      <c r="F73" s="2">
        <f>IFERROR(__xludf.DUMMYFUNCTION("""COMPUTED_VALUE"""),7430.0)</f>
        <v/>
      </c>
      <c r="G73" s="2">
        <f>IFERROR(__xludf.DUMMYFUNCTION("""COMPUTED_VALUE"""),9659.0)</f>
        <v/>
      </c>
      <c r="H73" s="2">
        <f>IFERROR(__xludf.DUMMYFUNCTION("""COMPUTED_VALUE"""),10142.0)</f>
        <v/>
      </c>
      <c r="I73" s="2">
        <f>IFERROR(__xludf.DUMMYFUNCTION("""COMPUTED_VALUE"""),10625.0)</f>
        <v/>
      </c>
      <c r="J73" s="2">
        <f>IFERROR(__xludf.DUMMYFUNCTION("""COMPUTED_VALUE"""),5313.0)</f>
        <v/>
      </c>
      <c r="K73" s="2">
        <f>IFERROR(__xludf.DUMMYFUNCTION("""COMPUTED_VALUE"""),1.0)</f>
        <v/>
      </c>
      <c r="L73" s="2">
        <f>IFERROR(__xludf.DUMMYFUNCTION("""COMPUTED_VALUE"""),"Премиум")</f>
        <v/>
      </c>
      <c r="M73" s="2">
        <f>IFERROR(__xludf.DUMMYFUNCTION("""COMPUTED_VALUE"""),"Профессиональные, LED Светильники")</f>
        <v/>
      </c>
    </row>
    <row r="74">
      <c r="A74" s="5">
        <f>IFERROR(__xludf.DUMMYFUNCTION("""COMPUTED_VALUE"""),"4690612020839")</f>
        <v/>
      </c>
      <c r="B74" s="5">
        <f>IFERROR(__xludf.DUMMYFUNCTION("""COMPUTED_VALUE"""),"LED-GX53-VC 15Вт 230В 6500К 1430Лм IN HOME")</f>
        <v/>
      </c>
      <c r="C74" s="2">
        <f>IFERROR(__xludf.DUMMYFUNCTION("""COMPUTED_VALUE"""),0.051)</f>
        <v/>
      </c>
      <c r="D74" s="2">
        <f>IFERROR(__xludf.DUMMYFUNCTION("""COMPUTED_VALUE"""),2.1E-4)</f>
        <v/>
      </c>
      <c r="E74" s="2">
        <f>IFERROR(__xludf.DUMMYFUNCTION("""COMPUTED_VALUE"""),54.06)</f>
        <v/>
      </c>
      <c r="F74" s="2">
        <f>IFERROR(__xludf.DUMMYFUNCTION("""COMPUTED_VALUE"""),57.0)</f>
        <v/>
      </c>
      <c r="G74" s="2">
        <f>IFERROR(__xludf.DUMMYFUNCTION("""COMPUTED_VALUE"""),64.0)</f>
        <v/>
      </c>
      <c r="H74" s="2">
        <f>IFERROR(__xludf.DUMMYFUNCTION("""COMPUTED_VALUE"""),74.0)</f>
        <v/>
      </c>
      <c r="I74" s="2">
        <f>IFERROR(__xludf.DUMMYFUNCTION("""COMPUTED_VALUE"""),85.55)</f>
        <v/>
      </c>
      <c r="J74" s="2">
        <f>IFERROR(__xludf.DUMMYFUNCTION("""COMPUTED_VALUE"""),43.0)</f>
        <v/>
      </c>
      <c r="K74" s="2">
        <f>IFERROR(__xludf.DUMMYFUNCTION("""COMPUTED_VALUE"""),71.0)</f>
        <v/>
      </c>
      <c r="L74" s="2">
        <f>IFERROR(__xludf.DUMMYFUNCTION("""COMPUTED_VALUE"""),"Лампа светодиодная LED-GX53-standard")</f>
        <v/>
      </c>
      <c r="M74" s="2">
        <f>IFERROR(__xludf.DUMMYFUNCTION("""COMPUTED_VALUE"""),"Лампы")</f>
        <v/>
      </c>
    </row>
    <row r="75">
      <c r="A75" s="5">
        <f>IFERROR(__xludf.DUMMYFUNCTION("""COMPUTED_VALUE"""),"4690612052984-1")</f>
        <v/>
      </c>
      <c r="B75" s="5">
        <f>IFERROR(__xludf.DUMMYFUNCTION("""COMPUTED_VALUE"""),"ДВО-02 7565-ПРИЗМА 75Вт 6500К 595х595х19 NEOX (в индивид. уп)")</f>
        <v/>
      </c>
      <c r="C75" s="2">
        <f>IFERROR(__xludf.DUMMYFUNCTION("""COMPUTED_VALUE"""),0.0)</f>
        <v/>
      </c>
      <c r="D75" s="2">
        <f>IFERROR(__xludf.DUMMYFUNCTION("""COMPUTED_VALUE"""),0.0)</f>
        <v/>
      </c>
      <c r="E75" s="2">
        <f>IFERROR(__xludf.DUMMYFUNCTION("""COMPUTED_VALUE"""),859.4)</f>
        <v/>
      </c>
      <c r="F75" s="2">
        <f>IFERROR(__xludf.DUMMYFUNCTION("""COMPUTED_VALUE"""),943.0)</f>
        <v/>
      </c>
      <c r="G75" s="2">
        <f>IFERROR(__xludf.DUMMYFUNCTION("""COMPUTED_VALUE"""),1100.0)</f>
        <v/>
      </c>
      <c r="H75" s="2">
        <f>IFERROR(__xludf.DUMMYFUNCTION("""COMPUTED_VALUE"""),1238.0)</f>
        <v/>
      </c>
      <c r="I75" s="2">
        <f>IFERROR(__xludf.DUMMYFUNCTION("""COMPUTED_VALUE"""),1375.0)</f>
        <v/>
      </c>
      <c r="J75" s="2">
        <f>IFERROR(__xludf.DUMMYFUNCTION("""COMPUTED_VALUE"""),688.0)</f>
        <v/>
      </c>
      <c r="K75" s="2">
        <f>IFERROR(__xludf.DUMMYFUNCTION("""COMPUTED_VALUE"""),0.0)</f>
        <v/>
      </c>
      <c r="L75" s="2">
        <f>IFERROR(__xludf.DUMMYFUNCTION("""COMPUTED_VALUE"""),"NEOX Светильники LED ДВО - Призма производство, упаковка")</f>
        <v/>
      </c>
      <c r="M75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76">
      <c r="A76" s="5">
        <f>IFERROR(__xludf.DUMMYFUNCTION("""COMPUTED_VALUE"""),"4690612015125")</f>
        <v/>
      </c>
      <c r="B76" s="5">
        <f>IFERROR(__xludf.DUMMYFUNCTION("""COMPUTED_VALUE"""),"NL03-BB Медвежонок с датчиком освещения 230В СИНИЙ IN HOME")</f>
        <v/>
      </c>
      <c r="C76" s="2">
        <f>IFERROR(__xludf.DUMMYFUNCTION("""COMPUTED_VALUE"""),0.115)</f>
        <v/>
      </c>
      <c r="D76" s="2">
        <f>IFERROR(__xludf.DUMMYFUNCTION("""COMPUTED_VALUE"""),0.0023)</f>
        <v/>
      </c>
      <c r="E76" s="2">
        <f>IFERROR(__xludf.DUMMYFUNCTION("""COMPUTED_VALUE"""),100.5)</f>
        <v/>
      </c>
      <c r="F76" s="2">
        <f>IFERROR(__xludf.DUMMYFUNCTION("""COMPUTED_VALUE"""),100.0)</f>
        <v/>
      </c>
      <c r="G76" s="2">
        <f>IFERROR(__xludf.DUMMYFUNCTION("""COMPUTED_VALUE"""),113.0)</f>
        <v/>
      </c>
      <c r="H76" s="2">
        <f>IFERROR(__xludf.DUMMYFUNCTION("""COMPUTED_VALUE"""),131.0)</f>
        <v/>
      </c>
      <c r="I76" s="2">
        <f>IFERROR(__xludf.DUMMYFUNCTION("""COMPUTED_VALUE"""),150.0)</f>
        <v/>
      </c>
      <c r="J76" s="2">
        <f>IFERROR(__xludf.DUMMYFUNCTION("""COMPUTED_VALUE"""),75.0)</f>
        <v/>
      </c>
      <c r="K76" s="2">
        <f>IFERROR(__xludf.DUMMYFUNCTION("""COMPUTED_VALUE"""),7.0)</f>
        <v/>
      </c>
      <c r="L76" s="2">
        <f>IFERROR(__xludf.DUMMYFUNCTION("""COMPUTED_VALUE"""),"Светильники ночники")</f>
        <v/>
      </c>
      <c r="M76" s="2">
        <f>IFERROR(__xludf.DUMMYFUNCTION("""COMPUTED_VALUE"""),"Светильники общего назначения (LED), Декоративные, LED Светильники")</f>
        <v/>
      </c>
    </row>
    <row r="77">
      <c r="A77" s="5">
        <f>IFERROR(__xludf.DUMMYFUNCTION("""COMPUTED_VALUE"""),"G106001104")</f>
        <v/>
      </c>
      <c r="B77" s="5">
        <f>IFERROR(__xludf.DUMMYFUNCTION("""COMPUTED_VALUE"""),"Reflector R39 E14 4W 2700K 1/10/50")</f>
        <v/>
      </c>
      <c r="C77" s="2">
        <f>IFERROR(__xludf.DUMMYFUNCTION("""COMPUTED_VALUE"""),0.0)</f>
        <v/>
      </c>
      <c r="D77" s="2">
        <f>IFERROR(__xludf.DUMMYFUNCTION("""COMPUTED_VALUE"""),0.0)</f>
        <v/>
      </c>
      <c r="E77" s="2">
        <f>IFERROR(__xludf.DUMMYFUNCTION("""COMPUTED_VALUE"""),109.0)</f>
        <v/>
      </c>
      <c r="F77" s="2">
        <f>IFERROR(__xludf.DUMMYFUNCTION("""COMPUTED_VALUE"""),131.0)</f>
        <v/>
      </c>
      <c r="G77" s="2">
        <f>IFERROR(__xludf.DUMMYFUNCTION("""COMPUTED_VALUE"""),144.0)</f>
        <v/>
      </c>
      <c r="H77" s="2">
        <f>IFERROR(__xludf.DUMMYFUNCTION("""COMPUTED_VALUE"""),170.0)</f>
        <v/>
      </c>
      <c r="I77" s="2">
        <f>IFERROR(__xludf.DUMMYFUNCTION("""COMPUTED_VALUE"""),215.0)</f>
        <v/>
      </c>
      <c r="J77" s="2">
        <f>IFERROR(__xludf.DUMMYFUNCTION("""COMPUTED_VALUE"""),108.0)</f>
        <v/>
      </c>
      <c r="K77" s="2">
        <f>IFERROR(__xludf.DUMMYFUNCTION("""COMPUTED_VALUE"""),8.0)</f>
        <v/>
      </c>
      <c r="L77" s="2">
        <f>IFERROR(__xludf.DUMMYFUNCTION("""COMPUTED_VALUE"""),"Зеркальные Лампы")</f>
        <v/>
      </c>
      <c r="M77" s="2">
        <f>IFERROR(__xludf.DUMMYFUNCTION("""COMPUTED_VALUE"""),"Лампы")</f>
        <v/>
      </c>
    </row>
    <row r="78">
      <c r="A78" s="5">
        <f>IFERROR(__xludf.DUMMYFUNCTION("""COMPUTED_VALUE"""),"4690612029375")</f>
        <v/>
      </c>
      <c r="B78" s="5">
        <f>IFERROR(__xludf.DUMMYFUNCTION("""COMPUTED_VALUE"""),"Коннектор шинопровода угловой AC-B-TL черный серии TOP-LINE IN HOME")</f>
        <v/>
      </c>
      <c r="C78" s="2">
        <f>IFERROR(__xludf.DUMMYFUNCTION("""COMPUTED_VALUE"""),0.0288)</f>
        <v/>
      </c>
      <c r="D78" s="2">
        <f>IFERROR(__xludf.DUMMYFUNCTION("""COMPUTED_VALUE"""),6.000000000000001E-5)</f>
        <v/>
      </c>
      <c r="E78" s="2">
        <f>IFERROR(__xludf.DUMMYFUNCTION("""COMPUTED_VALUE"""),49.24)</f>
        <v/>
      </c>
      <c r="F78" s="2">
        <f>IFERROR(__xludf.DUMMYFUNCTION("""COMPUTED_VALUE"""),65.0)</f>
        <v/>
      </c>
      <c r="G78" s="2">
        <f>IFERROR(__xludf.DUMMYFUNCTION("""COMPUTED_VALUE"""),73.0)</f>
        <v/>
      </c>
      <c r="H78" s="2">
        <f>IFERROR(__xludf.DUMMYFUNCTION("""COMPUTED_VALUE"""),84.0)</f>
        <v/>
      </c>
      <c r="I78" s="2">
        <f>IFERROR(__xludf.DUMMYFUNCTION("""COMPUTED_VALUE"""),97.0)</f>
        <v/>
      </c>
      <c r="J78" s="2">
        <f>IFERROR(__xludf.DUMMYFUNCTION("""COMPUTED_VALUE"""),49.0)</f>
        <v/>
      </c>
      <c r="K78" s="2">
        <f>IFERROR(__xludf.DUMMYFUNCTION("""COMPUTED_VALUE"""),14.0)</f>
        <v/>
      </c>
      <c r="L78" s="2">
        <f>IFERROR(__xludf.DUMMYFUNCTION("""COMPUTED_VALUE"""),"Шинопровод и комплектующие")</f>
        <v/>
      </c>
      <c r="M78" s="2">
        <f>IFERROR(__xludf.DUMMYFUNCTION("""COMPUTED_VALUE"""),"Прочие товары")</f>
        <v/>
      </c>
    </row>
    <row r="79">
      <c r="A79" s="5">
        <f>IFERROR(__xludf.DUMMYFUNCTION("""COMPUTED_VALUE"""),"14690612057306")</f>
        <v/>
      </c>
      <c r="B79" s="5">
        <f>IFERROR(__xludf.DUMMYFUNCTION("""COMPUTED_VALUE"""),"ДВО-PRO 5065-ОПАЛ 50Вт 6500К 120лм/Вт CRI80 IP40 595х595х30мм NEOX (4 шт в упак.)")</f>
        <v/>
      </c>
      <c r="C79" s="2">
        <f>IFERROR(__xludf.DUMMYFUNCTION("""COMPUTED_VALUE"""),0.0)</f>
        <v/>
      </c>
      <c r="D79" s="2">
        <f>IFERROR(__xludf.DUMMYFUNCTION("""COMPUTED_VALUE"""),0.0)</f>
        <v/>
      </c>
      <c r="E79" s="2">
        <f>IFERROR(__xludf.DUMMYFUNCTION("""COMPUTED_VALUE"""),3739.86)</f>
        <v/>
      </c>
      <c r="F79" s="2">
        <f>IFERROR(__xludf.DUMMYFUNCTION("""COMPUTED_VALUE"""),4103.0)</f>
        <v/>
      </c>
      <c r="G79" s="2">
        <f>IFERROR(__xludf.DUMMYFUNCTION("""COMPUTED_VALUE"""),4787.0)</f>
        <v/>
      </c>
      <c r="H79" s="2">
        <f>IFERROR(__xludf.DUMMYFUNCTION("""COMPUTED_VALUE"""),5386.0)</f>
        <v/>
      </c>
      <c r="I79" s="2">
        <f>IFERROR(__xludf.DUMMYFUNCTION("""COMPUTED_VALUE"""),5984.0)</f>
        <v/>
      </c>
      <c r="J79" s="2">
        <f>IFERROR(__xludf.DUMMYFUNCTION("""COMPUTED_VALUE"""),2992.0)</f>
        <v/>
      </c>
      <c r="K79" s="2">
        <f>IFERROR(__xludf.DUMMYFUNCTION("""COMPUTED_VALUE"""),5.0)</f>
        <v/>
      </c>
      <c r="L79" s="2">
        <f>IFERROR(__xludf.DUMMYFUNCTION("""COMPUTED_VALUE"""),"NEOX Светильники LED ДВО-PRO производство, упаковка")</f>
        <v/>
      </c>
      <c r="M79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80">
      <c r="A80" s="5">
        <f>IFERROR(__xludf.DUMMYFUNCTION("""COMPUTED_VALUE"""),"HD016")</f>
        <v/>
      </c>
      <c r="B80" s="5">
        <f>IFERROR(__xludf.DUMMYFUNCTION("""COMPUTED_VALUE"""),"Светильник Gauss Overhead накл цил 10W 700lm 3000K 170-240V IP20 88*75мм черный с расс LED 1/30")</f>
        <v/>
      </c>
      <c r="C80" s="2">
        <f>IFERROR(__xludf.DUMMYFUNCTION("""COMPUTED_VALUE"""),0.0)</f>
        <v/>
      </c>
      <c r="D80" s="2">
        <f>IFERROR(__xludf.DUMMYFUNCTION("""COMPUTED_VALUE"""),0.0)</f>
        <v/>
      </c>
      <c r="E80" s="2">
        <f>IFERROR(__xludf.DUMMYFUNCTION("""COMPUTED_VALUE"""),0.0)</f>
        <v/>
      </c>
      <c r="F80" s="2">
        <f>IFERROR(__xludf.DUMMYFUNCTION("""COMPUTED_VALUE"""),0.0)</f>
        <v/>
      </c>
      <c r="G80" s="2">
        <f>IFERROR(__xludf.DUMMYFUNCTION("""COMPUTED_VALUE"""),0.0)</f>
        <v/>
      </c>
      <c r="H80" s="2">
        <f>IFERROR(__xludf.DUMMYFUNCTION("""COMPUTED_VALUE"""),0.0)</f>
        <v/>
      </c>
      <c r="I80" s="2">
        <f>IFERROR(__xludf.DUMMYFUNCTION("""COMPUTED_VALUE"""),0.0)</f>
        <v/>
      </c>
      <c r="J80" s="2">
        <f>IFERROR(__xludf.DUMMYFUNCTION("""COMPUTED_VALUE"""),0.0)</f>
        <v/>
      </c>
      <c r="K80" s="2">
        <f>IFERROR(__xludf.DUMMYFUNCTION("""COMPUTED_VALUE"""),1.0)</f>
        <v/>
      </c>
      <c r="L80" s="2">
        <f>IFERROR(__xludf.DUMMYFUNCTION("""COMPUTED_VALUE"""),"Gauss светильники")</f>
        <v/>
      </c>
      <c r="M80" s="2">
        <f>IFERROR(__xludf.DUMMYFUNCTION("""COMPUTED_VALUE"""),"Ламповые светильники")</f>
        <v/>
      </c>
    </row>
    <row r="81">
      <c r="A81" s="5">
        <f>IFERROR(__xludf.DUMMYFUNCTION("""COMPUTED_VALUE"""),"V9001")</f>
        <v/>
      </c>
      <c r="B81" s="5">
        <f>IFERROR(__xludf.DUMMYFUNCTION("""COMPUTED_VALUE"""),"VRN-UNE-32-G40K67-U, 32Вт, Универсальный")</f>
        <v/>
      </c>
      <c r="C81" s="2">
        <f>IFERROR(__xludf.DUMMYFUNCTION("""COMPUTED_VALUE"""),0.9400000000000001)</f>
        <v/>
      </c>
      <c r="D81" s="2">
        <f>IFERROR(__xludf.DUMMYFUNCTION("""COMPUTED_VALUE"""),0.004030000000000001)</f>
        <v/>
      </c>
      <c r="E81" s="2">
        <f>IFERROR(__xludf.DUMMYFUNCTION("""COMPUTED_VALUE"""),1807.24)</f>
        <v/>
      </c>
      <c r="F81" s="2">
        <f>IFERROR(__xludf.DUMMYFUNCTION("""COMPUTED_VALUE"""),2020.0)</f>
        <v/>
      </c>
      <c r="G81" s="2">
        <f>IFERROR(__xludf.DUMMYFUNCTION("""COMPUTED_VALUE"""),2626.0)</f>
        <v/>
      </c>
      <c r="H81" s="2">
        <f>IFERROR(__xludf.DUMMYFUNCTION("""COMPUTED_VALUE"""),2757.0)</f>
        <v/>
      </c>
      <c r="I81" s="2">
        <f>IFERROR(__xludf.DUMMYFUNCTION("""COMPUTED_VALUE"""),2889.0)</f>
        <v/>
      </c>
      <c r="J81" s="2">
        <f>IFERROR(__xludf.DUMMYFUNCTION("""COMPUTED_VALUE"""),2889.0)</f>
        <v/>
      </c>
      <c r="K81" s="2">
        <f>IFERROR(__xludf.DUMMYFUNCTION("""COMPUTED_VALUE"""),10.0)</f>
        <v/>
      </c>
      <c r="L81" s="2">
        <f>IFERROR(__xludf.DUMMYFUNCTION("""COMPUTED_VALUE"""),"Универсал Эконом")</f>
        <v/>
      </c>
      <c r="M81" s="2">
        <f>IFERROR(__xludf.DUMMYFUNCTION("""COMPUTED_VALUE"""),"Для обычных дорог, Модульные, LED Светильники")</f>
        <v/>
      </c>
    </row>
    <row r="82">
      <c r="A82" s="5">
        <f>IFERROR(__xludf.DUMMYFUNCTION("""COMPUTED_VALUE"""),"4690612004235")</f>
        <v/>
      </c>
      <c r="B82" s="5">
        <f>IFERROR(__xludf.DUMMYFUNCTION("""COMPUTED_VALUE"""),"LED-T8-PREMIUM 18Вт 160-260В G13 6500К 1980Лм 1200мм ASD")</f>
        <v/>
      </c>
      <c r="C82" s="2">
        <f>IFERROR(__xludf.DUMMYFUNCTION("""COMPUTED_VALUE"""),0.3780000000000001)</f>
        <v/>
      </c>
      <c r="D82" s="2">
        <f>IFERROR(__xludf.DUMMYFUNCTION("""COMPUTED_VALUE"""),0.0)</f>
        <v/>
      </c>
      <c r="E82" s="2">
        <f>IFERROR(__xludf.DUMMYFUNCTION("""COMPUTED_VALUE"""),256.8)</f>
        <v/>
      </c>
      <c r="F82" s="2">
        <f>IFERROR(__xludf.DUMMYFUNCTION("""COMPUTED_VALUE"""),0.0)</f>
        <v/>
      </c>
      <c r="G82" s="2">
        <f>IFERROR(__xludf.DUMMYFUNCTION("""COMPUTED_VALUE"""),0.0)</f>
        <v/>
      </c>
      <c r="H82" s="2">
        <f>IFERROR(__xludf.DUMMYFUNCTION("""COMPUTED_VALUE"""),0.0)</f>
        <v/>
      </c>
      <c r="I82" s="2">
        <f>IFERROR(__xludf.DUMMYFUNCTION("""COMPUTED_VALUE"""),0.5)</f>
        <v/>
      </c>
      <c r="J82" s="2">
        <f>IFERROR(__xludf.DUMMYFUNCTION("""COMPUTED_VALUE"""),0.5)</f>
        <v/>
      </c>
      <c r="K82" s="2">
        <f>IFERROR(__xludf.DUMMYFUNCTION("""COMPUTED_VALUE"""),1.0)</f>
        <v/>
      </c>
      <c r="L82" s="2">
        <f>IFERROR(__xludf.DUMMYFUNCTION("""COMPUTED_VALUE"""),"Лампа светодиодная LED-T8")</f>
        <v/>
      </c>
      <c r="M82" s="2">
        <f>IFERROR(__xludf.DUMMYFUNCTION("""COMPUTED_VALUE"""),"Лампы")</f>
        <v/>
      </c>
    </row>
    <row r="83">
      <c r="A83" s="5">
        <f>IFERROR(__xludf.DUMMYFUNCTION("""COMPUTED_VALUE"""),"4690612034683")</f>
        <v/>
      </c>
      <c r="B83" s="5">
        <f>IFERROR(__xludf.DUMMYFUNCTION("""COMPUTED_VALUE"""),"СДО-7 20Вт 230В 6500К IP65 белый IN HOME")</f>
        <v/>
      </c>
      <c r="C83" s="2">
        <f>IFERROR(__xludf.DUMMYFUNCTION("""COMPUTED_VALUE"""),0.175)</f>
        <v/>
      </c>
      <c r="D83" s="2">
        <f>IFERROR(__xludf.DUMMYFUNCTION("""COMPUTED_VALUE"""),4.800000000000001E-4)</f>
        <v/>
      </c>
      <c r="E83" s="2">
        <f>IFERROR(__xludf.DUMMYFUNCTION("""COMPUTED_VALUE"""),166.23)</f>
        <v/>
      </c>
      <c r="F83" s="2">
        <f>IFERROR(__xludf.DUMMYFUNCTION("""COMPUTED_VALUE"""),153.0)</f>
        <v/>
      </c>
      <c r="G83" s="2">
        <f>IFERROR(__xludf.DUMMYFUNCTION("""COMPUTED_VALUE"""),172.0)</f>
        <v/>
      </c>
      <c r="H83" s="2">
        <f>IFERROR(__xludf.DUMMYFUNCTION("""COMPUTED_VALUE"""),199.0)</f>
        <v/>
      </c>
      <c r="I83" s="2">
        <f>IFERROR(__xludf.DUMMYFUNCTION("""COMPUTED_VALUE"""),229.0)</f>
        <v/>
      </c>
      <c r="J83" s="2">
        <f>IFERROR(__xludf.DUMMYFUNCTION("""COMPUTED_VALUE"""),115.0)</f>
        <v/>
      </c>
      <c r="K83" s="2">
        <f>IFERROR(__xludf.DUMMYFUNCTION("""COMPUTED_VALUE"""),17.0)</f>
        <v/>
      </c>
      <c r="L83" s="2">
        <f>IFERROR(__xludf.DUMMYFUNCTION("""COMPUTED_VALUE"""),"Прожекторы светодиодные СДО-07")</f>
        <v/>
      </c>
      <c r="M83" s="2">
        <f>IFERROR(__xludf.DUMMYFUNCTION("""COMPUTED_VALUE"""),"Прожекторы (LED), Бытовые (недорогие), Без датчиков, LED Светильники")</f>
        <v/>
      </c>
    </row>
    <row r="84">
      <c r="A84" s="5">
        <f>IFERROR(__xludf.DUMMYFUNCTION("""COMPUTED_VALUE"""),"12-0480")</f>
        <v/>
      </c>
      <c r="B84" s="5">
        <f>IFERROR(__xludf.DUMMYFUNCTION("""COMPUTED_VALUE"""),"Паяльник с керамическим нагревателем 220 В 80 Вт")</f>
        <v/>
      </c>
      <c r="C84" s="2">
        <f>IFERROR(__xludf.DUMMYFUNCTION("""COMPUTED_VALUE"""),0.0)</f>
        <v/>
      </c>
      <c r="D84" s="2">
        <f>IFERROR(__xludf.DUMMYFUNCTION("""COMPUTED_VALUE"""),0.0)</f>
        <v/>
      </c>
      <c r="E84" s="2">
        <f>IFERROR(__xludf.DUMMYFUNCTION("""COMPUTED_VALUE"""),1.0)</f>
        <v/>
      </c>
      <c r="F84" s="2">
        <f>IFERROR(__xludf.DUMMYFUNCTION("""COMPUTED_VALUE"""),954.0)</f>
        <v/>
      </c>
      <c r="G84" s="2">
        <f>IFERROR(__xludf.DUMMYFUNCTION("""COMPUTED_VALUE"""),1018.0)</f>
        <v/>
      </c>
      <c r="H84" s="2">
        <f>IFERROR(__xludf.DUMMYFUNCTION("""COMPUTED_VALUE"""),1145.0)</f>
        <v/>
      </c>
      <c r="I84" s="2">
        <f>IFERROR(__xludf.DUMMYFUNCTION("""COMPUTED_VALUE"""),1272.0)</f>
        <v/>
      </c>
      <c r="J84" s="2">
        <f>IFERROR(__xludf.DUMMYFUNCTION("""COMPUTED_VALUE"""),636.0)</f>
        <v/>
      </c>
      <c r="K84" s="2">
        <f>IFERROR(__xludf.DUMMYFUNCTION("""COMPUTED_VALUE"""),2.0)</f>
        <v/>
      </c>
      <c r="L84" s="2">
        <f>IFERROR(__xludf.DUMMYFUNCTION("""COMPUTED_VALUE"""),"Rexant")</f>
        <v/>
      </c>
      <c r="M84" s="2">
        <f>IFERROR(__xludf.DUMMYFUNCTION("""COMPUTED_VALUE"""),"Прочие товары")</f>
        <v/>
      </c>
    </row>
    <row r="85">
      <c r="A85" s="5">
        <f>IFERROR(__xludf.DUMMYFUNCTION("""COMPUTED_VALUE"""),"4690612042633")</f>
        <v/>
      </c>
      <c r="B85" s="5">
        <f>IFERROR(__xludf.DUMMYFUNCTION("""COMPUTED_VALUE"""),"LHB-02 150Вт 120гр 230В 5000К 15750Лм 105Лм/Вт IP65 без пульсации NEOX")</f>
        <v/>
      </c>
      <c r="C85" s="2">
        <f>IFERROR(__xludf.DUMMYFUNCTION("""COMPUTED_VALUE"""),1.41)</f>
        <v/>
      </c>
      <c r="D85" s="2">
        <f>IFERROR(__xludf.DUMMYFUNCTION("""COMPUTED_VALUE"""),0.0054)</f>
        <v/>
      </c>
      <c r="E85" s="2">
        <f>IFERROR(__xludf.DUMMYFUNCTION("""COMPUTED_VALUE"""),1777.2)</f>
        <v/>
      </c>
      <c r="F85" s="2">
        <f>IFERROR(__xludf.DUMMYFUNCTION("""COMPUTED_VALUE"""),1378.0)</f>
        <v/>
      </c>
      <c r="G85" s="2">
        <f>IFERROR(__xludf.DUMMYFUNCTION("""COMPUTED_VALUE"""),1550.0)</f>
        <v/>
      </c>
      <c r="H85" s="2">
        <f>IFERROR(__xludf.DUMMYFUNCTION("""COMPUTED_VALUE"""),1798.0)</f>
        <v/>
      </c>
      <c r="I85" s="2">
        <f>IFERROR(__xludf.DUMMYFUNCTION("""COMPUTED_VALUE"""),2067.0)</f>
        <v/>
      </c>
      <c r="J85" s="2">
        <f>IFERROR(__xludf.DUMMYFUNCTION("""COMPUTED_VALUE"""),1034.0)</f>
        <v/>
      </c>
      <c r="K85" s="2">
        <f>IFERROR(__xludf.DUMMYFUNCTION("""COMPUTED_VALUE"""),1.0)</f>
        <v/>
      </c>
      <c r="L85" s="2">
        <f>IFERROR(__xludf.DUMMYFUNCTION("""COMPUTED_VALUE"""),"NEOX Светильники LED LHB, WHB")</f>
        <v/>
      </c>
      <c r="M85" s="2">
        <f>IFERROR(__xludf.DUMMYFUNCTION("""COMPUTED_VALUE"""),"Промышленные светильники (LED), LED Светильники")</f>
        <v/>
      </c>
    </row>
    <row r="86">
      <c r="A86" s="5">
        <f>IFERROR(__xludf.DUMMYFUNCTION("""COMPUTED_VALUE"""),"4690612000923")</f>
        <v/>
      </c>
      <c r="B86" s="5">
        <f>IFERROR(__xludf.DUMMYFUNCTION("""COMPUTED_VALUE"""),"LS-AA-12.5 12.5А 150Вт 12В алюминий")</f>
        <v/>
      </c>
      <c r="C86" s="2">
        <f>IFERROR(__xludf.DUMMYFUNCTION("""COMPUTED_VALUE"""),0.5888000000000001)</f>
        <v/>
      </c>
      <c r="D86" s="2">
        <f>IFERROR(__xludf.DUMMYFUNCTION("""COMPUTED_VALUE"""),0.00115)</f>
        <v/>
      </c>
      <c r="E86" s="2">
        <f>IFERROR(__xludf.DUMMYFUNCTION("""COMPUTED_VALUE"""),544.17)</f>
        <v/>
      </c>
      <c r="F86" s="2">
        <f>IFERROR(__xludf.DUMMYFUNCTION("""COMPUTED_VALUE"""),800.0)</f>
        <v/>
      </c>
      <c r="G86" s="2">
        <f>IFERROR(__xludf.DUMMYFUNCTION("""COMPUTED_VALUE"""),900.0)</f>
        <v/>
      </c>
      <c r="H86" s="2">
        <f>IFERROR(__xludf.DUMMYFUNCTION("""COMPUTED_VALUE"""),1044.0)</f>
        <v/>
      </c>
      <c r="I86" s="2">
        <f>IFERROR(__xludf.DUMMYFUNCTION("""COMPUTED_VALUE"""),1200.0)</f>
        <v/>
      </c>
      <c r="J86" s="2">
        <f>IFERROR(__xludf.DUMMYFUNCTION("""COMPUTED_VALUE"""),544.0)</f>
        <v/>
      </c>
      <c r="K86" s="2">
        <f>IFERROR(__xludf.DUMMYFUNCTION("""COMPUTED_VALUE"""),5.0)</f>
        <v/>
      </c>
      <c r="L86" s="2">
        <f>IFERROR(__xludf.DUMMYFUNCTION("""COMPUTED_VALUE"""),"ASD электромонтажные изделия")</f>
        <v/>
      </c>
      <c r="M86" s="2">
        <f>IFERROR(__xludf.DUMMYFUNCTION("""COMPUTED_VALUE"""),"Прочие товары")</f>
        <v/>
      </c>
    </row>
    <row r="87">
      <c r="A87" s="5">
        <f>IFERROR(__xludf.DUMMYFUNCTION("""COMPUTED_VALUE"""),"GL8143")</f>
        <v/>
      </c>
      <c r="B87" s="5">
        <f>IFERROR(__xludf.DUMMYFUNCTION("""COMPUTED_VALUE"""),"GLERIO Office Special 24 Вт 4000К 82P-24D-4V-K")</f>
        <v/>
      </c>
      <c r="C87" s="2">
        <f>IFERROR(__xludf.DUMMYFUNCTION("""COMPUTED_VALUE"""),1.04)</f>
        <v/>
      </c>
      <c r="D87" s="2">
        <f>IFERROR(__xludf.DUMMYFUNCTION("""COMPUTED_VALUE"""),0.008190000000000001)</f>
        <v/>
      </c>
      <c r="E87" s="2">
        <f>IFERROR(__xludf.DUMMYFUNCTION("""COMPUTED_VALUE"""),1464.7)</f>
        <v/>
      </c>
      <c r="F87" s="2">
        <f>IFERROR(__xludf.DUMMYFUNCTION("""COMPUTED_VALUE"""),1700.0)</f>
        <v/>
      </c>
      <c r="G87" s="2">
        <f>IFERROR(__xludf.DUMMYFUNCTION("""COMPUTED_VALUE"""),2140.0)</f>
        <v/>
      </c>
      <c r="H87" s="2">
        <f>IFERROR(__xludf.DUMMYFUNCTION("""COMPUTED_VALUE"""),2404.0)</f>
        <v/>
      </c>
      <c r="I87" s="2">
        <f>IFERROR(__xludf.DUMMYFUNCTION("""COMPUTED_VALUE"""),2667.0)</f>
        <v/>
      </c>
      <c r="J87" s="2">
        <f>IFERROR(__xludf.DUMMYFUNCTION("""COMPUTED_VALUE"""),2140.0)</f>
        <v/>
      </c>
      <c r="K87" s="2">
        <f>IFERROR(__xludf.DUMMYFUNCTION("""COMPUTED_VALUE"""),10.0)</f>
        <v/>
      </c>
      <c r="L87" s="2">
        <f>IFERROR(__xludf.DUMMYFUNCTION("""COMPUTED_VALUE"""),"Office Special (Офис Премиум) до 10.2025")</f>
        <v/>
      </c>
      <c r="M87" s="2">
        <f>IFERROR(__xludf.DUMMYFUNCTION("""COMPUTED_VALUE"""),"Встраиваемые, Накладные, LED Светильники")</f>
        <v/>
      </c>
    </row>
    <row r="88">
      <c r="A88" s="5">
        <f>IFERROR(__xludf.DUMMYFUNCTION("""COMPUTED_VALUE"""),"4690612020815")</f>
        <v/>
      </c>
      <c r="B88" s="5">
        <f>IFERROR(__xludf.DUMMYFUNCTION("""COMPUTED_VALUE"""),"LED-GX53-VC 15Вт 230В 3000К 1430Лм IN HOME")</f>
        <v/>
      </c>
      <c r="C88" s="2">
        <f>IFERROR(__xludf.DUMMYFUNCTION("""COMPUTED_VALUE"""),0.051)</f>
        <v/>
      </c>
      <c r="D88" s="2">
        <f>IFERROR(__xludf.DUMMYFUNCTION("""COMPUTED_VALUE"""),2.1E-4)</f>
        <v/>
      </c>
      <c r="E88" s="2">
        <f>IFERROR(__xludf.DUMMYFUNCTION("""COMPUTED_VALUE"""),53.4)</f>
        <v/>
      </c>
      <c r="F88" s="2">
        <f>IFERROR(__xludf.DUMMYFUNCTION("""COMPUTED_VALUE"""),57.0)</f>
        <v/>
      </c>
      <c r="G88" s="2">
        <f>IFERROR(__xludf.DUMMYFUNCTION("""COMPUTED_VALUE"""),64.0)</f>
        <v/>
      </c>
      <c r="H88" s="2">
        <f>IFERROR(__xludf.DUMMYFUNCTION("""COMPUTED_VALUE"""),74.0)</f>
        <v/>
      </c>
      <c r="I88" s="2">
        <f>IFERROR(__xludf.DUMMYFUNCTION("""COMPUTED_VALUE"""),85.55)</f>
        <v/>
      </c>
      <c r="J88" s="2">
        <f>IFERROR(__xludf.DUMMYFUNCTION("""COMPUTED_VALUE"""),43.0)</f>
        <v/>
      </c>
      <c r="K88" s="2">
        <f>IFERROR(__xludf.DUMMYFUNCTION("""COMPUTED_VALUE"""),9.0)</f>
        <v/>
      </c>
      <c r="L88" s="2">
        <f>IFERROR(__xludf.DUMMYFUNCTION("""COMPUTED_VALUE"""),"Лампа светодиодная LED-GX53-standard")</f>
        <v/>
      </c>
      <c r="M88" s="2">
        <f>IFERROR(__xludf.DUMMYFUNCTION("""COMPUTED_VALUE"""),"Лампы")</f>
        <v/>
      </c>
    </row>
    <row r="89">
      <c r="A89" s="5">
        <f>IFERROR(__xludf.DUMMYFUNCTION("""COMPUTED_VALUE"""),"4690612030920")</f>
        <v/>
      </c>
      <c r="B89" s="5">
        <f>IFERROR(__xludf.DUMMYFUNCTION("""COMPUTED_VALUE"""),"LED-T8R-M-PRO 10Вт 230В G13R 6500К 1000Лм 600мм матовая поворотная IN HOME")</f>
        <v/>
      </c>
      <c r="C89" s="2">
        <f>IFERROR(__xludf.DUMMYFUNCTION("""COMPUTED_VALUE"""),0.108)</f>
        <v/>
      </c>
      <c r="D89" s="2">
        <f>IFERROR(__xludf.DUMMYFUNCTION("""COMPUTED_VALUE"""),7.2E-4)</f>
        <v/>
      </c>
      <c r="E89" s="2">
        <f>IFERROR(__xludf.DUMMYFUNCTION("""COMPUTED_VALUE"""),76.49)</f>
        <v/>
      </c>
      <c r="F89" s="2">
        <f>IFERROR(__xludf.DUMMYFUNCTION("""COMPUTED_VALUE"""),90.0)</f>
        <v/>
      </c>
      <c r="G89" s="2">
        <f>IFERROR(__xludf.DUMMYFUNCTION("""COMPUTED_VALUE"""),101.0)</f>
        <v/>
      </c>
      <c r="H89" s="2">
        <f>IFERROR(__xludf.DUMMYFUNCTION("""COMPUTED_VALUE"""),118.0)</f>
        <v/>
      </c>
      <c r="I89" s="2">
        <f>IFERROR(__xludf.DUMMYFUNCTION("""COMPUTED_VALUE"""),135.8)</f>
        <v/>
      </c>
      <c r="J89" s="2">
        <f>IFERROR(__xludf.DUMMYFUNCTION("""COMPUTED_VALUE"""),135.8)</f>
        <v/>
      </c>
      <c r="K89" s="2">
        <f>IFERROR(__xludf.DUMMYFUNCTION("""COMPUTED_VALUE"""),15.0)</f>
        <v/>
      </c>
      <c r="L89" s="2">
        <f>IFERROR(__xludf.DUMMYFUNCTION("""COMPUTED_VALUE"""),"Лампа светодиодная LED-T8")</f>
        <v/>
      </c>
      <c r="M89" s="2">
        <f>IFERROR(__xludf.DUMMYFUNCTION("""COMPUTED_VALUE"""),"Лампы")</f>
        <v/>
      </c>
    </row>
    <row r="90">
      <c r="A90" s="5">
        <f>IFERROR(__xludf.DUMMYFUNCTION("""COMPUTED_VALUE"""),"4690612034508")</f>
        <v/>
      </c>
      <c r="B90" s="5">
        <f>IFERROR(__xludf.DUMMYFUNCTION("""COMPUTED_VALUE"""),"БС М1P с аккумулятором USB розовый IN HOME")</f>
        <v/>
      </c>
      <c r="C90" s="2">
        <f>IFERROR(__xludf.DUMMYFUNCTION("""COMPUTED_VALUE"""),0.08)</f>
        <v/>
      </c>
      <c r="D90" s="2">
        <f>IFERROR(__xludf.DUMMYFUNCTION("""COMPUTED_VALUE"""),2.0E-4)</f>
        <v/>
      </c>
      <c r="E90" s="2">
        <f>IFERROR(__xludf.DUMMYFUNCTION("""COMPUTED_VALUE"""),1092.1)</f>
        <v/>
      </c>
      <c r="F90" s="2">
        <f>IFERROR(__xludf.DUMMYFUNCTION("""COMPUTED_VALUE"""),880.0)</f>
        <v/>
      </c>
      <c r="G90" s="2">
        <f>IFERROR(__xludf.DUMMYFUNCTION("""COMPUTED_VALUE"""),990.0)</f>
        <v/>
      </c>
      <c r="H90" s="2">
        <f>IFERROR(__xludf.DUMMYFUNCTION("""COMPUTED_VALUE"""),1148.0)</f>
        <v/>
      </c>
      <c r="I90" s="2">
        <f>IFERROR(__xludf.DUMMYFUNCTION("""COMPUTED_VALUE"""),1320.0)</f>
        <v/>
      </c>
      <c r="J90" s="2">
        <f>IFERROR(__xludf.DUMMYFUNCTION("""COMPUTED_VALUE"""),660.0)</f>
        <v/>
      </c>
      <c r="K90" s="2">
        <f>IFERROR(__xludf.DUMMYFUNCTION("""COMPUTED_VALUE"""),6.0)</f>
        <v/>
      </c>
      <c r="L90" s="2">
        <f>IFERROR(__xludf.DUMMYFUNCTION("""COMPUTED_VALUE"""),"Светильники светодиодные бактерицидные ультрафиолетовые")</f>
        <v/>
      </c>
      <c r="M90" s="2">
        <f>IFERROR(__xludf.DUMMYFUNCTION("""COMPUTED_VALUE"""),"Бактерицидные ультрафиолетовые  светильники (LED), LED Светильники")</f>
        <v/>
      </c>
    </row>
    <row r="91">
      <c r="A91" s="5">
        <f>IFERROR(__xludf.DUMMYFUNCTION("""COMPUTED_VALUE"""),"ms6168")</f>
        <v/>
      </c>
      <c r="B91" s="5">
        <f>IFERROR(__xludf.DUMMYFUNCTION("""COMPUTED_VALUE"""),"Светодиод L132-XID Красный")</f>
        <v/>
      </c>
      <c r="C91" s="2">
        <f>IFERROR(__xludf.DUMMYFUNCTION("""COMPUTED_VALUE"""),0.0)</f>
        <v/>
      </c>
      <c r="D91" s="2">
        <f>IFERROR(__xludf.DUMMYFUNCTION("""COMPUTED_VALUE"""),0.0)</f>
        <v/>
      </c>
      <c r="E91" s="2">
        <f>IFERROR(__xludf.DUMMYFUNCTION("""COMPUTED_VALUE"""),12.23)</f>
        <v/>
      </c>
      <c r="F91" s="2">
        <f>IFERROR(__xludf.DUMMYFUNCTION("""COMPUTED_VALUE"""),15.0)</f>
        <v/>
      </c>
      <c r="G91" s="2">
        <f>IFERROR(__xludf.DUMMYFUNCTION("""COMPUTED_VALUE"""),16.0)</f>
        <v/>
      </c>
      <c r="H91" s="2">
        <f>IFERROR(__xludf.DUMMYFUNCTION("""COMPUTED_VALUE"""),18.0)</f>
        <v/>
      </c>
      <c r="I91" s="2">
        <f>IFERROR(__xludf.DUMMYFUNCTION("""COMPUTED_VALUE"""),19.99)</f>
        <v/>
      </c>
      <c r="J91" s="2">
        <f>IFERROR(__xludf.DUMMYFUNCTION("""COMPUTED_VALUE"""),10.0)</f>
        <v/>
      </c>
      <c r="K91" s="2">
        <f>IFERROR(__xludf.DUMMYFUNCTION("""COMPUTED_VALUE"""),6.0)</f>
        <v/>
      </c>
      <c r="L91" s="2">
        <f>IFERROR(__xludf.DUMMYFUNCTION("""COMPUTED_VALUE"""),"ms6 (тендер)")</f>
        <v/>
      </c>
      <c r="M91" s="2">
        <f>IFERROR(__xludf.DUMMYFUNCTION("""COMPUTED_VALUE"""),"LED Светильники")</f>
        <v/>
      </c>
    </row>
    <row r="92">
      <c r="A92" s="5">
        <f>IFERROR(__xludf.DUMMYFUNCTION("""COMPUTED_VALUE"""),"4690612033471")</f>
        <v/>
      </c>
      <c r="B92" s="5">
        <f>IFERROR(__xludf.DUMMYFUNCTION("""COMPUTED_VALUE"""),"DECO НОЧНОЕ НЕБО 18Вт 230В 4000К 1620Лм 260х55мм IN HOME")</f>
        <v/>
      </c>
      <c r="C92" s="2">
        <f>IFERROR(__xludf.DUMMYFUNCTION("""COMPUTED_VALUE"""),0.31)</f>
        <v/>
      </c>
      <c r="D92" s="2">
        <f>IFERROR(__xludf.DUMMYFUNCTION("""COMPUTED_VALUE"""),0.004500000000000001)</f>
        <v/>
      </c>
      <c r="E92" s="2">
        <f>IFERROR(__xludf.DUMMYFUNCTION("""COMPUTED_VALUE"""),298.25)</f>
        <v/>
      </c>
      <c r="F92" s="2">
        <f>IFERROR(__xludf.DUMMYFUNCTION("""COMPUTED_VALUE"""),356.0)</f>
        <v/>
      </c>
      <c r="G92" s="2">
        <f>IFERROR(__xludf.DUMMYFUNCTION("""COMPUTED_VALUE"""),401.0)</f>
        <v/>
      </c>
      <c r="H92" s="2">
        <f>IFERROR(__xludf.DUMMYFUNCTION("""COMPUTED_VALUE"""),465.0)</f>
        <v/>
      </c>
      <c r="I92" s="2">
        <f>IFERROR(__xludf.DUMMYFUNCTION("""COMPUTED_VALUE"""),534.0)</f>
        <v/>
      </c>
      <c r="J92" s="2">
        <f>IFERROR(__xludf.DUMMYFUNCTION("""COMPUTED_VALUE"""),267.0)</f>
        <v/>
      </c>
      <c r="K92" s="2">
        <f>IFERROR(__xludf.DUMMYFUNCTION("""COMPUTED_VALUE"""),22.0)</f>
        <v/>
      </c>
      <c r="L92" s="2">
        <f>IFERROR(__xludf.DUMMYFUNCTION("""COMPUTED_VALUE"""),"Светильник светодиодный серии DECO")</f>
        <v/>
      </c>
      <c r="M92" s="2">
        <f>IFERROR(__xludf.DUMMYFUNCTION("""COMPUTED_VALUE"""),"Накладные, Декоративные, LED Светильники")</f>
        <v/>
      </c>
    </row>
    <row r="93">
      <c r="A93" s="5">
        <f>IFERROR(__xludf.DUMMYFUNCTION("""COMPUTED_VALUE"""),"55085")</f>
        <v/>
      </c>
      <c r="B93" s="5">
        <f>IFERROR(__xludf.DUMMYFUNCTION("""COMPUTED_VALUE"""),"Звезды 35 теплых LED ламп, прозрачный провод, 6 м, 220 v /20")</f>
        <v/>
      </c>
      <c r="C93" s="2">
        <f>IFERROR(__xludf.DUMMYFUNCTION("""COMPUTED_VALUE"""),0.0)</f>
        <v/>
      </c>
      <c r="D93" s="2">
        <f>IFERROR(__xludf.DUMMYFUNCTION("""COMPUTED_VALUE"""),0.0)</f>
        <v/>
      </c>
      <c r="E93" s="2">
        <f>IFERROR(__xludf.DUMMYFUNCTION("""COMPUTED_VALUE"""),526.95)</f>
        <v/>
      </c>
      <c r="F93" s="2">
        <f>IFERROR(__xludf.DUMMYFUNCTION("""COMPUTED_VALUE"""),585.0)</f>
        <v/>
      </c>
      <c r="G93" s="2">
        <f>IFERROR(__xludf.DUMMYFUNCTION("""COMPUTED_VALUE"""),638.0)</f>
        <v/>
      </c>
      <c r="H93" s="2">
        <f>IFERROR(__xludf.DUMMYFUNCTION("""COMPUTED_VALUE"""),691.0)</f>
        <v/>
      </c>
      <c r="I93" s="2">
        <f>IFERROR(__xludf.DUMMYFUNCTION("""COMPUTED_VALUE"""),745.0)</f>
        <v/>
      </c>
      <c r="J93" s="2">
        <f>IFERROR(__xludf.DUMMYFUNCTION("""COMPUTED_VALUE"""),373.0)</f>
        <v/>
      </c>
      <c r="K93" s="2">
        <f>IFERROR(__xludf.DUMMYFUNCTION("""COMPUTED_VALUE"""),33.0)</f>
        <v/>
      </c>
      <c r="L93" s="2">
        <f>IFERROR(__xludf.DUMMYFUNCTION("""COMPUTED_VALUE"""),"Праздничная иллюминация")</f>
        <v/>
      </c>
      <c r="M93" s="2">
        <f>IFERROR(__xludf.DUMMYFUNCTION("""COMPUTED_VALUE"""),"Гирлянды светодиодные (LED), Прочие товары")</f>
        <v/>
      </c>
    </row>
    <row r="94">
      <c r="A94" s="5">
        <f>IFERROR(__xludf.DUMMYFUNCTION("""COMPUTED_VALUE"""),"4690612029535")</f>
        <v/>
      </c>
      <c r="B94" s="5">
        <f>IFERROR(__xludf.DUMMYFUNCTION("""COMPUTED_VALUE"""),"СБА 1098-90DC 90 LED 2.2Ah lithium battery DC IN HOME")</f>
        <v/>
      </c>
      <c r="C94" s="2">
        <f>IFERROR(__xludf.DUMMYFUNCTION("""COMPUTED_VALUE"""),0.39)</f>
        <v/>
      </c>
      <c r="D94" s="2">
        <f>IFERROR(__xludf.DUMMYFUNCTION("""COMPUTED_VALUE"""),0.00135)</f>
        <v/>
      </c>
      <c r="E94" s="2">
        <f>IFERROR(__xludf.DUMMYFUNCTION("""COMPUTED_VALUE"""),642.6)</f>
        <v/>
      </c>
      <c r="F94" s="2">
        <f>IFERROR(__xludf.DUMMYFUNCTION("""COMPUTED_VALUE"""),829.0)</f>
        <v/>
      </c>
      <c r="G94" s="2">
        <f>IFERROR(__xludf.DUMMYFUNCTION("""COMPUTED_VALUE"""),933.0)</f>
        <v/>
      </c>
      <c r="H94" s="2">
        <f>IFERROR(__xludf.DUMMYFUNCTION("""COMPUTED_VALUE"""),1082.0)</f>
        <v/>
      </c>
      <c r="I94" s="2">
        <f>IFERROR(__xludf.DUMMYFUNCTION("""COMPUTED_VALUE"""),1244.0)</f>
        <v/>
      </c>
      <c r="J94" s="2">
        <f>IFERROR(__xludf.DUMMYFUNCTION("""COMPUTED_VALUE"""),622.0)</f>
        <v/>
      </c>
      <c r="K94" s="2">
        <f>IFERROR(__xludf.DUMMYFUNCTION("""COMPUTED_VALUE"""),8.0)</f>
        <v/>
      </c>
      <c r="L94" s="2">
        <f>IFERROR(__xludf.DUMMYFUNCTION("""COMPUTED_VALUE"""),"Светильники аварийные ВЫХОД, СБА")</f>
        <v/>
      </c>
      <c r="M94" s="2">
        <f>IFERROR(__xludf.DUMMYFUNCTION("""COMPUTED_VALUE"""),"Аварийные светильники, БАП (LED), LED Светильники")</f>
        <v/>
      </c>
    </row>
    <row r="95">
      <c r="A95" s="5">
        <f>IFERROR(__xludf.DUMMYFUNCTION("""COMPUTED_VALUE"""),"013176")</f>
        <v/>
      </c>
      <c r="B95" s="5">
        <f>IFERROR(__xludf.DUMMYFUNCTION("""COMPUTED_VALUE"""),"ArtLine-XS6/T/4K/L30/P G (6w/870Lm/4000K/вторичн.оптика 30°/300*43*80мм/стекло/т.серый RAL-7010/IP67) (FALDI)")</f>
        <v/>
      </c>
      <c r="C95" s="2">
        <f>IFERROR(__xludf.DUMMYFUNCTION("""COMPUTED_VALUE"""),0.0)</f>
        <v/>
      </c>
      <c r="D95" s="2">
        <f>IFERROR(__xludf.DUMMYFUNCTION("""COMPUTED_VALUE"""),0.0)</f>
        <v/>
      </c>
      <c r="E95" s="2">
        <f>IFERROR(__xludf.DUMMYFUNCTION("""COMPUTED_VALUE"""),6799.09)</f>
        <v/>
      </c>
      <c r="F95" s="2">
        <f>IFERROR(__xludf.DUMMYFUNCTION("""COMPUTED_VALUE"""),6630.0)</f>
        <v/>
      </c>
      <c r="G95" s="2">
        <f>IFERROR(__xludf.DUMMYFUNCTION("""COMPUTED_VALUE"""),7072.0)</f>
        <v/>
      </c>
      <c r="H95" s="2">
        <f>IFERROR(__xludf.DUMMYFUNCTION("""COMPUTED_VALUE"""),7956.0)</f>
        <v/>
      </c>
      <c r="I95" s="2">
        <f>IFERROR(__xludf.DUMMYFUNCTION("""COMPUTED_VALUE"""),8839.5)</f>
        <v/>
      </c>
      <c r="J95" s="2">
        <f>IFERROR(__xludf.DUMMYFUNCTION("""COMPUTED_VALUE"""),4420.0)</f>
        <v/>
      </c>
      <c r="K95" s="2">
        <f>IFERROR(__xludf.DUMMYFUNCTION("""COMPUTED_VALUE"""),1.0)</f>
        <v/>
      </c>
      <c r="L95" s="2">
        <f>IFERROR(__xludf.DUMMYFUNCTION("""COMPUTED_VALUE"""),"FALDI")</f>
        <v/>
      </c>
      <c r="M95" s="2">
        <f>IFERROR(__xludf.DUMMYFUNCTION("""COMPUTED_VALUE"""),"Уличные светильники (LED), LED Светильники")</f>
        <v/>
      </c>
    </row>
    <row r="96">
      <c r="A96" s="5">
        <f>IFERROR(__xludf.DUMMYFUNCTION("""COMPUTED_VALUE"""),"4690612002521")</f>
        <v/>
      </c>
      <c r="B96" s="5">
        <f>IFERROR(__xludf.DUMMYFUNCTION("""COMPUTED_VALUE"""),"СПБ-2 5Вт 230В 4000К 400лм 155мм белый LLT")</f>
        <v/>
      </c>
      <c r="C96" s="2">
        <f>IFERROR(__xludf.DUMMYFUNCTION("""COMPUTED_VALUE"""),0.22)</f>
        <v/>
      </c>
      <c r="D96" s="2">
        <f>IFERROR(__xludf.DUMMYFUNCTION("""COMPUTED_VALUE"""),0.0013)</f>
        <v/>
      </c>
      <c r="E96" s="2">
        <f>IFERROR(__xludf.DUMMYFUNCTION("""COMPUTED_VALUE"""),184.1)</f>
        <v/>
      </c>
      <c r="F96" s="2">
        <f>IFERROR(__xludf.DUMMYFUNCTION("""COMPUTED_VALUE"""),153.0)</f>
        <v/>
      </c>
      <c r="G96" s="2">
        <f>IFERROR(__xludf.DUMMYFUNCTION("""COMPUTED_VALUE"""),172.0)</f>
        <v/>
      </c>
      <c r="H96" s="2">
        <f>IFERROR(__xludf.DUMMYFUNCTION("""COMPUTED_VALUE"""),199.0)</f>
        <v/>
      </c>
      <c r="I96" s="2">
        <f>IFERROR(__xludf.DUMMYFUNCTION("""COMPUTED_VALUE"""),229.0)</f>
        <v/>
      </c>
      <c r="J96" s="2">
        <f>IFERROR(__xludf.DUMMYFUNCTION("""COMPUTED_VALUE"""),115.0)</f>
        <v/>
      </c>
      <c r="K96" s="2">
        <f>IFERROR(__xludf.DUMMYFUNCTION("""COMPUTED_VALUE"""),5.0)</f>
        <v/>
      </c>
      <c r="L96" s="2">
        <f>IFERROR(__xludf.DUMMYFUNCTION("""COMPUTED_VALUE"""),"Светильники светодиодные СПБ-2, СПБ-3")</f>
        <v/>
      </c>
      <c r="M96" s="2">
        <f>IFERROR(__xludf.DUMMYFUNCTION("""COMPUTED_VALUE"""),"Накладные, Без датчиков, LED Светильники")</f>
        <v/>
      </c>
    </row>
    <row r="97">
      <c r="A97" s="5">
        <f>IFERROR(__xludf.DUMMYFUNCTION("""COMPUTED_VALUE"""),"71-0666")</f>
        <v/>
      </c>
      <c r="B97" s="5">
        <f>IFERROR(__xludf.DUMMYFUNCTION("""COMPUTED_VALUE"""),"Rexant Ловушка уничтожитель крыс и мышей 71-0666")</f>
        <v/>
      </c>
      <c r="C97" s="2">
        <f>IFERROR(__xludf.DUMMYFUNCTION("""COMPUTED_VALUE"""),0.0)</f>
        <v/>
      </c>
      <c r="D97" s="2">
        <f>IFERROR(__xludf.DUMMYFUNCTION("""COMPUTED_VALUE"""),0.0)</f>
        <v/>
      </c>
      <c r="E97" s="2">
        <f>IFERROR(__xludf.DUMMYFUNCTION("""COMPUTED_VALUE"""),1.0)</f>
        <v/>
      </c>
      <c r="F97" s="2">
        <f>IFERROR(__xludf.DUMMYFUNCTION("""COMPUTED_VALUE"""),3673.0)</f>
        <v/>
      </c>
      <c r="G97" s="2">
        <f>IFERROR(__xludf.DUMMYFUNCTION("""COMPUTED_VALUE"""),3918.0)</f>
        <v/>
      </c>
      <c r="H97" s="2">
        <f>IFERROR(__xludf.DUMMYFUNCTION("""COMPUTED_VALUE"""),4408.0)</f>
        <v/>
      </c>
      <c r="I97" s="2">
        <f>IFERROR(__xludf.DUMMYFUNCTION("""COMPUTED_VALUE"""),4897.51)</f>
        <v/>
      </c>
      <c r="J97" s="2">
        <f>IFERROR(__xludf.DUMMYFUNCTION("""COMPUTED_VALUE"""),2449.0)</f>
        <v/>
      </c>
      <c r="K97" s="2">
        <f>IFERROR(__xludf.DUMMYFUNCTION("""COMPUTED_VALUE"""),1.0)</f>
        <v/>
      </c>
      <c r="L97" s="2">
        <f>IFERROR(__xludf.DUMMYFUNCTION("""COMPUTED_VALUE"""),"Rexant")</f>
        <v/>
      </c>
      <c r="M97" s="2">
        <f>IFERROR(__xludf.DUMMYFUNCTION("""COMPUTED_VALUE"""),"Прочие товары")</f>
        <v/>
      </c>
    </row>
    <row r="98">
      <c r="A98" s="5">
        <f>IFERROR(__xludf.DUMMYFUNCTION("""COMPUTED_VALUE"""),"4690612029634")</f>
        <v/>
      </c>
      <c r="B98" s="5">
        <f>IFERROR(__xludf.DUMMYFUNCTION("""COMPUTED_VALUE"""),"LPU-02 36Вт ПРИЗМА 230В 6500К 3420Лм 595х595х19мм IP40 IN HOME")</f>
        <v/>
      </c>
      <c r="C98" s="2">
        <f>IFERROR(__xludf.DUMMYFUNCTION("""COMPUTED_VALUE"""),4.4)</f>
        <v/>
      </c>
      <c r="D98" s="2">
        <f>IFERROR(__xludf.DUMMYFUNCTION("""COMPUTED_VALUE"""),0.033)</f>
        <v/>
      </c>
      <c r="E98" s="2">
        <f>IFERROR(__xludf.DUMMYFUNCTION("""COMPUTED_VALUE"""),530.91)</f>
        <v/>
      </c>
      <c r="F98" s="2">
        <f>IFERROR(__xludf.DUMMYFUNCTION("""COMPUTED_VALUE"""),550.0)</f>
        <v/>
      </c>
      <c r="G98" s="2">
        <f>IFERROR(__xludf.DUMMYFUNCTION("""COMPUTED_VALUE"""),619.0)</f>
        <v/>
      </c>
      <c r="H98" s="2">
        <f>IFERROR(__xludf.DUMMYFUNCTION("""COMPUTED_VALUE"""),718.0)</f>
        <v/>
      </c>
      <c r="I98" s="2">
        <f>IFERROR(__xludf.DUMMYFUNCTION("""COMPUTED_VALUE"""),825.0)</f>
        <v/>
      </c>
      <c r="J98" s="2">
        <f>IFERROR(__xludf.DUMMYFUNCTION("""COMPUTED_VALUE"""),413.0)</f>
        <v/>
      </c>
      <c r="K98" s="2">
        <f>IFERROR(__xludf.DUMMYFUNCTION("""COMPUTED_VALUE"""),10.0)</f>
        <v/>
      </c>
      <c r="L98" s="2">
        <f>IFERROR(__xludf.DUMMYFUNCTION("""COMPUTED_VALUE"""),"Панели светодиодные LP серии ПРИЗМА")</f>
        <v/>
      </c>
      <c r="M98" s="2">
        <f>IFERROR(__xludf.DUMMYFUNCTION("""COMPUTED_VALUE"""),"Встраиваемые, Накладные, LED Светильники")</f>
        <v/>
      </c>
    </row>
    <row r="99">
      <c r="A99" s="5">
        <f>IFERROR(__xludf.DUMMYFUNCTION("""COMPUTED_VALUE"""),"4690612020310")</f>
        <v/>
      </c>
      <c r="B99" s="5">
        <f>IFERROR(__xludf.DUMMYFUNCTION("""COMPUTED_VALUE"""),"LED-A60-VC 20Вт 230В Е27 6500К 1900Лм IN HOME")</f>
        <v/>
      </c>
      <c r="C99" s="2">
        <f>IFERROR(__xludf.DUMMYFUNCTION("""COMPUTED_VALUE"""),0.05500000000000001)</f>
        <v/>
      </c>
      <c r="D99" s="2">
        <f>IFERROR(__xludf.DUMMYFUNCTION("""COMPUTED_VALUE"""),4.0E-4)</f>
        <v/>
      </c>
      <c r="E99" s="2">
        <f>IFERROR(__xludf.DUMMYFUNCTION("""COMPUTED_VALUE"""),46.2)</f>
        <v/>
      </c>
      <c r="F99" s="2">
        <f>IFERROR(__xludf.DUMMYFUNCTION("""COMPUTED_VALUE"""),60.0)</f>
        <v/>
      </c>
      <c r="G99" s="2">
        <f>IFERROR(__xludf.DUMMYFUNCTION("""COMPUTED_VALUE"""),68.0)</f>
        <v/>
      </c>
      <c r="H99" s="2">
        <f>IFERROR(__xludf.DUMMYFUNCTION("""COMPUTED_VALUE"""),78.0)</f>
        <v/>
      </c>
      <c r="I99" s="2">
        <f>IFERROR(__xludf.DUMMYFUNCTION("""COMPUTED_VALUE"""),90.5)</f>
        <v/>
      </c>
      <c r="J99" s="2">
        <f>IFERROR(__xludf.DUMMYFUNCTION("""COMPUTED_VALUE"""),45.0)</f>
        <v/>
      </c>
      <c r="K99" s="2">
        <f>IFERROR(__xludf.DUMMYFUNCTION("""COMPUTED_VALUE"""),3.0)</f>
        <v/>
      </c>
      <c r="L99" s="2">
        <f>IFERROR(__xludf.DUMMYFUNCTION("""COMPUTED_VALUE"""),"Лампа светодиодная LED-A60-standard")</f>
        <v/>
      </c>
      <c r="M99" s="2">
        <f>IFERROR(__xludf.DUMMYFUNCTION("""COMPUTED_VALUE"""),"Лампы")</f>
        <v/>
      </c>
    </row>
    <row r="100">
      <c r="A100" s="5">
        <f>IFERROR(__xludf.DUMMYFUNCTION("""COMPUTED_VALUE"""),"V9049")</f>
        <v/>
      </c>
      <c r="B100" s="5">
        <f>IFERROR(__xludf.DUMMYFUNCTION("""COMPUTED_VALUE"""),"VRN-UNE-124D-G40K67-UV, 124Вт, Галочка")</f>
        <v/>
      </c>
      <c r="C100" s="2">
        <f>IFERROR(__xludf.DUMMYFUNCTION("""COMPUTED_VALUE"""),3.0)</f>
        <v/>
      </c>
      <c r="D100" s="2">
        <f>IFERROR(__xludf.DUMMYFUNCTION("""COMPUTED_VALUE"""),0.015)</f>
        <v/>
      </c>
      <c r="E100" s="2">
        <f>IFERROR(__xludf.DUMMYFUNCTION("""COMPUTED_VALUE"""),4457.6)</f>
        <v/>
      </c>
      <c r="F100" s="2">
        <f>IFERROR(__xludf.DUMMYFUNCTION("""COMPUTED_VALUE"""),5205.0)</f>
        <v/>
      </c>
      <c r="G100" s="2">
        <f>IFERROR(__xludf.DUMMYFUNCTION("""COMPUTED_VALUE"""),6767.0)</f>
        <v/>
      </c>
      <c r="H100" s="2">
        <f>IFERROR(__xludf.DUMMYFUNCTION("""COMPUTED_VALUE"""),7105.0)</f>
        <v/>
      </c>
      <c r="I100" s="2">
        <f>IFERROR(__xludf.DUMMYFUNCTION("""COMPUTED_VALUE"""),7443.0)</f>
        <v/>
      </c>
      <c r="J100" s="2">
        <f>IFERROR(__xludf.DUMMYFUNCTION("""COMPUTED_VALUE"""),7105.0)</f>
        <v/>
      </c>
      <c r="K100" s="2">
        <f>IFERROR(__xludf.DUMMYFUNCTION("""COMPUTED_VALUE"""),43.0)</f>
        <v/>
      </c>
      <c r="L100" s="2">
        <f>IFERROR(__xludf.DUMMYFUNCTION("""COMPUTED_VALUE"""),"Универсал Эконом")</f>
        <v/>
      </c>
      <c r="M100" s="2">
        <f>IFERROR(__xludf.DUMMYFUNCTION("""COMPUTED_VALUE"""),"Для обычных дорог, Модульные, LED Светильники")</f>
        <v/>
      </c>
    </row>
    <row r="101">
      <c r="A101" s="5">
        <f>IFERROR(__xludf.DUMMYFUNCTION("""COMPUTED_VALUE"""),"4690612024066")</f>
        <v/>
      </c>
      <c r="B101" s="5">
        <f>IFERROR(__xludf.DUMMYFUNCTION("""COMPUTED_VALUE"""),"LED-A65-VC 25Вт 230В Е27 3000К 2380Лм IN HOME")</f>
        <v/>
      </c>
      <c r="C101" s="2">
        <f>IFERROR(__xludf.DUMMYFUNCTION("""COMPUTED_VALUE"""),0.08)</f>
        <v/>
      </c>
      <c r="D101" s="2">
        <f>IFERROR(__xludf.DUMMYFUNCTION("""COMPUTED_VALUE"""),6.000000000000001E-4)</f>
        <v/>
      </c>
      <c r="E101" s="2">
        <f>IFERROR(__xludf.DUMMYFUNCTION("""COMPUTED_VALUE"""),66.26)</f>
        <v/>
      </c>
      <c r="F101" s="2">
        <f>IFERROR(__xludf.DUMMYFUNCTION("""COMPUTED_VALUE"""),71.0)</f>
        <v/>
      </c>
      <c r="G101" s="2">
        <f>IFERROR(__xludf.DUMMYFUNCTION("""COMPUTED_VALUE"""),80.0)</f>
        <v/>
      </c>
      <c r="H101" s="2">
        <f>IFERROR(__xludf.DUMMYFUNCTION("""COMPUTED_VALUE"""),92.0)</f>
        <v/>
      </c>
      <c r="I101" s="2">
        <f>IFERROR(__xludf.DUMMYFUNCTION("""COMPUTED_VALUE"""),106.5)</f>
        <v/>
      </c>
      <c r="J101" s="2">
        <f>IFERROR(__xludf.DUMMYFUNCTION("""COMPUTED_VALUE"""),53.0)</f>
        <v/>
      </c>
      <c r="K101" s="2">
        <f>IFERROR(__xludf.DUMMYFUNCTION("""COMPUTED_VALUE"""),2.0)</f>
        <v/>
      </c>
      <c r="L101" s="2">
        <f>IFERROR(__xludf.DUMMYFUNCTION("""COMPUTED_VALUE"""),"Лампа светодиодная LED-A60-standard")</f>
        <v/>
      </c>
      <c r="M101" s="2">
        <f>IFERROR(__xludf.DUMMYFUNCTION("""COMPUTED_VALUE"""),"Лампы")</f>
        <v/>
      </c>
    </row>
    <row r="102">
      <c r="A102" s="5">
        <f>IFERROR(__xludf.DUMMYFUNCTION("""COMPUTED_VALUE"""),"4690612033082")</f>
        <v/>
      </c>
      <c r="B102" s="5">
        <f>IFERROR(__xludf.DUMMYFUNCTION("""COMPUTED_VALUE"""),"NRLP-BL 24Вт 230В 4000К 1440Лм 245мм с подсветкой белая IP20 IN HOME")</f>
        <v/>
      </c>
      <c r="C102" s="2">
        <f>IFERROR(__xludf.DUMMYFUNCTION("""COMPUTED_VALUE"""),0.55)</f>
        <v/>
      </c>
      <c r="D102" s="2">
        <f>IFERROR(__xludf.DUMMYFUNCTION("""COMPUTED_VALUE"""),0.003)</f>
        <v/>
      </c>
      <c r="E102" s="2">
        <f>IFERROR(__xludf.DUMMYFUNCTION("""COMPUTED_VALUE"""),476.57)</f>
        <v/>
      </c>
      <c r="F102" s="2">
        <f>IFERROR(__xludf.DUMMYFUNCTION("""COMPUTED_VALUE"""),409.0)</f>
        <v/>
      </c>
      <c r="G102" s="2">
        <f>IFERROR(__xludf.DUMMYFUNCTION("""COMPUTED_VALUE"""),461.0)</f>
        <v/>
      </c>
      <c r="H102" s="2">
        <f>IFERROR(__xludf.DUMMYFUNCTION("""COMPUTED_VALUE"""),534.0)</f>
        <v/>
      </c>
      <c r="I102" s="2">
        <f>IFERROR(__xludf.DUMMYFUNCTION("""COMPUTED_VALUE"""),614.0)</f>
        <v/>
      </c>
      <c r="J102" s="2">
        <f>IFERROR(__xludf.DUMMYFUNCTION("""COMPUTED_VALUE"""),409.0)</f>
        <v/>
      </c>
      <c r="K102" s="2">
        <f>IFERROR(__xludf.DUMMYFUNCTION("""COMPUTED_VALUE"""),2.0)</f>
        <v/>
      </c>
      <c r="L102" s="2">
        <f>IFERROR(__xludf.DUMMYFUNCTION("""COMPUTED_VALUE"""),"Панели светодиодные круглые накладные NRLP")</f>
        <v/>
      </c>
      <c r="M102" s="2">
        <f>IFERROR(__xludf.DUMMYFUNCTION("""COMPUTED_VALUE"""),"Накладные, Для ЖКХ, дома, дачи, LED Светильники")</f>
        <v/>
      </c>
    </row>
    <row r="103">
      <c r="A103" s="5">
        <f>IFERROR(__xludf.DUMMYFUNCTION("""COMPUTED_VALUE"""),"4690612025131")</f>
        <v/>
      </c>
      <c r="B103" s="5">
        <f>IFERROR(__xludf.DUMMYFUNCTION("""COMPUTED_VALUE"""),"DECO 24Вт 230В 6500К 1560Лм 300х55мм СОЗВЕЗДИЕ IN HOME")</f>
        <v/>
      </c>
      <c r="C103" s="2">
        <f>IFERROR(__xludf.DUMMYFUNCTION("""COMPUTED_VALUE"""),0.43333)</f>
        <v/>
      </c>
      <c r="D103" s="2">
        <f>IFERROR(__xludf.DUMMYFUNCTION("""COMPUTED_VALUE"""),0.006670000000000001)</f>
        <v/>
      </c>
      <c r="E103" s="2">
        <f>IFERROR(__xludf.DUMMYFUNCTION("""COMPUTED_VALUE"""),379.42)</f>
        <v/>
      </c>
      <c r="F103" s="2">
        <f>IFERROR(__xludf.DUMMYFUNCTION("""COMPUTED_VALUE"""),473.0)</f>
        <v/>
      </c>
      <c r="G103" s="2">
        <f>IFERROR(__xludf.DUMMYFUNCTION("""COMPUTED_VALUE"""),533.0)</f>
        <v/>
      </c>
      <c r="H103" s="2">
        <f>IFERROR(__xludf.DUMMYFUNCTION("""COMPUTED_VALUE"""),618.0)</f>
        <v/>
      </c>
      <c r="I103" s="2">
        <f>IFERROR(__xludf.DUMMYFUNCTION("""COMPUTED_VALUE"""),710.0)</f>
        <v/>
      </c>
      <c r="J103" s="2">
        <f>IFERROR(__xludf.DUMMYFUNCTION("""COMPUTED_VALUE"""),618.0)</f>
        <v/>
      </c>
      <c r="K103" s="2">
        <f>IFERROR(__xludf.DUMMYFUNCTION("""COMPUTED_VALUE"""),31.0)</f>
        <v/>
      </c>
      <c r="L103" s="2">
        <f>IFERROR(__xludf.DUMMYFUNCTION("""COMPUTED_VALUE"""),"Светильник светодиодный серии DECO")</f>
        <v/>
      </c>
      <c r="M103" s="2">
        <f>IFERROR(__xludf.DUMMYFUNCTION("""COMPUTED_VALUE"""),"Накладные, Декоративные, LED Светильники")</f>
        <v/>
      </c>
    </row>
    <row r="104">
      <c r="A104" s="5">
        <f>IFERROR(__xludf.DUMMYFUNCTION("""COMPUTED_VALUE"""),"GL8151")</f>
        <v/>
      </c>
      <c r="B104" s="5">
        <f>IFERROR(__xludf.DUMMYFUNCTION("""COMPUTED_VALUE"""),"GLERIO Office Special 48 Вт 4000К 82P-48D-4V-P")</f>
        <v/>
      </c>
      <c r="C104" s="2">
        <f>IFERROR(__xludf.DUMMYFUNCTION("""COMPUTED_VALUE"""),1.14)</f>
        <v/>
      </c>
      <c r="D104" s="2">
        <f>IFERROR(__xludf.DUMMYFUNCTION("""COMPUTED_VALUE"""),0.008190000000000001)</f>
        <v/>
      </c>
      <c r="E104" s="2">
        <f>IFERROR(__xludf.DUMMYFUNCTION("""COMPUTED_VALUE"""),2095.2)</f>
        <v/>
      </c>
      <c r="F104" s="2">
        <f>IFERROR(__xludf.DUMMYFUNCTION("""COMPUTED_VALUE"""),2660.0)</f>
        <v/>
      </c>
      <c r="G104" s="2">
        <f>IFERROR(__xludf.DUMMYFUNCTION("""COMPUTED_VALUE"""),3349.0)</f>
        <v/>
      </c>
      <c r="H104" s="2">
        <f>IFERROR(__xludf.DUMMYFUNCTION("""COMPUTED_VALUE"""),3761.0)</f>
        <v/>
      </c>
      <c r="I104" s="2">
        <f>IFERROR(__xludf.DUMMYFUNCTION("""COMPUTED_VALUE"""),4173.0)</f>
        <v/>
      </c>
      <c r="J104" s="2">
        <f>IFERROR(__xludf.DUMMYFUNCTION("""COMPUTED_VALUE"""),2087.0)</f>
        <v/>
      </c>
      <c r="K104" s="2">
        <f>IFERROR(__xludf.DUMMYFUNCTION("""COMPUTED_VALUE"""),1.0)</f>
        <v/>
      </c>
      <c r="L104" s="2">
        <f>IFERROR(__xludf.DUMMYFUNCTION("""COMPUTED_VALUE"""),"Office Special (Офис Премиум) до 10.2025")</f>
        <v/>
      </c>
      <c r="M104" s="2">
        <f>IFERROR(__xludf.DUMMYFUNCTION("""COMPUTED_VALUE"""),"Встраиваемые, Накладные, LED Светильники")</f>
        <v/>
      </c>
    </row>
    <row r="105">
      <c r="A105" s="5">
        <f>IFERROR(__xludf.DUMMYFUNCTION("""COMPUTED_VALUE"""),"4690612034690")</f>
        <v/>
      </c>
      <c r="B105" s="5">
        <f>IFERROR(__xludf.DUMMYFUNCTION("""COMPUTED_VALUE"""),"СДО-7 30Вт 230В 6500К IP65 белый IN HOME")</f>
        <v/>
      </c>
      <c r="C105" s="2">
        <f>IFERROR(__xludf.DUMMYFUNCTION("""COMPUTED_VALUE"""),0.25)</f>
        <v/>
      </c>
      <c r="D105" s="2">
        <f>IFERROR(__xludf.DUMMYFUNCTION("""COMPUTED_VALUE"""),6.8E-4)</f>
        <v/>
      </c>
      <c r="E105" s="2">
        <f>IFERROR(__xludf.DUMMYFUNCTION("""COMPUTED_VALUE"""),282.74)</f>
        <v/>
      </c>
      <c r="F105" s="2">
        <f>IFERROR(__xludf.DUMMYFUNCTION("""COMPUTED_VALUE"""),196.0)</f>
        <v/>
      </c>
      <c r="G105" s="2">
        <f>IFERROR(__xludf.DUMMYFUNCTION("""COMPUTED_VALUE"""),220.0)</f>
        <v/>
      </c>
      <c r="H105" s="2">
        <f>IFERROR(__xludf.DUMMYFUNCTION("""COMPUTED_VALUE"""),256.0)</f>
        <v/>
      </c>
      <c r="I105" s="2">
        <f>IFERROR(__xludf.DUMMYFUNCTION("""COMPUTED_VALUE"""),294.0)</f>
        <v/>
      </c>
      <c r="J105" s="2">
        <f>IFERROR(__xludf.DUMMYFUNCTION("""COMPUTED_VALUE"""),147.0)</f>
        <v/>
      </c>
      <c r="K105" s="2">
        <f>IFERROR(__xludf.DUMMYFUNCTION("""COMPUTED_VALUE"""),1.0)</f>
        <v/>
      </c>
      <c r="L105" s="2">
        <f>IFERROR(__xludf.DUMMYFUNCTION("""COMPUTED_VALUE"""),"Прожекторы светодиодные СДО-07")</f>
        <v/>
      </c>
      <c r="M105" s="2">
        <f>IFERROR(__xludf.DUMMYFUNCTION("""COMPUTED_VALUE"""),"Прожекторы (LED), Бытовые (недорогие), Без датчиков, LED Светильники")</f>
        <v/>
      </c>
    </row>
    <row r="106">
      <c r="A106" s="5">
        <f>IFERROR(__xludf.DUMMYFUNCTION("""COMPUTED_VALUE"""),"4690612023380")</f>
        <v/>
      </c>
      <c r="B106" s="5">
        <f>IFERROR(__xludf.DUMMYFUNCTION("""COMPUTED_VALUE"""),"LED-JCDRC-VC 6Вт 230В GU10 3000К 530Лм IN HOME")</f>
        <v/>
      </c>
      <c r="C106" s="2">
        <f>IFERROR(__xludf.DUMMYFUNCTION("""COMPUTED_VALUE"""),0.035)</f>
        <v/>
      </c>
      <c r="D106" s="2">
        <f>IFERROR(__xludf.DUMMYFUNCTION("""COMPUTED_VALUE"""),2.1E-4)</f>
        <v/>
      </c>
      <c r="E106" s="2">
        <f>IFERROR(__xludf.DUMMYFUNCTION("""COMPUTED_VALUE"""),32.56)</f>
        <v/>
      </c>
      <c r="F106" s="2">
        <f>IFERROR(__xludf.DUMMYFUNCTION("""COMPUTED_VALUE"""),35.0)</f>
        <v/>
      </c>
      <c r="G106" s="2">
        <f>IFERROR(__xludf.DUMMYFUNCTION("""COMPUTED_VALUE"""),40.0)</f>
        <v/>
      </c>
      <c r="H106" s="2">
        <f>IFERROR(__xludf.DUMMYFUNCTION("""COMPUTED_VALUE"""),46.0)</f>
        <v/>
      </c>
      <c r="I106" s="2">
        <f>IFERROR(__xludf.DUMMYFUNCTION("""COMPUTED_VALUE"""),53.5)</f>
        <v/>
      </c>
      <c r="J106" s="2">
        <f>IFERROR(__xludf.DUMMYFUNCTION("""COMPUTED_VALUE"""),27.0)</f>
        <v/>
      </c>
      <c r="K106" s="2">
        <f>IFERROR(__xludf.DUMMYFUNCTION("""COMPUTED_VALUE"""),39.0)</f>
        <v/>
      </c>
      <c r="L106" s="2">
        <f>IFERROR(__xludf.DUMMYFUNCTION("""COMPUTED_VALUE"""),"Лампа светодиодная LED-JCDR-standard")</f>
        <v/>
      </c>
      <c r="M106" s="2">
        <f>IFERROR(__xludf.DUMMYFUNCTION("""COMPUTED_VALUE"""),"Лампы")</f>
        <v/>
      </c>
    </row>
    <row r="107">
      <c r="A107" s="5">
        <f>IFERROR(__xludf.DUMMYFUNCTION("""COMPUTED_VALUE"""),"4690612053936")</f>
        <v/>
      </c>
      <c r="B107" s="5">
        <f>IFERROR(__xludf.DUMMYFUNCTION("""COMPUTED_VALUE"""),"ДБУ LINES-1530BL 15Вт 3000К IP54 черный IN HOME")</f>
        <v/>
      </c>
      <c r="C107" s="2">
        <f>IFERROR(__xludf.DUMMYFUNCTION("""COMPUTED_VALUE"""),0.647)</f>
        <v/>
      </c>
      <c r="D107" s="2">
        <f>IFERROR(__xludf.DUMMYFUNCTION("""COMPUTED_VALUE"""),0.00192)</f>
        <v/>
      </c>
      <c r="E107" s="2">
        <f>IFERROR(__xludf.DUMMYFUNCTION("""COMPUTED_VALUE"""),675.0)</f>
        <v/>
      </c>
      <c r="F107" s="2">
        <f>IFERROR(__xludf.DUMMYFUNCTION("""COMPUTED_VALUE"""),689.0)</f>
        <v/>
      </c>
      <c r="G107" s="2">
        <f>IFERROR(__xludf.DUMMYFUNCTION("""COMPUTED_VALUE"""),775.0)</f>
        <v/>
      </c>
      <c r="H107" s="2">
        <f>IFERROR(__xludf.DUMMYFUNCTION("""COMPUTED_VALUE"""),899.0)</f>
        <v/>
      </c>
      <c r="I107" s="2">
        <f>IFERROR(__xludf.DUMMYFUNCTION("""COMPUTED_VALUE"""),1033.0)</f>
        <v/>
      </c>
      <c r="J107" s="2">
        <f>IFERROR(__xludf.DUMMYFUNCTION("""COMPUTED_VALUE"""),517.0)</f>
        <v/>
      </c>
      <c r="K107" s="2">
        <f>IFERROR(__xludf.DUMMYFUNCTION("""COMPUTED_VALUE"""),11.0)</f>
        <v/>
      </c>
      <c r="L107" s="2">
        <f>IFERROR(__xludf.DUMMYFUNCTION("""COMPUTED_VALUE"""),"Светильники светодиодные уличные ДБУ")</f>
        <v/>
      </c>
      <c r="M107" s="2">
        <f>IFERROR(__xludf.DUMMYFUNCTION("""COMPUTED_VALUE"""),"Садово-парковые, ландшафтные, LED Светильники")</f>
        <v/>
      </c>
    </row>
    <row r="108">
      <c r="A108" s="5">
        <f>IFERROR(__xludf.DUMMYFUNCTION("""COMPUTED_VALUE"""),"R100059")</f>
        <v/>
      </c>
      <c r="B108" s="5">
        <f>IFERROR(__xludf.DUMMYFUNCTION("""COMPUTED_VALUE"""),"RSV-SPO-03-40W-6500К, IP40 1200*65*25")</f>
        <v/>
      </c>
      <c r="C108" s="2">
        <f>IFERROR(__xludf.DUMMYFUNCTION("""COMPUTED_VALUE"""),0.22333)</f>
        <v/>
      </c>
      <c r="D108" s="2">
        <f>IFERROR(__xludf.DUMMYFUNCTION("""COMPUTED_VALUE"""),0.0018)</f>
        <v/>
      </c>
      <c r="E108" s="2">
        <f>IFERROR(__xludf.DUMMYFUNCTION("""COMPUTED_VALUE"""),175.2)</f>
        <v/>
      </c>
      <c r="F108" s="2">
        <f>IFERROR(__xludf.DUMMYFUNCTION("""COMPUTED_VALUE"""),198.0)</f>
        <v/>
      </c>
      <c r="G108" s="2">
        <f>IFERROR(__xludf.DUMMYFUNCTION("""COMPUTED_VALUE"""),233.0)</f>
        <v/>
      </c>
      <c r="H108" s="2">
        <f>IFERROR(__xludf.DUMMYFUNCTION("""COMPUTED_VALUE"""),240.0)</f>
        <v/>
      </c>
      <c r="I108" s="2">
        <f>IFERROR(__xludf.DUMMYFUNCTION("""COMPUTED_VALUE"""),276.0)</f>
        <v/>
      </c>
      <c r="J108" s="2">
        <f>IFERROR(__xludf.DUMMYFUNCTION("""COMPUTED_VALUE"""),138.0)</f>
        <v/>
      </c>
      <c r="K108" s="2">
        <f>IFERROR(__xludf.DUMMYFUNCTION("""COMPUTED_VALUE"""),2.0)</f>
        <v/>
      </c>
      <c r="L108" s="2">
        <f>IFERROR(__xludf.DUMMYFUNCTION("""COMPUTED_VALUE"""),"Офисный светильник RSV-SPO-02, SPO-03 (Сталь)")</f>
        <v/>
      </c>
      <c r="M108" s="2">
        <f>IFERROR(__xludf.DUMMYFUNCTION("""COMPUTED_VALUE"""),"Пластиковые (линейные), С равномерной засветкой, Линейные (проходные), LED Светильники")</f>
        <v/>
      </c>
    </row>
    <row r="109">
      <c r="A109" s="5">
        <f>IFERROR(__xludf.DUMMYFUNCTION("""COMPUTED_VALUE"""),"4690626062757")</f>
        <v/>
      </c>
      <c r="B109" s="5">
        <f>IFERROR(__xludf.DUMMYFUNCTION("""COMPUTED_VALUE"""),"Настенный светильник, на солн. батар., с датчиком движ., 24 LED, черный (SBF-63-MS)")</f>
        <v/>
      </c>
      <c r="C109" s="2">
        <f>IFERROR(__xludf.DUMMYFUNCTION("""COMPUTED_VALUE"""),0.0)</f>
        <v/>
      </c>
      <c r="D109" s="2">
        <f>IFERROR(__xludf.DUMMYFUNCTION("""COMPUTED_VALUE"""),0.0)</f>
        <v/>
      </c>
      <c r="E109" s="2">
        <f>IFERROR(__xludf.DUMMYFUNCTION("""COMPUTED_VALUE"""),440.15)</f>
        <v/>
      </c>
      <c r="F109" s="2">
        <f>IFERROR(__xludf.DUMMYFUNCTION("""COMPUTED_VALUE"""),328.0)</f>
        <v/>
      </c>
      <c r="G109" s="2">
        <f>IFERROR(__xludf.DUMMYFUNCTION("""COMPUTED_VALUE"""),360.0)</f>
        <v/>
      </c>
      <c r="H109" s="2">
        <f>IFERROR(__xludf.DUMMYFUNCTION("""COMPUTED_VALUE"""),400.0)</f>
        <v/>
      </c>
      <c r="I109" s="2">
        <f>IFERROR(__xludf.DUMMYFUNCTION("""COMPUTED_VALUE"""),440.0)</f>
        <v/>
      </c>
      <c r="J109" s="2">
        <f>IFERROR(__xludf.DUMMYFUNCTION("""COMPUTED_VALUE"""),220.0)</f>
        <v/>
      </c>
      <c r="K109" s="2">
        <f>IFERROR(__xludf.DUMMYFUNCTION("""COMPUTED_VALUE"""),4.0)</f>
        <v/>
      </c>
      <c r="L109" s="2">
        <f>IFERROR(__xludf.DUMMYFUNCTION("""COMPUTED_VALUE"""),"Smartbuy фонари")</f>
        <v/>
      </c>
      <c r="M109" s="2">
        <f>IFERROR(__xludf.DUMMYFUNCTION("""COMPUTED_VALUE"""),"Садово-парковые, ландшафтные, Бытовые (недорогие), Прочие товары")</f>
        <v/>
      </c>
    </row>
    <row r="110">
      <c r="A110" s="5">
        <f>IFERROR(__xludf.DUMMYFUNCTION("""COMPUTED_VALUE"""),"13-0049")</f>
        <v/>
      </c>
      <c r="B110" s="5">
        <f>IFERROR(__xludf.DUMMYFUNCTION("""COMPUTED_VALUE"""),"Профессиональный мультиметр UNI-T UT71E")</f>
        <v/>
      </c>
      <c r="C110" s="2">
        <f>IFERROR(__xludf.DUMMYFUNCTION("""COMPUTED_VALUE"""),0.0)</f>
        <v/>
      </c>
      <c r="D110" s="2">
        <f>IFERROR(__xludf.DUMMYFUNCTION("""COMPUTED_VALUE"""),0.0)</f>
        <v/>
      </c>
      <c r="E110" s="2">
        <f>IFERROR(__xludf.DUMMYFUNCTION("""COMPUTED_VALUE"""),1.0)</f>
        <v/>
      </c>
      <c r="F110" s="2">
        <f>IFERROR(__xludf.DUMMYFUNCTION("""COMPUTED_VALUE"""),36150.0)</f>
        <v/>
      </c>
      <c r="G110" s="2">
        <f>IFERROR(__xludf.DUMMYFUNCTION("""COMPUTED_VALUE"""),38561.0)</f>
        <v/>
      </c>
      <c r="H110" s="2">
        <f>IFERROR(__xludf.DUMMYFUNCTION("""COMPUTED_VALUE"""),43381.0)</f>
        <v/>
      </c>
      <c r="I110" s="2">
        <f>IFERROR(__xludf.DUMMYFUNCTION("""COMPUTED_VALUE"""),48200.63)</f>
        <v/>
      </c>
      <c r="J110" s="2">
        <f>IFERROR(__xludf.DUMMYFUNCTION("""COMPUTED_VALUE"""),24100.0)</f>
        <v/>
      </c>
      <c r="K110" s="2">
        <f>IFERROR(__xludf.DUMMYFUNCTION("""COMPUTED_VALUE"""),3.0)</f>
        <v/>
      </c>
      <c r="L110" s="2">
        <f>IFERROR(__xludf.DUMMYFUNCTION("""COMPUTED_VALUE"""),"Rexant")</f>
        <v/>
      </c>
      <c r="M110" s="2">
        <f>IFERROR(__xludf.DUMMYFUNCTION("""COMPUTED_VALUE"""),"Прочие товары")</f>
        <v/>
      </c>
    </row>
    <row r="111">
      <c r="A111" s="5">
        <f>IFERROR(__xludf.DUMMYFUNCTION("""COMPUTED_VALUE"""),"4690612051994")</f>
        <v/>
      </c>
      <c r="B111" s="5">
        <f>IFERROR(__xludf.DUMMYFUNCTION("""COMPUTED_VALUE"""),"ДБУ ROLL-1630BL 16Вт 3000К IP54 черный IN HOME")</f>
        <v/>
      </c>
      <c r="C111" s="2">
        <f>IFERROR(__xludf.DUMMYFUNCTION("""COMPUTED_VALUE"""),0.453)</f>
        <v/>
      </c>
      <c r="D111" s="2">
        <f>IFERROR(__xludf.DUMMYFUNCTION("""COMPUTED_VALUE"""),0.00233)</f>
        <v/>
      </c>
      <c r="E111" s="2">
        <f>IFERROR(__xludf.DUMMYFUNCTION("""COMPUTED_VALUE"""),715.8000000000001)</f>
        <v/>
      </c>
      <c r="F111" s="2">
        <f>IFERROR(__xludf.DUMMYFUNCTION("""COMPUTED_VALUE"""),731.0)</f>
        <v/>
      </c>
      <c r="G111" s="2">
        <f>IFERROR(__xludf.DUMMYFUNCTION("""COMPUTED_VALUE"""),823.0)</f>
        <v/>
      </c>
      <c r="H111" s="2">
        <f>IFERROR(__xludf.DUMMYFUNCTION("""COMPUTED_VALUE"""),954.0)</f>
        <v/>
      </c>
      <c r="I111" s="2">
        <f>IFERROR(__xludf.DUMMYFUNCTION("""COMPUTED_VALUE"""),1097.0)</f>
        <v/>
      </c>
      <c r="J111" s="2">
        <f>IFERROR(__xludf.DUMMYFUNCTION("""COMPUTED_VALUE"""),549.0)</f>
        <v/>
      </c>
      <c r="K111" s="2">
        <f>IFERROR(__xludf.DUMMYFUNCTION("""COMPUTED_VALUE"""),10.0)</f>
        <v/>
      </c>
      <c r="L111" s="2">
        <f>IFERROR(__xludf.DUMMYFUNCTION("""COMPUTED_VALUE"""),"Светильники светодиодные уличные ДБУ")</f>
        <v/>
      </c>
      <c r="M111" s="2">
        <f>IFERROR(__xludf.DUMMYFUNCTION("""COMPUTED_VALUE"""),"Садово-парковые, ландшафтные, LED Светильники")</f>
        <v/>
      </c>
    </row>
    <row r="112">
      <c r="A112" s="5">
        <f>IFERROR(__xludf.DUMMYFUNCTION("""COMPUTED_VALUE"""),"12-6051")</f>
        <v/>
      </c>
      <c r="B112" s="5">
        <f>IFERROR(__xludf.DUMMYFUNCTION("""COMPUTED_VALUE"""),"Набор часовых отверток (16 предметов) (ht-16) REXANT")</f>
        <v/>
      </c>
      <c r="C112" s="2">
        <f>IFERROR(__xludf.DUMMYFUNCTION("""COMPUTED_VALUE"""),0.0)</f>
        <v/>
      </c>
      <c r="D112" s="2">
        <f>IFERROR(__xludf.DUMMYFUNCTION("""COMPUTED_VALUE"""),0.0)</f>
        <v/>
      </c>
      <c r="E112" s="2">
        <f>IFERROR(__xludf.DUMMYFUNCTION("""COMPUTED_VALUE"""),1.0)</f>
        <v/>
      </c>
      <c r="F112" s="2">
        <f>IFERROR(__xludf.DUMMYFUNCTION("""COMPUTED_VALUE"""),498.0)</f>
        <v/>
      </c>
      <c r="G112" s="2">
        <f>IFERROR(__xludf.DUMMYFUNCTION("""COMPUTED_VALUE"""),531.0)</f>
        <v/>
      </c>
      <c r="H112" s="2">
        <f>IFERROR(__xludf.DUMMYFUNCTION("""COMPUTED_VALUE"""),597.0)</f>
        <v/>
      </c>
      <c r="I112" s="2">
        <f>IFERROR(__xludf.DUMMYFUNCTION("""COMPUTED_VALUE"""),663.44)</f>
        <v/>
      </c>
      <c r="J112" s="2">
        <f>IFERROR(__xludf.DUMMYFUNCTION("""COMPUTED_VALUE"""),332.0)</f>
        <v/>
      </c>
      <c r="K112" s="2">
        <f>IFERROR(__xludf.DUMMYFUNCTION("""COMPUTED_VALUE"""),2.0)</f>
        <v/>
      </c>
      <c r="L112" s="2">
        <f>IFERROR(__xludf.DUMMYFUNCTION("""COMPUTED_VALUE"""),"Rexant")</f>
        <v/>
      </c>
      <c r="M112" s="2">
        <f>IFERROR(__xludf.DUMMYFUNCTION("""COMPUTED_VALUE"""),"Прочие товары")</f>
        <v/>
      </c>
    </row>
    <row r="113">
      <c r="A113" s="5">
        <f>IFERROR(__xludf.DUMMYFUNCTION("""COMPUTED_VALUE"""),"4260652196346")</f>
        <v/>
      </c>
      <c r="B113" s="5">
        <f>IFERROR(__xludf.DUMMYFUNCTION("""COMPUTED_VALUE"""),"WTL-15W/02W")</f>
        <v/>
      </c>
      <c r="C113" s="2">
        <f>IFERROR(__xludf.DUMMYFUNCTION("""COMPUTED_VALUE"""),0.4950000000000001)</f>
        <v/>
      </c>
      <c r="D113" s="2">
        <f>IFERROR(__xludf.DUMMYFUNCTION("""COMPUTED_VALUE"""),0.00193)</f>
        <v/>
      </c>
      <c r="E113" s="2">
        <f>IFERROR(__xludf.DUMMYFUNCTION("""COMPUTED_VALUE"""),875.0)</f>
        <v/>
      </c>
      <c r="F113" s="2">
        <f>IFERROR(__xludf.DUMMYFUNCTION("""COMPUTED_VALUE"""),1446.0)</f>
        <v/>
      </c>
      <c r="G113" s="2">
        <f>IFERROR(__xludf.DUMMYFUNCTION("""COMPUTED_VALUE"""),1495.0)</f>
        <v/>
      </c>
      <c r="H113" s="2">
        <f>IFERROR(__xludf.DUMMYFUNCTION("""COMPUTED_VALUE"""),1960.0)</f>
        <v/>
      </c>
      <c r="I113" s="2">
        <f>IFERROR(__xludf.DUMMYFUNCTION("""COMPUTED_VALUE"""),2450.0)</f>
        <v/>
      </c>
      <c r="J113" s="2">
        <f>IFERROR(__xludf.DUMMYFUNCTION("""COMPUTED_VALUE"""),1225.0)</f>
        <v/>
      </c>
      <c r="K113" s="2">
        <f>IFERROR(__xludf.DUMMYFUNCTION("""COMPUTED_VALUE"""),7.0)</f>
        <v/>
      </c>
      <c r="L113" s="2">
        <f>IFERROR(__xludf.DUMMYFUNCTION("""COMPUTED_VALUE"""),"Wolta трековые")</f>
        <v/>
      </c>
      <c r="M113" s="2">
        <f>IFERROR(__xludf.DUMMYFUNCTION("""COMPUTED_VALUE"""),"Трековые, LED Светильники")</f>
        <v/>
      </c>
    </row>
    <row r="114">
      <c r="A114" s="5">
        <f>IFERROR(__xludf.DUMMYFUNCTION("""COMPUTED_VALUE"""),"4690612034447")</f>
        <v/>
      </c>
      <c r="B114" s="5">
        <f>IFERROR(__xludf.DUMMYFUNCTION("""COMPUTED_VALUE"""),"COMFORT HONEY 60Вт 230В 3000-6500K 4800Лм 500х110мм c пультом ДУ IN HOME")</f>
        <v/>
      </c>
      <c r="C114" s="2">
        <f>IFERROR(__xludf.DUMMYFUNCTION("""COMPUTED_VALUE"""),1.7)</f>
        <v/>
      </c>
      <c r="D114" s="2">
        <f>IFERROR(__xludf.DUMMYFUNCTION("""COMPUTED_VALUE"""),0.049)</f>
        <v/>
      </c>
      <c r="E114" s="2">
        <f>IFERROR(__xludf.DUMMYFUNCTION("""COMPUTED_VALUE"""),2320.24)</f>
        <v/>
      </c>
      <c r="F114" s="2">
        <f>IFERROR(__xludf.DUMMYFUNCTION("""COMPUTED_VALUE"""),2360.0)</f>
        <v/>
      </c>
      <c r="G114" s="2">
        <f>IFERROR(__xludf.DUMMYFUNCTION("""COMPUTED_VALUE"""),2655.0)</f>
        <v/>
      </c>
      <c r="H114" s="2">
        <f>IFERROR(__xludf.DUMMYFUNCTION("""COMPUTED_VALUE"""),3080.0)</f>
        <v/>
      </c>
      <c r="I114" s="2">
        <f>IFERROR(__xludf.DUMMYFUNCTION("""COMPUTED_VALUE"""),3540.0)</f>
        <v/>
      </c>
      <c r="J114" s="2">
        <f>IFERROR(__xludf.DUMMYFUNCTION("""COMPUTED_VALUE"""),1770.0)</f>
        <v/>
      </c>
      <c r="K114" s="2">
        <f>IFERROR(__xludf.DUMMYFUNCTION("""COMPUTED_VALUE"""),5.0)</f>
        <v/>
      </c>
      <c r="L114" s="2">
        <f>IFERROR(__xludf.DUMMYFUNCTION("""COMPUTED_VALUE"""),"Светильники светодиодные COMFORT")</f>
        <v/>
      </c>
      <c r="M114" s="2">
        <f>IFERROR(__xludf.DUMMYFUNCTION("""COMPUTED_VALUE"""),"Точечные круглые Downlight, LED Светильники")</f>
        <v/>
      </c>
    </row>
    <row r="115">
      <c r="A115" s="5">
        <f>IFERROR(__xludf.DUMMYFUNCTION("""COMPUTED_VALUE"""),"4690612020754")</f>
        <v/>
      </c>
      <c r="B115" s="5">
        <f>IFERROR(__xludf.DUMMYFUNCTION("""COMPUTED_VALUE"""),"LED-GX53-VC 10Вт 230В 3000К 950Лм IN HOME")</f>
        <v/>
      </c>
      <c r="C115" s="2">
        <f>IFERROR(__xludf.DUMMYFUNCTION("""COMPUTED_VALUE"""),0.03700000000000001)</f>
        <v/>
      </c>
      <c r="D115" s="2">
        <f>IFERROR(__xludf.DUMMYFUNCTION("""COMPUTED_VALUE"""),2.1E-4)</f>
        <v/>
      </c>
      <c r="E115" s="2">
        <f>IFERROR(__xludf.DUMMYFUNCTION("""COMPUTED_VALUE"""),37.8)</f>
        <v/>
      </c>
      <c r="F115" s="2">
        <f>IFERROR(__xludf.DUMMYFUNCTION("""COMPUTED_VALUE"""),45.0)</f>
        <v/>
      </c>
      <c r="G115" s="2">
        <f>IFERROR(__xludf.DUMMYFUNCTION("""COMPUTED_VALUE"""),50.0)</f>
        <v/>
      </c>
      <c r="H115" s="2">
        <f>IFERROR(__xludf.DUMMYFUNCTION("""COMPUTED_VALUE"""),58.0)</f>
        <v/>
      </c>
      <c r="I115" s="2">
        <f>IFERROR(__xludf.DUMMYFUNCTION("""COMPUTED_VALUE"""),67.7)</f>
        <v/>
      </c>
      <c r="J115" s="2">
        <f>IFERROR(__xludf.DUMMYFUNCTION("""COMPUTED_VALUE"""),34.0)</f>
        <v/>
      </c>
      <c r="K115" s="2">
        <f>IFERROR(__xludf.DUMMYFUNCTION("""COMPUTED_VALUE"""),93.0)</f>
        <v/>
      </c>
      <c r="L115" s="2">
        <f>IFERROR(__xludf.DUMMYFUNCTION("""COMPUTED_VALUE"""),"Лампа светодиодная LED-GX53-standard")</f>
        <v/>
      </c>
      <c r="M115" s="2">
        <f>IFERROR(__xludf.DUMMYFUNCTION("""COMPUTED_VALUE"""),"Лампы")</f>
        <v/>
      </c>
    </row>
    <row r="116">
      <c r="A116" s="5">
        <f>IFERROR(__xludf.DUMMYFUNCTION("""COMPUTED_VALUE"""),"4690612029870")</f>
        <v/>
      </c>
      <c r="B116" s="5">
        <f>IFERROR(__xludf.DUMMYFUNCTION("""COMPUTED_VALUE"""),"LPU-01 40Вт ОПАЛ 230В 6500K 3600Лм 180x1195x30мм IP40 IN HOME")</f>
        <v/>
      </c>
      <c r="C116" s="2">
        <f>IFERROR(__xludf.DUMMYFUNCTION("""COMPUTED_VALUE"""),1.2)</f>
        <v/>
      </c>
      <c r="D116" s="2">
        <f>IFERROR(__xludf.DUMMYFUNCTION("""COMPUTED_VALUE"""),0.008)</f>
        <v/>
      </c>
      <c r="E116" s="2">
        <f>IFERROR(__xludf.DUMMYFUNCTION("""COMPUTED_VALUE"""),616.84)</f>
        <v/>
      </c>
      <c r="F116" s="2">
        <f>IFERROR(__xludf.DUMMYFUNCTION("""COMPUTED_VALUE"""),617.0)</f>
        <v/>
      </c>
      <c r="G116" s="2">
        <f>IFERROR(__xludf.DUMMYFUNCTION("""COMPUTED_VALUE"""),694.0)</f>
        <v/>
      </c>
      <c r="H116" s="2">
        <f>IFERROR(__xludf.DUMMYFUNCTION("""COMPUTED_VALUE"""),805.0)</f>
        <v/>
      </c>
      <c r="I116" s="2">
        <f>IFERROR(__xludf.DUMMYFUNCTION("""COMPUTED_VALUE"""),925.0)</f>
        <v/>
      </c>
      <c r="J116" s="2">
        <f>IFERROR(__xludf.DUMMYFUNCTION("""COMPUTED_VALUE"""),463.0)</f>
        <v/>
      </c>
      <c r="K116" s="2">
        <f>IFERROR(__xludf.DUMMYFUNCTION("""COMPUTED_VALUE"""),12.0)</f>
        <v/>
      </c>
      <c r="L116" s="2">
        <f>IFERROR(__xludf.DUMMYFUNCTION("""COMPUTED_VALUE"""),"Панели светодиодные LP серии ОПАЛ")</f>
        <v/>
      </c>
      <c r="M116" s="2">
        <f>IFERROR(__xludf.DUMMYFUNCTION("""COMPUTED_VALUE"""),"Встраиваемые, Накладные, LED Светильники")</f>
        <v/>
      </c>
    </row>
    <row r="117">
      <c r="A117" s="5">
        <f>IFERROR(__xludf.DUMMYFUNCTION("""COMPUTED_VALUE"""),"4690612008653")</f>
        <v/>
      </c>
      <c r="B117" s="5">
        <f>IFERROR(__xludf.DUMMYFUNCTION("""COMPUTED_VALUE"""),"AC-1 угловой белый LLT")</f>
        <v/>
      </c>
      <c r="C117" s="2">
        <f>IFERROR(__xludf.DUMMYFUNCTION("""COMPUTED_VALUE"""),0.0264)</f>
        <v/>
      </c>
      <c r="D117" s="2">
        <f>IFERROR(__xludf.DUMMYFUNCTION("""COMPUTED_VALUE"""),7.000000000000001E-5)</f>
        <v/>
      </c>
      <c r="E117" s="2">
        <f>IFERROR(__xludf.DUMMYFUNCTION("""COMPUTED_VALUE"""),76.39)</f>
        <v/>
      </c>
      <c r="F117" s="2">
        <f>IFERROR(__xludf.DUMMYFUNCTION("""COMPUTED_VALUE"""),67.0)</f>
        <v/>
      </c>
      <c r="G117" s="2">
        <f>IFERROR(__xludf.DUMMYFUNCTION("""COMPUTED_VALUE"""),75.0)</f>
        <v/>
      </c>
      <c r="H117" s="2">
        <f>IFERROR(__xludf.DUMMYFUNCTION("""COMPUTED_VALUE"""),87.0)</f>
        <v/>
      </c>
      <c r="I117" s="2">
        <f>IFERROR(__xludf.DUMMYFUNCTION("""COMPUTED_VALUE"""),100.0)</f>
        <v/>
      </c>
      <c r="J117" s="2">
        <f>IFERROR(__xludf.DUMMYFUNCTION("""COMPUTED_VALUE"""),50.0)</f>
        <v/>
      </c>
      <c r="K117" s="2">
        <f>IFERROR(__xludf.DUMMYFUNCTION("""COMPUTED_VALUE"""),4.0)</f>
        <v/>
      </c>
      <c r="L117" s="2">
        <f>IFERROR(__xludf.DUMMYFUNCTION("""COMPUTED_VALUE"""),"ASD Комплектующие")</f>
        <v/>
      </c>
      <c r="M117" s="2">
        <f>IFERROR(__xludf.DUMMYFUNCTION("""COMPUTED_VALUE"""),"Прочие товары")</f>
        <v/>
      </c>
    </row>
    <row r="118">
      <c r="A118" s="5">
        <f>IFERROR(__xludf.DUMMYFUNCTION("""COMPUTED_VALUE"""),"4690612002026")</f>
        <v/>
      </c>
      <c r="B118" s="5">
        <f>IFERROR(__xludf.DUMMYFUNCTION("""COMPUTED_VALUE"""),"Пластина установочная ПУ-456-С для светильника ССП-456 55*24*16")</f>
        <v/>
      </c>
      <c r="C118" s="2">
        <f>IFERROR(__xludf.DUMMYFUNCTION("""COMPUTED_VALUE"""),0.006)</f>
        <v/>
      </c>
      <c r="D118" s="2">
        <f>IFERROR(__xludf.DUMMYFUNCTION("""COMPUTED_VALUE"""),0.0)</f>
        <v/>
      </c>
      <c r="E118" s="2">
        <f>IFERROR(__xludf.DUMMYFUNCTION("""COMPUTED_VALUE"""),14.7)</f>
        <v/>
      </c>
      <c r="F118" s="2">
        <f>IFERROR(__xludf.DUMMYFUNCTION("""COMPUTED_VALUE"""),15.0)</f>
        <v/>
      </c>
      <c r="G118" s="2">
        <f>IFERROR(__xludf.DUMMYFUNCTION("""COMPUTED_VALUE"""),17.0)</f>
        <v/>
      </c>
      <c r="H118" s="2">
        <f>IFERROR(__xludf.DUMMYFUNCTION("""COMPUTED_VALUE"""),19.0)</f>
        <v/>
      </c>
      <c r="I118" s="2">
        <f>IFERROR(__xludf.DUMMYFUNCTION("""COMPUTED_VALUE"""),22.0)</f>
        <v/>
      </c>
      <c r="J118" s="2">
        <f>IFERROR(__xludf.DUMMYFUNCTION("""COMPUTED_VALUE"""),11.0)</f>
        <v/>
      </c>
      <c r="K118" s="2">
        <f>IFERROR(__xludf.DUMMYFUNCTION("""COMPUTED_VALUE"""),22.0)</f>
        <v/>
      </c>
      <c r="L118" s="2">
        <f>IFERROR(__xludf.DUMMYFUNCTION("""COMPUTED_VALUE"""),"ASD Комплектующие")</f>
        <v/>
      </c>
      <c r="M118" s="2">
        <f>IFERROR(__xludf.DUMMYFUNCTION("""COMPUTED_VALUE"""),"Прочие товары")</f>
        <v/>
      </c>
    </row>
    <row r="119">
      <c r="A119" s="5">
        <f>IFERROR(__xludf.DUMMYFUNCTION("""COMPUTED_VALUE"""),"ves2107")</f>
        <v/>
      </c>
      <c r="B119" s="5">
        <f>IFERROR(__xludf.DUMMYFUNCTION("""COMPUTED_VALUE"""),"Лампа светодиодная 18W G13 6500K")</f>
        <v/>
      </c>
      <c r="C119" s="2">
        <f>IFERROR(__xludf.DUMMYFUNCTION("""COMPUTED_VALUE"""),0.0)</f>
        <v/>
      </c>
      <c r="D119" s="2">
        <f>IFERROR(__xludf.DUMMYFUNCTION("""COMPUTED_VALUE"""),0.0)</f>
        <v/>
      </c>
      <c r="E119" s="2">
        <f>IFERROR(__xludf.DUMMYFUNCTION("""COMPUTED_VALUE"""),95.64)</f>
        <v/>
      </c>
      <c r="F119" s="2">
        <f>IFERROR(__xludf.DUMMYFUNCTION("""COMPUTED_VALUE"""),133.0)</f>
        <v/>
      </c>
      <c r="G119" s="2">
        <f>IFERROR(__xludf.DUMMYFUNCTION("""COMPUTED_VALUE"""),142.0)</f>
        <v/>
      </c>
      <c r="H119" s="2">
        <f>IFERROR(__xludf.DUMMYFUNCTION("""COMPUTED_VALUE"""),160.0)</f>
        <v/>
      </c>
      <c r="I119" s="2">
        <f>IFERROR(__xludf.DUMMYFUNCTION("""COMPUTED_VALUE"""),177.46)</f>
        <v/>
      </c>
      <c r="J119" s="2">
        <f>IFERROR(__xludf.DUMMYFUNCTION("""COMPUTED_VALUE"""),89.0)</f>
        <v/>
      </c>
      <c r="K119" s="2">
        <f>IFERROR(__xludf.DUMMYFUNCTION("""COMPUTED_VALUE"""),30.0)</f>
        <v/>
      </c>
      <c r="L119" s="2">
        <f>IFERROR(__xludf.DUMMYFUNCTION("""COMPUTED_VALUE"""),"ves2 (тендер)")</f>
        <v/>
      </c>
      <c r="M119" s="2">
        <f>IFERROR(__xludf.DUMMYFUNCTION("""COMPUTED_VALUE"""),"Прочие товары")</f>
        <v/>
      </c>
    </row>
    <row r="120">
      <c r="A120" s="5">
        <f>IFERROR(__xludf.DUMMYFUNCTION("""COMPUTED_VALUE"""),"4690612015828")</f>
        <v/>
      </c>
      <c r="B120" s="5">
        <f>IFERROR(__xludf.DUMMYFUNCTION("""COMPUTED_VALUE"""),"LED-JCDR-standard 10Вт 230В GU5.3 4000К 900Лм ASD")</f>
        <v/>
      </c>
      <c r="C120" s="2">
        <f>IFERROR(__xludf.DUMMYFUNCTION("""COMPUTED_VALUE"""),0.03700000000000001)</f>
        <v/>
      </c>
      <c r="D120" s="2">
        <f>IFERROR(__xludf.DUMMYFUNCTION("""COMPUTED_VALUE"""),2.1E-4)</f>
        <v/>
      </c>
      <c r="E120" s="2">
        <f>IFERROR(__xludf.DUMMYFUNCTION("""COMPUTED_VALUE"""),50.35)</f>
        <v/>
      </c>
      <c r="F120" s="2">
        <f>IFERROR(__xludf.DUMMYFUNCTION("""COMPUTED_VALUE"""),35.0)</f>
        <v/>
      </c>
      <c r="G120" s="2">
        <f>IFERROR(__xludf.DUMMYFUNCTION("""COMPUTED_VALUE"""),39.0)</f>
        <v/>
      </c>
      <c r="H120" s="2">
        <f>IFERROR(__xludf.DUMMYFUNCTION("""COMPUTED_VALUE"""),45.0)</f>
        <v/>
      </c>
      <c r="I120" s="2">
        <f>IFERROR(__xludf.DUMMYFUNCTION("""COMPUTED_VALUE"""),52.75)</f>
        <v/>
      </c>
      <c r="J120" s="2">
        <f>IFERROR(__xludf.DUMMYFUNCTION("""COMPUTED_VALUE"""),26.0)</f>
        <v/>
      </c>
      <c r="K120" s="2">
        <f>IFERROR(__xludf.DUMMYFUNCTION("""COMPUTED_VALUE"""),5.0)</f>
        <v/>
      </c>
      <c r="L120" s="2">
        <f>IFERROR(__xludf.DUMMYFUNCTION("""COMPUTED_VALUE"""),"Лампа светодиодная LED-JCDR-standard")</f>
        <v/>
      </c>
      <c r="M120" s="2">
        <f>IFERROR(__xludf.DUMMYFUNCTION("""COMPUTED_VALUE"""),"Лампы")</f>
        <v/>
      </c>
    </row>
    <row r="121">
      <c r="A121" s="5">
        <f>IFERROR(__xludf.DUMMYFUNCTION("""COMPUTED_VALUE"""),"R100022")</f>
        <v/>
      </c>
      <c r="B121" s="5">
        <f>IFERROR(__xludf.DUMMYFUNCTION("""COMPUTED_VALUE"""),"RSV-SSP-36W-6500K-IP65")</f>
        <v/>
      </c>
      <c r="C121" s="2">
        <f>IFERROR(__xludf.DUMMYFUNCTION("""COMPUTED_VALUE"""),1.3)</f>
        <v/>
      </c>
      <c r="D121" s="2">
        <f>IFERROR(__xludf.DUMMYFUNCTION("""COMPUTED_VALUE"""),0.008960000000000001)</f>
        <v/>
      </c>
      <c r="E121" s="2">
        <f>IFERROR(__xludf.DUMMYFUNCTION("""COMPUTED_VALUE"""),1038.79)</f>
        <v/>
      </c>
      <c r="F121" s="2">
        <f>IFERROR(__xludf.DUMMYFUNCTION("""COMPUTED_VALUE"""),1548.0)</f>
        <v/>
      </c>
      <c r="G121" s="2">
        <f>IFERROR(__xludf.DUMMYFUNCTION("""COMPUTED_VALUE"""),1821.0)</f>
        <v/>
      </c>
      <c r="H121" s="2">
        <f>IFERROR(__xludf.DUMMYFUNCTION("""COMPUTED_VALUE"""),1876.0)</f>
        <v/>
      </c>
      <c r="I121" s="2">
        <f>IFERROR(__xludf.DUMMYFUNCTION("""COMPUTED_VALUE"""),2158.0)</f>
        <v/>
      </c>
      <c r="J121" s="2">
        <f>IFERROR(__xludf.DUMMYFUNCTION("""COMPUTED_VALUE"""),1821.0)</f>
        <v/>
      </c>
      <c r="K121" s="2">
        <f>IFERROR(__xludf.DUMMYFUNCTION("""COMPUTED_VALUE"""),70.0)</f>
        <v/>
      </c>
      <c r="L121" s="2">
        <f>IFERROR(__xludf.DUMMYFUNCTION("""COMPUTED_VALUE"""),"Промышленное освещение RSV")</f>
        <v/>
      </c>
      <c r="M121" s="2">
        <f>IFERROR(__xludf.DUMMYFUNCTION("""COMPUTED_VALUE"""),"Пластиковые (линейные), LED Светильники")</f>
        <v/>
      </c>
    </row>
    <row r="122">
      <c r="A122" s="5">
        <f>IFERROR(__xludf.DUMMYFUNCTION("""COMPUTED_VALUE"""),"4680005959112")</f>
        <v/>
      </c>
      <c r="B122" s="5">
        <f>IFERROR(__xludf.DUMMYFUNCTION("""COMPUTED_VALUE"""),"LS-AA-16.6 16.6А 12В алюминий")</f>
        <v/>
      </c>
      <c r="C122" s="2">
        <f>IFERROR(__xludf.DUMMYFUNCTION("""COMPUTED_VALUE"""),0.6394000000000001)</f>
        <v/>
      </c>
      <c r="D122" s="2">
        <f>IFERROR(__xludf.DUMMYFUNCTION("""COMPUTED_VALUE"""),0.00115)</f>
        <v/>
      </c>
      <c r="E122" s="2">
        <f>IFERROR(__xludf.DUMMYFUNCTION("""COMPUTED_VALUE"""),611.1)</f>
        <v/>
      </c>
      <c r="F122" s="2">
        <f>IFERROR(__xludf.DUMMYFUNCTION("""COMPUTED_VALUE"""),1.0)</f>
        <v/>
      </c>
      <c r="G122" s="2">
        <f>IFERROR(__xludf.DUMMYFUNCTION("""COMPUTED_VALUE"""),1.0)</f>
        <v/>
      </c>
      <c r="H122" s="2">
        <f>IFERROR(__xludf.DUMMYFUNCTION("""COMPUTED_VALUE"""),1.0)</f>
        <v/>
      </c>
      <c r="I122" s="2">
        <f>IFERROR(__xludf.DUMMYFUNCTION("""COMPUTED_VALUE"""),1.0)</f>
        <v/>
      </c>
      <c r="J122" s="2">
        <f>IFERROR(__xludf.DUMMYFUNCTION("""COMPUTED_VALUE"""),1.0)</f>
        <v/>
      </c>
      <c r="K122" s="2">
        <f>IFERROR(__xludf.DUMMYFUNCTION("""COMPUTED_VALUE"""),4.0)</f>
        <v/>
      </c>
      <c r="L122" s="2">
        <f>IFERROR(__xludf.DUMMYFUNCTION("""COMPUTED_VALUE"""),"ASD электромонтажные изделия")</f>
        <v/>
      </c>
      <c r="M122" s="2">
        <f>IFERROR(__xludf.DUMMYFUNCTION("""COMPUTED_VALUE"""),"Прочие товары")</f>
        <v/>
      </c>
    </row>
    <row r="123">
      <c r="A123" s="5">
        <f>IFERROR(__xludf.DUMMYFUNCTION("""COMPUTED_VALUE"""),"GL82211")</f>
        <v/>
      </c>
      <c r="B123" s="5">
        <f>IFERROR(__xludf.DUMMYFUNCTION("""COMPUTED_VALUE"""),"GLERIO Line 20 Вт 4000K 91P-20D-4N-P")</f>
        <v/>
      </c>
      <c r="C123" s="2">
        <f>IFERROR(__xludf.DUMMYFUNCTION("""COMPUTED_VALUE"""),0.5)</f>
        <v/>
      </c>
      <c r="D123" s="2">
        <f>IFERROR(__xludf.DUMMYFUNCTION("""COMPUTED_VALUE"""),0.00396)</f>
        <v/>
      </c>
      <c r="E123" s="2">
        <f>IFERROR(__xludf.DUMMYFUNCTION("""COMPUTED_VALUE"""),1406.0)</f>
        <v/>
      </c>
      <c r="F123" s="2">
        <f>IFERROR(__xludf.DUMMYFUNCTION("""COMPUTED_VALUE"""),1660.0)</f>
        <v/>
      </c>
      <c r="G123" s="2">
        <f>IFERROR(__xludf.DUMMYFUNCTION("""COMPUTED_VALUE"""),2090.0)</f>
        <v/>
      </c>
      <c r="H123" s="2">
        <f>IFERROR(__xludf.DUMMYFUNCTION("""COMPUTED_VALUE"""),2347.0)</f>
        <v/>
      </c>
      <c r="I123" s="2">
        <f>IFERROR(__xludf.DUMMYFUNCTION("""COMPUTED_VALUE"""),2604.0)</f>
        <v/>
      </c>
      <c r="J123" s="2">
        <f>IFERROR(__xludf.DUMMYFUNCTION("""COMPUTED_VALUE"""),2604.0)</f>
        <v/>
      </c>
      <c r="K123" s="2">
        <f>IFERROR(__xludf.DUMMYFUNCTION("""COMPUTED_VALUE"""),23.0)</f>
        <v/>
      </c>
      <c r="L123" s="2">
        <f>IFERROR(__xludf.DUMMYFUNCTION("""COMPUTED_VALUE"""),"Line+ GLERIO (Айсберг)")</f>
        <v/>
      </c>
      <c r="M123" s="2">
        <f>IFERROR(__xludf.DUMMYFUNCTION("""COMPUTED_VALUE"""),"Пластиковые (линейные), LED Светильники")</f>
        <v/>
      </c>
    </row>
    <row r="124">
      <c r="A124" s="5">
        <f>IFERROR(__xludf.DUMMYFUNCTION("""COMPUTED_VALUE"""),"4690612057286-2")</f>
        <v/>
      </c>
      <c r="B124" s="5">
        <f>IFERROR(__xludf.DUMMYFUNCTION("""COMPUTED_VALUE"""),"ДВО-PRO 4065-ОПАЛ 40Вт 6500К 120лм/Вт CRI80 IP40 595х595х30мм NEOX (2 шт в упак.)")</f>
        <v/>
      </c>
      <c r="C124" s="2">
        <f>IFERROR(__xludf.DUMMYFUNCTION("""COMPUTED_VALUE"""),0.0)</f>
        <v/>
      </c>
      <c r="D124" s="2">
        <f>IFERROR(__xludf.DUMMYFUNCTION("""COMPUTED_VALUE"""),0.0)</f>
        <v/>
      </c>
      <c r="E124" s="2">
        <f>IFERROR(__xludf.DUMMYFUNCTION("""COMPUTED_VALUE"""),1793.76)</f>
        <v/>
      </c>
      <c r="F124" s="2">
        <f>IFERROR(__xludf.DUMMYFUNCTION("""COMPUTED_VALUE"""),1968.0)</f>
        <v/>
      </c>
      <c r="G124" s="2">
        <f>IFERROR(__xludf.DUMMYFUNCTION("""COMPUTED_VALUE"""),2296.0)</f>
        <v/>
      </c>
      <c r="H124" s="2">
        <f>IFERROR(__xludf.DUMMYFUNCTION("""COMPUTED_VALUE"""),2583.0)</f>
        <v/>
      </c>
      <c r="I124" s="2">
        <f>IFERROR(__xludf.DUMMYFUNCTION("""COMPUTED_VALUE"""),2870.0)</f>
        <v/>
      </c>
      <c r="J124" s="2">
        <f>IFERROR(__xludf.DUMMYFUNCTION("""COMPUTED_VALUE"""),1435.0)</f>
        <v/>
      </c>
      <c r="K124" s="2">
        <f>IFERROR(__xludf.DUMMYFUNCTION("""COMPUTED_VALUE"""),5.0)</f>
        <v/>
      </c>
      <c r="L124" s="2">
        <f>IFERROR(__xludf.DUMMYFUNCTION("""COMPUTED_VALUE"""),"NEOX Светильники LED ДВО-PRO производство, упаковка")</f>
        <v/>
      </c>
      <c r="M124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125">
      <c r="A125" s="5">
        <f>IFERROR(__xludf.DUMMYFUNCTION("""COMPUTED_VALUE"""),"4690612052984")</f>
        <v/>
      </c>
      <c r="B125" s="5">
        <f>IFERROR(__xludf.DUMMYFUNCTION("""COMPUTED_VALUE"""),"ДВО-02 7565-ПРИЗМА 75Вт 6500К 595х595х19 NEOX")</f>
        <v/>
      </c>
      <c r="C125" s="2">
        <f>IFERROR(__xludf.DUMMYFUNCTION("""COMPUTED_VALUE"""),0.9500000000000001)</f>
        <v/>
      </c>
      <c r="D125" s="2">
        <f>IFERROR(__xludf.DUMMYFUNCTION("""COMPUTED_VALUE"""),0.008)</f>
        <v/>
      </c>
      <c r="E125" s="2">
        <f>IFERROR(__xludf.DUMMYFUNCTION("""COMPUTED_VALUE"""),770.84)</f>
        <v/>
      </c>
      <c r="F125" s="2">
        <f>IFERROR(__xludf.DUMMYFUNCTION("""COMPUTED_VALUE"""),953.0)</f>
        <v/>
      </c>
      <c r="G125" s="2">
        <f>IFERROR(__xludf.DUMMYFUNCTION("""COMPUTED_VALUE"""),1073.0)</f>
        <v/>
      </c>
      <c r="H125" s="2">
        <f>IFERROR(__xludf.DUMMYFUNCTION("""COMPUTED_VALUE"""),1244.0)</f>
        <v/>
      </c>
      <c r="I125" s="2">
        <f>IFERROR(__xludf.DUMMYFUNCTION("""COMPUTED_VALUE"""),1430.0)</f>
        <v/>
      </c>
      <c r="J125" s="2">
        <f>IFERROR(__xludf.DUMMYFUNCTION("""COMPUTED_VALUE"""),715.0)</f>
        <v/>
      </c>
      <c r="K125" s="2">
        <f>IFERROR(__xludf.DUMMYFUNCTION("""COMPUTED_VALUE"""),5.0)</f>
        <v/>
      </c>
      <c r="L125" s="2">
        <f>IFERROR(__xludf.DUMMYFUNCTION("""COMPUTED_VALUE"""),"NEOX Светильники LED ДВО")</f>
        <v/>
      </c>
      <c r="M125" s="2">
        <f>IFERROR(__xludf.DUMMYFUNCTION("""COMPUTED_VALUE"""),"Светильники общего назначения (LED), Встраиваемые, Накладные, Встраиваемые, LED Светильники")</f>
        <v/>
      </c>
    </row>
    <row r="126">
      <c r="A126" s="5">
        <f>IFERROR(__xludf.DUMMYFUNCTION("""COMPUTED_VALUE"""),"51-0619")</f>
        <v/>
      </c>
      <c r="B126" s="5">
        <f>IFERROR(__xludf.DUMMYFUNCTION("""COMPUTED_VALUE"""),"Греющий саморегулирующийся кабель на трубу 15MSR-PB 8M (8м/120Вт) REXANT")</f>
        <v/>
      </c>
      <c r="C126" s="2">
        <f>IFERROR(__xludf.DUMMYFUNCTION("""COMPUTED_VALUE"""),0.0)</f>
        <v/>
      </c>
      <c r="D126" s="2">
        <f>IFERROR(__xludf.DUMMYFUNCTION("""COMPUTED_VALUE"""),0.0)</f>
        <v/>
      </c>
      <c r="E126" s="2">
        <f>IFERROR(__xludf.DUMMYFUNCTION("""COMPUTED_VALUE"""),1.0)</f>
        <v/>
      </c>
      <c r="F126" s="2">
        <f>IFERROR(__xludf.DUMMYFUNCTION("""COMPUTED_VALUE"""),3085.0)</f>
        <v/>
      </c>
      <c r="G126" s="2">
        <f>IFERROR(__xludf.DUMMYFUNCTION("""COMPUTED_VALUE"""),3291.0)</f>
        <v/>
      </c>
      <c r="H126" s="2">
        <f>IFERROR(__xludf.DUMMYFUNCTION("""COMPUTED_VALUE"""),3702.0)</f>
        <v/>
      </c>
      <c r="I126" s="2">
        <f>IFERROR(__xludf.DUMMYFUNCTION("""COMPUTED_VALUE"""),4113.87)</f>
        <v/>
      </c>
      <c r="J126" s="2">
        <f>IFERROR(__xludf.DUMMYFUNCTION("""COMPUTED_VALUE"""),2057.0)</f>
        <v/>
      </c>
      <c r="K126" s="2">
        <f>IFERROR(__xludf.DUMMYFUNCTION("""COMPUTED_VALUE"""),4.0)</f>
        <v/>
      </c>
      <c r="L126" s="2">
        <f>IFERROR(__xludf.DUMMYFUNCTION("""COMPUTED_VALUE"""),"Rexant")</f>
        <v/>
      </c>
      <c r="M126" s="2">
        <f>IFERROR(__xludf.DUMMYFUNCTION("""COMPUTED_VALUE"""),"Прочие товары")</f>
        <v/>
      </c>
    </row>
    <row r="127">
      <c r="A127" s="5">
        <f>IFERROR(__xludf.DUMMYFUNCTION("""COMPUTED_VALUE"""),"4690612032191")</f>
        <v/>
      </c>
      <c r="B127" s="5">
        <f>IFERROR(__xludf.DUMMYFUNCTION("""COMPUTED_VALUE"""),"Е27 Н12П-01 Е27 Патрон карболитовый подвесной IN HOME")</f>
        <v/>
      </c>
      <c r="C127" s="2">
        <f>IFERROR(__xludf.DUMMYFUNCTION("""COMPUTED_VALUE"""),0.04)</f>
        <v/>
      </c>
      <c r="D127" s="2">
        <f>IFERROR(__xludf.DUMMYFUNCTION("""COMPUTED_VALUE"""),8.0E-5)</f>
        <v/>
      </c>
      <c r="E127" s="2">
        <f>IFERROR(__xludf.DUMMYFUNCTION("""COMPUTED_VALUE"""),19.2)</f>
        <v/>
      </c>
      <c r="F127" s="2">
        <f>IFERROR(__xludf.DUMMYFUNCTION("""COMPUTED_VALUE"""),23.0)</f>
        <v/>
      </c>
      <c r="G127" s="2">
        <f>IFERROR(__xludf.DUMMYFUNCTION("""COMPUTED_VALUE"""),26.0)</f>
        <v/>
      </c>
      <c r="H127" s="2">
        <f>IFERROR(__xludf.DUMMYFUNCTION("""COMPUTED_VALUE"""),31.0)</f>
        <v/>
      </c>
      <c r="I127" s="2">
        <f>IFERROR(__xludf.DUMMYFUNCTION("""COMPUTED_VALUE"""),35.0)</f>
        <v/>
      </c>
      <c r="J127" s="2">
        <f>IFERROR(__xludf.DUMMYFUNCTION("""COMPUTED_VALUE"""),18.0)</f>
        <v/>
      </c>
      <c r="K127" s="2">
        <f>IFERROR(__xludf.DUMMYFUNCTION("""COMPUTED_VALUE"""),13.0)</f>
        <v/>
      </c>
      <c r="L127" s="2">
        <f>IFERROR(__xludf.DUMMYFUNCTION("""COMPUTED_VALUE"""),"ASD электромонтажные изделия")</f>
        <v/>
      </c>
      <c r="M127" s="2">
        <f>IFERROR(__xludf.DUMMYFUNCTION("""COMPUTED_VALUE"""),"Прочие товары")</f>
        <v/>
      </c>
    </row>
    <row r="128">
      <c r="A128" s="5">
        <f>IFERROR(__xludf.DUMMYFUNCTION("""COMPUTED_VALUE"""),"4690612033518")</f>
        <v/>
      </c>
      <c r="B128" s="5">
        <f>IFERROR(__xludf.DUMMYFUNCTION("""COMPUTED_VALUE"""),"DECO НОЧНОЕ НЕБО 24Вт 230В 4000К 2160Лм 330х55мм IN HOME")</f>
        <v/>
      </c>
      <c r="C128" s="2">
        <f>IFERROR(__xludf.DUMMYFUNCTION("""COMPUTED_VALUE"""),0.4400000000000001)</f>
        <v/>
      </c>
      <c r="D128" s="2">
        <f>IFERROR(__xludf.DUMMYFUNCTION("""COMPUTED_VALUE"""),0.00725)</f>
        <v/>
      </c>
      <c r="E128" s="2">
        <f>IFERROR(__xludf.DUMMYFUNCTION("""COMPUTED_VALUE"""),381.61)</f>
        <v/>
      </c>
      <c r="F128" s="2">
        <f>IFERROR(__xludf.DUMMYFUNCTION("""COMPUTED_VALUE"""),473.0)</f>
        <v/>
      </c>
      <c r="G128" s="2">
        <f>IFERROR(__xludf.DUMMYFUNCTION("""COMPUTED_VALUE"""),533.0)</f>
        <v/>
      </c>
      <c r="H128" s="2">
        <f>IFERROR(__xludf.DUMMYFUNCTION("""COMPUTED_VALUE"""),618.0)</f>
        <v/>
      </c>
      <c r="I128" s="2">
        <f>IFERROR(__xludf.DUMMYFUNCTION("""COMPUTED_VALUE"""),710.0)</f>
        <v/>
      </c>
      <c r="J128" s="2">
        <f>IFERROR(__xludf.DUMMYFUNCTION("""COMPUTED_VALUE"""),355.0)</f>
        <v/>
      </c>
      <c r="K128" s="2">
        <f>IFERROR(__xludf.DUMMYFUNCTION("""COMPUTED_VALUE"""),13.0)</f>
        <v/>
      </c>
      <c r="L128" s="2">
        <f>IFERROR(__xludf.DUMMYFUNCTION("""COMPUTED_VALUE"""),"Светильник светодиодный серии DECO")</f>
        <v/>
      </c>
      <c r="M128" s="2">
        <f>IFERROR(__xludf.DUMMYFUNCTION("""COMPUTED_VALUE"""),"Накладные, Декоративные, LED Светильники")</f>
        <v/>
      </c>
    </row>
    <row r="129">
      <c r="A129" s="5">
        <f>IFERROR(__xludf.DUMMYFUNCTION("""COMPUTED_VALUE"""),"4690612045849")</f>
        <v/>
      </c>
      <c r="B129" s="5">
        <f>IFERROR(__xludf.DUMMYFUNCTION("""COMPUTED_VALUE"""),"НПБ СПОТ-3xGU10-AR-WH под лампу GU10 56х165x350мм белый IN HOME")</f>
        <v/>
      </c>
      <c r="C129" s="2">
        <f>IFERROR(__xludf.DUMMYFUNCTION("""COMPUTED_VALUE"""),0.55)</f>
        <v/>
      </c>
      <c r="D129" s="2">
        <f>IFERROR(__xludf.DUMMYFUNCTION("""COMPUTED_VALUE"""),0.004500000000000001)</f>
        <v/>
      </c>
      <c r="E129" s="2">
        <f>IFERROR(__xludf.DUMMYFUNCTION("""COMPUTED_VALUE"""),810.0)</f>
        <v/>
      </c>
      <c r="F129" s="2">
        <f>IFERROR(__xludf.DUMMYFUNCTION("""COMPUTED_VALUE"""),1172.0)</f>
        <v/>
      </c>
      <c r="G129" s="2">
        <f>IFERROR(__xludf.DUMMYFUNCTION("""COMPUTED_VALUE"""),1318.0)</f>
        <v/>
      </c>
      <c r="H129" s="2">
        <f>IFERROR(__xludf.DUMMYFUNCTION("""COMPUTED_VALUE"""),1529.0)</f>
        <v/>
      </c>
      <c r="I129" s="2">
        <f>IFERROR(__xludf.DUMMYFUNCTION("""COMPUTED_VALUE"""),1758.0)</f>
        <v/>
      </c>
      <c r="J129" s="2">
        <f>IFERROR(__xludf.DUMMYFUNCTION("""COMPUTED_VALUE"""),879.0)</f>
        <v/>
      </c>
      <c r="K129" s="2">
        <f>IFERROR(__xludf.DUMMYFUNCTION("""COMPUTED_VALUE"""),6.0)</f>
        <v/>
      </c>
      <c r="L129" s="2">
        <f>IFERROR(__xludf.DUMMYFUNCTION("""COMPUTED_VALUE"""),"НБУ, НПБ под лампу")</f>
        <v/>
      </c>
      <c r="M129" s="2">
        <f>IFERROR(__xludf.DUMMYFUNCTION("""COMPUTED_VALUE"""),"Ламповые светильники")</f>
        <v/>
      </c>
    </row>
    <row r="130">
      <c r="A130" s="5">
        <f>IFERROR(__xludf.DUMMYFUNCTION("""COMPUTED_VALUE"""),"V11101")</f>
        <v/>
      </c>
      <c r="B130" s="5">
        <f>IFERROR(__xludf.DUMMYFUNCTION("""COMPUTED_VALUE"""),"VRN-LPE58-79-A50K67-U, 79Вт, Универсальный")</f>
        <v/>
      </c>
      <c r="C130" s="2">
        <f>IFERROR(__xludf.DUMMYFUNCTION("""COMPUTED_VALUE"""),2.1)</f>
        <v/>
      </c>
      <c r="D130" s="2">
        <f>IFERROR(__xludf.DUMMYFUNCTION("""COMPUTED_VALUE"""),0.009000000000000001)</f>
        <v/>
      </c>
      <c r="E130" s="2">
        <f>IFERROR(__xludf.DUMMYFUNCTION("""COMPUTED_VALUE"""),3750.0)</f>
        <v/>
      </c>
      <c r="F130" s="2">
        <f>IFERROR(__xludf.DUMMYFUNCTION("""COMPUTED_VALUE"""),4330.0)</f>
        <v/>
      </c>
      <c r="G130" s="2">
        <f>IFERROR(__xludf.DUMMYFUNCTION("""COMPUTED_VALUE"""),5629.0)</f>
        <v/>
      </c>
      <c r="H130" s="2">
        <f>IFERROR(__xludf.DUMMYFUNCTION("""COMPUTED_VALUE"""),5910.0)</f>
        <v/>
      </c>
      <c r="I130" s="2">
        <f>IFERROR(__xludf.DUMMYFUNCTION("""COMPUTED_VALUE"""),6192.0)</f>
        <v/>
      </c>
      <c r="J130" s="2">
        <f>IFERROR(__xludf.DUMMYFUNCTION("""COMPUTED_VALUE"""),3096.0)</f>
        <v/>
      </c>
      <c r="K130" s="2">
        <f>IFERROR(__xludf.DUMMYFUNCTION("""COMPUTED_VALUE"""),2.0)</f>
        <v/>
      </c>
      <c r="L130" s="2">
        <f>IFERROR(__xludf.DUMMYFUNCTION("""COMPUTED_VALUE"""),"Прожектор Эконом")</f>
        <v/>
      </c>
      <c r="M130" s="2">
        <f>IFERROR(__xludf.DUMMYFUNCTION("""COMPUTED_VALUE"""),"Уличные светильники (LED), Для обычных дорог, Прожекторы (LED), LED Светильники")</f>
        <v/>
      </c>
    </row>
    <row r="131">
      <c r="A131" s="5">
        <f>IFERROR(__xludf.DUMMYFUNCTION("""COMPUTED_VALUE"""),"ves2047")</f>
        <v/>
      </c>
      <c r="B131" s="5">
        <f>IFERROR(__xludf.DUMMYFUNCTION("""COMPUTED_VALUE"""),"Коробка распределительная арт. 10164")</f>
        <v/>
      </c>
      <c r="C131" s="2">
        <f>IFERROR(__xludf.DUMMYFUNCTION("""COMPUTED_VALUE"""),0.0)</f>
        <v/>
      </c>
      <c r="D131" s="2">
        <f>IFERROR(__xludf.DUMMYFUNCTION("""COMPUTED_VALUE"""),0.0)</f>
        <v/>
      </c>
      <c r="E131" s="2">
        <f>IFERROR(__xludf.DUMMYFUNCTION("""COMPUTED_VALUE"""),149.44)</f>
        <v/>
      </c>
      <c r="F131" s="2">
        <f>IFERROR(__xludf.DUMMYFUNCTION("""COMPUTED_VALUE"""),146.0)</f>
        <v/>
      </c>
      <c r="G131" s="2">
        <f>IFERROR(__xludf.DUMMYFUNCTION("""COMPUTED_VALUE"""),155.0)</f>
        <v/>
      </c>
      <c r="H131" s="2">
        <f>IFERROR(__xludf.DUMMYFUNCTION("""COMPUTED_VALUE"""),175.0)</f>
        <v/>
      </c>
      <c r="I131" s="2">
        <f>IFERROR(__xludf.DUMMYFUNCTION("""COMPUTED_VALUE"""),194.24)</f>
        <v/>
      </c>
      <c r="J131" s="2">
        <f>IFERROR(__xludf.DUMMYFUNCTION("""COMPUTED_VALUE"""),97.0)</f>
        <v/>
      </c>
      <c r="K131" s="2">
        <f>IFERROR(__xludf.DUMMYFUNCTION("""COMPUTED_VALUE"""),2.0)</f>
        <v/>
      </c>
      <c r="L131" s="2">
        <f>IFERROR(__xludf.DUMMYFUNCTION("""COMPUTED_VALUE"""),"ves2 (тендер)")</f>
        <v/>
      </c>
      <c r="M131" s="2">
        <f>IFERROR(__xludf.DUMMYFUNCTION("""COMPUTED_VALUE"""),"Прочие товары")</f>
        <v/>
      </c>
    </row>
    <row r="132">
      <c r="A132" s="5">
        <f>IFERROR(__xludf.DUMMYFUNCTION("""COMPUTED_VALUE"""),"08357")</f>
        <v/>
      </c>
      <c r="B132" s="5">
        <f>IFERROR(__xludf.DUMMYFUNCTION("""COMPUTED_VALUE"""),"Металлическая защелка для TLWP")</f>
        <v/>
      </c>
      <c r="C132" s="2">
        <f>IFERROR(__xludf.DUMMYFUNCTION("""COMPUTED_VALUE"""),0.0)</f>
        <v/>
      </c>
      <c r="D132" s="2">
        <f>IFERROR(__xludf.DUMMYFUNCTION("""COMPUTED_VALUE"""),0.0)</f>
        <v/>
      </c>
      <c r="E132" s="2">
        <f>IFERROR(__xludf.DUMMYFUNCTION("""COMPUTED_VALUE"""),39.2)</f>
        <v/>
      </c>
      <c r="F132" s="2">
        <f>IFERROR(__xludf.DUMMYFUNCTION("""COMPUTED_VALUE"""),43.0)</f>
        <v/>
      </c>
      <c r="G132" s="2">
        <f>IFERROR(__xludf.DUMMYFUNCTION("""COMPUTED_VALUE"""),48.0)</f>
        <v/>
      </c>
      <c r="H132" s="2">
        <f>IFERROR(__xludf.DUMMYFUNCTION("""COMPUTED_VALUE"""),49.0)</f>
        <v/>
      </c>
      <c r="I132" s="2">
        <f>IFERROR(__xludf.DUMMYFUNCTION("""COMPUTED_VALUE"""),60.0)</f>
        <v/>
      </c>
      <c r="J132" s="2">
        <f>IFERROR(__xludf.DUMMYFUNCTION("""COMPUTED_VALUE"""),30.0)</f>
        <v/>
      </c>
      <c r="K132" s="2">
        <f>IFERROR(__xludf.DUMMYFUNCTION("""COMPUTED_VALUE"""),10.0)</f>
        <v/>
      </c>
      <c r="L132" s="2">
        <f>IFERROR(__xludf.DUMMYFUNCTION("""COMPUTED_VALUE"""),"Комплектующие и аксессуары")</f>
        <v/>
      </c>
      <c r="M132" s="2">
        <f>IFERROR(__xludf.DUMMYFUNCTION("""COMPUTED_VALUE"""),"Прочие товары, Другие")</f>
        <v/>
      </c>
    </row>
    <row r="133">
      <c r="A133" s="5">
        <f>IFERROR(__xludf.DUMMYFUNCTION("""COMPUTED_VALUE"""),"4260652196469")</f>
        <v/>
      </c>
      <c r="B133" s="5">
        <f>IFERROR(__xludf.DUMMYFUNCTION("""COMPUTED_VALUE"""),"WTL-45W/02W")</f>
        <v/>
      </c>
      <c r="C133" s="2">
        <f>IFERROR(__xludf.DUMMYFUNCTION("""COMPUTED_VALUE"""),1.212)</f>
        <v/>
      </c>
      <c r="D133" s="2">
        <f>IFERROR(__xludf.DUMMYFUNCTION("""COMPUTED_VALUE"""),0.00423)</f>
        <v/>
      </c>
      <c r="E133" s="2">
        <f>IFERROR(__xludf.DUMMYFUNCTION("""COMPUTED_VALUE"""),1624.0)</f>
        <v/>
      </c>
      <c r="F133" s="2">
        <f>IFERROR(__xludf.DUMMYFUNCTION("""COMPUTED_VALUE"""),2509.0)</f>
        <v/>
      </c>
      <c r="G133" s="2">
        <f>IFERROR(__xludf.DUMMYFUNCTION("""COMPUTED_VALUE"""),2594.0)</f>
        <v/>
      </c>
      <c r="H133" s="2">
        <f>IFERROR(__xludf.DUMMYFUNCTION("""COMPUTED_VALUE"""),3402.0)</f>
        <v/>
      </c>
      <c r="I133" s="2">
        <f>IFERROR(__xludf.DUMMYFUNCTION("""COMPUTED_VALUE"""),4253.0)</f>
        <v/>
      </c>
      <c r="J133" s="2">
        <f>IFERROR(__xludf.DUMMYFUNCTION("""COMPUTED_VALUE"""),2127.0)</f>
        <v/>
      </c>
      <c r="K133" s="2">
        <f>IFERROR(__xludf.DUMMYFUNCTION("""COMPUTED_VALUE"""),3.0)</f>
        <v/>
      </c>
      <c r="L133" s="2">
        <f>IFERROR(__xludf.DUMMYFUNCTION("""COMPUTED_VALUE"""),"Wolta трековые")</f>
        <v/>
      </c>
      <c r="M133" s="2">
        <f>IFERROR(__xludf.DUMMYFUNCTION("""COMPUTED_VALUE"""),"Трековые, LED Светильники")</f>
        <v/>
      </c>
    </row>
    <row r="134">
      <c r="A134" s="5">
        <f>IFERROR(__xludf.DUMMYFUNCTION("""COMPUTED_VALUE"""),"4690612038810")</f>
        <v/>
      </c>
      <c r="B134" s="5">
        <f>IFERROR(__xludf.DUMMYFUNCTION("""COMPUTED_VALUE"""),"ДВО-02 4065-ОПАЛ 40Вт 230В 6500К 3600Лм 595х595х25 NEOX")</f>
        <v/>
      </c>
      <c r="C134" s="2">
        <f>IFERROR(__xludf.DUMMYFUNCTION("""COMPUTED_VALUE"""),1.2)</f>
        <v/>
      </c>
      <c r="D134" s="2">
        <f>IFERROR(__xludf.DUMMYFUNCTION("""COMPUTED_VALUE"""),0.009000000000000001)</f>
        <v/>
      </c>
      <c r="E134" s="2">
        <f>IFERROR(__xludf.DUMMYFUNCTION("""COMPUTED_VALUE"""),697.67)</f>
        <v/>
      </c>
      <c r="F134" s="2">
        <f>IFERROR(__xludf.DUMMYFUNCTION("""COMPUTED_VALUE"""),799.0)</f>
        <v/>
      </c>
      <c r="G134" s="2">
        <f>IFERROR(__xludf.DUMMYFUNCTION("""COMPUTED_VALUE"""),899.0)</f>
        <v/>
      </c>
      <c r="H134" s="2">
        <f>IFERROR(__xludf.DUMMYFUNCTION("""COMPUTED_VALUE"""),1042.0)</f>
        <v/>
      </c>
      <c r="I134" s="2">
        <f>IFERROR(__xludf.DUMMYFUNCTION("""COMPUTED_VALUE"""),1198.0)</f>
        <v/>
      </c>
      <c r="J134" s="2">
        <f>IFERROR(__xludf.DUMMYFUNCTION("""COMPUTED_VALUE"""),1042.0)</f>
        <v/>
      </c>
      <c r="K134" s="2">
        <f>IFERROR(__xludf.DUMMYFUNCTION("""COMPUTED_VALUE"""),-26.0)</f>
        <v/>
      </c>
      <c r="L134" s="2">
        <f>IFERROR(__xludf.DUMMYFUNCTION("""COMPUTED_VALUE"""),"NEOX Светильники LED ДВО")</f>
        <v/>
      </c>
      <c r="M134" s="2">
        <f>IFERROR(__xludf.DUMMYFUNCTION("""COMPUTED_VALUE"""),"С равномерной засветкой, С равномерной засветкой, LED Светильники")</f>
        <v/>
      </c>
    </row>
    <row r="135">
      <c r="A135" s="5">
        <f>IFERROR(__xludf.DUMMYFUNCTION("""COMPUTED_VALUE"""),"11700784")</f>
        <v/>
      </c>
      <c r="B135" s="5">
        <f>IFERROR(__xludf.DUMMYFUNCTION("""COMPUTED_VALUE"""),"Светильник LEDOS Polestar 01-L1300 OP 4000К 30Вт")</f>
        <v/>
      </c>
      <c r="C135" s="2">
        <f>IFERROR(__xludf.DUMMYFUNCTION("""COMPUTED_VALUE"""),0.0)</f>
        <v/>
      </c>
      <c r="D135" s="2">
        <f>IFERROR(__xludf.DUMMYFUNCTION("""COMPUTED_VALUE"""),0.0)</f>
        <v/>
      </c>
      <c r="E135" s="2">
        <f>IFERROR(__xludf.DUMMYFUNCTION("""COMPUTED_VALUE"""),2340.0)</f>
        <v/>
      </c>
      <c r="F135" s="2">
        <f>IFERROR(__xludf.DUMMYFUNCTION("""COMPUTED_VALUE"""),3117.0)</f>
        <v/>
      </c>
      <c r="G135" s="2">
        <f>IFERROR(__xludf.DUMMYFUNCTION("""COMPUTED_VALUE"""),3487.0)</f>
        <v/>
      </c>
      <c r="H135" s="2">
        <f>IFERROR(__xludf.DUMMYFUNCTION("""COMPUTED_VALUE"""),3923.0)</f>
        <v/>
      </c>
      <c r="I135" s="2">
        <f>IFERROR(__xludf.DUMMYFUNCTION("""COMPUTED_VALUE"""),4359.0)</f>
        <v/>
      </c>
      <c r="J135" s="2">
        <f>IFERROR(__xludf.DUMMYFUNCTION("""COMPUTED_VALUE"""),2180.0)</f>
        <v/>
      </c>
      <c r="K135" s="2">
        <f>IFERROR(__xludf.DUMMYFUNCTION("""COMPUTED_VALUE"""),1.0)</f>
        <v/>
      </c>
      <c r="L135" s="2">
        <f>IFERROR(__xludf.DUMMYFUNCTION("""COMPUTED_VALUE"""),"LEDOS Промышленное освещение")</f>
        <v/>
      </c>
      <c r="M135" s="2">
        <f>IFERROR(__xludf.DUMMYFUNCTION("""COMPUTED_VALUE"""),"Промышленные светильники (LED), Металлические (линейные), LED Светильники")</f>
        <v/>
      </c>
    </row>
    <row r="136">
      <c r="A136" s="5">
        <f>IFERROR(__xludf.DUMMYFUNCTION("""COMPUTED_VALUE"""),"4690612042336")</f>
        <v/>
      </c>
      <c r="B136" s="5">
        <f>IFERROR(__xludf.DUMMYFUNCTION("""COMPUTED_VALUE"""),"ДВО-01 4065-ОПАЛ 40Вт 230В 6500К 3600Лм 180х1195х25мм NEOX")</f>
        <v/>
      </c>
      <c r="C136" s="2">
        <f>IFERROR(__xludf.DUMMYFUNCTION("""COMPUTED_VALUE"""),4.800000000000001)</f>
        <v/>
      </c>
      <c r="D136" s="2">
        <f>IFERROR(__xludf.DUMMYFUNCTION("""COMPUTED_VALUE"""),0.032)</f>
        <v/>
      </c>
      <c r="E136" s="2">
        <f>IFERROR(__xludf.DUMMYFUNCTION("""COMPUTED_VALUE"""),771.47)</f>
        <v/>
      </c>
      <c r="F136" s="2">
        <f>IFERROR(__xludf.DUMMYFUNCTION("""COMPUTED_VALUE"""),818.0)</f>
        <v/>
      </c>
      <c r="G136" s="2">
        <f>IFERROR(__xludf.DUMMYFUNCTION("""COMPUTED_VALUE"""),920.0)</f>
        <v/>
      </c>
      <c r="H136" s="2">
        <f>IFERROR(__xludf.DUMMYFUNCTION("""COMPUTED_VALUE"""),1067.0)</f>
        <v/>
      </c>
      <c r="I136" s="2">
        <f>IFERROR(__xludf.DUMMYFUNCTION("""COMPUTED_VALUE"""),1227.0)</f>
        <v/>
      </c>
      <c r="J136" s="2">
        <f>IFERROR(__xludf.DUMMYFUNCTION("""COMPUTED_VALUE"""),614.0)</f>
        <v/>
      </c>
      <c r="K136" s="2">
        <f>IFERROR(__xludf.DUMMYFUNCTION("""COMPUTED_VALUE"""),36.0)</f>
        <v/>
      </c>
      <c r="L136" s="2">
        <f>IFERROR(__xludf.DUMMYFUNCTION("""COMPUTED_VALUE"""),"NEOX Светильники LED ДВО")</f>
        <v/>
      </c>
      <c r="M136" s="2">
        <f>IFERROR(__xludf.DUMMYFUNCTION("""COMPUTED_VALUE"""),"С равномерной засветкой, С равномерной засветкой, LED Светильники")</f>
        <v/>
      </c>
    </row>
    <row r="137">
      <c r="A137" s="5">
        <f>IFERROR(__xludf.DUMMYFUNCTION("""COMPUTED_VALUE"""),"V1035")</f>
        <v/>
      </c>
      <c r="B137" s="5">
        <f>IFERROR(__xludf.DUMMYFUNCTION("""COMPUTED_VALUE"""),"VRN-UN-124-G50K67-U, 124Вт, Универсальный")</f>
        <v/>
      </c>
      <c r="C137" s="2">
        <f>IFERROR(__xludf.DUMMYFUNCTION("""COMPUTED_VALUE"""),0.21)</f>
        <v/>
      </c>
      <c r="D137" s="2">
        <f>IFERROR(__xludf.DUMMYFUNCTION("""COMPUTED_VALUE"""),0.01001)</f>
        <v/>
      </c>
      <c r="E137" s="2">
        <f>IFERROR(__xludf.DUMMYFUNCTION("""COMPUTED_VALUE"""),4715.62)</f>
        <v/>
      </c>
      <c r="F137" s="2">
        <f>IFERROR(__xludf.DUMMYFUNCTION("""COMPUTED_VALUE"""),5320.0)</f>
        <v/>
      </c>
      <c r="G137" s="2">
        <f>IFERROR(__xludf.DUMMYFUNCTION("""COMPUTED_VALUE"""),6916.0)</f>
        <v/>
      </c>
      <c r="H137" s="2">
        <f>IFERROR(__xludf.DUMMYFUNCTION("""COMPUTED_VALUE"""),7262.0)</f>
        <v/>
      </c>
      <c r="I137" s="2">
        <f>IFERROR(__xludf.DUMMYFUNCTION("""COMPUTED_VALUE"""),7608.0)</f>
        <v/>
      </c>
      <c r="J137" s="2">
        <f>IFERROR(__xludf.DUMMYFUNCTION("""COMPUTED_VALUE"""),3804.0)</f>
        <v/>
      </c>
      <c r="K137" s="2">
        <f>IFERROR(__xludf.DUMMYFUNCTION("""COMPUTED_VALUE"""),1.0)</f>
        <v/>
      </c>
      <c r="L137" s="2">
        <f>IFERROR(__xludf.DUMMYFUNCTION("""COMPUTED_VALUE"""),"Универсал")</f>
        <v/>
      </c>
      <c r="M137" s="2">
        <f>IFERROR(__xludf.DUMMYFUNCTION("""COMPUTED_VALUE"""),"Для обычных дорог, Модульные, LED Светильники")</f>
        <v/>
      </c>
    </row>
    <row r="138">
      <c r="A138" s="5">
        <f>IFERROR(__xludf.DUMMYFUNCTION("""COMPUTED_VALUE"""),"GL8121")</f>
        <v/>
      </c>
      <c r="B138" s="5">
        <f>IFERROR(__xludf.DUMMYFUNCTION("""COMPUTED_VALUE"""),"GLERIO Office Casual 36 Вт 4000К 81P-36D-4V-P")</f>
        <v/>
      </c>
      <c r="C138" s="2">
        <f>IFERROR(__xludf.DUMMYFUNCTION("""COMPUTED_VALUE"""),1.14)</f>
        <v/>
      </c>
      <c r="D138" s="2">
        <f>IFERROR(__xludf.DUMMYFUNCTION("""COMPUTED_VALUE"""),0.008190000000000001)</f>
        <v/>
      </c>
      <c r="E138" s="2">
        <f>IFERROR(__xludf.DUMMYFUNCTION("""COMPUTED_VALUE"""),1980.46)</f>
        <v/>
      </c>
      <c r="F138" s="2">
        <f>IFERROR(__xludf.DUMMYFUNCTION("""COMPUTED_VALUE"""),2420.0)</f>
        <v/>
      </c>
      <c r="G138" s="2">
        <f>IFERROR(__xludf.DUMMYFUNCTION("""COMPUTED_VALUE"""),3047.0)</f>
        <v/>
      </c>
      <c r="H138" s="2">
        <f>IFERROR(__xludf.DUMMYFUNCTION("""COMPUTED_VALUE"""),3422.0)</f>
        <v/>
      </c>
      <c r="I138" s="2">
        <f>IFERROR(__xludf.DUMMYFUNCTION("""COMPUTED_VALUE"""),3796.0)</f>
        <v/>
      </c>
      <c r="J138" s="2">
        <f>IFERROR(__xludf.DUMMYFUNCTION("""COMPUTED_VALUE"""),2420.0)</f>
        <v/>
      </c>
      <c r="K138" s="2">
        <f>IFERROR(__xludf.DUMMYFUNCTION("""COMPUTED_VALUE"""),2.0)</f>
        <v/>
      </c>
      <c r="L138" s="2">
        <f>IFERROR(__xludf.DUMMYFUNCTION("""COMPUTED_VALUE"""),"Office Casual (Офис) до 10.2025")</f>
        <v/>
      </c>
      <c r="M138" s="2">
        <f>IFERROR(__xludf.DUMMYFUNCTION("""COMPUTED_VALUE"""),"Встраиваемые, Накладные, LED Светильники")</f>
        <v/>
      </c>
    </row>
    <row r="139">
      <c r="A139" s="5">
        <f>IFERROR(__xludf.DUMMYFUNCTION("""COMPUTED_VALUE"""),"03680")</f>
        <v/>
      </c>
      <c r="B139" s="5">
        <f>IFERROR(__xludf.DUMMYFUNCTION("""COMPUTED_VALUE"""),"TLPL218 ECP")</f>
        <v/>
      </c>
      <c r="C139" s="2">
        <f>IFERROR(__xludf.DUMMYFUNCTION("""COMPUTED_VALUE"""),1.1)</f>
        <v/>
      </c>
      <c r="D139" s="2">
        <f>IFERROR(__xludf.DUMMYFUNCTION("""COMPUTED_VALUE"""),0.00661)</f>
        <v/>
      </c>
      <c r="E139" s="2">
        <f>IFERROR(__xludf.DUMMYFUNCTION("""COMPUTED_VALUE"""),374.5)</f>
        <v/>
      </c>
      <c r="F139" s="2">
        <f>IFERROR(__xludf.DUMMYFUNCTION("""COMPUTED_VALUE"""),497.0)</f>
        <v/>
      </c>
      <c r="G139" s="2">
        <f>IFERROR(__xludf.DUMMYFUNCTION("""COMPUTED_VALUE"""),561.0)</f>
        <v/>
      </c>
      <c r="H139" s="2">
        <f>IFERROR(__xludf.DUMMYFUNCTION("""COMPUTED_VALUE"""),574.0)</f>
        <v/>
      </c>
      <c r="I139" s="2">
        <f>IFERROR(__xludf.DUMMYFUNCTION("""COMPUTED_VALUE"""),700.0)</f>
        <v/>
      </c>
      <c r="J139" s="2">
        <f>IFERROR(__xludf.DUMMYFUNCTION("""COMPUTED_VALUE"""),350.0)</f>
        <v/>
      </c>
      <c r="K139" s="2">
        <f>IFERROR(__xludf.DUMMYFUNCTION("""COMPUTED_VALUE"""),12.0)</f>
        <v/>
      </c>
      <c r="L139" s="2">
        <f>IFERROR(__xludf.DUMMYFUNCTION("""COMPUTED_VALUE"""),"Технолюкс Ламповые TLPL (IP20)")</f>
        <v/>
      </c>
      <c r="M139" s="2">
        <f>IFERROR(__xludf.DUMMYFUNCTION("""COMPUTED_VALUE"""),"Ламповые светильники")</f>
        <v/>
      </c>
    </row>
    <row r="140">
      <c r="A140" s="5">
        <f>IFERROR(__xludf.DUMMYFUNCTION("""COMPUTED_VALUE"""),"D55099")</f>
        <v/>
      </c>
      <c r="B140" s="5">
        <f>IFERROR(__xludf.DUMMYFUNCTION("""COMPUTED_VALUE"""),"Лампа ""Диско"", 3 разноцветных LED лампы, цоколь Е27, 220v /48/12")</f>
        <v/>
      </c>
      <c r="C140" s="2">
        <f>IFERROR(__xludf.DUMMYFUNCTION("""COMPUTED_VALUE"""),0.0)</f>
        <v/>
      </c>
      <c r="D140" s="2">
        <f>IFERROR(__xludf.DUMMYFUNCTION("""COMPUTED_VALUE"""),0.0)</f>
        <v/>
      </c>
      <c r="E140" s="2">
        <f>IFERROR(__xludf.DUMMYFUNCTION("""COMPUTED_VALUE"""),298.5)</f>
        <v/>
      </c>
      <c r="F140" s="2">
        <f>IFERROR(__xludf.DUMMYFUNCTION("""COMPUTED_VALUE"""),334.0)</f>
        <v/>
      </c>
      <c r="G140" s="2">
        <f>IFERROR(__xludf.DUMMYFUNCTION("""COMPUTED_VALUE"""),364.0)</f>
        <v/>
      </c>
      <c r="H140" s="2">
        <f>IFERROR(__xludf.DUMMYFUNCTION("""COMPUTED_VALUE"""),395.0)</f>
        <v/>
      </c>
      <c r="I140" s="2">
        <f>IFERROR(__xludf.DUMMYFUNCTION("""COMPUTED_VALUE"""),425.0)</f>
        <v/>
      </c>
      <c r="J140" s="2">
        <f>IFERROR(__xludf.DUMMYFUNCTION("""COMPUTED_VALUE"""),213.0)</f>
        <v/>
      </c>
      <c r="K140" s="2">
        <f>IFERROR(__xludf.DUMMYFUNCTION("""COMPUTED_VALUE"""),12.0)</f>
        <v/>
      </c>
      <c r="L140" s="2">
        <f>IFERROR(__xludf.DUMMYFUNCTION("""COMPUTED_VALUE"""),"Праздничная иллюминация")</f>
        <v/>
      </c>
      <c r="M140" s="2">
        <f>IFERROR(__xludf.DUMMYFUNCTION("""COMPUTED_VALUE"""),"Гирлянды светодиодные (LED), Прочие товары")</f>
        <v/>
      </c>
    </row>
    <row r="141">
      <c r="A141" s="5">
        <f>IFERROR(__xludf.DUMMYFUNCTION("""COMPUTED_VALUE"""),"NVAS008")</f>
        <v/>
      </c>
      <c r="B141" s="5">
        <f>IFERROR(__xludf.DUMMYFUNCTION("""COMPUTED_VALUE"""),"Светодиодный светильник серии Профи Лайт 180Вт")</f>
        <v/>
      </c>
      <c r="C141" s="2">
        <f>IFERROR(__xludf.DUMMYFUNCTION("""COMPUTED_VALUE"""),0.0)</f>
        <v/>
      </c>
      <c r="D141" s="2">
        <f>IFERROR(__xludf.DUMMYFUNCTION("""COMPUTED_VALUE"""),0.0)</f>
        <v/>
      </c>
      <c r="E141" s="2">
        <f>IFERROR(__xludf.DUMMYFUNCTION("""COMPUTED_VALUE"""),7450.0)</f>
        <v/>
      </c>
      <c r="F141" s="2">
        <f>IFERROR(__xludf.DUMMYFUNCTION("""COMPUTED_VALUE"""),14128.0)</f>
        <v/>
      </c>
      <c r="G141" s="2">
        <f>IFERROR(__xludf.DUMMYFUNCTION("""COMPUTED_VALUE"""),15070.0)</f>
        <v/>
      </c>
      <c r="H141" s="2">
        <f>IFERROR(__xludf.DUMMYFUNCTION("""COMPUTED_VALUE"""),16954.0)</f>
        <v/>
      </c>
      <c r="I141" s="2">
        <f>IFERROR(__xludf.DUMMYFUNCTION("""COMPUTED_VALUE"""),18837.42)</f>
        <v/>
      </c>
      <c r="J141" s="2">
        <f>IFERROR(__xludf.DUMMYFUNCTION("""COMPUTED_VALUE"""),18837.42)</f>
        <v/>
      </c>
      <c r="K141" s="2">
        <f>IFERROR(__xludf.DUMMYFUNCTION("""COMPUTED_VALUE"""),0.0)</f>
        <v/>
      </c>
      <c r="L141" s="2">
        <f>IFERROR(__xludf.DUMMYFUNCTION("""COMPUTED_VALUE"""),"NVAS (тендер)")</f>
        <v/>
      </c>
      <c r="M141" s="2">
        <f>IFERROR(__xludf.DUMMYFUNCTION("""COMPUTED_VALUE"""),"LED Светильники")</f>
        <v/>
      </c>
    </row>
    <row r="142">
      <c r="A142" s="5">
        <f>IFERROR(__xludf.DUMMYFUNCTION("""COMPUTED_VALUE"""),"01-6101-6")</f>
        <v/>
      </c>
      <c r="B142" s="5">
        <f>IFERROR(__xludf.DUMMYFUNCTION("""COMPUTED_VALUE"""),"Кабель акустический ШВПМ PROconnect 2х0,25 мм , красно-черный, бухта 100 м")</f>
        <v/>
      </c>
      <c r="C142" s="2">
        <f>IFERROR(__xludf.DUMMYFUNCTION("""COMPUTED_VALUE"""),0.0)</f>
        <v/>
      </c>
      <c r="D142" s="2">
        <f>IFERROR(__xludf.DUMMYFUNCTION("""COMPUTED_VALUE"""),0.0)</f>
        <v/>
      </c>
      <c r="E142" s="2">
        <f>IFERROR(__xludf.DUMMYFUNCTION("""COMPUTED_VALUE"""),1.0)</f>
        <v/>
      </c>
      <c r="F142" s="2">
        <f>IFERROR(__xludf.DUMMYFUNCTION("""COMPUTED_VALUE"""),1078.0)</f>
        <v/>
      </c>
      <c r="G142" s="2">
        <f>IFERROR(__xludf.DUMMYFUNCTION("""COMPUTED_VALUE"""),1149.0)</f>
        <v/>
      </c>
      <c r="H142" s="2">
        <f>IFERROR(__xludf.DUMMYFUNCTION("""COMPUTED_VALUE"""),1293.0)</f>
        <v/>
      </c>
      <c r="I142" s="2">
        <f>IFERROR(__xludf.DUMMYFUNCTION("""COMPUTED_VALUE"""),1436.78)</f>
        <v/>
      </c>
      <c r="J142" s="2">
        <f>IFERROR(__xludf.DUMMYFUNCTION("""COMPUTED_VALUE"""),718.0)</f>
        <v/>
      </c>
      <c r="K142" s="2">
        <f>IFERROR(__xludf.DUMMYFUNCTION("""COMPUTED_VALUE"""),5.0)</f>
        <v/>
      </c>
      <c r="L142" s="2">
        <f>IFERROR(__xludf.DUMMYFUNCTION("""COMPUTED_VALUE"""),"Rexant")</f>
        <v/>
      </c>
      <c r="M142" s="2">
        <f>IFERROR(__xludf.DUMMYFUNCTION("""COMPUTED_VALUE"""),"Прочие товары")</f>
        <v/>
      </c>
    </row>
    <row r="143">
      <c r="A143" s="5">
        <f>IFERROR(__xludf.DUMMYFUNCTION("""COMPUTED_VALUE"""),"4690612042701-1")</f>
        <v/>
      </c>
      <c r="B143" s="5">
        <f>IFERROR(__xludf.DUMMYFUNCTION("""COMPUTED_VALUE"""),"ДВО-01 3640-ПРИЗМА 36 Вт 230В 4000K 3600Лм 180х1195х19мм NEOX (в индивидуальной упаковке)")</f>
        <v/>
      </c>
      <c r="C143" s="2">
        <f>IFERROR(__xludf.DUMMYFUNCTION("""COMPUTED_VALUE"""),0.0)</f>
        <v/>
      </c>
      <c r="D143" s="2">
        <f>IFERROR(__xludf.DUMMYFUNCTION("""COMPUTED_VALUE"""),0.0)</f>
        <v/>
      </c>
      <c r="E143" s="2">
        <f>IFERROR(__xludf.DUMMYFUNCTION("""COMPUTED_VALUE"""),520.78)</f>
        <v/>
      </c>
      <c r="F143" s="2">
        <f>IFERROR(__xludf.DUMMYFUNCTION("""COMPUTED_VALUE"""),571.0)</f>
        <v/>
      </c>
      <c r="G143" s="2">
        <f>IFERROR(__xludf.DUMMYFUNCTION("""COMPUTED_VALUE"""),666.0)</f>
        <v/>
      </c>
      <c r="H143" s="2">
        <f>IFERROR(__xludf.DUMMYFUNCTION("""COMPUTED_VALUE"""),750.0)</f>
        <v/>
      </c>
      <c r="I143" s="2">
        <f>IFERROR(__xludf.DUMMYFUNCTION("""COMPUTED_VALUE"""),833.0)</f>
        <v/>
      </c>
      <c r="J143" s="2">
        <f>IFERROR(__xludf.DUMMYFUNCTION("""COMPUTED_VALUE"""),417.0)</f>
        <v/>
      </c>
      <c r="K143" s="2">
        <f>IFERROR(__xludf.DUMMYFUNCTION("""COMPUTED_VALUE"""),19.0)</f>
        <v/>
      </c>
      <c r="L143" s="2">
        <f>IFERROR(__xludf.DUMMYFUNCTION("""COMPUTED_VALUE"""),"NEOX Светильники LED ДВО - Призма производство, упаковка")</f>
        <v/>
      </c>
      <c r="M143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144">
      <c r="A144" s="5">
        <f>IFERROR(__xludf.DUMMYFUNCTION("""COMPUTED_VALUE"""),"11700049")</f>
        <v/>
      </c>
      <c r="B144" s="5">
        <f>IFERROR(__xludf.DUMMYFUNCTION("""COMPUTED_VALUE"""),"SLL - LEVEL 01-P5070 L1000 4000К 25Вт")</f>
        <v/>
      </c>
      <c r="C144" s="2">
        <f>IFERROR(__xludf.DUMMYFUNCTION("""COMPUTED_VALUE"""),0.0)</f>
        <v/>
      </c>
      <c r="D144" s="2">
        <f>IFERROR(__xludf.DUMMYFUNCTION("""COMPUTED_VALUE"""),0.00431)</f>
        <v/>
      </c>
      <c r="E144" s="2">
        <f>IFERROR(__xludf.DUMMYFUNCTION("""COMPUTED_VALUE"""),1.0)</f>
        <v/>
      </c>
      <c r="F144" s="2">
        <f>IFERROR(__xludf.DUMMYFUNCTION("""COMPUTED_VALUE"""),5470.0)</f>
        <v/>
      </c>
      <c r="G144" s="2">
        <f>IFERROR(__xludf.DUMMYFUNCTION("""COMPUTED_VALUE"""),6120.0)</f>
        <v/>
      </c>
      <c r="H144" s="2">
        <f>IFERROR(__xludf.DUMMYFUNCTION("""COMPUTED_VALUE"""),6885.0)</f>
        <v/>
      </c>
      <c r="I144" s="2">
        <f>IFERROR(__xludf.DUMMYFUNCTION("""COMPUTED_VALUE"""),7650.0)</f>
        <v/>
      </c>
      <c r="J144" s="2">
        <f>IFERROR(__xludf.DUMMYFUNCTION("""COMPUTED_VALUE"""),3825.0)</f>
        <v/>
      </c>
      <c r="K144" s="2">
        <f>IFERROR(__xludf.DUMMYFUNCTION("""COMPUTED_VALUE"""),1.0)</f>
        <v/>
      </c>
      <c r="L144" s="2">
        <f>IFERROR(__xludf.DUMMYFUNCTION("""COMPUTED_VALUE"""),"LEDOS Офисное освещение")</f>
        <v/>
      </c>
      <c r="M144" s="2">
        <f>IFERROR(__xludf.DUMMYFUNCTION("""COMPUTED_VALUE"""),"Декоративные, LED Светильники")</f>
        <v/>
      </c>
    </row>
    <row r="145">
      <c r="A145" s="5">
        <f>IFERROR(__xludf.DUMMYFUNCTION("""COMPUTED_VALUE"""),"13-2005")</f>
        <v/>
      </c>
      <c r="B145" s="5">
        <f>IFERROR(__xludf.DUMMYFUNCTION("""COMPUTED_VALUE"""),"MASTECH Универсальный мультиметр MY64 13-2005")</f>
        <v/>
      </c>
      <c r="C145" s="2">
        <f>IFERROR(__xludf.DUMMYFUNCTION("""COMPUTED_VALUE"""),0.0)</f>
        <v/>
      </c>
      <c r="D145" s="2">
        <f>IFERROR(__xludf.DUMMYFUNCTION("""COMPUTED_VALUE"""),0.0)</f>
        <v/>
      </c>
      <c r="E145" s="2">
        <f>IFERROR(__xludf.DUMMYFUNCTION("""COMPUTED_VALUE"""),1.0)</f>
        <v/>
      </c>
      <c r="F145" s="2">
        <f>IFERROR(__xludf.DUMMYFUNCTION("""COMPUTED_VALUE"""),3375.0)</f>
        <v/>
      </c>
      <c r="G145" s="2">
        <f>IFERROR(__xludf.DUMMYFUNCTION("""COMPUTED_VALUE"""),3600.0)</f>
        <v/>
      </c>
      <c r="H145" s="2">
        <f>IFERROR(__xludf.DUMMYFUNCTION("""COMPUTED_VALUE"""),4050.0)</f>
        <v/>
      </c>
      <c r="I145" s="2">
        <f>IFERROR(__xludf.DUMMYFUNCTION("""COMPUTED_VALUE"""),4500.5)</f>
        <v/>
      </c>
      <c r="J145" s="2">
        <f>IFERROR(__xludf.DUMMYFUNCTION("""COMPUTED_VALUE"""),2250.0)</f>
        <v/>
      </c>
      <c r="K145" s="2">
        <f>IFERROR(__xludf.DUMMYFUNCTION("""COMPUTED_VALUE"""),1.0)</f>
        <v/>
      </c>
      <c r="L145" s="2">
        <f>IFERROR(__xludf.DUMMYFUNCTION("""COMPUTED_VALUE"""),"Rexant")</f>
        <v/>
      </c>
      <c r="M145" s="2">
        <f>IFERROR(__xludf.DUMMYFUNCTION("""COMPUTED_VALUE"""),"Прочие товары")</f>
        <v/>
      </c>
    </row>
    <row r="146">
      <c r="A146" s="5">
        <f>IFERROR(__xludf.DUMMYFUNCTION("""COMPUTED_VALUE"""),"R100344-2")</f>
        <v/>
      </c>
      <c r="B146" s="5">
        <f>IFERROR(__xludf.DUMMYFUNCTION("""COMPUTED_VALUE"""),"RSV-SPO-02-40W-6500К, IP40 P (2 штуки в упаковке)")</f>
        <v/>
      </c>
      <c r="C146" s="2">
        <f>IFERROR(__xludf.DUMMYFUNCTION("""COMPUTED_VALUE"""),0.42)</f>
        <v/>
      </c>
      <c r="D146" s="2">
        <f>IFERROR(__xludf.DUMMYFUNCTION("""COMPUTED_VALUE"""),0.0)</f>
        <v/>
      </c>
      <c r="E146" s="2">
        <f>IFERROR(__xludf.DUMMYFUNCTION("""COMPUTED_VALUE"""),430.04)</f>
        <v/>
      </c>
      <c r="F146" s="2">
        <f>IFERROR(__xludf.DUMMYFUNCTION("""COMPUTED_VALUE"""),516.0)</f>
        <v/>
      </c>
      <c r="G146" s="2">
        <f>IFERROR(__xludf.DUMMYFUNCTION("""COMPUTED_VALUE"""),550.0)</f>
        <v/>
      </c>
      <c r="H146" s="2">
        <f>IFERROR(__xludf.DUMMYFUNCTION("""COMPUTED_VALUE"""),619.0)</f>
        <v/>
      </c>
      <c r="I146" s="2">
        <f>IFERROR(__xludf.DUMMYFUNCTION("""COMPUTED_VALUE"""),688.0)</f>
        <v/>
      </c>
      <c r="J146" s="2">
        <f>IFERROR(__xludf.DUMMYFUNCTION("""COMPUTED_VALUE"""),344.0)</f>
        <v/>
      </c>
      <c r="K146" s="2">
        <f>IFERROR(__xludf.DUMMYFUNCTION("""COMPUTED_VALUE"""),7.0)</f>
        <v/>
      </c>
      <c r="L146" s="2">
        <f>IFERROR(__xludf.DUMMYFUNCTION("""COMPUTED_VALUE"""),"RSV-SPO Светильники Производство, упаковка (2 и 3 штуки)")</f>
        <v/>
      </c>
      <c r="M146" s="2">
        <f>IFERROR(__xludf.DUMMYFUNCTION("""COMPUTED_VALUE"""),"Пластиковые (линейные), Светильники общего назначения (LED), Накладные, Линейные (проходные), LED Светильники")</f>
        <v/>
      </c>
    </row>
    <row r="147">
      <c r="A147" s="5">
        <f>IFERROR(__xludf.DUMMYFUNCTION("""COMPUTED_VALUE"""),"4690612008066-10")</f>
        <v/>
      </c>
      <c r="B147" s="5">
        <f>IFERROR(__xludf.DUMMYFUNCTION("""COMPUTED_VALUE"""),"10 шт. Лампа LED-A60-deco 9Вт 230В Е27 3000К 1040Лм прозрачная IN HOME (Комплект 10 шт)")</f>
        <v/>
      </c>
      <c r="C147" s="2">
        <f>IFERROR(__xludf.DUMMYFUNCTION("""COMPUTED_VALUE"""),0.04)</f>
        <v/>
      </c>
      <c r="D147" s="2">
        <f>IFERROR(__xludf.DUMMYFUNCTION("""COMPUTED_VALUE"""),0.0028)</f>
        <v/>
      </c>
      <c r="E147" s="2">
        <f>IFERROR(__xludf.DUMMYFUNCTION("""COMPUTED_VALUE"""),820.0)</f>
        <v/>
      </c>
      <c r="F147" s="2">
        <f>IFERROR(__xludf.DUMMYFUNCTION("""COMPUTED_VALUE"""),900.0)</f>
        <v/>
      </c>
      <c r="G147" s="2">
        <f>IFERROR(__xludf.DUMMYFUNCTION("""COMPUTED_VALUE"""),1050.0)</f>
        <v/>
      </c>
      <c r="H147" s="2">
        <f>IFERROR(__xludf.DUMMYFUNCTION("""COMPUTED_VALUE"""),1181.0)</f>
        <v/>
      </c>
      <c r="I147" s="2">
        <f>IFERROR(__xludf.DUMMYFUNCTION("""COMPUTED_VALUE"""),1312.0)</f>
        <v/>
      </c>
      <c r="J147" s="2">
        <f>IFERROR(__xludf.DUMMYFUNCTION("""COMPUTED_VALUE"""),656.0)</f>
        <v/>
      </c>
      <c r="K147" s="2">
        <f>IFERROR(__xludf.DUMMYFUNCTION("""COMPUTED_VALUE"""),2.0)</f>
        <v/>
      </c>
      <c r="L147" s="2">
        <f>IFERROR(__xludf.DUMMYFUNCTION("""COMPUTED_VALUE"""),"Лампы производство, упаковка")</f>
        <v/>
      </c>
      <c r="M147" s="2">
        <f>IFERROR(__xludf.DUMMYFUNCTION("""COMPUTED_VALUE"""),"Лампы")</f>
        <v/>
      </c>
    </row>
    <row r="148">
      <c r="A148" s="5">
        <f>IFERROR(__xludf.DUMMYFUNCTION("""COMPUTED_VALUE"""),"R100488")</f>
        <v/>
      </c>
      <c r="B148" s="5">
        <f>IFERROR(__xludf.DUMMYFUNCTION("""COMPUTED_VALUE"""),"RSV-A60-11W-3000K-E27 P")</f>
        <v/>
      </c>
      <c r="C148" s="2">
        <f>IFERROR(__xludf.DUMMYFUNCTION("""COMPUTED_VALUE"""),0.05350000000000001)</f>
        <v/>
      </c>
      <c r="D148" s="2">
        <f>IFERROR(__xludf.DUMMYFUNCTION("""COMPUTED_VALUE"""),5.0E-4)</f>
        <v/>
      </c>
      <c r="E148" s="2">
        <f>IFERROR(__xludf.DUMMYFUNCTION("""COMPUTED_VALUE"""),47.73)</f>
        <v/>
      </c>
      <c r="F148" s="2">
        <f>IFERROR(__xludf.DUMMYFUNCTION("""COMPUTED_VALUE"""),66.0)</f>
        <v/>
      </c>
      <c r="G148" s="2">
        <f>IFERROR(__xludf.DUMMYFUNCTION("""COMPUTED_VALUE"""),70.0)</f>
        <v/>
      </c>
      <c r="H148" s="2">
        <f>IFERROR(__xludf.DUMMYFUNCTION("""COMPUTED_VALUE"""),79.0)</f>
        <v/>
      </c>
      <c r="I148" s="2">
        <f>IFERROR(__xludf.DUMMYFUNCTION("""COMPUTED_VALUE"""),88.10000000000001)</f>
        <v/>
      </c>
      <c r="J148" s="2">
        <f>IFERROR(__xludf.DUMMYFUNCTION("""COMPUTED_VALUE"""),44.0)</f>
        <v/>
      </c>
      <c r="K148" s="2">
        <f>IFERROR(__xludf.DUMMYFUNCTION("""COMPUTED_VALUE"""),3.0)</f>
        <v/>
      </c>
      <c r="L148" s="2">
        <f>IFERROR(__xludf.DUMMYFUNCTION("""COMPUTED_VALUE"""),"Светодиодные лампы A60")</f>
        <v/>
      </c>
      <c r="M148" s="2">
        <f>IFERROR(__xludf.DUMMYFUNCTION("""COMPUTED_VALUE"""),"Лампы")</f>
        <v/>
      </c>
    </row>
    <row r="149">
      <c r="A149" s="5">
        <f>IFERROR(__xludf.DUMMYFUNCTION("""COMPUTED_VALUE"""),"4690612010212")</f>
        <v/>
      </c>
      <c r="B149" s="5">
        <f>IFERROR(__xludf.DUMMYFUNCTION("""COMPUTED_VALUE"""),"РШ/ВШ 32А 250В пластиковый встраиваемый белый 9133 IN HOME")</f>
        <v/>
      </c>
      <c r="C149" s="2">
        <f>IFERROR(__xludf.DUMMYFUNCTION("""COMPUTED_VALUE"""),0.16389)</f>
        <v/>
      </c>
      <c r="D149" s="2">
        <f>IFERROR(__xludf.DUMMYFUNCTION("""COMPUTED_VALUE"""),5.600000000000001E-4)</f>
        <v/>
      </c>
      <c r="E149" s="2">
        <f>IFERROR(__xludf.DUMMYFUNCTION("""COMPUTED_VALUE"""),126.98)</f>
        <v/>
      </c>
      <c r="F149" s="2">
        <f>IFERROR(__xludf.DUMMYFUNCTION("""COMPUTED_VALUE"""),169.0)</f>
        <v/>
      </c>
      <c r="G149" s="2">
        <f>IFERROR(__xludf.DUMMYFUNCTION("""COMPUTED_VALUE"""),190.0)</f>
        <v/>
      </c>
      <c r="H149" s="2">
        <f>IFERROR(__xludf.DUMMYFUNCTION("""COMPUTED_VALUE"""),220.0)</f>
        <v/>
      </c>
      <c r="I149" s="2">
        <f>IFERROR(__xludf.DUMMYFUNCTION("""COMPUTED_VALUE"""),253.0)</f>
        <v/>
      </c>
      <c r="J149" s="2">
        <f>IFERROR(__xludf.DUMMYFUNCTION("""COMPUTED_VALUE"""),127.0)</f>
        <v/>
      </c>
      <c r="K149" s="2">
        <f>IFERROR(__xludf.DUMMYFUNCTION("""COMPUTED_VALUE"""),4.0)</f>
        <v/>
      </c>
      <c r="L149" s="2">
        <f>IFERROR(__xludf.DUMMYFUNCTION("""COMPUTED_VALUE"""),"Розетки, вилки и колодки")</f>
        <v/>
      </c>
      <c r="M149" s="2">
        <f>IFERROR(__xludf.DUMMYFUNCTION("""COMPUTED_VALUE"""),"Прочие товары")</f>
        <v/>
      </c>
    </row>
    <row r="150">
      <c r="A150" s="5">
        <f>IFERROR(__xludf.DUMMYFUNCTION("""COMPUTED_VALUE"""),"4690612055381")</f>
        <v/>
      </c>
      <c r="B150" s="5">
        <f>IFERROR(__xludf.DUMMYFUNCTION("""COMPUTED_VALUE"""),"Светильник сд ДПО-110 ПРИЗМА 50Вт 6500К 1200мм IP40 NEOX")</f>
        <v/>
      </c>
      <c r="C150" s="2">
        <f>IFERROR(__xludf.DUMMYFUNCTION("""COMPUTED_VALUE"""),0.32)</f>
        <v/>
      </c>
      <c r="D150" s="2">
        <f>IFERROR(__xludf.DUMMYFUNCTION("""COMPUTED_VALUE"""),0.00205)</f>
        <v/>
      </c>
      <c r="E150" s="2">
        <f>IFERROR(__xludf.DUMMYFUNCTION("""COMPUTED_VALUE"""),280.2)</f>
        <v/>
      </c>
      <c r="F150" s="2">
        <f>IFERROR(__xludf.DUMMYFUNCTION("""COMPUTED_VALUE"""),419.0)</f>
        <v/>
      </c>
      <c r="G150" s="2">
        <f>IFERROR(__xludf.DUMMYFUNCTION("""COMPUTED_VALUE"""),471.0)</f>
        <v/>
      </c>
      <c r="H150" s="2">
        <f>IFERROR(__xludf.DUMMYFUNCTION("""COMPUTED_VALUE"""),546.0)</f>
        <v/>
      </c>
      <c r="I150" s="2">
        <f>IFERROR(__xludf.DUMMYFUNCTION("""COMPUTED_VALUE"""),628.0)</f>
        <v/>
      </c>
      <c r="J150" s="2">
        <f>IFERROR(__xludf.DUMMYFUNCTION("""COMPUTED_VALUE"""),314.0)</f>
        <v/>
      </c>
      <c r="K150" s="2">
        <f>IFERROR(__xludf.DUMMYFUNCTION("""COMPUTED_VALUE"""),35.0)</f>
        <v/>
      </c>
      <c r="L150" s="2">
        <f>IFERROR(__xludf.DUMMYFUNCTION("""COMPUTED_VALUE"""),"NEOX Светильники LED ДПО")</f>
        <v/>
      </c>
      <c r="M150" s="2">
        <f>IFERROR(__xludf.DUMMYFUNCTION("""COMPUTED_VALUE"""),"Пластиковые (линейные), Накладные, Для ЖКХ, дома, дачи, LED Светильники")</f>
        <v/>
      </c>
    </row>
    <row r="151">
      <c r="A151" s="5">
        <f>IFERROR(__xludf.DUMMYFUNCTION("""COMPUTED_VALUE"""),"R100721")</f>
        <v/>
      </c>
      <c r="B151" s="5">
        <f>IFERROR(__xludf.DUMMYFUNCTION("""COMPUTED_VALUE"""),"RSV-SFL-3-400W-6500K-IP65")</f>
        <v/>
      </c>
      <c r="C151" s="2">
        <f>IFERROR(__xludf.DUMMYFUNCTION("""COMPUTED_VALUE"""),2.7)</f>
        <v/>
      </c>
      <c r="D151" s="2">
        <f>IFERROR(__xludf.DUMMYFUNCTION("""COMPUTED_VALUE"""),0.0057)</f>
        <v/>
      </c>
      <c r="E151" s="2">
        <f>IFERROR(__xludf.DUMMYFUNCTION("""COMPUTED_VALUE"""),4055.15)</f>
        <v/>
      </c>
      <c r="F151" s="2">
        <f>IFERROR(__xludf.DUMMYFUNCTION("""COMPUTED_VALUE"""),1497.0)</f>
        <v/>
      </c>
      <c r="G151" s="2">
        <f>IFERROR(__xludf.DUMMYFUNCTION("""COMPUTED_VALUE"""),1762.0)</f>
        <v/>
      </c>
      <c r="H151" s="2">
        <f>IFERROR(__xludf.DUMMYFUNCTION("""COMPUTED_VALUE"""),1815.0)</f>
        <v/>
      </c>
      <c r="I151" s="2">
        <f>IFERROR(__xludf.DUMMYFUNCTION("""COMPUTED_VALUE"""),2087.0)</f>
        <v/>
      </c>
      <c r="J151" s="2">
        <f>IFERROR(__xludf.DUMMYFUNCTION("""COMPUTED_VALUE"""),1044.0)</f>
        <v/>
      </c>
      <c r="K151" s="2">
        <f>IFERROR(__xludf.DUMMYFUNCTION("""COMPUTED_VALUE"""),5.0)</f>
        <v/>
      </c>
      <c r="L151" s="2">
        <f>IFERROR(__xludf.DUMMYFUNCTION("""COMPUTED_VALUE"""),"Прожекторы RSV-SFL-3")</f>
        <v/>
      </c>
      <c r="M151" s="2">
        <f>IFERROR(__xludf.DUMMYFUNCTION("""COMPUTED_VALUE"""),"Прожекторы (LED), Профессиональные, LED Светильники")</f>
        <v/>
      </c>
    </row>
    <row r="152">
      <c r="A152" s="5">
        <f>IFERROR(__xludf.DUMMYFUNCTION("""COMPUTED_VALUE"""),"4690612029368")</f>
        <v/>
      </c>
      <c r="B152" s="5">
        <f>IFERROR(__xludf.DUMMYFUNCTION("""COMPUTED_VALUE"""),"Коннектор шинопровода угловой AC-W-TL белый серии TOP-LINE IN HOME")</f>
        <v/>
      </c>
      <c r="C152" s="2">
        <f>IFERROR(__xludf.DUMMYFUNCTION("""COMPUTED_VALUE"""),0.0288)</f>
        <v/>
      </c>
      <c r="D152" s="2">
        <f>IFERROR(__xludf.DUMMYFUNCTION("""COMPUTED_VALUE"""),6.000000000000001E-5)</f>
        <v/>
      </c>
      <c r="E152" s="2">
        <f>IFERROR(__xludf.DUMMYFUNCTION("""COMPUTED_VALUE"""),45.0)</f>
        <v/>
      </c>
      <c r="F152" s="2">
        <f>IFERROR(__xludf.DUMMYFUNCTION("""COMPUTED_VALUE"""),65.0)</f>
        <v/>
      </c>
      <c r="G152" s="2">
        <f>IFERROR(__xludf.DUMMYFUNCTION("""COMPUTED_VALUE"""),73.0)</f>
        <v/>
      </c>
      <c r="H152" s="2">
        <f>IFERROR(__xludf.DUMMYFUNCTION("""COMPUTED_VALUE"""),84.0)</f>
        <v/>
      </c>
      <c r="I152" s="2">
        <f>IFERROR(__xludf.DUMMYFUNCTION("""COMPUTED_VALUE"""),97.0)</f>
        <v/>
      </c>
      <c r="J152" s="2">
        <f>IFERROR(__xludf.DUMMYFUNCTION("""COMPUTED_VALUE"""),49.0)</f>
        <v/>
      </c>
      <c r="K152" s="2">
        <f>IFERROR(__xludf.DUMMYFUNCTION("""COMPUTED_VALUE"""),1.0)</f>
        <v/>
      </c>
      <c r="L152" s="2">
        <f>IFERROR(__xludf.DUMMYFUNCTION("""COMPUTED_VALUE"""),"Шинопровод и комплектующие")</f>
        <v/>
      </c>
      <c r="M152" s="2">
        <f>IFERROR(__xludf.DUMMYFUNCTION("""COMPUTED_VALUE"""),"Прочие товары")</f>
        <v/>
      </c>
    </row>
    <row r="153">
      <c r="A153" s="5">
        <f>IFERROR(__xludf.DUMMYFUNCTION("""COMPUTED_VALUE"""),"GL51211")</f>
        <v/>
      </c>
      <c r="B153" s="5">
        <f>IFERROR(__xludf.DUMMYFUNCTION("""COMPUTED_VALUE"""),"GLERIO Practical 48 Вт 5000К 6A-48D-5K+")</f>
        <v/>
      </c>
      <c r="C153" s="2">
        <f>IFERROR(__xludf.DUMMYFUNCTION("""COMPUTED_VALUE"""),1.0)</f>
        <v/>
      </c>
      <c r="D153" s="2">
        <f>IFERROR(__xludf.DUMMYFUNCTION("""COMPUTED_VALUE"""),0.0033)</f>
        <v/>
      </c>
      <c r="E153" s="2">
        <f>IFERROR(__xludf.DUMMYFUNCTION("""COMPUTED_VALUE"""),1746.0)</f>
        <v/>
      </c>
      <c r="F153" s="2">
        <f>IFERROR(__xludf.DUMMYFUNCTION("""COMPUTED_VALUE"""),2000.0)</f>
        <v/>
      </c>
      <c r="G153" s="2">
        <f>IFERROR(__xludf.DUMMYFUNCTION("""COMPUTED_VALUE"""),2500.0)</f>
        <v/>
      </c>
      <c r="H153" s="2">
        <f>IFERROR(__xludf.DUMMYFUNCTION("""COMPUTED_VALUE"""),2813.0)</f>
        <v/>
      </c>
      <c r="I153" s="2">
        <f>IFERROR(__xludf.DUMMYFUNCTION("""COMPUTED_VALUE"""),3125.0)</f>
        <v/>
      </c>
      <c r="J153" s="2">
        <f>IFERROR(__xludf.DUMMYFUNCTION("""COMPUTED_VALUE"""),3125.0)</f>
        <v/>
      </c>
      <c r="K153" s="2">
        <f>IFERROR(__xludf.DUMMYFUNCTION("""COMPUTED_VALUE"""),10.0)</f>
        <v/>
      </c>
      <c r="L153" s="2">
        <f>IFERROR(__xludf.DUMMYFUNCTION("""COMPUTED_VALUE"""),"Practical+ Уличные GLERIO")</f>
        <v/>
      </c>
      <c r="M153" s="2">
        <f>IFERROR(__xludf.DUMMYFUNCTION("""COMPUTED_VALUE"""),"Для обычных дорог, LED Светильники")</f>
        <v/>
      </c>
    </row>
    <row r="154">
      <c r="A154" s="5">
        <f>IFERROR(__xludf.DUMMYFUNCTION("""COMPUTED_VALUE"""),"4690612015132")</f>
        <v/>
      </c>
      <c r="B154" s="5">
        <f>IFERROR(__xludf.DUMMYFUNCTION("""COMPUTED_VALUE"""),"NL04-BW Медведь с датчиком освещения 230В БЕЛЫЙ IN HOME")</f>
        <v/>
      </c>
      <c r="C154" s="2">
        <f>IFERROR(__xludf.DUMMYFUNCTION("""COMPUTED_VALUE"""),0.10292)</f>
        <v/>
      </c>
      <c r="D154" s="2">
        <f>IFERROR(__xludf.DUMMYFUNCTION("""COMPUTED_VALUE"""),0.00217)</f>
        <v/>
      </c>
      <c r="E154" s="2">
        <f>IFERROR(__xludf.DUMMYFUNCTION("""COMPUTED_VALUE"""),91.69)</f>
        <v/>
      </c>
      <c r="F154" s="2">
        <f>IFERROR(__xludf.DUMMYFUNCTION("""COMPUTED_VALUE"""),390.0)</f>
        <v/>
      </c>
      <c r="G154" s="2">
        <f>IFERROR(__xludf.DUMMYFUNCTION("""COMPUTED_VALUE"""),439.0)</f>
        <v/>
      </c>
      <c r="H154" s="2">
        <f>IFERROR(__xludf.DUMMYFUNCTION("""COMPUTED_VALUE"""),509.0)</f>
        <v/>
      </c>
      <c r="I154" s="2">
        <f>IFERROR(__xludf.DUMMYFUNCTION("""COMPUTED_VALUE"""),585.0)</f>
        <v/>
      </c>
      <c r="J154" s="2">
        <f>IFERROR(__xludf.DUMMYFUNCTION("""COMPUTED_VALUE"""),92.0)</f>
        <v/>
      </c>
      <c r="K154" s="2">
        <f>IFERROR(__xludf.DUMMYFUNCTION("""COMPUTED_VALUE"""),1.0)</f>
        <v/>
      </c>
      <c r="L154" s="2">
        <f>IFERROR(__xludf.DUMMYFUNCTION("""COMPUTED_VALUE"""),"Светильники ночники")</f>
        <v/>
      </c>
      <c r="M154" s="2">
        <f>IFERROR(__xludf.DUMMYFUNCTION("""COMPUTED_VALUE"""),"Светильники общего назначения (LED), Декоративные, LED Светильники")</f>
        <v/>
      </c>
    </row>
    <row r="155">
      <c r="A155" s="5">
        <f>IFERROR(__xludf.DUMMYFUNCTION("""COMPUTED_VALUE"""),"00894")</f>
        <v/>
      </c>
      <c r="B155" s="5">
        <f>IFERROR(__xludf.DUMMYFUNCTION("""COMPUTED_VALUE"""),"Кабельный гермоввод PG 13.5")</f>
        <v/>
      </c>
      <c r="C155" s="2">
        <f>IFERROR(__xludf.DUMMYFUNCTION("""COMPUTED_VALUE"""),0.0)</f>
        <v/>
      </c>
      <c r="D155" s="2">
        <f>IFERROR(__xludf.DUMMYFUNCTION("""COMPUTED_VALUE"""),0.0)</f>
        <v/>
      </c>
      <c r="E155" s="2">
        <f>IFERROR(__xludf.DUMMYFUNCTION("""COMPUTED_VALUE"""),8.0)</f>
        <v/>
      </c>
      <c r="F155" s="2">
        <f>IFERROR(__xludf.DUMMYFUNCTION("""COMPUTED_VALUE"""),46.0)</f>
        <v/>
      </c>
      <c r="G155" s="2">
        <f>IFERROR(__xludf.DUMMYFUNCTION("""COMPUTED_VALUE"""),52.0)</f>
        <v/>
      </c>
      <c r="H155" s="2">
        <f>IFERROR(__xludf.DUMMYFUNCTION("""COMPUTED_VALUE"""),53.0)</f>
        <v/>
      </c>
      <c r="I155" s="2">
        <f>IFERROR(__xludf.DUMMYFUNCTION("""COMPUTED_VALUE"""),65.0)</f>
        <v/>
      </c>
      <c r="J155" s="2">
        <f>IFERROR(__xludf.DUMMYFUNCTION("""COMPUTED_VALUE"""),33.0)</f>
        <v/>
      </c>
      <c r="K155" s="2">
        <f>IFERROR(__xludf.DUMMYFUNCTION("""COMPUTED_VALUE"""),4.0)</f>
        <v/>
      </c>
      <c r="L155" s="2">
        <f>IFERROR(__xludf.DUMMYFUNCTION("""COMPUTED_VALUE"""),"Комплектующие и аксессуары")</f>
        <v/>
      </c>
      <c r="M155" s="2">
        <f>IFERROR(__xludf.DUMMYFUNCTION("""COMPUTED_VALUE"""),"Прочие товары")</f>
        <v/>
      </c>
    </row>
    <row r="156">
      <c r="A156" s="5">
        <f>IFERROR(__xludf.DUMMYFUNCTION("""COMPUTED_VALUE"""),"4690612029405")</f>
        <v/>
      </c>
      <c r="B156" s="5">
        <f>IFERROR(__xludf.DUMMYFUNCTION("""COMPUTED_VALUE"""),"Ввод питания шинопровода P-W-TL белый серии TOP-LINE IN HOME")</f>
        <v/>
      </c>
      <c r="C156" s="2">
        <f>IFERROR(__xludf.DUMMYFUNCTION("""COMPUTED_VALUE"""),0.018)</f>
        <v/>
      </c>
      <c r="D156" s="2">
        <f>IFERROR(__xludf.DUMMYFUNCTION("""COMPUTED_VALUE"""),3.0E-5)</f>
        <v/>
      </c>
      <c r="E156" s="2">
        <f>IFERROR(__xludf.DUMMYFUNCTION("""COMPUTED_VALUE"""),32.15)</f>
        <v/>
      </c>
      <c r="F156" s="2">
        <f>IFERROR(__xludf.DUMMYFUNCTION("""COMPUTED_VALUE"""),33.0)</f>
        <v/>
      </c>
      <c r="G156" s="2">
        <f>IFERROR(__xludf.DUMMYFUNCTION("""COMPUTED_VALUE"""),37.0)</f>
        <v/>
      </c>
      <c r="H156" s="2">
        <f>IFERROR(__xludf.DUMMYFUNCTION("""COMPUTED_VALUE"""),43.0)</f>
        <v/>
      </c>
      <c r="I156" s="2">
        <f>IFERROR(__xludf.DUMMYFUNCTION("""COMPUTED_VALUE"""),49.0)</f>
        <v/>
      </c>
      <c r="J156" s="2">
        <f>IFERROR(__xludf.DUMMYFUNCTION("""COMPUTED_VALUE"""),25.0)</f>
        <v/>
      </c>
      <c r="K156" s="2">
        <f>IFERROR(__xludf.DUMMYFUNCTION("""COMPUTED_VALUE"""),6.0)</f>
        <v/>
      </c>
      <c r="L156" s="2">
        <f>IFERROR(__xludf.DUMMYFUNCTION("""COMPUTED_VALUE"""),"Шинопровод и комплектующие")</f>
        <v/>
      </c>
      <c r="M156" s="2">
        <f>IFERROR(__xludf.DUMMYFUNCTION("""COMPUTED_VALUE"""),"Прочие товары")</f>
        <v/>
      </c>
    </row>
    <row r="157">
      <c r="A157" s="5">
        <f>IFERROR(__xludf.DUMMYFUNCTION("""COMPUTED_VALUE"""),"4690612033617")</f>
        <v/>
      </c>
      <c r="B157" s="5">
        <f>IFERROR(__xludf.DUMMYFUNCTION("""COMPUTED_VALUE"""),"DECO ДАЙМОНД 12Вт 230В 6500К 1080Лм 210х55мм IN HOME")</f>
        <v/>
      </c>
      <c r="C157" s="2">
        <f>IFERROR(__xludf.DUMMYFUNCTION("""COMPUTED_VALUE"""),0.23)</f>
        <v/>
      </c>
      <c r="D157" s="2">
        <f>IFERROR(__xludf.DUMMYFUNCTION("""COMPUTED_VALUE"""),0.0037)</f>
        <v/>
      </c>
      <c r="E157" s="2">
        <f>IFERROR(__xludf.DUMMYFUNCTION("""COMPUTED_VALUE"""),270.18)</f>
        <v/>
      </c>
      <c r="F157" s="2">
        <f>IFERROR(__xludf.DUMMYFUNCTION("""COMPUTED_VALUE"""),307.0)</f>
        <v/>
      </c>
      <c r="G157" s="2">
        <f>IFERROR(__xludf.DUMMYFUNCTION("""COMPUTED_VALUE"""),346.0)</f>
        <v/>
      </c>
      <c r="H157" s="2">
        <f>IFERROR(__xludf.DUMMYFUNCTION("""COMPUTED_VALUE"""),401.0)</f>
        <v/>
      </c>
      <c r="I157" s="2">
        <f>IFERROR(__xludf.DUMMYFUNCTION("""COMPUTED_VALUE"""),461.0)</f>
        <v/>
      </c>
      <c r="J157" s="2">
        <f>IFERROR(__xludf.DUMMYFUNCTION("""COMPUTED_VALUE"""),231.0)</f>
        <v/>
      </c>
      <c r="K157" s="2">
        <f>IFERROR(__xludf.DUMMYFUNCTION("""COMPUTED_VALUE"""),31.0)</f>
        <v/>
      </c>
      <c r="L157" s="2">
        <f>IFERROR(__xludf.DUMMYFUNCTION("""COMPUTED_VALUE"""),"Светильник светодиодный серии DECO")</f>
        <v/>
      </c>
      <c r="M157" s="2">
        <f>IFERROR(__xludf.DUMMYFUNCTION("""COMPUTED_VALUE"""),"Накладные, Декоративные, LED Светильники")</f>
        <v/>
      </c>
    </row>
    <row r="158">
      <c r="A158" s="5">
        <f>IFERROR(__xludf.DUMMYFUNCTION("""COMPUTED_VALUE"""),"4690612035437")</f>
        <v/>
      </c>
      <c r="B158" s="5">
        <f>IFERROR(__xludf.DUMMYFUNCTION("""COMPUTED_VALUE"""),"ELEGANT ARIS-B 120Вт 230В 3000-6500K 8400Лм 590х590х130мм c пультом ДУ черный IN HOME")</f>
        <v/>
      </c>
      <c r="C158" s="2">
        <f>IFERROR(__xludf.DUMMYFUNCTION("""COMPUTED_VALUE"""),2.8)</f>
        <v/>
      </c>
      <c r="D158" s="2">
        <f>IFERROR(__xludf.DUMMYFUNCTION("""COMPUTED_VALUE"""),0.012)</f>
        <v/>
      </c>
      <c r="E158" s="2">
        <f>IFERROR(__xludf.DUMMYFUNCTION("""COMPUTED_VALUE"""),3697.19)</f>
        <v/>
      </c>
      <c r="F158" s="2">
        <f>IFERROR(__xludf.DUMMYFUNCTION("""COMPUTED_VALUE"""),3005.0)</f>
        <v/>
      </c>
      <c r="G158" s="2">
        <f>IFERROR(__xludf.DUMMYFUNCTION("""COMPUTED_VALUE"""),3381.0)</f>
        <v/>
      </c>
      <c r="H158" s="2">
        <f>IFERROR(__xludf.DUMMYFUNCTION("""COMPUTED_VALUE"""),3922.0)</f>
        <v/>
      </c>
      <c r="I158" s="2">
        <f>IFERROR(__xludf.DUMMYFUNCTION("""COMPUTED_VALUE"""),4508.0)</f>
        <v/>
      </c>
      <c r="J158" s="2">
        <f>IFERROR(__xludf.DUMMYFUNCTION("""COMPUTED_VALUE"""),2254.0)</f>
        <v/>
      </c>
      <c r="K158" s="2">
        <f>IFERROR(__xludf.DUMMYFUNCTION("""COMPUTED_VALUE"""),2.0)</f>
        <v/>
      </c>
      <c r="L158" s="2">
        <f>IFERROR(__xludf.DUMMYFUNCTION("""COMPUTED_VALUE"""),"Светильники светодиодные серии ELEGANT IN HOME")</f>
        <v/>
      </c>
      <c r="M158" s="2">
        <f>IFERROR(__xludf.DUMMYFUNCTION("""COMPUTED_VALUE"""),"Накладные, Декоративные, LED Светильники")</f>
        <v/>
      </c>
    </row>
    <row r="159">
      <c r="A159" s="5">
        <f>IFERROR(__xludf.DUMMYFUNCTION("""COMPUTED_VALUE"""),"SV0111-0002")</f>
        <v/>
      </c>
      <c r="B159" s="5">
        <f>IFERROR(__xludf.DUMMYFUNCTION("""COMPUTED_VALUE"""),"Светильник НББ 01-60-001")</f>
        <v/>
      </c>
      <c r="C159" s="2">
        <f>IFERROR(__xludf.DUMMYFUNCTION("""COMPUTED_VALUE"""),0.0)</f>
        <v/>
      </c>
      <c r="D159" s="2">
        <f>IFERROR(__xludf.DUMMYFUNCTION("""COMPUTED_VALUE"""),0.0)</f>
        <v/>
      </c>
      <c r="E159" s="2">
        <f>IFERROR(__xludf.DUMMYFUNCTION("""COMPUTED_VALUE"""),343.15)</f>
        <v/>
      </c>
      <c r="F159" s="2">
        <f>IFERROR(__xludf.DUMMYFUNCTION("""COMPUTED_VALUE"""),630.0)</f>
        <v/>
      </c>
      <c r="G159" s="2">
        <f>IFERROR(__xludf.DUMMYFUNCTION("""COMPUTED_VALUE"""),672.0)</f>
        <v/>
      </c>
      <c r="H159" s="2">
        <f>IFERROR(__xludf.DUMMYFUNCTION("""COMPUTED_VALUE"""),756.0)</f>
        <v/>
      </c>
      <c r="I159" s="2">
        <f>IFERROR(__xludf.DUMMYFUNCTION("""COMPUTED_VALUE"""),840.0)</f>
        <v/>
      </c>
      <c r="J159" s="2">
        <f>IFERROR(__xludf.DUMMYFUNCTION("""COMPUTED_VALUE"""),343.0)</f>
        <v/>
      </c>
      <c r="K159" s="2">
        <f>IFERROR(__xludf.DUMMYFUNCTION("""COMPUTED_VALUE"""),99.0)</f>
        <v/>
      </c>
      <c r="L159" s="2">
        <f>IFERROR(__xludf.DUMMYFUNCTION("""COMPUTED_VALUE"""),"BRAS2 (тендер)")</f>
        <v/>
      </c>
      <c r="M159" s="2">
        <f>IFERROR(__xludf.DUMMYFUNCTION("""COMPUTED_VALUE"""),"LED Светильники")</f>
        <v/>
      </c>
    </row>
    <row r="160">
      <c r="A160" s="5">
        <f>IFERROR(__xludf.DUMMYFUNCTION("""COMPUTED_VALUE"""),"GL8243")</f>
        <v/>
      </c>
      <c r="B160" s="5">
        <f>IFERROR(__xludf.DUMMYFUNCTION("""COMPUTED_VALUE"""),"GLERIO Line Shell 24 Вт 4000К 92P-24D-4P-K")</f>
        <v/>
      </c>
      <c r="C160" s="2">
        <f>IFERROR(__xludf.DUMMYFUNCTION("""COMPUTED_VALUE"""),1.575)</f>
        <v/>
      </c>
      <c r="D160" s="2">
        <f>IFERROR(__xludf.DUMMYFUNCTION("""COMPUTED_VALUE"""),0.00495)</f>
        <v/>
      </c>
      <c r="E160" s="2">
        <f>IFERROR(__xludf.DUMMYFUNCTION("""COMPUTED_VALUE"""),1669.91)</f>
        <v/>
      </c>
      <c r="F160" s="2">
        <f>IFERROR(__xludf.DUMMYFUNCTION("""COMPUTED_VALUE"""),2150.0)</f>
        <v/>
      </c>
      <c r="G160" s="2">
        <f>IFERROR(__xludf.DUMMYFUNCTION("""COMPUTED_VALUE"""),2707.0)</f>
        <v/>
      </c>
      <c r="H160" s="2">
        <f>IFERROR(__xludf.DUMMYFUNCTION("""COMPUTED_VALUE"""),3040.0)</f>
        <v/>
      </c>
      <c r="I160" s="2">
        <f>IFERROR(__xludf.DUMMYFUNCTION("""COMPUTED_VALUE"""),3373.0)</f>
        <v/>
      </c>
      <c r="J160" s="2">
        <f>IFERROR(__xludf.DUMMYFUNCTION("""COMPUTED_VALUE"""),2150.0)</f>
        <v/>
      </c>
      <c r="K160" s="2">
        <f>IFERROR(__xludf.DUMMYFUNCTION("""COMPUTED_VALUE"""),1.0)</f>
        <v/>
      </c>
      <c r="L160" s="2">
        <f>IFERROR(__xludf.DUMMYFUNCTION("""COMPUTED_VALUE"""),"Line Shell, Free (Retail) до 10.2025")</f>
        <v/>
      </c>
      <c r="M160" s="2">
        <f>IFERROR(__xludf.DUMMYFUNCTION("""COMPUTED_VALUE"""),"Металлические (линейные), LED Светильники")</f>
        <v/>
      </c>
    </row>
    <row r="161">
      <c r="A161" s="5">
        <f>IFERROR(__xludf.DUMMYFUNCTION("""COMPUTED_VALUE"""),"4690612008455")</f>
        <v/>
      </c>
      <c r="B161" s="5">
        <f>IFERROR(__xludf.DUMMYFUNCTION("""COMPUTED_VALUE"""),"GX53R-mini RC ультратонкий металл под лампу GX53 230В хром IN HOME")</f>
        <v/>
      </c>
      <c r="C161" s="2">
        <f>IFERROR(__xludf.DUMMYFUNCTION("""COMPUTED_VALUE"""),0.05300000000000001)</f>
        <v/>
      </c>
      <c r="D161" s="2">
        <f>IFERROR(__xludf.DUMMYFUNCTION("""COMPUTED_VALUE"""),2.5E-4)</f>
        <v/>
      </c>
      <c r="E161" s="2">
        <f>IFERROR(__xludf.DUMMYFUNCTION("""COMPUTED_VALUE"""),48.6)</f>
        <v/>
      </c>
      <c r="F161" s="2">
        <f>IFERROR(__xludf.DUMMYFUNCTION("""COMPUTED_VALUE"""),58.0)</f>
        <v/>
      </c>
      <c r="G161" s="2">
        <f>IFERROR(__xludf.DUMMYFUNCTION("""COMPUTED_VALUE"""),65.0)</f>
        <v/>
      </c>
      <c r="H161" s="2">
        <f>IFERROR(__xludf.DUMMYFUNCTION("""COMPUTED_VALUE"""),76.0)</f>
        <v/>
      </c>
      <c r="I161" s="2">
        <f>IFERROR(__xludf.DUMMYFUNCTION("""COMPUTED_VALUE"""),87.0)</f>
        <v/>
      </c>
      <c r="J161" s="2">
        <f>IFERROR(__xludf.DUMMYFUNCTION("""COMPUTED_VALUE"""),44.0)</f>
        <v/>
      </c>
      <c r="K161" s="2">
        <f>IFERROR(__xludf.DUMMYFUNCTION("""COMPUTED_VALUE"""),16.0)</f>
        <v/>
      </c>
      <c r="L161" s="2">
        <f>IFERROR(__xludf.DUMMYFUNCTION("""COMPUTED_VALUE"""),"Под лампу GX53")</f>
        <v/>
      </c>
      <c r="M161" s="2">
        <f>IFERROR(__xludf.DUMMYFUNCTION("""COMPUTED_VALUE"""),"Точечные круглые Downlight, Ламповые светильники")</f>
        <v/>
      </c>
    </row>
    <row r="162">
      <c r="A162" s="5">
        <f>IFERROR(__xludf.DUMMYFUNCTION("""COMPUTED_VALUE"""),"4690626005488")</f>
        <v/>
      </c>
      <c r="B162" s="5">
        <f>IFERROR(__xludf.DUMMYFUNCTION("""COMPUTED_VALUE"""),"SBF-CL1-PL")</f>
        <v/>
      </c>
      <c r="C162" s="2">
        <f>IFERROR(__xludf.DUMMYFUNCTION("""COMPUTED_VALUE"""),0.09450000000000001)</f>
        <v/>
      </c>
      <c r="D162" s="2">
        <f>IFERROR(__xludf.DUMMYFUNCTION("""COMPUTED_VALUE"""),0.0)</f>
        <v/>
      </c>
      <c r="E162" s="2">
        <f>IFERROR(__xludf.DUMMYFUNCTION("""COMPUTED_VALUE"""),32.9)</f>
        <v/>
      </c>
      <c r="F162" s="2">
        <f>IFERROR(__xludf.DUMMYFUNCTION("""COMPUTED_VALUE"""),0.0)</f>
        <v/>
      </c>
      <c r="G162" s="2">
        <f>IFERROR(__xludf.DUMMYFUNCTION("""COMPUTED_VALUE"""),0.0)</f>
        <v/>
      </c>
      <c r="H162" s="2">
        <f>IFERROR(__xludf.DUMMYFUNCTION("""COMPUTED_VALUE"""),0.0)</f>
        <v/>
      </c>
      <c r="I162" s="2">
        <f>IFERROR(__xludf.DUMMYFUNCTION("""COMPUTED_VALUE"""),0.0)</f>
        <v/>
      </c>
      <c r="J162" s="2">
        <f>IFERROR(__xludf.DUMMYFUNCTION("""COMPUTED_VALUE"""),0.0)</f>
        <v/>
      </c>
      <c r="K162" s="2">
        <f>IFERROR(__xludf.DUMMYFUNCTION("""COMPUTED_VALUE"""),200.0)</f>
        <v/>
      </c>
      <c r="L162" s="2">
        <f>IFERROR(__xludf.DUMMYFUNCTION("""COMPUTED_VALUE"""),"Smartbuy фонари")</f>
        <v/>
      </c>
      <c r="M162" s="2">
        <f>IFERROR(__xludf.DUMMYFUNCTION("""COMPUTED_VALUE"""),"Для ЖКХ, дома, дачи, Декоративные, Прочие товары")</f>
        <v/>
      </c>
    </row>
    <row r="163">
      <c r="A163" s="5">
        <f>IFERROR(__xludf.DUMMYFUNCTION("""COMPUTED_VALUE"""),"4690612030036")</f>
        <v/>
      </c>
      <c r="B163" s="5">
        <f>IFERROR(__xludf.DUMMYFUNCTION("""COMPUTED_VALUE"""),"СДО-8 30Вт 230В 6500К 2850Лм IP65 IN HOME")</f>
        <v/>
      </c>
      <c r="C163" s="2">
        <f>IFERROR(__xludf.DUMMYFUNCTION("""COMPUTED_VALUE"""),0.47)</f>
        <v/>
      </c>
      <c r="D163" s="2">
        <f>IFERROR(__xludf.DUMMYFUNCTION("""COMPUTED_VALUE"""),0.0012)</f>
        <v/>
      </c>
      <c r="E163" s="2">
        <f>IFERROR(__xludf.DUMMYFUNCTION("""COMPUTED_VALUE"""),297.47)</f>
        <v/>
      </c>
      <c r="F163" s="2">
        <f>IFERROR(__xludf.DUMMYFUNCTION("""COMPUTED_VALUE"""),290.0)</f>
        <v/>
      </c>
      <c r="G163" s="2">
        <f>IFERROR(__xludf.DUMMYFUNCTION("""COMPUTED_VALUE"""),326.0)</f>
        <v/>
      </c>
      <c r="H163" s="2">
        <f>IFERROR(__xludf.DUMMYFUNCTION("""COMPUTED_VALUE"""),378.0)</f>
        <v/>
      </c>
      <c r="I163" s="2">
        <f>IFERROR(__xludf.DUMMYFUNCTION("""COMPUTED_VALUE"""),435.0)</f>
        <v/>
      </c>
      <c r="J163" s="2">
        <f>IFERROR(__xludf.DUMMYFUNCTION("""COMPUTED_VALUE"""),218.0)</f>
        <v/>
      </c>
      <c r="K163" s="2">
        <f>IFERROR(__xludf.DUMMYFUNCTION("""COMPUTED_VALUE"""),65.0)</f>
        <v/>
      </c>
      <c r="L163" s="2">
        <f>IFERROR(__xludf.DUMMYFUNCTION("""COMPUTED_VALUE"""),"Прожекторы светодиодные СДО-8")</f>
        <v/>
      </c>
      <c r="M163" s="2">
        <f>IFERROR(__xludf.DUMMYFUNCTION("""COMPUTED_VALUE"""),"Бытовые (недорогие), Без датчиков, LED Светильники")</f>
        <v/>
      </c>
    </row>
    <row r="164">
      <c r="A164" s="5">
        <f>IFERROR(__xludf.DUMMYFUNCTION("""COMPUTED_VALUE"""),"01S-50D-4U")</f>
        <v/>
      </c>
      <c r="B164" s="5">
        <f>IFERROR(__xludf.DUMMYFUNCTION("""COMPUTED_VALUE"""),"GLERIO Universal 50 Вт 01S-50D-4U")</f>
        <v/>
      </c>
      <c r="C164" s="2">
        <f>IFERROR(__xludf.DUMMYFUNCTION("""COMPUTED_VALUE"""),2.0)</f>
        <v/>
      </c>
      <c r="D164" s="2">
        <f>IFERROR(__xludf.DUMMYFUNCTION("""COMPUTED_VALUE"""),0.007940000000000001)</f>
        <v/>
      </c>
      <c r="E164" s="2">
        <f>IFERROR(__xludf.DUMMYFUNCTION("""COMPUTED_VALUE"""),2493.9)</f>
        <v/>
      </c>
      <c r="F164" s="2">
        <f>IFERROR(__xludf.DUMMYFUNCTION("""COMPUTED_VALUE"""),3078.0)</f>
        <v/>
      </c>
      <c r="G164" s="2">
        <f>IFERROR(__xludf.DUMMYFUNCTION("""COMPUTED_VALUE"""),3875.0)</f>
        <v/>
      </c>
      <c r="H164" s="2">
        <f>IFERROR(__xludf.DUMMYFUNCTION("""COMPUTED_VALUE"""),4352.0)</f>
        <v/>
      </c>
      <c r="I164" s="2">
        <f>IFERROR(__xludf.DUMMYFUNCTION("""COMPUTED_VALUE"""),4829.0)</f>
        <v/>
      </c>
      <c r="J164" s="2">
        <f>IFERROR(__xludf.DUMMYFUNCTION("""COMPUTED_VALUE"""),2415.0)</f>
        <v/>
      </c>
      <c r="K164" s="2">
        <f>IFERROR(__xludf.DUMMYFUNCTION("""COMPUTED_VALUE"""),1.0)</f>
        <v/>
      </c>
      <c r="L164" s="2">
        <f>IFERROR(__xludf.DUMMYFUNCTION("""COMPUTED_VALUE"""),"Уличные GLERIO (корпус сталь, !архив!)")</f>
        <v/>
      </c>
      <c r="M164" s="2">
        <f>IFERROR(__xludf.DUMMYFUNCTION("""COMPUTED_VALUE"""),"Для обычных дорог, Модульные, LED Светильники")</f>
        <v/>
      </c>
    </row>
    <row r="165">
      <c r="A165" s="5">
        <f>IFERROR(__xludf.DUMMYFUNCTION("""COMPUTED_VALUE"""),"4690612038162")</f>
        <v/>
      </c>
      <c r="B165" s="5">
        <f>IFERROR(__xludf.DUMMYFUNCTION("""COMPUTED_VALUE"""),"ДВО-02 3640-ПРИЗМА 36Вт 230В 4000К 4020Лм 110Лм/Вт 595х595х19 NEOX")</f>
        <v/>
      </c>
      <c r="C165" s="2">
        <f>IFERROR(__xludf.DUMMYFUNCTION("""COMPUTED_VALUE"""),4.500010000000001)</f>
        <v/>
      </c>
      <c r="D165" s="2">
        <f>IFERROR(__xludf.DUMMYFUNCTION("""COMPUTED_VALUE"""),0.032)</f>
        <v/>
      </c>
      <c r="E165" s="2">
        <f>IFERROR(__xludf.DUMMYFUNCTION("""COMPUTED_VALUE"""),441.0)</f>
        <v/>
      </c>
      <c r="F165" s="2">
        <f>IFERROR(__xludf.DUMMYFUNCTION("""COMPUTED_VALUE"""),567.0)</f>
        <v/>
      </c>
      <c r="G165" s="2">
        <f>IFERROR(__xludf.DUMMYFUNCTION("""COMPUTED_VALUE"""),638.0)</f>
        <v/>
      </c>
      <c r="H165" s="2">
        <f>IFERROR(__xludf.DUMMYFUNCTION("""COMPUTED_VALUE"""),740.0)</f>
        <v/>
      </c>
      <c r="I165" s="2">
        <f>IFERROR(__xludf.DUMMYFUNCTION("""COMPUTED_VALUE"""),850.0)</f>
        <v/>
      </c>
      <c r="J165" s="2">
        <f>IFERROR(__xludf.DUMMYFUNCTION("""COMPUTED_VALUE"""),850.0)</f>
        <v/>
      </c>
      <c r="K165" s="2">
        <f>IFERROR(__xludf.DUMMYFUNCTION("""COMPUTED_VALUE"""),153.0)</f>
        <v/>
      </c>
      <c r="L165" s="2">
        <f>IFERROR(__xludf.DUMMYFUNCTION("""COMPUTED_VALUE"""),"NEOX Светильники LED ДВО")</f>
        <v/>
      </c>
      <c r="M165" s="2">
        <f>IFERROR(__xludf.DUMMYFUNCTION("""COMPUTED_VALUE"""),"Светильники общего назначения (LED), Встраиваемые, Накладные, Встраиваемые, LED Светильники")</f>
        <v/>
      </c>
    </row>
    <row r="166">
      <c r="A166" s="5">
        <f>IFERROR(__xludf.DUMMYFUNCTION("""COMPUTED_VALUE"""),"55084")</f>
        <v/>
      </c>
      <c r="B166" s="5">
        <f>IFERROR(__xludf.DUMMYFUNCTION("""COMPUTED_VALUE"""),"Цветочки 80 разноцветных LED ламп, контроллер 8 режимов, прозрачный провод, 10 м, 220 v /20")</f>
        <v/>
      </c>
      <c r="C166" s="2">
        <f>IFERROR(__xludf.DUMMYFUNCTION("""COMPUTED_VALUE"""),0.0)</f>
        <v/>
      </c>
      <c r="D166" s="2">
        <f>IFERROR(__xludf.DUMMYFUNCTION("""COMPUTED_VALUE"""),0.0)</f>
        <v/>
      </c>
      <c r="E166" s="2">
        <f>IFERROR(__xludf.DUMMYFUNCTION("""COMPUTED_VALUE"""),842.8000000000001)</f>
        <v/>
      </c>
      <c r="F166" s="2">
        <f>IFERROR(__xludf.DUMMYFUNCTION("""COMPUTED_VALUE"""),899.0)</f>
        <v/>
      </c>
      <c r="G166" s="2">
        <f>IFERROR(__xludf.DUMMYFUNCTION("""COMPUTED_VALUE"""),981.0)</f>
        <v/>
      </c>
      <c r="H166" s="2">
        <f>IFERROR(__xludf.DUMMYFUNCTION("""COMPUTED_VALUE"""),1062.0)</f>
        <v/>
      </c>
      <c r="I166" s="2">
        <f>IFERROR(__xludf.DUMMYFUNCTION("""COMPUTED_VALUE"""),1144.0)</f>
        <v/>
      </c>
      <c r="J166" s="2">
        <f>IFERROR(__xludf.DUMMYFUNCTION("""COMPUTED_VALUE"""),572.0)</f>
        <v/>
      </c>
      <c r="K166" s="2">
        <f>IFERROR(__xludf.DUMMYFUNCTION("""COMPUTED_VALUE"""),27.0)</f>
        <v/>
      </c>
      <c r="L166" s="2">
        <f>IFERROR(__xludf.DUMMYFUNCTION("""COMPUTED_VALUE"""),"Праздничная иллюминация")</f>
        <v/>
      </c>
      <c r="M166" s="2">
        <f>IFERROR(__xludf.DUMMYFUNCTION("""COMPUTED_VALUE"""),"Гирлянды светодиодные (LED), Прочие товары")</f>
        <v/>
      </c>
    </row>
    <row r="167">
      <c r="A167" s="5">
        <f>IFERROR(__xludf.DUMMYFUNCTION("""COMPUTED_VALUE"""),"4690612035604-10")</f>
        <v/>
      </c>
      <c r="B167" s="5">
        <f>IFERROR(__xludf.DUMMYFUNCTION("""COMPUTED_VALUE"""),"10 шт. Лампа LED-A60-deco 13Вт 230В Е27 4000К 1370Лм прозрачная IN HOME (Комплект 10 шт)")</f>
        <v/>
      </c>
      <c r="C167" s="2">
        <f>IFERROR(__xludf.DUMMYFUNCTION("""COMPUTED_VALUE"""),0.04)</f>
        <v/>
      </c>
      <c r="D167" s="2">
        <f>IFERROR(__xludf.DUMMYFUNCTION("""COMPUTED_VALUE"""),0.0028)</f>
        <v/>
      </c>
      <c r="E167" s="2">
        <f>IFERROR(__xludf.DUMMYFUNCTION("""COMPUTED_VALUE"""),950.6)</f>
        <v/>
      </c>
      <c r="F167" s="2">
        <f>IFERROR(__xludf.DUMMYFUNCTION("""COMPUTED_VALUE"""),1043.0)</f>
        <v/>
      </c>
      <c r="G167" s="2">
        <f>IFERROR(__xludf.DUMMYFUNCTION("""COMPUTED_VALUE"""),1217.0)</f>
        <v/>
      </c>
      <c r="H167" s="2">
        <f>IFERROR(__xludf.DUMMYFUNCTION("""COMPUTED_VALUE"""),1369.0)</f>
        <v/>
      </c>
      <c r="I167" s="2">
        <f>IFERROR(__xludf.DUMMYFUNCTION("""COMPUTED_VALUE"""),1521.0)</f>
        <v/>
      </c>
      <c r="J167" s="2">
        <f>IFERROR(__xludf.DUMMYFUNCTION("""COMPUTED_VALUE"""),761.0)</f>
        <v/>
      </c>
      <c r="K167" s="2">
        <f>IFERROR(__xludf.DUMMYFUNCTION("""COMPUTED_VALUE"""),3.0)</f>
        <v/>
      </c>
      <c r="L167" s="2">
        <f>IFERROR(__xludf.DUMMYFUNCTION("""COMPUTED_VALUE"""),"Лампы производство, упаковка")</f>
        <v/>
      </c>
      <c r="M167" s="2">
        <f>IFERROR(__xludf.DUMMYFUNCTION("""COMPUTED_VALUE"""),"Лампы")</f>
        <v/>
      </c>
    </row>
    <row r="168">
      <c r="A168" s="5">
        <f>IFERROR(__xludf.DUMMYFUNCTION("""COMPUTED_VALUE"""),"4690612007243")</f>
        <v/>
      </c>
      <c r="B168" s="5">
        <f>IFERROR(__xludf.DUMMYFUNCTION("""COMPUTED_VALUE"""),"LED-СВЕЧА-ECO 5Вт 230В Е14 4000К 375Лм (5шт в упаковке) IN HOME")</f>
        <v/>
      </c>
      <c r="C168" s="2">
        <f>IFERROR(__xludf.DUMMYFUNCTION("""COMPUTED_VALUE"""),0.22)</f>
        <v/>
      </c>
      <c r="D168" s="2">
        <f>IFERROR(__xludf.DUMMYFUNCTION("""COMPUTED_VALUE"""),0.00115)</f>
        <v/>
      </c>
      <c r="E168" s="2">
        <f>IFERROR(__xludf.DUMMYFUNCTION("""COMPUTED_VALUE"""),191.16)</f>
        <v/>
      </c>
      <c r="F168" s="2">
        <f>IFERROR(__xludf.DUMMYFUNCTION("""COMPUTED_VALUE"""),191.0)</f>
        <v/>
      </c>
      <c r="G168" s="2">
        <f>IFERROR(__xludf.DUMMYFUNCTION("""COMPUTED_VALUE"""),215.0)</f>
        <v/>
      </c>
      <c r="H168" s="2">
        <f>IFERROR(__xludf.DUMMYFUNCTION("""COMPUTED_VALUE"""),250.0)</f>
        <v/>
      </c>
      <c r="I168" s="2">
        <f>IFERROR(__xludf.DUMMYFUNCTION("""COMPUTED_VALUE"""),287.5)</f>
        <v/>
      </c>
      <c r="J168" s="2">
        <f>IFERROR(__xludf.DUMMYFUNCTION("""COMPUTED_VALUE"""),144.0)</f>
        <v/>
      </c>
      <c r="K168" s="2">
        <f>IFERROR(__xludf.DUMMYFUNCTION("""COMPUTED_VALUE"""),3.0)</f>
        <v/>
      </c>
      <c r="L168" s="2">
        <f>IFERROR(__xludf.DUMMYFUNCTION("""COMPUTED_VALUE"""),"Лампа светодиодная LED-СВЕЧА-standard")</f>
        <v/>
      </c>
      <c r="M168" s="2">
        <f>IFERROR(__xludf.DUMMYFUNCTION("""COMPUTED_VALUE"""),"Лампы")</f>
        <v/>
      </c>
    </row>
    <row r="169">
      <c r="A169" s="5">
        <f>IFERROR(__xludf.DUMMYFUNCTION("""COMPUTED_VALUE"""),"ves017")</f>
        <v/>
      </c>
      <c r="B169" s="5">
        <f>IFERROR(__xludf.DUMMYFUNCTION("""COMPUTED_VALUE"""),"Фонарь светодиодный NPT-CP05-ACCU")</f>
        <v/>
      </c>
      <c r="C169" s="2">
        <f>IFERROR(__xludf.DUMMYFUNCTION("""COMPUTED_VALUE"""),0.0)</f>
        <v/>
      </c>
      <c r="D169" s="2">
        <f>IFERROR(__xludf.DUMMYFUNCTION("""COMPUTED_VALUE"""),0.0)</f>
        <v/>
      </c>
      <c r="E169" s="2">
        <f>IFERROR(__xludf.DUMMYFUNCTION("""COMPUTED_VALUE"""),355.98)</f>
        <v/>
      </c>
      <c r="F169" s="2">
        <f>IFERROR(__xludf.DUMMYFUNCTION("""COMPUTED_VALUE"""),368.0)</f>
        <v/>
      </c>
      <c r="G169" s="2">
        <f>IFERROR(__xludf.DUMMYFUNCTION("""COMPUTED_VALUE"""),392.0)</f>
        <v/>
      </c>
      <c r="H169" s="2">
        <f>IFERROR(__xludf.DUMMYFUNCTION("""COMPUTED_VALUE"""),441.0)</f>
        <v/>
      </c>
      <c r="I169" s="2">
        <f>IFERROR(__xludf.DUMMYFUNCTION("""COMPUTED_VALUE"""),490.0)</f>
        <v/>
      </c>
      <c r="J169" s="2">
        <f>IFERROR(__xludf.DUMMYFUNCTION("""COMPUTED_VALUE"""),245.0)</f>
        <v/>
      </c>
      <c r="K169" s="2">
        <f>IFERROR(__xludf.DUMMYFUNCTION("""COMPUTED_VALUE"""),10.0)</f>
        <v/>
      </c>
      <c r="L169" s="2">
        <f>IFERROR(__xludf.DUMMYFUNCTION("""COMPUTED_VALUE"""),"ves")</f>
        <v/>
      </c>
      <c r="M169" s="2">
        <f>IFERROR(__xludf.DUMMYFUNCTION("""COMPUTED_VALUE"""),"LED Светильники")</f>
        <v/>
      </c>
    </row>
    <row r="170">
      <c r="A170" s="5">
        <f>IFERROR(__xludf.DUMMYFUNCTION("""COMPUTED_VALUE"""),"4690612004204-10")</f>
        <v/>
      </c>
      <c r="B170" s="5">
        <f>IFERROR(__xludf.DUMMYFUNCTION("""COMPUTED_VALUE"""),"Лампа светодиодная LED-A60-standard 20Вт 230В Е27 4000К 1800Лм ASD (10 штук в упаковке)")</f>
        <v/>
      </c>
      <c r="C170" s="2">
        <f>IFERROR(__xludf.DUMMYFUNCTION("""COMPUTED_VALUE"""),0.0)</f>
        <v/>
      </c>
      <c r="D170" s="2">
        <f>IFERROR(__xludf.DUMMYFUNCTION("""COMPUTED_VALUE"""),0.0)</f>
        <v/>
      </c>
      <c r="E170" s="2">
        <f>IFERROR(__xludf.DUMMYFUNCTION("""COMPUTED_VALUE"""),698.2)</f>
        <v/>
      </c>
      <c r="F170" s="2">
        <f>IFERROR(__xludf.DUMMYFUNCTION("""COMPUTED_VALUE"""),180.0)</f>
        <v/>
      </c>
      <c r="G170" s="2">
        <f>IFERROR(__xludf.DUMMYFUNCTION("""COMPUTED_VALUE"""),202.0)</f>
        <v/>
      </c>
      <c r="H170" s="2">
        <f>IFERROR(__xludf.DUMMYFUNCTION("""COMPUTED_VALUE"""),235.0)</f>
        <v/>
      </c>
      <c r="I170" s="2">
        <f>IFERROR(__xludf.DUMMYFUNCTION("""COMPUTED_VALUE"""),270.3)</f>
        <v/>
      </c>
      <c r="J170" s="2">
        <f>IFERROR(__xludf.DUMMYFUNCTION("""COMPUTED_VALUE"""),135.0)</f>
        <v/>
      </c>
      <c r="K170" s="2">
        <f>IFERROR(__xludf.DUMMYFUNCTION("""COMPUTED_VALUE"""),2.0)</f>
        <v/>
      </c>
      <c r="L170" s="2">
        <f>IFERROR(__xludf.DUMMYFUNCTION("""COMPUTED_VALUE"""),"Лампа светодиодная LED-A60-standard")</f>
        <v/>
      </c>
      <c r="M170" s="2">
        <f>IFERROR(__xludf.DUMMYFUNCTION("""COMPUTED_VALUE"""),"Лампы")</f>
        <v/>
      </c>
    </row>
    <row r="171">
      <c r="A171" s="5">
        <f>IFERROR(__xludf.DUMMYFUNCTION("""COMPUTED_VALUE"""),"4690612007663")</f>
        <v/>
      </c>
      <c r="B171" s="5">
        <f>IFERROR(__xludf.DUMMYFUNCTION("""COMPUTED_VALUE"""),"LED-СВЕЧА НА ВЕТРУ-deco 7Вт 230В Е14 3000К 630Лм прозрачная IN HOME")</f>
        <v/>
      </c>
      <c r="C171" s="2">
        <f>IFERROR(__xludf.DUMMYFUNCTION("""COMPUTED_VALUE"""),0.026)</f>
        <v/>
      </c>
      <c r="D171" s="2">
        <f>IFERROR(__xludf.DUMMYFUNCTION("""COMPUTED_VALUE"""),2.2E-4)</f>
        <v/>
      </c>
      <c r="E171" s="2">
        <f>IFERROR(__xludf.DUMMYFUNCTION("""COMPUTED_VALUE"""),63.65)</f>
        <v/>
      </c>
      <c r="F171" s="2">
        <f>IFERROR(__xludf.DUMMYFUNCTION("""COMPUTED_VALUE"""),57.0)</f>
        <v/>
      </c>
      <c r="G171" s="2">
        <f>IFERROR(__xludf.DUMMYFUNCTION("""COMPUTED_VALUE"""),64.0)</f>
        <v/>
      </c>
      <c r="H171" s="2">
        <f>IFERROR(__xludf.DUMMYFUNCTION("""COMPUTED_VALUE"""),74.0)</f>
        <v/>
      </c>
      <c r="I171" s="2">
        <f>IFERROR(__xludf.DUMMYFUNCTION("""COMPUTED_VALUE"""),85.5)</f>
        <v/>
      </c>
      <c r="J171" s="2">
        <f>IFERROR(__xludf.DUMMYFUNCTION("""COMPUTED_VALUE"""),43.0)</f>
        <v/>
      </c>
      <c r="K171" s="2">
        <f>IFERROR(__xludf.DUMMYFUNCTION("""COMPUTED_VALUE"""),24.0)</f>
        <v/>
      </c>
      <c r="L171" s="2">
        <f>IFERROR(__xludf.DUMMYFUNCTION("""COMPUTED_VALUE"""),"Лампа светодиодная LED-СВЕЧА НА ВЕТРУ-DECO")</f>
        <v/>
      </c>
      <c r="M171" s="2">
        <f>IFERROR(__xludf.DUMMYFUNCTION("""COMPUTED_VALUE"""),"Лампы")</f>
        <v/>
      </c>
    </row>
    <row r="172">
      <c r="A172" s="5">
        <f>IFERROR(__xludf.DUMMYFUNCTION("""COMPUTED_VALUE"""),"4680005959945")</f>
        <v/>
      </c>
      <c r="B172" s="5">
        <f>IFERROR(__xludf.DUMMYFUNCTION("""COMPUTED_VALUE"""),"CLASSICO Рамка белая 2303H IN HOME")</f>
        <v/>
      </c>
      <c r="C172" s="2">
        <f>IFERROR(__xludf.DUMMYFUNCTION("""COMPUTED_VALUE"""),0.035)</f>
        <v/>
      </c>
      <c r="D172" s="2">
        <f>IFERROR(__xludf.DUMMYFUNCTION("""COMPUTED_VALUE"""),4.0E-4)</f>
        <v/>
      </c>
      <c r="E172" s="2">
        <f>IFERROR(__xludf.DUMMYFUNCTION("""COMPUTED_VALUE"""),37.51)</f>
        <v/>
      </c>
      <c r="F172" s="2">
        <f>IFERROR(__xludf.DUMMYFUNCTION("""COMPUTED_VALUE"""),49.0)</f>
        <v/>
      </c>
      <c r="G172" s="2">
        <f>IFERROR(__xludf.DUMMYFUNCTION("""COMPUTED_VALUE"""),55.0)</f>
        <v/>
      </c>
      <c r="H172" s="2">
        <f>IFERROR(__xludf.DUMMYFUNCTION("""COMPUTED_VALUE"""),64.0)</f>
        <v/>
      </c>
      <c r="I172" s="2">
        <f>IFERROR(__xludf.DUMMYFUNCTION("""COMPUTED_VALUE"""),74.0)</f>
        <v/>
      </c>
      <c r="J172" s="2">
        <f>IFERROR(__xludf.DUMMYFUNCTION("""COMPUTED_VALUE"""),37.0)</f>
        <v/>
      </c>
      <c r="K172" s="2">
        <f>IFERROR(__xludf.DUMMYFUNCTION("""COMPUTED_VALUE"""),14.0)</f>
        <v/>
      </c>
      <c r="L172" s="2">
        <f>IFERROR(__xludf.DUMMYFUNCTION("""COMPUTED_VALUE"""),"Розетки, вилки и колодки")</f>
        <v/>
      </c>
      <c r="M172" s="2">
        <f>IFERROR(__xludf.DUMMYFUNCTION("""COMPUTED_VALUE"""),"Прочие товары")</f>
        <v/>
      </c>
    </row>
    <row r="173">
      <c r="A173" s="5">
        <f>IFERROR(__xludf.DUMMYFUNCTION("""COMPUTED_VALUE"""),"4690612064390")</f>
        <v/>
      </c>
      <c r="B173" s="5">
        <f>IFERROR(__xludf.DUMMYFUNCTION("""COMPUTED_VALUE"""),"ДВО-PRO 7540-ОПАЛ 75Вт 4000К 100лм/Вт CRI80 IP40 595х595х30мм NEOX")</f>
        <v/>
      </c>
      <c r="C173" s="2">
        <f>IFERROR(__xludf.DUMMYFUNCTION("""COMPUTED_VALUE"""),1.125)</f>
        <v/>
      </c>
      <c r="D173" s="2">
        <f>IFERROR(__xludf.DUMMYFUNCTION("""COMPUTED_VALUE"""),0.01725)</f>
        <v/>
      </c>
      <c r="E173" s="2">
        <f>IFERROR(__xludf.DUMMYFUNCTION("""COMPUTED_VALUE"""),1034.58)</f>
        <v/>
      </c>
      <c r="F173" s="2">
        <f>IFERROR(__xludf.DUMMYFUNCTION("""COMPUTED_VALUE"""),1451.0)</f>
        <v/>
      </c>
      <c r="G173" s="2">
        <f>IFERROR(__xludf.DUMMYFUNCTION("""COMPUTED_VALUE"""),1633.0)</f>
        <v/>
      </c>
      <c r="H173" s="2">
        <f>IFERROR(__xludf.DUMMYFUNCTION("""COMPUTED_VALUE"""),1894.0)</f>
        <v/>
      </c>
      <c r="I173" s="2">
        <f>IFERROR(__xludf.DUMMYFUNCTION("""COMPUTED_VALUE"""),2177.0)</f>
        <v/>
      </c>
      <c r="J173" s="2">
        <f>IFERROR(__xludf.DUMMYFUNCTION("""COMPUTED_VALUE"""),1089.0)</f>
        <v/>
      </c>
      <c r="K173" s="2">
        <f>IFERROR(__xludf.DUMMYFUNCTION("""COMPUTED_VALUE"""),26.0)</f>
        <v/>
      </c>
      <c r="L173" s="2">
        <f>IFERROR(__xludf.DUMMYFUNCTION("""COMPUTED_VALUE"""),"NEOX Светильники LED ДВО")</f>
        <v/>
      </c>
      <c r="M173" s="2">
        <f>IFERROR(__xludf.DUMMYFUNCTION("""COMPUTED_VALUE"""),"Светильники общего назначения (LED), Встраиваемые, Накладные, Встраиваемые, LED Светильники")</f>
        <v/>
      </c>
    </row>
    <row r="174">
      <c r="A174" s="5">
        <f>IFERROR(__xludf.DUMMYFUNCTION("""COMPUTED_VALUE"""),"4690612051918")</f>
        <v/>
      </c>
      <c r="B174" s="5">
        <f>IFERROR(__xludf.DUMMYFUNCTION("""COMPUTED_VALUE"""),"ДБУ BALL-1530BL 15Вт 3000К IP54 черный IN HOME")</f>
        <v/>
      </c>
      <c r="C174" s="2">
        <f>IFERROR(__xludf.DUMMYFUNCTION("""COMPUTED_VALUE"""),0.355)</f>
        <v/>
      </c>
      <c r="D174" s="2">
        <f>IFERROR(__xludf.DUMMYFUNCTION("""COMPUTED_VALUE"""),0.00114)</f>
        <v/>
      </c>
      <c r="E174" s="2">
        <f>IFERROR(__xludf.DUMMYFUNCTION("""COMPUTED_VALUE"""),577.8000000000001)</f>
        <v/>
      </c>
      <c r="F174" s="2">
        <f>IFERROR(__xludf.DUMMYFUNCTION("""COMPUTED_VALUE"""),589.0)</f>
        <v/>
      </c>
      <c r="G174" s="2">
        <f>IFERROR(__xludf.DUMMYFUNCTION("""COMPUTED_VALUE"""),663.0)</f>
        <v/>
      </c>
      <c r="H174" s="2">
        <f>IFERROR(__xludf.DUMMYFUNCTION("""COMPUTED_VALUE"""),769.0)</f>
        <v/>
      </c>
      <c r="I174" s="2">
        <f>IFERROR(__xludf.DUMMYFUNCTION("""COMPUTED_VALUE"""),884.0)</f>
        <v/>
      </c>
      <c r="J174" s="2">
        <f>IFERROR(__xludf.DUMMYFUNCTION("""COMPUTED_VALUE"""),442.0)</f>
        <v/>
      </c>
      <c r="K174" s="2">
        <f>IFERROR(__xludf.DUMMYFUNCTION("""COMPUTED_VALUE"""),8.0)</f>
        <v/>
      </c>
      <c r="L174" s="2">
        <f>IFERROR(__xludf.DUMMYFUNCTION("""COMPUTED_VALUE"""),"Светильники светодиодные уличные ДБУ")</f>
        <v/>
      </c>
      <c r="M174" s="2">
        <f>IFERROR(__xludf.DUMMYFUNCTION("""COMPUTED_VALUE"""),"Садово-парковые, ландшафтные, LED Светильники")</f>
        <v/>
      </c>
    </row>
    <row r="175">
      <c r="A175" s="5">
        <f>IFERROR(__xludf.DUMMYFUNCTION("""COMPUTED_VALUE"""),"4690612004655")</f>
        <v/>
      </c>
      <c r="B175" s="5">
        <f>IFERROR(__xludf.DUMMYFUNCTION("""COMPUTED_VALUE"""),"LED-JC-standard 5Вт 12В G4 3000К ASD")</f>
        <v/>
      </c>
      <c r="C175" s="2">
        <f>IFERROR(__xludf.DUMMYFUNCTION("""COMPUTED_VALUE"""),0.011)</f>
        <v/>
      </c>
      <c r="D175" s="2">
        <f>IFERROR(__xludf.DUMMYFUNCTION("""COMPUTED_VALUE"""),9.0E-5)</f>
        <v/>
      </c>
      <c r="E175" s="2">
        <f>IFERROR(__xludf.DUMMYFUNCTION("""COMPUTED_VALUE"""),90.41)</f>
        <v/>
      </c>
      <c r="F175" s="2">
        <f>IFERROR(__xludf.DUMMYFUNCTION("""COMPUTED_VALUE"""),61.0)</f>
        <v/>
      </c>
      <c r="G175" s="2">
        <f>IFERROR(__xludf.DUMMYFUNCTION("""COMPUTED_VALUE"""),69.0)</f>
        <v/>
      </c>
      <c r="H175" s="2">
        <f>IFERROR(__xludf.DUMMYFUNCTION("""COMPUTED_VALUE"""),80.0)</f>
        <v/>
      </c>
      <c r="I175" s="2">
        <f>IFERROR(__xludf.DUMMYFUNCTION("""COMPUTED_VALUE"""),92.5)</f>
        <v/>
      </c>
      <c r="J175" s="2">
        <f>IFERROR(__xludf.DUMMYFUNCTION("""COMPUTED_VALUE"""),46.0)</f>
        <v/>
      </c>
      <c r="K175" s="2">
        <f>IFERROR(__xludf.DUMMYFUNCTION("""COMPUTED_VALUE"""),20.0)</f>
        <v/>
      </c>
      <c r="L175" s="2">
        <f>IFERROR(__xludf.DUMMYFUNCTION("""COMPUTED_VALUE"""),"Лампа светодиодная LED-JC-standard")</f>
        <v/>
      </c>
      <c r="M175" s="2">
        <f>IFERROR(__xludf.DUMMYFUNCTION("""COMPUTED_VALUE"""),"Лампы")</f>
        <v/>
      </c>
    </row>
    <row r="176">
      <c r="A176" s="5">
        <f>IFERROR(__xludf.DUMMYFUNCTION("""COMPUTED_VALUE"""),"RSTR011")</f>
        <v/>
      </c>
      <c r="B176" s="5">
        <f>IFERROR(__xludf.DUMMYFUNCTION("""COMPUTED_VALUE"""),"Лампа LED-HP-PRO 4690612031149")</f>
        <v/>
      </c>
      <c r="C176" s="2">
        <f>IFERROR(__xludf.DUMMYFUNCTION("""COMPUTED_VALUE"""),0.0)</f>
        <v/>
      </c>
      <c r="D176" s="2">
        <f>IFERROR(__xludf.DUMMYFUNCTION("""COMPUTED_VALUE"""),0.0)</f>
        <v/>
      </c>
      <c r="E176" s="2">
        <f>IFERROR(__xludf.DUMMYFUNCTION("""COMPUTED_VALUE"""),280.52)</f>
        <v/>
      </c>
      <c r="F176" s="2">
        <f>IFERROR(__xludf.DUMMYFUNCTION("""COMPUTED_VALUE"""),270.0)</f>
        <v/>
      </c>
      <c r="G176" s="2">
        <f>IFERROR(__xludf.DUMMYFUNCTION("""COMPUTED_VALUE"""),288.0)</f>
        <v/>
      </c>
      <c r="H176" s="2">
        <f>IFERROR(__xludf.DUMMYFUNCTION("""COMPUTED_VALUE"""),324.0)</f>
        <v/>
      </c>
      <c r="I176" s="2">
        <f>IFERROR(__xludf.DUMMYFUNCTION("""COMPUTED_VALUE"""),359.5)</f>
        <v/>
      </c>
      <c r="J176" s="2">
        <f>IFERROR(__xludf.DUMMYFUNCTION("""COMPUTED_VALUE"""),270.0)</f>
        <v/>
      </c>
      <c r="K176" s="2">
        <f>IFERROR(__xludf.DUMMYFUNCTION("""COMPUTED_VALUE"""),2.0)</f>
        <v/>
      </c>
      <c r="L176" s="2">
        <f>IFERROR(__xludf.DUMMYFUNCTION("""COMPUTED_VALUE"""),"RSTR (тендер)")</f>
        <v/>
      </c>
      <c r="M176" s="2">
        <f>IFERROR(__xludf.DUMMYFUNCTION("""COMPUTED_VALUE"""),"LED Светильники")</f>
        <v/>
      </c>
    </row>
    <row r="177">
      <c r="A177" s="5">
        <f>IFERROR(__xludf.DUMMYFUNCTION("""COMPUTED_VALUE"""),"Fefco/0201-11")</f>
        <v/>
      </c>
      <c r="B177" s="5">
        <f>IFERROR(__xludf.DUMMYFUNCTION("""COMPUTED_VALUE"""),"Короб 1550х330х180 (картон Т-24 ""В"" бурый)")</f>
        <v/>
      </c>
      <c r="C177" s="2">
        <f>IFERROR(__xludf.DUMMYFUNCTION("""COMPUTED_VALUE"""),0.0)</f>
        <v/>
      </c>
      <c r="D177" s="2">
        <f>IFERROR(__xludf.DUMMYFUNCTION("""COMPUTED_VALUE"""),0.0)</f>
        <v/>
      </c>
      <c r="E177" s="2">
        <f>IFERROR(__xludf.DUMMYFUNCTION("""COMPUTED_VALUE"""),175.0)</f>
        <v/>
      </c>
      <c r="F177" s="2">
        <f>IFERROR(__xludf.DUMMYFUNCTION("""COMPUTED_VALUE"""),1.0)</f>
        <v/>
      </c>
      <c r="G177" s="2">
        <f>IFERROR(__xludf.DUMMYFUNCTION("""COMPUTED_VALUE"""),1.0)</f>
        <v/>
      </c>
      <c r="H177" s="2">
        <f>IFERROR(__xludf.DUMMYFUNCTION("""COMPUTED_VALUE"""),1.0)</f>
        <v/>
      </c>
      <c r="I177" s="2">
        <f>IFERROR(__xludf.DUMMYFUNCTION("""COMPUTED_VALUE"""),1.5)</f>
        <v/>
      </c>
      <c r="J177" s="2">
        <f>IFERROR(__xludf.DUMMYFUNCTION("""COMPUTED_VALUE"""),1.5)</f>
        <v/>
      </c>
      <c r="K177" s="2">
        <f>IFERROR(__xludf.DUMMYFUNCTION("""COMPUTED_VALUE"""),100.0)</f>
        <v/>
      </c>
      <c r="L177" s="2">
        <f>IFERROR(__xludf.DUMMYFUNCTION("""COMPUTED_VALUE"""),"Упаковка")</f>
        <v/>
      </c>
      <c r="M177" s="2">
        <f>IFERROR(__xludf.DUMMYFUNCTION("""COMPUTED_VALUE"""),"Прочие товары")</f>
        <v/>
      </c>
    </row>
    <row r="178">
      <c r="A178" s="5">
        <f>IFERROR(__xludf.DUMMYFUNCTION("""COMPUTED_VALUE"""),"55054")</f>
        <v/>
      </c>
      <c r="B178" s="5">
        <f>IFERROR(__xludf.DUMMYFUNCTION("""COMPUTED_VALUE"""),"Снеговик светодиодная на присоске 10*12 см, меняет цвет, с батарейкой /48")</f>
        <v/>
      </c>
      <c r="C178" s="2">
        <f>IFERROR(__xludf.DUMMYFUNCTION("""COMPUTED_VALUE"""),0.0)</f>
        <v/>
      </c>
      <c r="D178" s="2">
        <f>IFERROR(__xludf.DUMMYFUNCTION("""COMPUTED_VALUE"""),0.0)</f>
        <v/>
      </c>
      <c r="E178" s="2">
        <f>IFERROR(__xludf.DUMMYFUNCTION("""COMPUTED_VALUE"""),180.27)</f>
        <v/>
      </c>
      <c r="F178" s="2">
        <f>IFERROR(__xludf.DUMMYFUNCTION("""COMPUTED_VALUE"""),200.0)</f>
        <v/>
      </c>
      <c r="G178" s="2">
        <f>IFERROR(__xludf.DUMMYFUNCTION("""COMPUTED_VALUE"""),218.0)</f>
        <v/>
      </c>
      <c r="H178" s="2">
        <f>IFERROR(__xludf.DUMMYFUNCTION("""COMPUTED_VALUE"""),236.0)</f>
        <v/>
      </c>
      <c r="I178" s="2">
        <f>IFERROR(__xludf.DUMMYFUNCTION("""COMPUTED_VALUE"""),255.0)</f>
        <v/>
      </c>
      <c r="J178" s="2">
        <f>IFERROR(__xludf.DUMMYFUNCTION("""COMPUTED_VALUE"""),128.0)</f>
        <v/>
      </c>
      <c r="K178" s="2">
        <f>IFERROR(__xludf.DUMMYFUNCTION("""COMPUTED_VALUE"""),5.0)</f>
        <v/>
      </c>
      <c r="L178" s="2">
        <f>IFERROR(__xludf.DUMMYFUNCTION("""COMPUTED_VALUE"""),"Праздничная иллюминация")</f>
        <v/>
      </c>
      <c r="M178" s="2">
        <f>IFERROR(__xludf.DUMMYFUNCTION("""COMPUTED_VALUE"""),"Гирлянды светодиодные (LED), Прочие товары")</f>
        <v/>
      </c>
    </row>
    <row r="179">
      <c r="A179" s="5">
        <f>IFERROR(__xludf.DUMMYFUNCTION("""COMPUTED_VALUE"""),"GL8272")</f>
        <v/>
      </c>
      <c r="B179" s="5">
        <f>IFERROR(__xludf.DUMMYFUNCTION("""COMPUTED_VALUE"""),"GLERIO Line Free 36 Вт 4000К 93P-36D-4P-MP")</f>
        <v/>
      </c>
      <c r="C179" s="2">
        <f>IFERROR(__xludf.DUMMYFUNCTION("""COMPUTED_VALUE"""),0.5)</f>
        <v/>
      </c>
      <c r="D179" s="2">
        <f>IFERROR(__xludf.DUMMYFUNCTION("""COMPUTED_VALUE"""),0.00396)</f>
        <v/>
      </c>
      <c r="E179" s="2">
        <f>IFERROR(__xludf.DUMMYFUNCTION("""COMPUTED_VALUE"""),1687.8)</f>
        <v/>
      </c>
      <c r="F179" s="2">
        <f>IFERROR(__xludf.DUMMYFUNCTION("""COMPUTED_VALUE"""),2150.0)</f>
        <v/>
      </c>
      <c r="G179" s="2">
        <f>IFERROR(__xludf.DUMMYFUNCTION("""COMPUTED_VALUE"""),2707.0)</f>
        <v/>
      </c>
      <c r="H179" s="2">
        <f>IFERROR(__xludf.DUMMYFUNCTION("""COMPUTED_VALUE"""),3040.0)</f>
        <v/>
      </c>
      <c r="I179" s="2">
        <f>IFERROR(__xludf.DUMMYFUNCTION("""COMPUTED_VALUE"""),3373.0)</f>
        <v/>
      </c>
      <c r="J179" s="2">
        <f>IFERROR(__xludf.DUMMYFUNCTION("""COMPUTED_VALUE"""),1687.0)</f>
        <v/>
      </c>
      <c r="K179" s="2">
        <f>IFERROR(__xludf.DUMMYFUNCTION("""COMPUTED_VALUE"""),4.0)</f>
        <v/>
      </c>
      <c r="L179" s="2">
        <f>IFERROR(__xludf.DUMMYFUNCTION("""COMPUTED_VALUE"""),"Line Shell, Free (Retail) до 10.2025")</f>
        <v/>
      </c>
      <c r="M179" s="2">
        <f>IFERROR(__xludf.DUMMYFUNCTION("""COMPUTED_VALUE"""),"Пластиковые (линейные), LED Светильники")</f>
        <v/>
      </c>
    </row>
    <row r="180">
      <c r="A180" s="5">
        <f>IFERROR(__xludf.DUMMYFUNCTION("""COMPUTED_VALUE"""),"ves028")</f>
        <v/>
      </c>
      <c r="B180" s="5">
        <f>IFERROR(__xludf.DUMMYFUNCTION("""COMPUTED_VALUE"""),"Светильник под лампу накаливания НСП 41-200-001")</f>
        <v/>
      </c>
      <c r="C180" s="2">
        <f>IFERROR(__xludf.DUMMYFUNCTION("""COMPUTED_VALUE"""),0.0)</f>
        <v/>
      </c>
      <c r="D180" s="2">
        <f>IFERROR(__xludf.DUMMYFUNCTION("""COMPUTED_VALUE"""),0.0)</f>
        <v/>
      </c>
      <c r="E180" s="2">
        <f>IFERROR(__xludf.DUMMYFUNCTION("""COMPUTED_VALUE"""),335.04)</f>
        <v/>
      </c>
      <c r="F180" s="2">
        <f>IFERROR(__xludf.DUMMYFUNCTION("""COMPUTED_VALUE"""),413.0)</f>
        <v/>
      </c>
      <c r="G180" s="2">
        <f>IFERROR(__xludf.DUMMYFUNCTION("""COMPUTED_VALUE"""),440.0)</f>
        <v/>
      </c>
      <c r="H180" s="2">
        <f>IFERROR(__xludf.DUMMYFUNCTION("""COMPUTED_VALUE"""),495.0)</f>
        <v/>
      </c>
      <c r="I180" s="2">
        <f>IFERROR(__xludf.DUMMYFUNCTION("""COMPUTED_VALUE"""),550.0)</f>
        <v/>
      </c>
      <c r="J180" s="2">
        <f>IFERROR(__xludf.DUMMYFUNCTION("""COMPUTED_VALUE"""),275.0)</f>
        <v/>
      </c>
      <c r="K180" s="2">
        <f>IFERROR(__xludf.DUMMYFUNCTION("""COMPUTED_VALUE"""),20.0)</f>
        <v/>
      </c>
      <c r="L180" s="2">
        <f>IFERROR(__xludf.DUMMYFUNCTION("""COMPUTED_VALUE"""),"ves")</f>
        <v/>
      </c>
      <c r="M180" s="2">
        <f>IFERROR(__xludf.DUMMYFUNCTION("""COMPUTED_VALUE"""),"LED Светильники")</f>
        <v/>
      </c>
    </row>
    <row r="181">
      <c r="A181" s="5">
        <f>IFERROR(__xludf.DUMMYFUNCTION("""COMPUTED_VALUE"""),"4690626071384")</f>
        <v/>
      </c>
      <c r="B181" s="5">
        <f>IFERROR(__xludf.DUMMYFUNCTION("""COMPUTED_VALUE"""),"Подвес для фитосветильника (SBL-fixing-FITO)")</f>
        <v/>
      </c>
      <c r="C181" s="2">
        <f>IFERROR(__xludf.DUMMYFUNCTION("""COMPUTED_VALUE"""),0.0)</f>
        <v/>
      </c>
      <c r="D181" s="2">
        <f>IFERROR(__xludf.DUMMYFUNCTION("""COMPUTED_VALUE"""),0.0)</f>
        <v/>
      </c>
      <c r="E181" s="2">
        <f>IFERROR(__xludf.DUMMYFUNCTION("""COMPUTED_VALUE"""),96.95)</f>
        <v/>
      </c>
      <c r="F181" s="2">
        <f>IFERROR(__xludf.DUMMYFUNCTION("""COMPUTED_VALUE"""),113.0)</f>
        <v/>
      </c>
      <c r="G181" s="2">
        <f>IFERROR(__xludf.DUMMYFUNCTION("""COMPUTED_VALUE"""),124.0)</f>
        <v/>
      </c>
      <c r="H181" s="2">
        <f>IFERROR(__xludf.DUMMYFUNCTION("""COMPUTED_VALUE"""),137.0)</f>
        <v/>
      </c>
      <c r="I181" s="2">
        <f>IFERROR(__xludf.DUMMYFUNCTION("""COMPUTED_VALUE"""),151.0)</f>
        <v/>
      </c>
      <c r="J181" s="2">
        <f>IFERROR(__xludf.DUMMYFUNCTION("""COMPUTED_VALUE"""),76.0)</f>
        <v/>
      </c>
      <c r="K181" s="2">
        <f>IFERROR(__xludf.DUMMYFUNCTION("""COMPUTED_VALUE"""),15.0)</f>
        <v/>
      </c>
      <c r="L181" s="2">
        <f>IFERROR(__xludf.DUMMYFUNCTION("""COMPUTED_VALUE"""),"Smartbuy")</f>
        <v/>
      </c>
      <c r="M181" s="2">
        <f>IFERROR(__xludf.DUMMYFUNCTION("""COMPUTED_VALUE"""),"Прочие товары")</f>
        <v/>
      </c>
    </row>
    <row r="182">
      <c r="A182" s="5">
        <f>IFERROR(__xludf.DUMMYFUNCTION("""COMPUTED_VALUE"""),"4690612004198")</f>
        <v/>
      </c>
      <c r="B182" s="5">
        <f>IFERROR(__xludf.DUMMYFUNCTION("""COMPUTED_VALUE"""),"LED-A60-standard 20Вт 160-260В Е27 3000К ASD")</f>
        <v/>
      </c>
      <c r="C182" s="2">
        <f>IFERROR(__xludf.DUMMYFUNCTION("""COMPUTED_VALUE"""),0.06100000000000001)</f>
        <v/>
      </c>
      <c r="D182" s="2">
        <f>IFERROR(__xludf.DUMMYFUNCTION("""COMPUTED_VALUE"""),5.0E-4)</f>
        <v/>
      </c>
      <c r="E182" s="2">
        <f>IFERROR(__xludf.DUMMYFUNCTION("""COMPUTED_VALUE"""),60.3)</f>
        <v/>
      </c>
      <c r="F182" s="2">
        <f>IFERROR(__xludf.DUMMYFUNCTION("""COMPUTED_VALUE"""),45.0)</f>
        <v/>
      </c>
      <c r="G182" s="2">
        <f>IFERROR(__xludf.DUMMYFUNCTION("""COMPUTED_VALUE"""),51.0)</f>
        <v/>
      </c>
      <c r="H182" s="2">
        <f>IFERROR(__xludf.DUMMYFUNCTION("""COMPUTED_VALUE"""),59.0)</f>
        <v/>
      </c>
      <c r="I182" s="2">
        <f>IFERROR(__xludf.DUMMYFUNCTION("""COMPUTED_VALUE"""),67.95)</f>
        <v/>
      </c>
      <c r="J182" s="2">
        <f>IFERROR(__xludf.DUMMYFUNCTION("""COMPUTED_VALUE"""),51.0)</f>
        <v/>
      </c>
      <c r="K182" s="2">
        <f>IFERROR(__xludf.DUMMYFUNCTION("""COMPUTED_VALUE"""),27.0)</f>
        <v/>
      </c>
      <c r="L182" s="2">
        <f>IFERROR(__xludf.DUMMYFUNCTION("""COMPUTED_VALUE"""),"Лампа светодиодная LED-A60-standard")</f>
        <v/>
      </c>
      <c r="M182" s="2">
        <f>IFERROR(__xludf.DUMMYFUNCTION("""COMPUTED_VALUE"""),"Лампы")</f>
        <v/>
      </c>
    </row>
    <row r="183">
      <c r="A183" s="5">
        <f>IFERROR(__xludf.DUMMYFUNCTION("""COMPUTED_VALUE"""),"4690612032375")</f>
        <v/>
      </c>
      <c r="B183" s="5">
        <f>IFERROR(__xludf.DUMMYFUNCTION("""COMPUTED_VALUE"""),"ППК Е27/Е40 Патрон-переходник короткий IN HOME")</f>
        <v/>
      </c>
      <c r="C183" s="2">
        <f>IFERROR(__xludf.DUMMYFUNCTION("""COMPUTED_VALUE"""),0.04)</f>
        <v/>
      </c>
      <c r="D183" s="2">
        <f>IFERROR(__xludf.DUMMYFUNCTION("""COMPUTED_VALUE"""),1.5E-4)</f>
        <v/>
      </c>
      <c r="E183" s="2">
        <f>IFERROR(__xludf.DUMMYFUNCTION("""COMPUTED_VALUE"""),73.2)</f>
        <v/>
      </c>
      <c r="F183" s="2">
        <f>IFERROR(__xludf.DUMMYFUNCTION("""COMPUTED_VALUE"""),93.0)</f>
        <v/>
      </c>
      <c r="G183" s="2">
        <f>IFERROR(__xludf.DUMMYFUNCTION("""COMPUTED_VALUE"""),105.0)</f>
        <v/>
      </c>
      <c r="H183" s="2">
        <f>IFERROR(__xludf.DUMMYFUNCTION("""COMPUTED_VALUE"""),122.0)</f>
        <v/>
      </c>
      <c r="I183" s="2">
        <f>IFERROR(__xludf.DUMMYFUNCTION("""COMPUTED_VALUE"""),140.0)</f>
        <v/>
      </c>
      <c r="J183" s="2">
        <f>IFERROR(__xludf.DUMMYFUNCTION("""COMPUTED_VALUE"""),70.0)</f>
        <v/>
      </c>
      <c r="K183" s="2">
        <f>IFERROR(__xludf.DUMMYFUNCTION("""COMPUTED_VALUE"""),4.0)</f>
        <v/>
      </c>
      <c r="L183" s="2">
        <f>IFERROR(__xludf.DUMMYFUNCTION("""COMPUTED_VALUE"""),"ASD электромонтажные изделия")</f>
        <v/>
      </c>
      <c r="M183" s="2">
        <f>IFERROR(__xludf.DUMMYFUNCTION("""COMPUTED_VALUE"""),"Прочие товары")</f>
        <v/>
      </c>
    </row>
    <row r="184">
      <c r="A184" s="5">
        <f>IFERROR(__xludf.DUMMYFUNCTION("""COMPUTED_VALUE"""),"sra057")</f>
        <v/>
      </c>
      <c r="B184" s="5">
        <f>IFERROR(__xludf.DUMMYFUNCTION("""COMPUTED_VALUE"""),"Лампасветодиодная ЛСО")</f>
        <v/>
      </c>
      <c r="C184" s="2">
        <f>IFERROR(__xludf.DUMMYFUNCTION("""COMPUTED_VALUE"""),0.0)</f>
        <v/>
      </c>
      <c r="D184" s="2">
        <f>IFERROR(__xludf.DUMMYFUNCTION("""COMPUTED_VALUE"""),0.0)</f>
        <v/>
      </c>
      <c r="E184" s="2">
        <f>IFERROR(__xludf.DUMMYFUNCTION("""COMPUTED_VALUE"""),293.71)</f>
        <v/>
      </c>
      <c r="F184" s="2">
        <f>IFERROR(__xludf.DUMMYFUNCTION("""COMPUTED_VALUE"""),91.0)</f>
        <v/>
      </c>
      <c r="G184" s="2">
        <f>IFERROR(__xludf.DUMMYFUNCTION("""COMPUTED_VALUE"""),97.0)</f>
        <v/>
      </c>
      <c r="H184" s="2">
        <f>IFERROR(__xludf.DUMMYFUNCTION("""COMPUTED_VALUE"""),109.0)</f>
        <v/>
      </c>
      <c r="I184" s="2">
        <f>IFERROR(__xludf.DUMMYFUNCTION("""COMPUTED_VALUE"""),121.2)</f>
        <v/>
      </c>
      <c r="J184" s="2">
        <f>IFERROR(__xludf.DUMMYFUNCTION("""COMPUTED_VALUE"""),61.0)</f>
        <v/>
      </c>
      <c r="K184" s="2">
        <f>IFERROR(__xludf.DUMMYFUNCTION("""COMPUTED_VALUE"""),40.0)</f>
        <v/>
      </c>
      <c r="L184" s="2">
        <f>IFERROR(__xludf.DUMMYFUNCTION("""COMPUTED_VALUE"""),"SRA")</f>
        <v/>
      </c>
      <c r="M184" s="2">
        <f>IFERROR(__xludf.DUMMYFUNCTION("""COMPUTED_VALUE"""),"LED Светильники")</f>
        <v/>
      </c>
    </row>
    <row r="185">
      <c r="A185" s="5">
        <f>IFERROR(__xludf.DUMMYFUNCTION("""COMPUTED_VALUE"""),"12-0144")</f>
        <v/>
      </c>
      <c r="B185" s="5">
        <f>IFERROR(__xludf.DUMMYFUNCTION("""COMPUTED_VALUE"""),"Цифровая термовоздушная паяльная станция 220 V/160-480 град. REXANT")</f>
        <v/>
      </c>
      <c r="C185" s="2">
        <f>IFERROR(__xludf.DUMMYFUNCTION("""COMPUTED_VALUE"""),0.0)</f>
        <v/>
      </c>
      <c r="D185" s="2">
        <f>IFERROR(__xludf.DUMMYFUNCTION("""COMPUTED_VALUE"""),0.0)</f>
        <v/>
      </c>
      <c r="E185" s="2">
        <f>IFERROR(__xludf.DUMMYFUNCTION("""COMPUTED_VALUE"""),1.0)</f>
        <v/>
      </c>
      <c r="F185" s="2">
        <f>IFERROR(__xludf.DUMMYFUNCTION("""COMPUTED_VALUE"""),11306.0)</f>
        <v/>
      </c>
      <c r="G185" s="2">
        <f>IFERROR(__xludf.DUMMYFUNCTION("""COMPUTED_VALUE"""),12060.0)</f>
        <v/>
      </c>
      <c r="H185" s="2">
        <f>IFERROR(__xludf.DUMMYFUNCTION("""COMPUTED_VALUE"""),13568.0)</f>
        <v/>
      </c>
      <c r="I185" s="2">
        <f>IFERROR(__xludf.DUMMYFUNCTION("""COMPUTED_VALUE"""),15075.29)</f>
        <v/>
      </c>
      <c r="J185" s="2">
        <f>IFERROR(__xludf.DUMMYFUNCTION("""COMPUTED_VALUE"""),7538.0)</f>
        <v/>
      </c>
      <c r="K185" s="2">
        <f>IFERROR(__xludf.DUMMYFUNCTION("""COMPUTED_VALUE"""),2.0)</f>
        <v/>
      </c>
      <c r="L185" s="2">
        <f>IFERROR(__xludf.DUMMYFUNCTION("""COMPUTED_VALUE"""),"Rexant")</f>
        <v/>
      </c>
      <c r="M185" s="2">
        <f>IFERROR(__xludf.DUMMYFUNCTION("""COMPUTED_VALUE"""),"Прочие товары")</f>
        <v/>
      </c>
    </row>
    <row r="186">
      <c r="A186" s="5">
        <f>IFERROR(__xludf.DUMMYFUNCTION("""COMPUTED_VALUE"""),"4690612034485")</f>
        <v/>
      </c>
      <c r="B186" s="5">
        <f>IFERROR(__xludf.DUMMYFUNCTION("""COMPUTED_VALUE"""),"БС M1W с аккумулятором USB белый IN HOME")</f>
        <v/>
      </c>
      <c r="C186" s="2">
        <f>IFERROR(__xludf.DUMMYFUNCTION("""COMPUTED_VALUE"""),0.08)</f>
        <v/>
      </c>
      <c r="D186" s="2">
        <f>IFERROR(__xludf.DUMMYFUNCTION("""COMPUTED_VALUE"""),2.0E-4)</f>
        <v/>
      </c>
      <c r="E186" s="2">
        <f>IFERROR(__xludf.DUMMYFUNCTION("""COMPUTED_VALUE"""),1092.1)</f>
        <v/>
      </c>
      <c r="F186" s="2">
        <f>IFERROR(__xludf.DUMMYFUNCTION("""COMPUTED_VALUE"""),880.0)</f>
        <v/>
      </c>
      <c r="G186" s="2">
        <f>IFERROR(__xludf.DUMMYFUNCTION("""COMPUTED_VALUE"""),990.0)</f>
        <v/>
      </c>
      <c r="H186" s="2">
        <f>IFERROR(__xludf.DUMMYFUNCTION("""COMPUTED_VALUE"""),1148.0)</f>
        <v/>
      </c>
      <c r="I186" s="2">
        <f>IFERROR(__xludf.DUMMYFUNCTION("""COMPUTED_VALUE"""),1320.0)</f>
        <v/>
      </c>
      <c r="J186" s="2">
        <f>IFERROR(__xludf.DUMMYFUNCTION("""COMPUTED_VALUE"""),660.0)</f>
        <v/>
      </c>
      <c r="K186" s="2">
        <f>IFERROR(__xludf.DUMMYFUNCTION("""COMPUTED_VALUE"""),8.0)</f>
        <v/>
      </c>
      <c r="L186" s="2">
        <f>IFERROR(__xludf.DUMMYFUNCTION("""COMPUTED_VALUE"""),"Светильники светодиодные бактерицидные ультрафиолетовые")</f>
        <v/>
      </c>
      <c r="M186" s="2">
        <f>IFERROR(__xludf.DUMMYFUNCTION("""COMPUTED_VALUE"""),"Бактерицидные ультрафиолетовые  светильники (LED), LED Светильники")</f>
        <v/>
      </c>
    </row>
    <row r="187">
      <c r="A187" s="5">
        <f>IFERROR(__xludf.DUMMYFUNCTION("""COMPUTED_VALUE"""),"4690612020341")</f>
        <v/>
      </c>
      <c r="B187" s="5">
        <f>IFERROR(__xludf.DUMMYFUNCTION("""COMPUTED_VALUE"""),"LED-JCDR-VC 11Вт 230В GU5.3 3000К 990Лм IN HOME")</f>
        <v/>
      </c>
      <c r="C187" s="2">
        <f>IFERROR(__xludf.DUMMYFUNCTION("""COMPUTED_VALUE"""),0.03700000000000001)</f>
        <v/>
      </c>
      <c r="D187" s="2">
        <f>IFERROR(__xludf.DUMMYFUNCTION("""COMPUTED_VALUE"""),2.1E-4)</f>
        <v/>
      </c>
      <c r="E187" s="2">
        <f>IFERROR(__xludf.DUMMYFUNCTION("""COMPUTED_VALUE"""),43.2)</f>
        <v/>
      </c>
      <c r="F187" s="2">
        <f>IFERROR(__xludf.DUMMYFUNCTION("""COMPUTED_VALUE"""),48.0)</f>
        <v/>
      </c>
      <c r="G187" s="2">
        <f>IFERROR(__xludf.DUMMYFUNCTION("""COMPUTED_VALUE"""),54.0)</f>
        <v/>
      </c>
      <c r="H187" s="2">
        <f>IFERROR(__xludf.DUMMYFUNCTION("""COMPUTED_VALUE"""),63.0)</f>
        <v/>
      </c>
      <c r="I187" s="2">
        <f>IFERROR(__xludf.DUMMYFUNCTION("""COMPUTED_VALUE"""),73.10000000000001)</f>
        <v/>
      </c>
      <c r="J187" s="2">
        <f>IFERROR(__xludf.DUMMYFUNCTION("""COMPUTED_VALUE"""),37.0)</f>
        <v/>
      </c>
      <c r="K187" s="2">
        <f>IFERROR(__xludf.DUMMYFUNCTION("""COMPUTED_VALUE"""),4.0)</f>
        <v/>
      </c>
      <c r="L187" s="2">
        <f>IFERROR(__xludf.DUMMYFUNCTION("""COMPUTED_VALUE"""),"Лампа светодиодная LED-JCDR-standard")</f>
        <v/>
      </c>
      <c r="M187" s="2">
        <f>IFERROR(__xludf.DUMMYFUNCTION("""COMPUTED_VALUE"""),"Лампы")</f>
        <v/>
      </c>
    </row>
    <row r="188">
      <c r="A188" s="5">
        <f>IFERROR(__xludf.DUMMYFUNCTION("""COMPUTED_VALUE"""),"4690612042596")</f>
        <v/>
      </c>
      <c r="B188" s="5">
        <f>IFERROR(__xludf.DUMMYFUNCTION("""COMPUTED_VALUE"""),"ДСП-153Н 36Вт 230В 6500К 4500Лм 125лм/Вт 1200мм IP65 NEOX")</f>
        <v/>
      </c>
      <c r="C188" s="2">
        <f>IFERROR(__xludf.DUMMYFUNCTION("""COMPUTED_VALUE"""),0.26)</f>
        <v/>
      </c>
      <c r="D188" s="2">
        <f>IFERROR(__xludf.DUMMYFUNCTION("""COMPUTED_VALUE"""),0.0027)</f>
        <v/>
      </c>
      <c r="E188" s="2">
        <f>IFERROR(__xludf.DUMMYFUNCTION("""COMPUTED_VALUE"""),561.0)</f>
        <v/>
      </c>
      <c r="F188" s="2">
        <f>IFERROR(__xludf.DUMMYFUNCTION("""COMPUTED_VALUE"""),463.0)</f>
        <v/>
      </c>
      <c r="G188" s="2">
        <f>IFERROR(__xludf.DUMMYFUNCTION("""COMPUTED_VALUE"""),521.0)</f>
        <v/>
      </c>
      <c r="H188" s="2">
        <f>IFERROR(__xludf.DUMMYFUNCTION("""COMPUTED_VALUE"""),605.0)</f>
        <v/>
      </c>
      <c r="I188" s="2">
        <f>IFERROR(__xludf.DUMMYFUNCTION("""COMPUTED_VALUE"""),695.0)</f>
        <v/>
      </c>
      <c r="J188" s="2">
        <f>IFERROR(__xludf.DUMMYFUNCTION("""COMPUTED_VALUE"""),348.0)</f>
        <v/>
      </c>
      <c r="K188" s="2">
        <f>IFERROR(__xludf.DUMMYFUNCTION("""COMPUTED_VALUE"""),2.0)</f>
        <v/>
      </c>
      <c r="L188" s="2">
        <f>IFERROR(__xludf.DUMMYFUNCTION("""COMPUTED_VALUE"""),"NEOX Светильники LED ДСП")</f>
        <v/>
      </c>
      <c r="M188" s="2">
        <f>IFERROR(__xludf.DUMMYFUNCTION("""COMPUTED_VALUE"""),"Пластиковые (линейные), LED Светильники")</f>
        <v/>
      </c>
    </row>
    <row r="189">
      <c r="A189" s="5">
        <f>IFERROR(__xludf.DUMMYFUNCTION("""COMPUTED_VALUE"""),"4690612035161")</f>
        <v/>
      </c>
      <c r="B189" s="5">
        <f>IFERROR(__xludf.DUMMYFUNCTION("""COMPUTED_VALUE"""),"COMFORT SIESTA 75Вт 230В 3000-6500K 6000Лм 525x90мм с пультом ДУ IN HOME")</f>
        <v/>
      </c>
      <c r="C189" s="2">
        <f>IFERROR(__xludf.DUMMYFUNCTION("""COMPUTED_VALUE"""),1.98)</f>
        <v/>
      </c>
      <c r="D189" s="2">
        <f>IFERROR(__xludf.DUMMYFUNCTION("""COMPUTED_VALUE"""),0.028)</f>
        <v/>
      </c>
      <c r="E189" s="2">
        <f>IFERROR(__xludf.DUMMYFUNCTION("""COMPUTED_VALUE"""),1970.23)</f>
        <v/>
      </c>
      <c r="F189" s="2">
        <f>IFERROR(__xludf.DUMMYFUNCTION("""COMPUTED_VALUE"""),1815.0)</f>
        <v/>
      </c>
      <c r="G189" s="2">
        <f>IFERROR(__xludf.DUMMYFUNCTION("""COMPUTED_VALUE"""),2042.0)</f>
        <v/>
      </c>
      <c r="H189" s="2">
        <f>IFERROR(__xludf.DUMMYFUNCTION("""COMPUTED_VALUE"""),2369.0)</f>
        <v/>
      </c>
      <c r="I189" s="2">
        <f>IFERROR(__xludf.DUMMYFUNCTION("""COMPUTED_VALUE"""),2723.0)</f>
        <v/>
      </c>
      <c r="J189" s="2">
        <f>IFERROR(__xludf.DUMMYFUNCTION("""COMPUTED_VALUE"""),1362.0)</f>
        <v/>
      </c>
      <c r="K189" s="2">
        <f>IFERROR(__xludf.DUMMYFUNCTION("""COMPUTED_VALUE"""),2.0)</f>
        <v/>
      </c>
      <c r="L189" s="2">
        <f>IFERROR(__xludf.DUMMYFUNCTION("""COMPUTED_VALUE"""),"Светильники светодиодные COMFORT")</f>
        <v/>
      </c>
      <c r="M189" s="2">
        <f>IFERROR(__xludf.DUMMYFUNCTION("""COMPUTED_VALUE"""),"Накладные, Декоративные, LED Светильники")</f>
        <v/>
      </c>
    </row>
    <row r="190">
      <c r="A190" s="5">
        <f>IFERROR(__xludf.DUMMYFUNCTION("""COMPUTED_VALUE"""),"R100627-2")</f>
        <v/>
      </c>
      <c r="B190" s="5">
        <f>IFERROR(__xludf.DUMMYFUNCTION("""COMPUTED_VALUE"""),"RSV-SPO-02-56W-6500K PRI (2 штуки в упаковке)")</f>
        <v/>
      </c>
      <c r="C190" s="2">
        <f>IFERROR(__xludf.DUMMYFUNCTION("""COMPUTED_VALUE"""),0.46)</f>
        <v/>
      </c>
      <c r="D190" s="2">
        <f>IFERROR(__xludf.DUMMYFUNCTION("""COMPUTED_VALUE"""),0.0)</f>
        <v/>
      </c>
      <c r="E190" s="2">
        <f>IFERROR(__xludf.DUMMYFUNCTION("""COMPUTED_VALUE"""),823.6)</f>
        <v/>
      </c>
      <c r="F190" s="2">
        <f>IFERROR(__xludf.DUMMYFUNCTION("""COMPUTED_VALUE"""),989.0)</f>
        <v/>
      </c>
      <c r="G190" s="2">
        <f>IFERROR(__xludf.DUMMYFUNCTION("""COMPUTED_VALUE"""),1054.0)</f>
        <v/>
      </c>
      <c r="H190" s="2">
        <f>IFERROR(__xludf.DUMMYFUNCTION("""COMPUTED_VALUE"""),1186.0)</f>
        <v/>
      </c>
      <c r="I190" s="2">
        <f>IFERROR(__xludf.DUMMYFUNCTION("""COMPUTED_VALUE"""),1318.0)</f>
        <v/>
      </c>
      <c r="J190" s="2">
        <f>IFERROR(__xludf.DUMMYFUNCTION("""COMPUTED_VALUE"""),659.0)</f>
        <v/>
      </c>
      <c r="K190" s="2">
        <f>IFERROR(__xludf.DUMMYFUNCTION("""COMPUTED_VALUE"""),3.0)</f>
        <v/>
      </c>
      <c r="L190" s="2">
        <f>IFERROR(__xludf.DUMMYFUNCTION("""COMPUTED_VALUE"""),"RSV-SPO Светильники Производство, упаковка (2 и 3 штуки)")</f>
        <v/>
      </c>
      <c r="M190" s="2">
        <f>IFERROR(__xludf.DUMMYFUNCTION("""COMPUTED_VALUE"""),"Пластиковые (линейные), Светильники общего назначения (LED), Накладные, Линейные (проходные), LED Светильники")</f>
        <v/>
      </c>
    </row>
    <row r="191">
      <c r="A191" s="5">
        <f>IFERROR(__xludf.DUMMYFUNCTION("""COMPUTED_VALUE"""),"4690612013503")</f>
        <v/>
      </c>
      <c r="B191" s="5">
        <f>IFERROR(__xludf.DUMMYFUNCTION("""COMPUTED_VALUE"""),"ССО-03Ч 9Вт сенсор-диммер ночник адаптер ЧЕРНЫЙ IN HOME")</f>
        <v/>
      </c>
      <c r="C191" s="2">
        <f>IFERROR(__xludf.DUMMYFUNCTION("""COMPUTED_VALUE"""),0.62)</f>
        <v/>
      </c>
      <c r="D191" s="2">
        <f>IFERROR(__xludf.DUMMYFUNCTION("""COMPUTED_VALUE"""),0.004500000000000001)</f>
        <v/>
      </c>
      <c r="E191" s="2">
        <f>IFERROR(__xludf.DUMMYFUNCTION("""COMPUTED_VALUE"""),1023.38)</f>
        <v/>
      </c>
      <c r="F191" s="2">
        <f>IFERROR(__xludf.DUMMYFUNCTION("""COMPUTED_VALUE"""),813.0)</f>
        <v/>
      </c>
      <c r="G191" s="2">
        <f>IFERROR(__xludf.DUMMYFUNCTION("""COMPUTED_VALUE"""),915.0)</f>
        <v/>
      </c>
      <c r="H191" s="2">
        <f>IFERROR(__xludf.DUMMYFUNCTION("""COMPUTED_VALUE"""),1061.0)</f>
        <v/>
      </c>
      <c r="I191" s="2">
        <f>IFERROR(__xludf.DUMMYFUNCTION("""COMPUTED_VALUE"""),1220.0)</f>
        <v/>
      </c>
      <c r="J191" s="2">
        <f>IFERROR(__xludf.DUMMYFUNCTION("""COMPUTED_VALUE"""),610.0)</f>
        <v/>
      </c>
      <c r="K191" s="2">
        <f>IFERROR(__xludf.DUMMYFUNCTION("""COMPUTED_VALUE"""),7.0)</f>
        <v/>
      </c>
      <c r="L191" s="2">
        <f>IFERROR(__xludf.DUMMYFUNCTION("""COMPUTED_VALUE"""),"Светильники настольные светодиодные")</f>
        <v/>
      </c>
      <c r="M191" s="2">
        <f>IFERROR(__xludf.DUMMYFUNCTION("""COMPUTED_VALUE"""),"Светильники общего назначения (LED), Декоративные, LED Светильники")</f>
        <v/>
      </c>
    </row>
    <row r="192">
      <c r="A192" s="5">
        <f>IFERROR(__xludf.DUMMYFUNCTION("""COMPUTED_VALUE"""),"GL8241")</f>
        <v/>
      </c>
      <c r="B192" s="5">
        <f>IFERROR(__xludf.DUMMYFUNCTION("""COMPUTED_VALUE"""),"GLERIO Line Shell 24 Вт 4000К 92P-24D-4P-P")</f>
        <v/>
      </c>
      <c r="C192" s="2">
        <f>IFERROR(__xludf.DUMMYFUNCTION("""COMPUTED_VALUE"""),1.575)</f>
        <v/>
      </c>
      <c r="D192" s="2">
        <f>IFERROR(__xludf.DUMMYFUNCTION("""COMPUTED_VALUE"""),0.00495)</f>
        <v/>
      </c>
      <c r="E192" s="2">
        <f>IFERROR(__xludf.DUMMYFUNCTION("""COMPUTED_VALUE"""),1855.42)</f>
        <v/>
      </c>
      <c r="F192" s="2">
        <f>IFERROR(__xludf.DUMMYFUNCTION("""COMPUTED_VALUE"""),2150.0)</f>
        <v/>
      </c>
      <c r="G192" s="2">
        <f>IFERROR(__xludf.DUMMYFUNCTION("""COMPUTED_VALUE"""),2707.0)</f>
        <v/>
      </c>
      <c r="H192" s="2">
        <f>IFERROR(__xludf.DUMMYFUNCTION("""COMPUTED_VALUE"""),3040.0)</f>
        <v/>
      </c>
      <c r="I192" s="2">
        <f>IFERROR(__xludf.DUMMYFUNCTION("""COMPUTED_VALUE"""),3373.0)</f>
        <v/>
      </c>
      <c r="J192" s="2">
        <f>IFERROR(__xludf.DUMMYFUNCTION("""COMPUTED_VALUE"""),1687.0)</f>
        <v/>
      </c>
      <c r="K192" s="2">
        <f>IFERROR(__xludf.DUMMYFUNCTION("""COMPUTED_VALUE"""),1.0)</f>
        <v/>
      </c>
      <c r="L192" s="2">
        <f>IFERROR(__xludf.DUMMYFUNCTION("""COMPUTED_VALUE"""),"Line Shell, Free (Retail) до 10.2025")</f>
        <v/>
      </c>
      <c r="M192" s="2">
        <f>IFERROR(__xludf.DUMMYFUNCTION("""COMPUTED_VALUE"""),"Металлические (линейные), LED Светильники")</f>
        <v/>
      </c>
    </row>
    <row r="193">
      <c r="A193" s="5">
        <f>IFERROR(__xludf.DUMMYFUNCTION("""COMPUTED_VALUE"""),"ves2017")</f>
        <v/>
      </c>
      <c r="B193" s="5">
        <f>IFERROR(__xludf.DUMMYFUNCTION("""COMPUTED_VALUE"""),"Вилка переносная 025 3Р+РЕ+N 32А 380В IP44")</f>
        <v/>
      </c>
      <c r="C193" s="2">
        <f>IFERROR(__xludf.DUMMYFUNCTION("""COMPUTED_VALUE"""),0.0)</f>
        <v/>
      </c>
      <c r="D193" s="2">
        <f>IFERROR(__xludf.DUMMYFUNCTION("""COMPUTED_VALUE"""),0.0)</f>
        <v/>
      </c>
      <c r="E193" s="2">
        <f>IFERROR(__xludf.DUMMYFUNCTION("""COMPUTED_VALUE"""),225.18)</f>
        <v/>
      </c>
      <c r="F193" s="2">
        <f>IFERROR(__xludf.DUMMYFUNCTION("""COMPUTED_VALUE"""),286.0)</f>
        <v/>
      </c>
      <c r="G193" s="2">
        <f>IFERROR(__xludf.DUMMYFUNCTION("""COMPUTED_VALUE"""),305.0)</f>
        <v/>
      </c>
      <c r="H193" s="2">
        <f>IFERROR(__xludf.DUMMYFUNCTION("""COMPUTED_VALUE"""),343.0)</f>
        <v/>
      </c>
      <c r="I193" s="2">
        <f>IFERROR(__xludf.DUMMYFUNCTION("""COMPUTED_VALUE"""),381.41)</f>
        <v/>
      </c>
      <c r="J193" s="2">
        <f>IFERROR(__xludf.DUMMYFUNCTION("""COMPUTED_VALUE"""),191.0)</f>
        <v/>
      </c>
      <c r="K193" s="2">
        <f>IFERROR(__xludf.DUMMYFUNCTION("""COMPUTED_VALUE"""),3.0)</f>
        <v/>
      </c>
      <c r="L193" s="2">
        <f>IFERROR(__xludf.DUMMYFUNCTION("""COMPUTED_VALUE"""),"ves2 (тендер)")</f>
        <v/>
      </c>
      <c r="M193" s="2">
        <f>IFERROR(__xludf.DUMMYFUNCTION("""COMPUTED_VALUE"""),"Прочие товары")</f>
        <v/>
      </c>
    </row>
    <row r="194">
      <c r="A194" s="5">
        <f>IFERROR(__xludf.DUMMYFUNCTION("""COMPUTED_VALUE"""),"R102811")</f>
        <v/>
      </c>
      <c r="B194" s="5">
        <f>IFERROR(__xludf.DUMMYFUNCTION("""COMPUTED_VALUE"""),"RSV-SFL-3-70W-6500K-IP65")</f>
        <v/>
      </c>
      <c r="C194" s="2">
        <f>IFERROR(__xludf.DUMMYFUNCTION("""COMPUTED_VALUE"""),0.645)</f>
        <v/>
      </c>
      <c r="D194" s="2">
        <f>IFERROR(__xludf.DUMMYFUNCTION("""COMPUTED_VALUE"""),0.00145)</f>
        <v/>
      </c>
      <c r="E194" s="2">
        <f>IFERROR(__xludf.DUMMYFUNCTION("""COMPUTED_VALUE"""),585.52)</f>
        <v/>
      </c>
      <c r="F194" s="2">
        <f>IFERROR(__xludf.DUMMYFUNCTION("""COMPUTED_VALUE"""),840.0)</f>
        <v/>
      </c>
      <c r="G194" s="2">
        <f>IFERROR(__xludf.DUMMYFUNCTION("""COMPUTED_VALUE"""),988.0)</f>
        <v/>
      </c>
      <c r="H194" s="2">
        <f>IFERROR(__xludf.DUMMYFUNCTION("""COMPUTED_VALUE"""),1018.0)</f>
        <v/>
      </c>
      <c r="I194" s="2">
        <f>IFERROR(__xludf.DUMMYFUNCTION("""COMPUTED_VALUE"""),1170.0)</f>
        <v/>
      </c>
      <c r="J194" s="2">
        <f>IFERROR(__xludf.DUMMYFUNCTION("""COMPUTED_VALUE"""),1018.0)</f>
        <v/>
      </c>
      <c r="K194" s="2">
        <f>IFERROR(__xludf.DUMMYFUNCTION("""COMPUTED_VALUE"""),12.0)</f>
        <v/>
      </c>
      <c r="L194" s="2">
        <f>IFERROR(__xludf.DUMMYFUNCTION("""COMPUTED_VALUE"""),"Прожекторы RSV-SFL-3")</f>
        <v/>
      </c>
      <c r="M194" s="2">
        <f>IFERROR(__xludf.DUMMYFUNCTION("""COMPUTED_VALUE"""),"Без датчиков, LED Светильники")</f>
        <v/>
      </c>
    </row>
    <row r="195">
      <c r="A195" s="5">
        <f>IFERROR(__xludf.DUMMYFUNCTION("""COMPUTED_VALUE"""),"4690612035512")</f>
        <v/>
      </c>
      <c r="B195" s="5">
        <f>IFERROR(__xludf.DUMMYFUNCTION("""COMPUTED_VALUE"""),"TR-07-TL 15Вт 4000К 1500Лм IP40 24 градуса черный серии TOP-LINE IN HOME")</f>
        <v/>
      </c>
      <c r="C195" s="2">
        <f>IFERROR(__xludf.DUMMYFUNCTION("""COMPUTED_VALUE"""),0.22)</f>
        <v/>
      </c>
      <c r="D195" s="2">
        <f>IFERROR(__xludf.DUMMYFUNCTION("""COMPUTED_VALUE"""),0.001)</f>
        <v/>
      </c>
      <c r="E195" s="2">
        <f>IFERROR(__xludf.DUMMYFUNCTION("""COMPUTED_VALUE"""),432.0)</f>
        <v/>
      </c>
      <c r="F195" s="2">
        <f>IFERROR(__xludf.DUMMYFUNCTION("""COMPUTED_VALUE"""),489.0)</f>
        <v/>
      </c>
      <c r="G195" s="2">
        <f>IFERROR(__xludf.DUMMYFUNCTION("""COMPUTED_VALUE"""),551.0)</f>
        <v/>
      </c>
      <c r="H195" s="2">
        <f>IFERROR(__xludf.DUMMYFUNCTION("""COMPUTED_VALUE"""),639.0)</f>
        <v/>
      </c>
      <c r="I195" s="2">
        <f>IFERROR(__xludf.DUMMYFUNCTION("""COMPUTED_VALUE"""),734.0)</f>
        <v/>
      </c>
      <c r="J195" s="2">
        <f>IFERROR(__xludf.DUMMYFUNCTION("""COMPUTED_VALUE"""),367.0)</f>
        <v/>
      </c>
      <c r="K195" s="2">
        <f>IFERROR(__xludf.DUMMYFUNCTION("""COMPUTED_VALUE"""),10.0)</f>
        <v/>
      </c>
      <c r="L195" s="2">
        <f>IFERROR(__xludf.DUMMYFUNCTION("""COMPUTED_VALUE"""),"Светильники светодиодные трековые TR-01, 02, 03, 04, 05, 06, 07, 08")</f>
        <v/>
      </c>
      <c r="M195" s="2">
        <f>IFERROR(__xludf.DUMMYFUNCTION("""COMPUTED_VALUE"""),"Трековые, LED Светильники")</f>
        <v/>
      </c>
    </row>
    <row r="196">
      <c r="A196" s="5">
        <f>IFERROR(__xludf.DUMMYFUNCTION("""COMPUTED_VALUE"""),"R100628")</f>
        <v/>
      </c>
      <c r="B196" s="5">
        <f>IFERROR(__xludf.DUMMYFUNCTION("""COMPUTED_VALUE"""),"RSV-SPO-02-56W-6500К TPR")</f>
        <v/>
      </c>
      <c r="C196" s="2">
        <f>IFERROR(__xludf.DUMMYFUNCTION("""COMPUTED_VALUE"""),0.41667)</f>
        <v/>
      </c>
      <c r="D196" s="2">
        <f>IFERROR(__xludf.DUMMYFUNCTION("""COMPUTED_VALUE"""),0.00287)</f>
        <v/>
      </c>
      <c r="E196" s="2">
        <f>IFERROR(__xludf.DUMMYFUNCTION("""COMPUTED_VALUE"""),371.58)</f>
        <v/>
      </c>
      <c r="F196" s="2">
        <f>IFERROR(__xludf.DUMMYFUNCTION("""COMPUTED_VALUE"""),272.0)</f>
        <v/>
      </c>
      <c r="G196" s="2">
        <f>IFERROR(__xludf.DUMMYFUNCTION("""COMPUTED_VALUE"""),320.0)</f>
        <v/>
      </c>
      <c r="H196" s="2">
        <f>IFERROR(__xludf.DUMMYFUNCTION("""COMPUTED_VALUE"""),330.0)</f>
        <v/>
      </c>
      <c r="I196" s="2">
        <f>IFERROR(__xludf.DUMMYFUNCTION("""COMPUTED_VALUE"""),380.0)</f>
        <v/>
      </c>
      <c r="J196" s="2">
        <f>IFERROR(__xludf.DUMMYFUNCTION("""COMPUTED_VALUE"""),380.0)</f>
        <v/>
      </c>
      <c r="K196" s="2">
        <f>IFERROR(__xludf.DUMMYFUNCTION("""COMPUTED_VALUE"""),0.0)</f>
        <v/>
      </c>
      <c r="L196" s="2">
        <f>IFERROR(__xludf.DUMMYFUNCTION("""COMPUTED_VALUE"""),"Офисный светильник RSV-SPO-02, SPO-03 (Сталь)")</f>
        <v/>
      </c>
      <c r="M196" s="2">
        <f>IFERROR(__xludf.DUMMYFUNCTION("""COMPUTED_VALUE"""),"Накладные, Без датчиков, LED Светильники")</f>
        <v/>
      </c>
    </row>
    <row r="197">
      <c r="A197" s="5">
        <f>IFERROR(__xludf.DUMMYFUNCTION("""COMPUTED_VALUE"""),"12-0164")</f>
        <v/>
      </c>
      <c r="B197" s="5">
        <f>IFERROR(__xludf.DUMMYFUNCTION("""COMPUTED_VALUE"""),"Набор для пайки (паяльник импульсный 30/70 Вт, оловоотсос, подставка, припой) REXANT")</f>
        <v/>
      </c>
      <c r="C197" s="2">
        <f>IFERROR(__xludf.DUMMYFUNCTION("""COMPUTED_VALUE"""),0.0)</f>
        <v/>
      </c>
      <c r="D197" s="2">
        <f>IFERROR(__xludf.DUMMYFUNCTION("""COMPUTED_VALUE"""),0.0)</f>
        <v/>
      </c>
      <c r="E197" s="2">
        <f>IFERROR(__xludf.DUMMYFUNCTION("""COMPUTED_VALUE"""),1.0)</f>
        <v/>
      </c>
      <c r="F197" s="2">
        <f>IFERROR(__xludf.DUMMYFUNCTION("""COMPUTED_VALUE"""),1275.0)</f>
        <v/>
      </c>
      <c r="G197" s="2">
        <f>IFERROR(__xludf.DUMMYFUNCTION("""COMPUTED_VALUE"""),1360.0)</f>
        <v/>
      </c>
      <c r="H197" s="2">
        <f>IFERROR(__xludf.DUMMYFUNCTION("""COMPUTED_VALUE"""),1530.0)</f>
        <v/>
      </c>
      <c r="I197" s="2">
        <f>IFERROR(__xludf.DUMMYFUNCTION("""COMPUTED_VALUE"""),1699.5)</f>
        <v/>
      </c>
      <c r="J197" s="2">
        <f>IFERROR(__xludf.DUMMYFUNCTION("""COMPUTED_VALUE"""),850.0)</f>
        <v/>
      </c>
      <c r="K197" s="2">
        <f>IFERROR(__xludf.DUMMYFUNCTION("""COMPUTED_VALUE"""),1.0)</f>
        <v/>
      </c>
      <c r="L197" s="2">
        <f>IFERROR(__xludf.DUMMYFUNCTION("""COMPUTED_VALUE"""),"Rexant")</f>
        <v/>
      </c>
      <c r="M197" s="2">
        <f>IFERROR(__xludf.DUMMYFUNCTION("""COMPUTED_VALUE"""),"Прочие товары")</f>
        <v/>
      </c>
    </row>
    <row r="198">
      <c r="A198" s="5">
        <f>IFERROR(__xludf.DUMMYFUNCTION("""COMPUTED_VALUE"""),"13-0034")</f>
        <v/>
      </c>
      <c r="B198" s="5">
        <f>IFERROR(__xludf.DUMMYFUNCTION("""COMPUTED_VALUE"""),"Щупы тестера UNI-T UT-L27")</f>
        <v/>
      </c>
      <c r="C198" s="2">
        <f>IFERROR(__xludf.DUMMYFUNCTION("""COMPUTED_VALUE"""),0.0)</f>
        <v/>
      </c>
      <c r="D198" s="2">
        <f>IFERROR(__xludf.DUMMYFUNCTION("""COMPUTED_VALUE"""),0.0)</f>
        <v/>
      </c>
      <c r="E198" s="2">
        <f>IFERROR(__xludf.DUMMYFUNCTION("""COMPUTED_VALUE"""),1.0)</f>
        <v/>
      </c>
      <c r="F198" s="2">
        <f>IFERROR(__xludf.DUMMYFUNCTION("""COMPUTED_VALUE"""),713.0)</f>
        <v/>
      </c>
      <c r="G198" s="2">
        <f>IFERROR(__xludf.DUMMYFUNCTION("""COMPUTED_VALUE"""),760.0)</f>
        <v/>
      </c>
      <c r="H198" s="2">
        <f>IFERROR(__xludf.DUMMYFUNCTION("""COMPUTED_VALUE"""),855.0)</f>
        <v/>
      </c>
      <c r="I198" s="2">
        <f>IFERROR(__xludf.DUMMYFUNCTION("""COMPUTED_VALUE"""),950.5)</f>
        <v/>
      </c>
      <c r="J198" s="2">
        <f>IFERROR(__xludf.DUMMYFUNCTION("""COMPUTED_VALUE"""),475.0)</f>
        <v/>
      </c>
      <c r="K198" s="2">
        <f>IFERROR(__xludf.DUMMYFUNCTION("""COMPUTED_VALUE"""),3.0)</f>
        <v/>
      </c>
      <c r="L198" s="2">
        <f>IFERROR(__xludf.DUMMYFUNCTION("""COMPUTED_VALUE"""),"Rexant")</f>
        <v/>
      </c>
      <c r="M198" s="2">
        <f>IFERROR(__xludf.DUMMYFUNCTION("""COMPUTED_VALUE"""),"Прочие товары")</f>
        <v/>
      </c>
    </row>
    <row r="199">
      <c r="A199" s="5">
        <f>IFERROR(__xludf.DUMMYFUNCTION("""COMPUTED_VALUE"""),"14690612053858")</f>
        <v/>
      </c>
      <c r="B199" s="5">
        <f>IFERROR(__xludf.DUMMYFUNCTION("""COMPUTED_VALUE"""),"ДВО-02 4565-ПРИЗМА 45Вт 230В 6500К 4500Лм 100Лм/Вт 595х595х19 NEOX (4 шт в упак.)")</f>
        <v/>
      </c>
      <c r="C199" s="2">
        <f>IFERROR(__xludf.DUMMYFUNCTION("""COMPUTED_VALUE"""),1.075)</f>
        <v/>
      </c>
      <c r="D199" s="2">
        <f>IFERROR(__xludf.DUMMYFUNCTION("""COMPUTED_VALUE"""),0.0)</f>
        <v/>
      </c>
      <c r="E199" s="2">
        <f>IFERROR(__xludf.DUMMYFUNCTION("""COMPUTED_VALUE"""),2259.34)</f>
        <v/>
      </c>
      <c r="F199" s="2">
        <f>IFERROR(__xludf.DUMMYFUNCTION("""COMPUTED_VALUE"""),2479.0)</f>
        <v/>
      </c>
      <c r="G199" s="2">
        <f>IFERROR(__xludf.DUMMYFUNCTION("""COMPUTED_VALUE"""),2892.0)</f>
        <v/>
      </c>
      <c r="H199" s="2">
        <f>IFERROR(__xludf.DUMMYFUNCTION("""COMPUTED_VALUE"""),3254.0)</f>
        <v/>
      </c>
      <c r="I199" s="2">
        <f>IFERROR(__xludf.DUMMYFUNCTION("""COMPUTED_VALUE"""),3615.0)</f>
        <v/>
      </c>
      <c r="J199" s="2">
        <f>IFERROR(__xludf.DUMMYFUNCTION("""COMPUTED_VALUE"""),3615.0)</f>
        <v/>
      </c>
      <c r="K199" s="2">
        <f>IFERROR(__xludf.DUMMYFUNCTION("""COMPUTED_VALUE"""),0.0)</f>
        <v/>
      </c>
      <c r="L199" s="2">
        <f>IFERROR(__xludf.DUMMYFUNCTION("""COMPUTED_VALUE"""),"NEOX Светильники LED ДВО - Призма производство, упаковка")</f>
        <v/>
      </c>
      <c r="M199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200">
      <c r="A200" s="5">
        <f>IFERROR(__xludf.DUMMYFUNCTION("""COMPUTED_VALUE"""),"V9013")</f>
        <v/>
      </c>
      <c r="B200" s="5">
        <f>IFERROR(__xludf.DUMMYFUNCTION("""COMPUTED_VALUE"""),"VRN-UNE-62-G40K67-U, 62Вт, Универсальный")</f>
        <v/>
      </c>
      <c r="C200" s="2">
        <f>IFERROR(__xludf.DUMMYFUNCTION("""COMPUTED_VALUE"""),0.105)</f>
        <v/>
      </c>
      <c r="D200" s="2">
        <f>IFERROR(__xludf.DUMMYFUNCTION("""COMPUTED_VALUE"""),0.00564)</f>
        <v/>
      </c>
      <c r="E200" s="2">
        <f>IFERROR(__xludf.DUMMYFUNCTION("""COMPUTED_VALUE"""),2327.28)</f>
        <v/>
      </c>
      <c r="F200" s="2">
        <f>IFERROR(__xludf.DUMMYFUNCTION("""COMPUTED_VALUE"""),2605.0)</f>
        <v/>
      </c>
      <c r="G200" s="2">
        <f>IFERROR(__xludf.DUMMYFUNCTION("""COMPUTED_VALUE"""),3387.0)</f>
        <v/>
      </c>
      <c r="H200" s="2">
        <f>IFERROR(__xludf.DUMMYFUNCTION("""COMPUTED_VALUE"""),3556.0)</f>
        <v/>
      </c>
      <c r="I200" s="2">
        <f>IFERROR(__xludf.DUMMYFUNCTION("""COMPUTED_VALUE"""),3725.0)</f>
        <v/>
      </c>
      <c r="J200" s="2">
        <f>IFERROR(__xludf.DUMMYFUNCTION("""COMPUTED_VALUE"""),3725.0)</f>
        <v/>
      </c>
      <c r="K200" s="2">
        <f>IFERROR(__xludf.DUMMYFUNCTION("""COMPUTED_VALUE"""),43.0)</f>
        <v/>
      </c>
      <c r="L200" s="2">
        <f>IFERROR(__xludf.DUMMYFUNCTION("""COMPUTED_VALUE"""),"Универсал Эконом")</f>
        <v/>
      </c>
      <c r="M200" s="2">
        <f>IFERROR(__xludf.DUMMYFUNCTION("""COMPUTED_VALUE"""),"Для обычных дорог, Модульные, LED Светильники")</f>
        <v/>
      </c>
    </row>
    <row r="201">
      <c r="A201" s="5">
        <f>IFERROR(__xludf.DUMMYFUNCTION("""COMPUTED_VALUE"""),"4260529295042")</f>
        <v/>
      </c>
      <c r="B201" s="5">
        <f>IFERROR(__xludf.DUMMYFUNCTION("""COMPUTED_VALUE"""),"WFL-20W/06W")</f>
        <v/>
      </c>
      <c r="C201" s="2">
        <f>IFERROR(__xludf.DUMMYFUNCTION("""COMPUTED_VALUE"""),0.185)</f>
        <v/>
      </c>
      <c r="D201" s="2">
        <f>IFERROR(__xludf.DUMMYFUNCTION("""COMPUTED_VALUE"""),0.02518)</f>
        <v/>
      </c>
      <c r="E201" s="2">
        <f>IFERROR(__xludf.DUMMYFUNCTION("""COMPUTED_VALUE"""),337.8)</f>
        <v/>
      </c>
      <c r="F201" s="2">
        <f>IFERROR(__xludf.DUMMYFUNCTION("""COMPUTED_VALUE"""),324.0)</f>
        <v/>
      </c>
      <c r="G201" s="2">
        <f>IFERROR(__xludf.DUMMYFUNCTION("""COMPUTED_VALUE"""),335.0)</f>
        <v/>
      </c>
      <c r="H201" s="2">
        <f>IFERROR(__xludf.DUMMYFUNCTION("""COMPUTED_VALUE"""),439.0)</f>
        <v/>
      </c>
      <c r="I201" s="2">
        <f>IFERROR(__xludf.DUMMYFUNCTION("""COMPUTED_VALUE"""),549.0)</f>
        <v/>
      </c>
      <c r="J201" s="2">
        <f>IFERROR(__xludf.DUMMYFUNCTION("""COMPUTED_VALUE"""),275.0)</f>
        <v/>
      </c>
      <c r="K201" s="2">
        <f>IFERROR(__xludf.DUMMYFUNCTION("""COMPUTED_VALUE"""),4.0)</f>
        <v/>
      </c>
      <c r="L201" s="2">
        <f>IFERROR(__xludf.DUMMYFUNCTION("""COMPUTED_VALUE"""),"Wolta прожекторы")</f>
        <v/>
      </c>
      <c r="M201" s="2">
        <f>IFERROR(__xludf.DUMMYFUNCTION("""COMPUTED_VALUE"""),"Прожекторы (LED), LED Светильники")</f>
        <v/>
      </c>
    </row>
    <row r="202">
      <c r="A202" s="5">
        <f>IFERROR(__xludf.DUMMYFUNCTION("""COMPUTED_VALUE"""),"4260693449883")</f>
        <v/>
      </c>
      <c r="B202" s="5">
        <f>IFERROR(__xludf.DUMMYFUNCTION("""COMPUTED_VALUE"""),"WML-PL/02B")</f>
        <v/>
      </c>
      <c r="C202" s="2">
        <f>IFERROR(__xludf.DUMMYFUNCTION("""COMPUTED_VALUE"""),0.07500000000000001)</f>
        <v/>
      </c>
      <c r="D202" s="2">
        <f>IFERROR(__xludf.DUMMYFUNCTION("""COMPUTED_VALUE"""),0.0246)</f>
        <v/>
      </c>
      <c r="E202" s="2">
        <f>IFERROR(__xludf.DUMMYFUNCTION("""COMPUTED_VALUE"""),509.6)</f>
        <v/>
      </c>
      <c r="F202" s="2">
        <f>IFERROR(__xludf.DUMMYFUNCTION("""COMPUTED_VALUE"""),467.0)</f>
        <v/>
      </c>
      <c r="G202" s="2">
        <f>IFERROR(__xludf.DUMMYFUNCTION("""COMPUTED_VALUE"""),483.0)</f>
        <v/>
      </c>
      <c r="H202" s="2">
        <f>IFERROR(__xludf.DUMMYFUNCTION("""COMPUTED_VALUE"""),634.0)</f>
        <v/>
      </c>
      <c r="I202" s="2">
        <f>IFERROR(__xludf.DUMMYFUNCTION("""COMPUTED_VALUE"""),792.0)</f>
        <v/>
      </c>
      <c r="J202" s="2">
        <f>IFERROR(__xludf.DUMMYFUNCTION("""COMPUTED_VALUE"""),396.0)</f>
        <v/>
      </c>
      <c r="K202" s="2">
        <f>IFERROR(__xludf.DUMMYFUNCTION("""COMPUTED_VALUE"""),1.0)</f>
        <v/>
      </c>
      <c r="L202" s="2">
        <f>IFERROR(__xludf.DUMMYFUNCTION("""COMPUTED_VALUE"""),"Wolta трековые")</f>
        <v/>
      </c>
      <c r="M202" s="2">
        <f>IFERROR(__xludf.DUMMYFUNCTION("""COMPUTED_VALUE"""),"Трековые, LED Светильники")</f>
        <v/>
      </c>
    </row>
    <row r="203">
      <c r="A203" s="5">
        <f>IFERROR(__xludf.DUMMYFUNCTION("""COMPUTED_VALUE"""),"4690612052991-1")</f>
        <v/>
      </c>
      <c r="B203" s="5">
        <f>IFERROR(__xludf.DUMMYFUNCTION("""COMPUTED_VALUE"""),"ДВО-01 4565-ПРИЗМА 45Вт 6500К 180х1195х19 NEOX (в индивидуальной упаковке)")</f>
        <v/>
      </c>
      <c r="C203" s="2">
        <f>IFERROR(__xludf.DUMMYFUNCTION("""COMPUTED_VALUE"""),0.0)</f>
        <v/>
      </c>
      <c r="D203" s="2">
        <f>IFERROR(__xludf.DUMMYFUNCTION("""COMPUTED_VALUE"""),0.0)</f>
        <v/>
      </c>
      <c r="E203" s="2">
        <f>IFERROR(__xludf.DUMMYFUNCTION("""COMPUTED_VALUE"""),698.0500000000001)</f>
        <v/>
      </c>
      <c r="F203" s="2">
        <f>IFERROR(__xludf.DUMMYFUNCTION("""COMPUTED_VALUE"""),766.0)</f>
        <v/>
      </c>
      <c r="G203" s="2">
        <f>IFERROR(__xludf.DUMMYFUNCTION("""COMPUTED_VALUE"""),894.0)</f>
        <v/>
      </c>
      <c r="H203" s="2">
        <f>IFERROR(__xludf.DUMMYFUNCTION("""COMPUTED_VALUE"""),1005.0)</f>
        <v/>
      </c>
      <c r="I203" s="2">
        <f>IFERROR(__xludf.DUMMYFUNCTION("""COMPUTED_VALUE"""),1117.0)</f>
        <v/>
      </c>
      <c r="J203" s="2">
        <f>IFERROR(__xludf.DUMMYFUNCTION("""COMPUTED_VALUE"""),559.0)</f>
        <v/>
      </c>
      <c r="K203" s="2">
        <f>IFERROR(__xludf.DUMMYFUNCTION("""COMPUTED_VALUE"""),23.0)</f>
        <v/>
      </c>
      <c r="L203" s="2">
        <f>IFERROR(__xludf.DUMMYFUNCTION("""COMPUTED_VALUE"""),"NEOX Светильники LED ДВО - Призма производство, упаковка")</f>
        <v/>
      </c>
      <c r="M203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204">
      <c r="A204" s="5">
        <f>IFERROR(__xludf.DUMMYFUNCTION("""COMPUTED_VALUE"""),"4690612051949")</f>
        <v/>
      </c>
      <c r="B204" s="5">
        <f>IFERROR(__xludf.DUMMYFUNCTION("""COMPUTED_VALUE"""),"ДБУ BARREL-1530BL 15Вт 3000К IP54 черный IN HOME")</f>
        <v/>
      </c>
      <c r="C204" s="2">
        <f>IFERROR(__xludf.DUMMYFUNCTION("""COMPUTED_VALUE"""),0.417)</f>
        <v/>
      </c>
      <c r="D204" s="2">
        <f>IFERROR(__xludf.DUMMYFUNCTION("""COMPUTED_VALUE"""),0.002)</f>
        <v/>
      </c>
      <c r="E204" s="2">
        <f>IFERROR(__xludf.DUMMYFUNCTION("""COMPUTED_VALUE"""),599.4)</f>
        <v/>
      </c>
      <c r="F204" s="2">
        <f>IFERROR(__xludf.DUMMYFUNCTION("""COMPUTED_VALUE"""),611.0)</f>
        <v/>
      </c>
      <c r="G204" s="2">
        <f>IFERROR(__xludf.DUMMYFUNCTION("""COMPUTED_VALUE"""),688.0)</f>
        <v/>
      </c>
      <c r="H204" s="2">
        <f>IFERROR(__xludf.DUMMYFUNCTION("""COMPUTED_VALUE"""),798.0)</f>
        <v/>
      </c>
      <c r="I204" s="2">
        <f>IFERROR(__xludf.DUMMYFUNCTION("""COMPUTED_VALUE"""),917.0)</f>
        <v/>
      </c>
      <c r="J204" s="2">
        <f>IFERROR(__xludf.DUMMYFUNCTION("""COMPUTED_VALUE"""),459.0)</f>
        <v/>
      </c>
      <c r="K204" s="2">
        <f>IFERROR(__xludf.DUMMYFUNCTION("""COMPUTED_VALUE"""),8.0)</f>
        <v/>
      </c>
      <c r="L204" s="2">
        <f>IFERROR(__xludf.DUMMYFUNCTION("""COMPUTED_VALUE"""),"Светильники светодиодные уличные ДБУ")</f>
        <v/>
      </c>
      <c r="M204" s="2">
        <f>IFERROR(__xludf.DUMMYFUNCTION("""COMPUTED_VALUE"""),"Садово-парковые, ландшафтные, LED Светильники")</f>
        <v/>
      </c>
    </row>
    <row r="205">
      <c r="A205" s="5">
        <f>IFERROR(__xludf.DUMMYFUNCTION("""COMPUTED_VALUE"""),"R100344")</f>
        <v/>
      </c>
      <c r="B205" s="5">
        <f>IFERROR(__xludf.DUMMYFUNCTION("""COMPUTED_VALUE"""),"RSV-SPO-02-40W-6500К, IP40 P")</f>
        <v/>
      </c>
      <c r="C205" s="2">
        <f>IFERROR(__xludf.DUMMYFUNCTION("""COMPUTED_VALUE"""),0.3733300000000001)</f>
        <v/>
      </c>
      <c r="D205" s="2">
        <f>IFERROR(__xludf.DUMMYFUNCTION("""COMPUTED_VALUE"""),0.0025)</f>
        <v/>
      </c>
      <c r="E205" s="2">
        <f>IFERROR(__xludf.DUMMYFUNCTION("""COMPUTED_VALUE"""),192.87)</f>
        <v/>
      </c>
      <c r="F205" s="2">
        <f>IFERROR(__xludf.DUMMYFUNCTION("""COMPUTED_VALUE"""),153.0)</f>
        <v/>
      </c>
      <c r="G205" s="2">
        <f>IFERROR(__xludf.DUMMYFUNCTION("""COMPUTED_VALUE"""),180.0)</f>
        <v/>
      </c>
      <c r="H205" s="2">
        <f>IFERROR(__xludf.DUMMYFUNCTION("""COMPUTED_VALUE"""),185.0)</f>
        <v/>
      </c>
      <c r="I205" s="2">
        <f>IFERROR(__xludf.DUMMYFUNCTION("""COMPUTED_VALUE"""),213.0)</f>
        <v/>
      </c>
      <c r="J205" s="2">
        <f>IFERROR(__xludf.DUMMYFUNCTION("""COMPUTED_VALUE"""),213.0)</f>
        <v/>
      </c>
      <c r="K205" s="2">
        <f>IFERROR(__xludf.DUMMYFUNCTION("""COMPUTED_VALUE"""),-12.0)</f>
        <v/>
      </c>
      <c r="L205" s="2">
        <f>IFERROR(__xludf.DUMMYFUNCTION("""COMPUTED_VALUE"""),"Офисный светильник RSV-SPO-02, SPO-03 (Сталь)")</f>
        <v/>
      </c>
      <c r="M205" s="2">
        <f>IFERROR(__xludf.DUMMYFUNCTION("""COMPUTED_VALUE"""),"Накладные, Без датчиков, LED Светильники")</f>
        <v/>
      </c>
    </row>
    <row r="206">
      <c r="A206" s="5">
        <f>IFERROR(__xludf.DUMMYFUNCTION("""COMPUTED_VALUE"""),"4690612036564")</f>
        <v/>
      </c>
      <c r="B206" s="5">
        <f>IFERROR(__xludf.DUMMYFUNCTION("""COMPUTED_VALUE"""),"ССО 08Ч 12Вт 3000-6500К 600Лм сенсор-диммер, с адаптером ЧЕРНЫЙ IN HOME")</f>
        <v/>
      </c>
      <c r="C206" s="2">
        <f>IFERROR(__xludf.DUMMYFUNCTION("""COMPUTED_VALUE"""),0.81)</f>
        <v/>
      </c>
      <c r="D206" s="2">
        <f>IFERROR(__xludf.DUMMYFUNCTION("""COMPUTED_VALUE"""),0.004330000000000001)</f>
        <v/>
      </c>
      <c r="E206" s="2">
        <f>IFERROR(__xludf.DUMMYFUNCTION("""COMPUTED_VALUE"""),670.94)</f>
        <v/>
      </c>
      <c r="F206" s="2">
        <f>IFERROR(__xludf.DUMMYFUNCTION("""COMPUTED_VALUE"""),1051.0)</f>
        <v/>
      </c>
      <c r="G206" s="2">
        <f>IFERROR(__xludf.DUMMYFUNCTION("""COMPUTED_VALUE"""),1182.0)</f>
        <v/>
      </c>
      <c r="H206" s="2">
        <f>IFERROR(__xludf.DUMMYFUNCTION("""COMPUTED_VALUE"""),1371.0)</f>
        <v/>
      </c>
      <c r="I206" s="2">
        <f>IFERROR(__xludf.DUMMYFUNCTION("""COMPUTED_VALUE"""),1576.0)</f>
        <v/>
      </c>
      <c r="J206" s="2">
        <f>IFERROR(__xludf.DUMMYFUNCTION("""COMPUTED_VALUE"""),788.0)</f>
        <v/>
      </c>
      <c r="K206" s="2">
        <f>IFERROR(__xludf.DUMMYFUNCTION("""COMPUTED_VALUE"""),5.0)</f>
        <v/>
      </c>
      <c r="L206" s="2">
        <f>IFERROR(__xludf.DUMMYFUNCTION("""COMPUTED_VALUE"""),"Светильники настольные светодиодные")</f>
        <v/>
      </c>
      <c r="M206" s="2">
        <f>IFERROR(__xludf.DUMMYFUNCTION("""COMPUTED_VALUE"""),"Светильники общего назначения (LED), Декоративные, LED Светильники")</f>
        <v/>
      </c>
    </row>
    <row r="207">
      <c r="A207" s="5">
        <f>IFERROR(__xludf.DUMMYFUNCTION("""COMPUTED_VALUE"""),"4690612033716")</f>
        <v/>
      </c>
      <c r="B207" s="5">
        <f>IFERROR(__xludf.DUMMYFUNCTION("""COMPUTED_VALUE"""),"DECO ДАЙМОНД 36Вт 230В 4000К 3240Лм 380х55мм IN HOME")</f>
        <v/>
      </c>
      <c r="C207" s="2">
        <f>IFERROR(__xludf.DUMMYFUNCTION("""COMPUTED_VALUE"""),0.5800000000000001)</f>
        <v/>
      </c>
      <c r="D207" s="2">
        <f>IFERROR(__xludf.DUMMYFUNCTION("""COMPUTED_VALUE"""),0.009500000000000001)</f>
        <v/>
      </c>
      <c r="E207" s="2">
        <f>IFERROR(__xludf.DUMMYFUNCTION("""COMPUTED_VALUE"""),499.8)</f>
        <v/>
      </c>
      <c r="F207" s="2">
        <f>IFERROR(__xludf.DUMMYFUNCTION("""COMPUTED_VALUE"""),600.0)</f>
        <v/>
      </c>
      <c r="G207" s="2">
        <f>IFERROR(__xludf.DUMMYFUNCTION("""COMPUTED_VALUE"""),675.0)</f>
        <v/>
      </c>
      <c r="H207" s="2">
        <f>IFERROR(__xludf.DUMMYFUNCTION("""COMPUTED_VALUE"""),783.0)</f>
        <v/>
      </c>
      <c r="I207" s="2">
        <f>IFERROR(__xludf.DUMMYFUNCTION("""COMPUTED_VALUE"""),900.0)</f>
        <v/>
      </c>
      <c r="J207" s="2">
        <f>IFERROR(__xludf.DUMMYFUNCTION("""COMPUTED_VALUE"""),450.0)</f>
        <v/>
      </c>
      <c r="K207" s="2">
        <f>IFERROR(__xludf.DUMMYFUNCTION("""COMPUTED_VALUE"""),6.0)</f>
        <v/>
      </c>
      <c r="L207" s="2">
        <f>IFERROR(__xludf.DUMMYFUNCTION("""COMPUTED_VALUE"""),"Светильник светодиодный серии DECO")</f>
        <v/>
      </c>
      <c r="M207" s="2">
        <f>IFERROR(__xludf.DUMMYFUNCTION("""COMPUTED_VALUE"""),"Накладные, Декоративные, LED Светильники")</f>
        <v/>
      </c>
    </row>
    <row r="208">
      <c r="A208" s="5">
        <f>IFERROR(__xludf.DUMMYFUNCTION("""COMPUTED_VALUE"""),"R100295")</f>
        <v/>
      </c>
      <c r="B208" s="5">
        <f>IFERROR(__xludf.DUMMYFUNCTION("""COMPUTED_VALUE"""),"RSV-SPP-02-12W-6500K-IP65/40 A")</f>
        <v/>
      </c>
      <c r="C208" s="2">
        <f>IFERROR(__xludf.DUMMYFUNCTION("""COMPUTED_VALUE"""),0.175)</f>
        <v/>
      </c>
      <c r="D208" s="2">
        <f>IFERROR(__xludf.DUMMYFUNCTION("""COMPUTED_VALUE"""),0.0011)</f>
        <v/>
      </c>
      <c r="E208" s="2">
        <f>IFERROR(__xludf.DUMMYFUNCTION("""COMPUTED_VALUE"""),401.51)</f>
        <v/>
      </c>
      <c r="F208" s="2">
        <f>IFERROR(__xludf.DUMMYFUNCTION("""COMPUTED_VALUE"""),334.0)</f>
        <v/>
      </c>
      <c r="G208" s="2">
        <f>IFERROR(__xludf.DUMMYFUNCTION("""COMPUTED_VALUE"""),393.0)</f>
        <v/>
      </c>
      <c r="H208" s="2">
        <f>IFERROR(__xludf.DUMMYFUNCTION("""COMPUTED_VALUE"""),405.0)</f>
        <v/>
      </c>
      <c r="I208" s="2">
        <f>IFERROR(__xludf.DUMMYFUNCTION("""COMPUTED_VALUE"""),466.0)</f>
        <v/>
      </c>
      <c r="J208" s="2">
        <f>IFERROR(__xludf.DUMMYFUNCTION("""COMPUTED_VALUE"""),233.0)</f>
        <v/>
      </c>
      <c r="K208" s="2">
        <f>IFERROR(__xludf.DUMMYFUNCTION("""COMPUTED_VALUE"""),60.0)</f>
        <v/>
      </c>
      <c r="L208" s="2">
        <f>IFERROR(__xludf.DUMMYFUNCTION("""COMPUTED_VALUE"""),"ЖКХ светильники RSV")</f>
        <v/>
      </c>
      <c r="M208" s="2">
        <f>IFERROR(__xludf.DUMMYFUNCTION("""COMPUTED_VALUE"""),"Без датчиков, LED Светильники")</f>
        <v/>
      </c>
    </row>
    <row r="209">
      <c r="A209" s="5">
        <f>IFERROR(__xludf.DUMMYFUNCTION("""COMPUTED_VALUE"""),"4690612033679")</f>
        <v/>
      </c>
      <c r="B209" s="5">
        <f>IFERROR(__xludf.DUMMYFUNCTION("""COMPUTED_VALUE"""),"DECO ДАЙМОНД 24Вт 230В 4000К 2160Лм 330х55мм IN HOME")</f>
        <v/>
      </c>
      <c r="C209" s="2">
        <f>IFERROR(__xludf.DUMMYFUNCTION("""COMPUTED_VALUE"""),0.4400000000000001)</f>
        <v/>
      </c>
      <c r="D209" s="2">
        <f>IFERROR(__xludf.DUMMYFUNCTION("""COMPUTED_VALUE"""),0.00725)</f>
        <v/>
      </c>
      <c r="E209" s="2">
        <f>IFERROR(__xludf.DUMMYFUNCTION("""COMPUTED_VALUE"""),381.79)</f>
        <v/>
      </c>
      <c r="F209" s="2">
        <f>IFERROR(__xludf.DUMMYFUNCTION("""COMPUTED_VALUE"""),473.0)</f>
        <v/>
      </c>
      <c r="G209" s="2">
        <f>IFERROR(__xludf.DUMMYFUNCTION("""COMPUTED_VALUE"""),533.0)</f>
        <v/>
      </c>
      <c r="H209" s="2">
        <f>IFERROR(__xludf.DUMMYFUNCTION("""COMPUTED_VALUE"""),618.0)</f>
        <v/>
      </c>
      <c r="I209" s="2">
        <f>IFERROR(__xludf.DUMMYFUNCTION("""COMPUTED_VALUE"""),710.0)</f>
        <v/>
      </c>
      <c r="J209" s="2">
        <f>IFERROR(__xludf.DUMMYFUNCTION("""COMPUTED_VALUE"""),355.0)</f>
        <v/>
      </c>
      <c r="K209" s="2">
        <f>IFERROR(__xludf.DUMMYFUNCTION("""COMPUTED_VALUE"""),38.0)</f>
        <v/>
      </c>
      <c r="L209" s="2">
        <f>IFERROR(__xludf.DUMMYFUNCTION("""COMPUTED_VALUE"""),"Светильник светодиодный серии DECO")</f>
        <v/>
      </c>
      <c r="M209" s="2">
        <f>IFERROR(__xludf.DUMMYFUNCTION("""COMPUTED_VALUE"""),"Накладные, Декоративные, LED Светильники")</f>
        <v/>
      </c>
    </row>
    <row r="210">
      <c r="A210" s="5">
        <f>IFERROR(__xludf.DUMMYFUNCTION("""COMPUTED_VALUE"""),"ves2012")</f>
        <v/>
      </c>
      <c r="B210" s="5">
        <f>IFERROR(__xludf.DUMMYFUNCTION("""COMPUTED_VALUE"""),"Вилка переносная 014 3Р+РЕ 16А 380В IP44")</f>
        <v/>
      </c>
      <c r="C210" s="2">
        <f>IFERROR(__xludf.DUMMYFUNCTION("""COMPUTED_VALUE"""),0.0)</f>
        <v/>
      </c>
      <c r="D210" s="2">
        <f>IFERROR(__xludf.DUMMYFUNCTION("""COMPUTED_VALUE"""),0.0)</f>
        <v/>
      </c>
      <c r="E210" s="2">
        <f>IFERROR(__xludf.DUMMYFUNCTION("""COMPUTED_VALUE"""),136.19)</f>
        <v/>
      </c>
      <c r="F210" s="2">
        <f>IFERROR(__xludf.DUMMYFUNCTION("""COMPUTED_VALUE"""),191.0)</f>
        <v/>
      </c>
      <c r="G210" s="2">
        <f>IFERROR(__xludf.DUMMYFUNCTION("""COMPUTED_VALUE"""),203.0)</f>
        <v/>
      </c>
      <c r="H210" s="2">
        <f>IFERROR(__xludf.DUMMYFUNCTION("""COMPUTED_VALUE"""),229.0)</f>
        <v/>
      </c>
      <c r="I210" s="2">
        <f>IFERROR(__xludf.DUMMYFUNCTION("""COMPUTED_VALUE"""),254.37)</f>
        <v/>
      </c>
      <c r="J210" s="2">
        <f>IFERROR(__xludf.DUMMYFUNCTION("""COMPUTED_VALUE"""),127.0)</f>
        <v/>
      </c>
      <c r="K210" s="2">
        <f>IFERROR(__xludf.DUMMYFUNCTION("""COMPUTED_VALUE"""),9.0)</f>
        <v/>
      </c>
      <c r="L210" s="2">
        <f>IFERROR(__xludf.DUMMYFUNCTION("""COMPUTED_VALUE"""),"ves2 (тендер)")</f>
        <v/>
      </c>
      <c r="M210" s="2">
        <f>IFERROR(__xludf.DUMMYFUNCTION("""COMPUTED_VALUE"""),"Прочие товары")</f>
        <v/>
      </c>
    </row>
    <row r="211">
      <c r="A211" s="5">
        <f>IFERROR(__xludf.DUMMYFUNCTION("""COMPUTED_VALUE"""),"4603768610045")</f>
        <v/>
      </c>
      <c r="B211" s="5">
        <f>IFERROR(__xludf.DUMMYFUNCTION("""COMPUTED_VALUE"""),"ЛТ 36W/640 G13 d26x1200mm 2850lm 4000K - лампа (Смоленск-ФормулаСвета)")</f>
        <v/>
      </c>
      <c r="C211" s="2">
        <f>IFERROR(__xludf.DUMMYFUNCTION("""COMPUTED_VALUE"""),0.0)</f>
        <v/>
      </c>
      <c r="D211" s="2">
        <f>IFERROR(__xludf.DUMMYFUNCTION("""COMPUTED_VALUE"""),0.0)</f>
        <v/>
      </c>
      <c r="E211" s="2">
        <f>IFERROR(__xludf.DUMMYFUNCTION("""COMPUTED_VALUE"""),73.42)</f>
        <v/>
      </c>
      <c r="F211" s="2">
        <f>IFERROR(__xludf.DUMMYFUNCTION("""COMPUTED_VALUE"""),0.0)</f>
        <v/>
      </c>
      <c r="G211" s="2">
        <f>IFERROR(__xludf.DUMMYFUNCTION("""COMPUTED_VALUE"""),0.0)</f>
        <v/>
      </c>
      <c r="H211" s="2">
        <f>IFERROR(__xludf.DUMMYFUNCTION("""COMPUTED_VALUE"""),0.0)</f>
        <v/>
      </c>
      <c r="I211" s="2">
        <f>IFERROR(__xludf.DUMMYFUNCTION("""COMPUTED_VALUE"""),0.5)</f>
        <v/>
      </c>
      <c r="J211" s="2">
        <f>IFERROR(__xludf.DUMMYFUNCTION("""COMPUTED_VALUE"""),0.5)</f>
        <v/>
      </c>
      <c r="K211" s="2">
        <f>IFERROR(__xludf.DUMMYFUNCTION("""COMPUTED_VALUE"""),75.0)</f>
        <v/>
      </c>
      <c r="L211" s="2">
        <f>IFERROR(__xludf.DUMMYFUNCTION("""COMPUTED_VALUE"""),"Формула Света")</f>
        <v/>
      </c>
      <c r="M211" s="2">
        <f>IFERROR(__xludf.DUMMYFUNCTION("""COMPUTED_VALUE"""),"Лампы")</f>
        <v/>
      </c>
    </row>
    <row r="212">
      <c r="A212" s="5">
        <f>IFERROR(__xludf.DUMMYFUNCTION("""COMPUTED_VALUE"""),"4690612038803")</f>
        <v/>
      </c>
      <c r="B212" s="5">
        <f>IFERROR(__xludf.DUMMYFUNCTION("""COMPUTED_VALUE"""),"ДВО-02 4040-ОПАЛ 40Вт 230В 4000К 3600Лм 595х595х25 NEOX")</f>
        <v/>
      </c>
      <c r="C212" s="2">
        <f>IFERROR(__xludf.DUMMYFUNCTION("""COMPUTED_VALUE"""),1.2)</f>
        <v/>
      </c>
      <c r="D212" s="2">
        <f>IFERROR(__xludf.DUMMYFUNCTION("""COMPUTED_VALUE"""),0.009000000000000001)</f>
        <v/>
      </c>
      <c r="E212" s="2">
        <f>IFERROR(__xludf.DUMMYFUNCTION("""COMPUTED_VALUE"""),724.14)</f>
        <v/>
      </c>
      <c r="F212" s="2">
        <f>IFERROR(__xludf.DUMMYFUNCTION("""COMPUTED_VALUE"""),799.0)</f>
        <v/>
      </c>
      <c r="G212" s="2">
        <f>IFERROR(__xludf.DUMMYFUNCTION("""COMPUTED_VALUE"""),899.0)</f>
        <v/>
      </c>
      <c r="H212" s="2">
        <f>IFERROR(__xludf.DUMMYFUNCTION("""COMPUTED_VALUE"""),1042.0)</f>
        <v/>
      </c>
      <c r="I212" s="2">
        <f>IFERROR(__xludf.DUMMYFUNCTION("""COMPUTED_VALUE"""),1198.0)</f>
        <v/>
      </c>
      <c r="J212" s="2">
        <f>IFERROR(__xludf.DUMMYFUNCTION("""COMPUTED_VALUE"""),1198.0)</f>
        <v/>
      </c>
      <c r="K212" s="2">
        <f>IFERROR(__xludf.DUMMYFUNCTION("""COMPUTED_VALUE"""),40.0)</f>
        <v/>
      </c>
      <c r="L212" s="2">
        <f>IFERROR(__xludf.DUMMYFUNCTION("""COMPUTED_VALUE"""),"NEOX Светильники LED ДВО")</f>
        <v/>
      </c>
      <c r="M212" s="2">
        <f>IFERROR(__xludf.DUMMYFUNCTION("""COMPUTED_VALUE"""),"С равномерной засветкой, С равномерной засветкой, LED Светильники")</f>
        <v/>
      </c>
    </row>
    <row r="213">
      <c r="A213" s="5">
        <f>IFERROR(__xludf.DUMMYFUNCTION("""COMPUTED_VALUE"""),"4630015264799")</f>
        <v/>
      </c>
      <c r="B213" s="5">
        <f>IFERROR(__xludf.DUMMYFUNCTION("""COMPUTED_VALUE"""),"ALUM05GD-DL50GU5.3")</f>
        <v/>
      </c>
      <c r="C213" s="2">
        <f>IFERROR(__xludf.DUMMYFUNCTION("""COMPUTED_VALUE"""),0.0)</f>
        <v/>
      </c>
      <c r="D213" s="2">
        <f>IFERROR(__xludf.DUMMYFUNCTION("""COMPUTED_VALUE"""),0.0)</f>
        <v/>
      </c>
      <c r="E213" s="2">
        <f>IFERROR(__xludf.DUMMYFUNCTION("""COMPUTED_VALUE"""),27.54)</f>
        <v/>
      </c>
      <c r="F213" s="2">
        <f>IFERROR(__xludf.DUMMYFUNCTION("""COMPUTED_VALUE"""),148.0)</f>
        <v/>
      </c>
      <c r="G213" s="2">
        <f>IFERROR(__xludf.DUMMYFUNCTION("""COMPUTED_VALUE"""),153.0)</f>
        <v/>
      </c>
      <c r="H213" s="2">
        <f>IFERROR(__xludf.DUMMYFUNCTION("""COMPUTED_VALUE"""),200.0)</f>
        <v/>
      </c>
      <c r="I213" s="2">
        <f>IFERROR(__xludf.DUMMYFUNCTION("""COMPUTED_VALUE"""),250.0)</f>
        <v/>
      </c>
      <c r="J213" s="2">
        <f>IFERROR(__xludf.DUMMYFUNCTION("""COMPUTED_VALUE"""),125.0)</f>
        <v/>
      </c>
      <c r="K213" s="2">
        <f>IFERROR(__xludf.DUMMYFUNCTION("""COMPUTED_VALUE"""),17.0)</f>
        <v/>
      </c>
      <c r="L213" s="2">
        <f>IFERROR(__xludf.DUMMYFUNCTION("""COMPUTED_VALUE"""),"Wolta декоративные")</f>
        <v/>
      </c>
      <c r="M213" s="2">
        <f>IFERROR(__xludf.DUMMYFUNCTION("""COMPUTED_VALUE"""),"Встраиваемые, Декоративные, LED Светильники")</f>
        <v/>
      </c>
    </row>
    <row r="214">
      <c r="A214" s="5">
        <f>IFERROR(__xludf.DUMMYFUNCTION("""COMPUTED_VALUE"""),"55105")</f>
        <v/>
      </c>
      <c r="B214" s="5">
        <f>IFERROR(__xludf.DUMMYFUNCTION("""COMPUTED_VALUE"""),"Нить VEGAS 20 холодных LED ламп РОСА, серебристый провод, 2 м, на батарейках (не в комплекте), с пультом")</f>
        <v/>
      </c>
      <c r="C214" s="2">
        <f>IFERROR(__xludf.DUMMYFUNCTION("""COMPUTED_VALUE"""),0.0)</f>
        <v/>
      </c>
      <c r="D214" s="2">
        <f>IFERROR(__xludf.DUMMYFUNCTION("""COMPUTED_VALUE"""),0.0)</f>
        <v/>
      </c>
      <c r="E214" s="2">
        <f>IFERROR(__xludf.DUMMYFUNCTION("""COMPUTED_VALUE"""),271.94)</f>
        <v/>
      </c>
      <c r="F214" s="2">
        <f>IFERROR(__xludf.DUMMYFUNCTION("""COMPUTED_VALUE"""),225.0)</f>
        <v/>
      </c>
      <c r="G214" s="2">
        <f>IFERROR(__xludf.DUMMYFUNCTION("""COMPUTED_VALUE"""),246.0)</f>
        <v/>
      </c>
      <c r="H214" s="2">
        <f>IFERROR(__xludf.DUMMYFUNCTION("""COMPUTED_VALUE"""),266.0)</f>
        <v/>
      </c>
      <c r="I214" s="2">
        <f>IFERROR(__xludf.DUMMYFUNCTION("""COMPUTED_VALUE"""),287.0)</f>
        <v/>
      </c>
      <c r="J214" s="2">
        <f>IFERROR(__xludf.DUMMYFUNCTION("""COMPUTED_VALUE"""),144.0)</f>
        <v/>
      </c>
      <c r="K214" s="2">
        <f>IFERROR(__xludf.DUMMYFUNCTION("""COMPUTED_VALUE"""),42.0)</f>
        <v/>
      </c>
      <c r="L214" s="2">
        <f>IFERROR(__xludf.DUMMYFUNCTION("""COMPUTED_VALUE"""),"Праздничная иллюминация")</f>
        <v/>
      </c>
      <c r="M214" s="2">
        <f>IFERROR(__xludf.DUMMYFUNCTION("""COMPUTED_VALUE"""),"Гирлянды светодиодные (LED), Прочие товары")</f>
        <v/>
      </c>
    </row>
    <row r="215">
      <c r="A215" s="5">
        <f>IFERROR(__xludf.DUMMYFUNCTION("""COMPUTED_VALUE"""),"4690612035390")</f>
        <v/>
      </c>
      <c r="B215" s="5">
        <f>IFERROR(__xludf.DUMMYFUNCTION("""COMPUTED_VALUE"""),"ELEGANT SANSA-B 120Вт 230В 3000-6500K 8400Лм 650х650х130мм c пультом ДУ черный IN HOME")</f>
        <v/>
      </c>
      <c r="C215" s="2">
        <f>IFERROR(__xludf.DUMMYFUNCTION("""COMPUTED_VALUE"""),2.4)</f>
        <v/>
      </c>
      <c r="D215" s="2">
        <f>IFERROR(__xludf.DUMMYFUNCTION("""COMPUTED_VALUE"""),0.018)</f>
        <v/>
      </c>
      <c r="E215" s="2">
        <f>IFERROR(__xludf.DUMMYFUNCTION("""COMPUTED_VALUE"""),5048.150000000001)</f>
        <v/>
      </c>
      <c r="F215" s="2">
        <f>IFERROR(__xludf.DUMMYFUNCTION("""COMPUTED_VALUE"""),2900.0)</f>
        <v/>
      </c>
      <c r="G215" s="2">
        <f>IFERROR(__xludf.DUMMYFUNCTION("""COMPUTED_VALUE"""),3263.0)</f>
        <v/>
      </c>
      <c r="H215" s="2">
        <f>IFERROR(__xludf.DUMMYFUNCTION("""COMPUTED_VALUE"""),3785.0)</f>
        <v/>
      </c>
      <c r="I215" s="2">
        <f>IFERROR(__xludf.DUMMYFUNCTION("""COMPUTED_VALUE"""),4350.0)</f>
        <v/>
      </c>
      <c r="J215" s="2">
        <f>IFERROR(__xludf.DUMMYFUNCTION("""COMPUTED_VALUE"""),2175.0)</f>
        <v/>
      </c>
      <c r="K215" s="2">
        <f>IFERROR(__xludf.DUMMYFUNCTION("""COMPUTED_VALUE"""),2.0)</f>
        <v/>
      </c>
      <c r="L215" s="2">
        <f>IFERROR(__xludf.DUMMYFUNCTION("""COMPUTED_VALUE"""),"Светильники светодиодные серии ELEGANT IN HOME")</f>
        <v/>
      </c>
      <c r="M215" s="2">
        <f>IFERROR(__xludf.DUMMYFUNCTION("""COMPUTED_VALUE"""),"Накладные, Декоративные, LED Светильники")</f>
        <v/>
      </c>
    </row>
    <row r="216">
      <c r="A216" s="5">
        <f>IFERROR(__xludf.DUMMYFUNCTION("""COMPUTED_VALUE"""),"4690612037653")</f>
        <v/>
      </c>
      <c r="B216" s="5">
        <f>IFERROR(__xludf.DUMMYFUNCTION("""COMPUTED_VALUE"""),"ДВО-02 4565-ПРИЗМА 45Вт 230В 6500К 4500Лм 100Лм/Вт 595х595х19 NEOX")</f>
        <v/>
      </c>
      <c r="C216" s="2">
        <f>IFERROR(__xludf.DUMMYFUNCTION("""COMPUTED_VALUE"""),4.30001)</f>
        <v/>
      </c>
      <c r="D216" s="2">
        <f>IFERROR(__xludf.DUMMYFUNCTION("""COMPUTED_VALUE"""),0.032)</f>
        <v/>
      </c>
      <c r="E216" s="2">
        <f>IFERROR(__xludf.DUMMYFUNCTION("""COMPUTED_VALUE"""),519.71)</f>
        <v/>
      </c>
      <c r="F216" s="2">
        <f>IFERROR(__xludf.DUMMYFUNCTION("""COMPUTED_VALUE"""),653.0)</f>
        <v/>
      </c>
      <c r="G216" s="2">
        <f>IFERROR(__xludf.DUMMYFUNCTION("""COMPUTED_VALUE"""),735.0)</f>
        <v/>
      </c>
      <c r="H216" s="2">
        <f>IFERROR(__xludf.DUMMYFUNCTION("""COMPUTED_VALUE"""),853.0)</f>
        <v/>
      </c>
      <c r="I216" s="2">
        <f>IFERROR(__xludf.DUMMYFUNCTION("""COMPUTED_VALUE"""),980.0)</f>
        <v/>
      </c>
      <c r="J216" s="2">
        <f>IFERROR(__xludf.DUMMYFUNCTION("""COMPUTED_VALUE"""),490.0)</f>
        <v/>
      </c>
      <c r="K216" s="2">
        <f>IFERROR(__xludf.DUMMYFUNCTION("""COMPUTED_VALUE"""),5.0)</f>
        <v/>
      </c>
      <c r="L216" s="2">
        <f>IFERROR(__xludf.DUMMYFUNCTION("""COMPUTED_VALUE"""),"NEOX Светильники LED ДВО")</f>
        <v/>
      </c>
      <c r="M216" s="2">
        <f>IFERROR(__xludf.DUMMYFUNCTION("""COMPUTED_VALUE"""),"Светильники общего назначения (LED), Встраиваемые, Накладные, Встраиваемые, LED Светильники")</f>
        <v/>
      </c>
    </row>
    <row r="217">
      <c r="A217" s="5">
        <f>IFERROR(__xludf.DUMMYFUNCTION("""COMPUTED_VALUE"""),"4690612023366")</f>
        <v/>
      </c>
      <c r="B217" s="5">
        <f>IFERROR(__xludf.DUMMYFUNCTION("""COMPUTED_VALUE"""),"RLP-VC 12Вт 230В 4000К 960Лм 145мм белая IP40 IN HOME")</f>
        <v/>
      </c>
      <c r="C217" s="2">
        <f>IFERROR(__xludf.DUMMYFUNCTION("""COMPUTED_VALUE"""),0.15)</f>
        <v/>
      </c>
      <c r="D217" s="2">
        <f>IFERROR(__xludf.DUMMYFUNCTION("""COMPUTED_VALUE"""),8.300000000000001E-4)</f>
        <v/>
      </c>
      <c r="E217" s="2">
        <f>IFERROR(__xludf.DUMMYFUNCTION("""COMPUTED_VALUE"""),632.4300000000001)</f>
        <v/>
      </c>
      <c r="F217" s="2">
        <f>IFERROR(__xludf.DUMMYFUNCTION("""COMPUTED_VALUE"""),130.0)</f>
        <v/>
      </c>
      <c r="G217" s="2">
        <f>IFERROR(__xludf.DUMMYFUNCTION("""COMPUTED_VALUE"""),146.0)</f>
        <v/>
      </c>
      <c r="H217" s="2">
        <f>IFERROR(__xludf.DUMMYFUNCTION("""COMPUTED_VALUE"""),170.0)</f>
        <v/>
      </c>
      <c r="I217" s="2">
        <f>IFERROR(__xludf.DUMMYFUNCTION("""COMPUTED_VALUE"""),195.0)</f>
        <v/>
      </c>
      <c r="J217" s="2">
        <f>IFERROR(__xludf.DUMMYFUNCTION("""COMPUTED_VALUE"""),98.0)</f>
        <v/>
      </c>
      <c r="K217" s="2">
        <f>IFERROR(__xludf.DUMMYFUNCTION("""COMPUTED_VALUE"""),2.0)</f>
        <v/>
      </c>
      <c r="L217" s="2">
        <f>IFERROR(__xludf.DUMMYFUNCTION("""COMPUTED_VALUE"""),"Панели светодиодные круглые встраиваемые RLP")</f>
        <v/>
      </c>
      <c r="M217" s="2">
        <f>IFERROR(__xludf.DUMMYFUNCTION("""COMPUTED_VALUE"""),"Точечные круглые Downlight, LED Светильники")</f>
        <v/>
      </c>
    </row>
    <row r="218">
      <c r="A218" s="5">
        <f>IFERROR(__xludf.DUMMYFUNCTION("""COMPUTED_VALUE"""),"4690626108639")</f>
        <v/>
      </c>
      <c r="B218" s="5">
        <f>IFERROR(__xludf.DUMMYFUNCTION("""COMPUTED_VALUE"""),"Уличный консольный (LED) светильник SL4 Smartbuy-70w/6500K/IP65 (SBL-SL4-70-65)")</f>
        <v/>
      </c>
      <c r="C218" s="2">
        <f>IFERROR(__xludf.DUMMYFUNCTION("""COMPUTED_VALUE"""),0.77)</f>
        <v/>
      </c>
      <c r="D218" s="2">
        <f>IFERROR(__xludf.DUMMYFUNCTION("""COMPUTED_VALUE"""),0.0028)</f>
        <v/>
      </c>
      <c r="E218" s="2">
        <f>IFERROR(__xludf.DUMMYFUNCTION("""COMPUTED_VALUE"""),1065.89)</f>
        <v/>
      </c>
      <c r="F218" s="2">
        <f>IFERROR(__xludf.DUMMYFUNCTION("""COMPUTED_VALUE"""),1107.0)</f>
        <v/>
      </c>
      <c r="G218" s="2">
        <f>IFERROR(__xludf.DUMMYFUNCTION("""COMPUTED_VALUE"""),1215.0)</f>
        <v/>
      </c>
      <c r="H218" s="2">
        <f>IFERROR(__xludf.DUMMYFUNCTION("""COMPUTED_VALUE"""),1350.0)</f>
        <v/>
      </c>
      <c r="I218" s="2">
        <f>IFERROR(__xludf.DUMMYFUNCTION("""COMPUTED_VALUE"""),1485.0)</f>
        <v/>
      </c>
      <c r="J218" s="2">
        <f>IFERROR(__xludf.DUMMYFUNCTION("""COMPUTED_VALUE"""),743.0)</f>
        <v/>
      </c>
      <c r="K218" s="2">
        <f>IFERROR(__xludf.DUMMYFUNCTION("""COMPUTED_VALUE"""),2.0)</f>
        <v/>
      </c>
      <c r="L218" s="2">
        <f>IFERROR(__xludf.DUMMYFUNCTION("""COMPUTED_VALUE"""),"Smartbuy LED светильники")</f>
        <v/>
      </c>
      <c r="M218" s="2">
        <f>IFERROR(__xludf.DUMMYFUNCTION("""COMPUTED_VALUE"""),"Для обычных дорог, Для автомагистралей, LED Светильники")</f>
        <v/>
      </c>
    </row>
    <row r="219">
      <c r="A219" s="5">
        <f>IFERROR(__xludf.DUMMYFUNCTION("""COMPUTED_VALUE"""),"4690612039190")</f>
        <v/>
      </c>
      <c r="B219" s="5">
        <f>IFERROR(__xludf.DUMMYFUNCTION("""COMPUTED_VALUE"""),"ДПО-108 36Вт 230В 6500К 3420Лм 1200мм IP40 NEOX")</f>
        <v/>
      </c>
      <c r="C219" s="2">
        <f>IFERROR(__xludf.DUMMYFUNCTION("""COMPUTED_VALUE"""),0.335)</f>
        <v/>
      </c>
      <c r="D219" s="2">
        <f>IFERROR(__xludf.DUMMYFUNCTION("""COMPUTED_VALUE"""),0.00252)</f>
        <v/>
      </c>
      <c r="E219" s="2">
        <f>IFERROR(__xludf.DUMMYFUNCTION("""COMPUTED_VALUE"""),379.18)</f>
        <v/>
      </c>
      <c r="F219" s="2">
        <f>IFERROR(__xludf.DUMMYFUNCTION("""COMPUTED_VALUE"""),353.0)</f>
        <v/>
      </c>
      <c r="G219" s="2">
        <f>IFERROR(__xludf.DUMMYFUNCTION("""COMPUTED_VALUE"""),398.0)</f>
        <v/>
      </c>
      <c r="H219" s="2">
        <f>IFERROR(__xludf.DUMMYFUNCTION("""COMPUTED_VALUE"""),461.0)</f>
        <v/>
      </c>
      <c r="I219" s="2">
        <f>IFERROR(__xludf.DUMMYFUNCTION("""COMPUTED_VALUE"""),530.0)</f>
        <v/>
      </c>
      <c r="J219" s="2">
        <f>IFERROR(__xludf.DUMMYFUNCTION("""COMPUTED_VALUE"""),353.0)</f>
        <v/>
      </c>
      <c r="K219" s="2">
        <f>IFERROR(__xludf.DUMMYFUNCTION("""COMPUTED_VALUE"""),21.0)</f>
        <v/>
      </c>
      <c r="L219" s="2">
        <f>IFERROR(__xludf.DUMMYFUNCTION("""COMPUTED_VALUE"""),"NEOX Светильники LED ДПО")</f>
        <v/>
      </c>
      <c r="M219" s="2">
        <f>IFERROR(__xludf.DUMMYFUNCTION("""COMPUTED_VALUE"""),"Накладные, LED Светильники")</f>
        <v/>
      </c>
    </row>
    <row r="220">
      <c r="A220" s="5">
        <f>IFERROR(__xludf.DUMMYFUNCTION("""COMPUTED_VALUE"""),"GL8412")</f>
        <v/>
      </c>
      <c r="B220" s="5">
        <f>IFERROR(__xludf.DUMMYFUNCTION("""COMPUTED_VALUE"""),"GLERIO Indoor 8 Вт 4000К 10P-8D-4N-MP")</f>
        <v/>
      </c>
      <c r="C220" s="2">
        <f>IFERROR(__xludf.DUMMYFUNCTION("""COMPUTED_VALUE"""),0.15)</f>
        <v/>
      </c>
      <c r="D220" s="2">
        <f>IFERROR(__xludf.DUMMYFUNCTION("""COMPUTED_VALUE"""),6.600000000000001E-4)</f>
        <v/>
      </c>
      <c r="E220" s="2">
        <f>IFERROR(__xludf.DUMMYFUNCTION("""COMPUTED_VALUE"""),276.69)</f>
        <v/>
      </c>
      <c r="F220" s="2">
        <f>IFERROR(__xludf.DUMMYFUNCTION("""COMPUTED_VALUE"""),410.0)</f>
        <v/>
      </c>
      <c r="G220" s="2">
        <f>IFERROR(__xludf.DUMMYFUNCTION("""COMPUTED_VALUE"""),516.0)</f>
        <v/>
      </c>
      <c r="H220" s="2">
        <f>IFERROR(__xludf.DUMMYFUNCTION("""COMPUTED_VALUE"""),580.0)</f>
        <v/>
      </c>
      <c r="I220" s="2">
        <f>IFERROR(__xludf.DUMMYFUNCTION("""COMPUTED_VALUE"""),643.0)</f>
        <v/>
      </c>
      <c r="J220" s="2">
        <f>IFERROR(__xludf.DUMMYFUNCTION("""COMPUTED_VALUE"""),322.0)</f>
        <v/>
      </c>
      <c r="K220" s="2">
        <f>IFERROR(__xludf.DUMMYFUNCTION("""COMPUTED_VALUE"""),59.0)</f>
        <v/>
      </c>
      <c r="L220" s="2">
        <f>IFERROR(__xludf.DUMMYFUNCTION("""COMPUTED_VALUE"""),"Indoor GLERIO (ЖКХ) до 10.2025")</f>
        <v/>
      </c>
      <c r="M220" s="2">
        <f>IFERROR(__xludf.DUMMYFUNCTION("""COMPUTED_VALUE"""),"Без датчиков, LED Светильники")</f>
        <v/>
      </c>
    </row>
    <row r="221">
      <c r="A221" s="5">
        <f>IFERROR(__xludf.DUMMYFUNCTION("""COMPUTED_VALUE"""),"4260652195066")</f>
        <v/>
      </c>
      <c r="B221" s="5">
        <f>IFERROR(__xludf.DUMMYFUNCTION("""COMPUTED_VALUE"""),"LFL-50W/05")</f>
        <v/>
      </c>
      <c r="C221" s="2">
        <f>IFERROR(__xludf.DUMMYFUNCTION("""COMPUTED_VALUE"""),0.383)</f>
        <v/>
      </c>
      <c r="D221" s="2">
        <f>IFERROR(__xludf.DUMMYFUNCTION("""COMPUTED_VALUE"""),0.009600000000000001)</f>
        <v/>
      </c>
      <c r="E221" s="2">
        <f>IFERROR(__xludf.DUMMYFUNCTION("""COMPUTED_VALUE"""),429.99)</f>
        <v/>
      </c>
      <c r="F221" s="2">
        <f>IFERROR(__xludf.DUMMYFUNCTION("""COMPUTED_VALUE"""),269.0)</f>
        <v/>
      </c>
      <c r="G221" s="2">
        <f>IFERROR(__xludf.DUMMYFUNCTION("""COMPUTED_VALUE"""),278.0)</f>
        <v/>
      </c>
      <c r="H221" s="2">
        <f>IFERROR(__xludf.DUMMYFUNCTION("""COMPUTED_VALUE"""),364.0)</f>
        <v/>
      </c>
      <c r="I221" s="2">
        <f>IFERROR(__xludf.DUMMYFUNCTION("""COMPUTED_VALUE"""),455.0)</f>
        <v/>
      </c>
      <c r="J221" s="2">
        <f>IFERROR(__xludf.DUMMYFUNCTION("""COMPUTED_VALUE"""),278.0)</f>
        <v/>
      </c>
      <c r="K221" s="2">
        <f>IFERROR(__xludf.DUMMYFUNCTION("""COMPUTED_VALUE"""),58.0)</f>
        <v/>
      </c>
      <c r="L221" s="2">
        <f>IFERROR(__xludf.DUMMYFUNCTION("""COMPUTED_VALUE"""),"Wolta прожекторы")</f>
        <v/>
      </c>
      <c r="M221" s="2">
        <f>IFERROR(__xludf.DUMMYFUNCTION("""COMPUTED_VALUE"""),"Без датчиков, LED Светильники")</f>
        <v/>
      </c>
    </row>
    <row r="222">
      <c r="A222" s="5">
        <f>IFERROR(__xludf.DUMMYFUNCTION("""COMPUTED_VALUE"""),"14690612042715")</f>
        <v/>
      </c>
      <c r="B222" s="5">
        <f>IFERROR(__xludf.DUMMYFUNCTION("""COMPUTED_VALUE"""),"ДВО-01 4040-ОПАЛ 40Вт 230В 4000К 3600Лм 180х1195х25мм NEOX (4 шт в упак.)")</f>
        <v/>
      </c>
      <c r="C222" s="2">
        <f>IFERROR(__xludf.DUMMYFUNCTION("""COMPUTED_VALUE"""),1.45)</f>
        <v/>
      </c>
      <c r="D222" s="2">
        <f>IFERROR(__xludf.DUMMYFUNCTION("""COMPUTED_VALUE"""),0.0)</f>
        <v/>
      </c>
      <c r="E222" s="2">
        <f>IFERROR(__xludf.DUMMYFUNCTION("""COMPUTED_VALUE"""),3005.52)</f>
        <v/>
      </c>
      <c r="F222" s="2">
        <f>IFERROR(__xludf.DUMMYFUNCTION("""COMPUTED_VALUE"""),3298.0)</f>
        <v/>
      </c>
      <c r="G222" s="2">
        <f>IFERROR(__xludf.DUMMYFUNCTION("""COMPUTED_VALUE"""),3847.0)</f>
        <v/>
      </c>
      <c r="H222" s="2">
        <f>IFERROR(__xludf.DUMMYFUNCTION("""COMPUTED_VALUE"""),4328.0)</f>
        <v/>
      </c>
      <c r="I222" s="2">
        <f>IFERROR(__xludf.DUMMYFUNCTION("""COMPUTED_VALUE"""),4809.0)</f>
        <v/>
      </c>
      <c r="J222" s="2">
        <f>IFERROR(__xludf.DUMMYFUNCTION("""COMPUTED_VALUE"""),2405.0)</f>
        <v/>
      </c>
      <c r="K222" s="2">
        <f>IFERROR(__xludf.DUMMYFUNCTION("""COMPUTED_VALUE"""),4.0)</f>
        <v/>
      </c>
      <c r="L222" s="2">
        <f>IFERROR(__xludf.DUMMYFUNCTION("""COMPUTED_VALUE"""),"NEOX Светильники LED ДВО - Опал производство, упаковка")</f>
        <v/>
      </c>
      <c r="M222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/>
      </c>
    </row>
    <row r="223">
      <c r="A223" s="5">
        <f>IFERROR(__xludf.DUMMYFUNCTION("""COMPUTED_VALUE"""),"R300055")</f>
        <v/>
      </c>
      <c r="B223" s="5">
        <f>IFERROR(__xludf.DUMMYFUNCTION("""COMPUTED_VALUE"""),"Труба жестк. гладкая ПВХ 92 L1250 (шт.)")</f>
        <v/>
      </c>
      <c r="C223" s="2">
        <f>IFERROR(__xludf.DUMMYFUNCTION("""COMPUTED_VALUE"""),0.5)</f>
        <v/>
      </c>
      <c r="D223" s="2">
        <f>IFERROR(__xludf.DUMMYFUNCTION("""COMPUTED_VALUE"""),0.115)</f>
        <v/>
      </c>
      <c r="E223" s="2">
        <f>IFERROR(__xludf.DUMMYFUNCTION("""COMPUTED_VALUE"""),106.51)</f>
        <v/>
      </c>
      <c r="F223" s="2">
        <f>IFERROR(__xludf.DUMMYFUNCTION("""COMPUTED_VALUE"""),128.0)</f>
        <v/>
      </c>
      <c r="G223" s="2">
        <f>IFERROR(__xludf.DUMMYFUNCTION("""COMPUTED_VALUE"""),136.0)</f>
        <v/>
      </c>
      <c r="H223" s="2">
        <f>IFERROR(__xludf.DUMMYFUNCTION("""COMPUTED_VALUE"""),153.0)</f>
        <v/>
      </c>
      <c r="I223" s="2">
        <f>IFERROR(__xludf.DUMMYFUNCTION("""COMPUTED_VALUE"""),170.0)</f>
        <v/>
      </c>
      <c r="J223" s="2">
        <f>IFERROR(__xludf.DUMMYFUNCTION("""COMPUTED_VALUE"""),85.0)</f>
        <v/>
      </c>
      <c r="K223" s="2">
        <f>IFERROR(__xludf.DUMMYFUNCTION("""COMPUTED_VALUE"""),2.0)</f>
        <v/>
      </c>
      <c r="L223" s="2">
        <f>IFERROR(__xludf.DUMMYFUNCTION("""COMPUTED_VALUE"""),"RSV-SPO Светильники Производство, упаковка тубус ПВХ")</f>
        <v/>
      </c>
      <c r="M223" s="2">
        <f>IFERROR(__xludf.DUMMYFUNCTION("""COMPUTED_VALUE"""),"Пластиковые (линейные), Светильники общего назначения (LED), Накладные, Линейные (проходные), LED Светильники")</f>
        <v/>
      </c>
    </row>
    <row r="224">
      <c r="A224" s="5">
        <f>IFERROR(__xludf.DUMMYFUNCTION("""COMPUTED_VALUE"""),"4690612020617")</f>
        <v/>
      </c>
      <c r="B224" s="5">
        <f>IFERROR(__xludf.DUMMYFUNCTION("""COMPUTED_VALUE"""),"LED-ШАР-VC 11Вт 230В Е27 4000К 1050Лм IN HOME")</f>
        <v/>
      </c>
      <c r="C224" s="2">
        <f>IFERROR(__xludf.DUMMYFUNCTION("""COMPUTED_VALUE"""),0.036)</f>
        <v/>
      </c>
      <c r="D224" s="2">
        <f>IFERROR(__xludf.DUMMYFUNCTION("""COMPUTED_VALUE"""),2.4E-4)</f>
        <v/>
      </c>
      <c r="E224" s="2">
        <f>IFERROR(__xludf.DUMMYFUNCTION("""COMPUTED_VALUE"""),41.18)</f>
        <v/>
      </c>
      <c r="F224" s="2">
        <f>IFERROR(__xludf.DUMMYFUNCTION("""COMPUTED_VALUE"""),46.0)</f>
        <v/>
      </c>
      <c r="G224" s="2">
        <f>IFERROR(__xludf.DUMMYFUNCTION("""COMPUTED_VALUE"""),52.0)</f>
        <v/>
      </c>
      <c r="H224" s="2">
        <f>IFERROR(__xludf.DUMMYFUNCTION("""COMPUTED_VALUE"""),60.0)</f>
        <v/>
      </c>
      <c r="I224" s="2">
        <f>IFERROR(__xludf.DUMMYFUNCTION("""COMPUTED_VALUE"""),69.8)</f>
        <v/>
      </c>
      <c r="J224" s="2">
        <f>IFERROR(__xludf.DUMMYFUNCTION("""COMPUTED_VALUE"""),35.0)</f>
        <v/>
      </c>
      <c r="K224" s="2">
        <f>IFERROR(__xludf.DUMMYFUNCTION("""COMPUTED_VALUE"""),21.0)</f>
        <v/>
      </c>
      <c r="L224" s="2">
        <f>IFERROR(__xludf.DUMMYFUNCTION("""COMPUTED_VALUE"""),"Лампа светодиодная LED-ШАР-standard")</f>
        <v/>
      </c>
      <c r="M224" s="2">
        <f>IFERROR(__xludf.DUMMYFUNCTION("""COMPUTED_VALUE"""),"Лампы")</f>
        <v/>
      </c>
    </row>
    <row r="225">
      <c r="A225" s="5">
        <f>IFERROR(__xludf.DUMMYFUNCTION("""COMPUTED_VALUE"""),"13-2010")</f>
        <v/>
      </c>
      <c r="B225" s="5">
        <f>IFERROR(__xludf.DUMMYFUNCTION("""COMPUTED_VALUE"""),"Портативный мультиметр MAS830B MASTECH")</f>
        <v/>
      </c>
      <c r="C225" s="2">
        <f>IFERROR(__xludf.DUMMYFUNCTION("""COMPUTED_VALUE"""),0.0)</f>
        <v/>
      </c>
      <c r="D225" s="2">
        <f>IFERROR(__xludf.DUMMYFUNCTION("""COMPUTED_VALUE"""),0.0)</f>
        <v/>
      </c>
      <c r="E225" s="2">
        <f>IFERROR(__xludf.DUMMYFUNCTION("""COMPUTED_VALUE"""),1.0)</f>
        <v/>
      </c>
      <c r="F225" s="2">
        <f>IFERROR(__xludf.DUMMYFUNCTION("""COMPUTED_VALUE"""),1665.0)</f>
        <v/>
      </c>
      <c r="G225" s="2">
        <f>IFERROR(__xludf.DUMMYFUNCTION("""COMPUTED_VALUE"""),1776.0)</f>
        <v/>
      </c>
      <c r="H225" s="2">
        <f>IFERROR(__xludf.DUMMYFUNCTION("""COMPUTED_VALUE"""),1998.0)</f>
        <v/>
      </c>
      <c r="I225" s="2">
        <f>IFERROR(__xludf.DUMMYFUNCTION("""COMPUTED_VALUE"""),2220.5)</f>
        <v/>
      </c>
      <c r="J225" s="2">
        <f>IFERROR(__xludf.DUMMYFUNCTION("""COMPUTED_VALUE"""),1110.0)</f>
        <v/>
      </c>
      <c r="K225" s="2">
        <f>IFERROR(__xludf.DUMMYFUNCTION("""COMPUTED_VALUE"""),4.0)</f>
        <v/>
      </c>
      <c r="L225" s="2">
        <f>IFERROR(__xludf.DUMMYFUNCTION("""COMPUTED_VALUE"""),"Rexant")</f>
        <v/>
      </c>
      <c r="M225" s="2">
        <f>IFERROR(__xludf.DUMMYFUNCTION("""COMPUTED_VALUE"""),"Прочие товары")</f>
        <v/>
      </c>
    </row>
    <row r="226">
      <c r="A226" s="5">
        <f>IFERROR(__xludf.DUMMYFUNCTION("""COMPUTED_VALUE"""),"4690626059245")</f>
        <v/>
      </c>
      <c r="B226" s="5">
        <f>IFERROR(__xludf.DUMMYFUNCTION("""COMPUTED_VALUE"""),"Переходник E40-E27, белый (SBE-A-E40-27)")</f>
        <v/>
      </c>
      <c r="C226" s="2">
        <f>IFERROR(__xludf.DUMMYFUNCTION("""COMPUTED_VALUE"""),0.0)</f>
        <v/>
      </c>
      <c r="D226" s="2">
        <f>IFERROR(__xludf.DUMMYFUNCTION("""COMPUTED_VALUE"""),0.0)</f>
        <v/>
      </c>
      <c r="E226" s="2">
        <f>IFERROR(__xludf.DUMMYFUNCTION("""COMPUTED_VALUE"""),54.56)</f>
        <v/>
      </c>
      <c r="F226" s="2">
        <f>IFERROR(__xludf.DUMMYFUNCTION("""COMPUTED_VALUE"""),67.0)</f>
        <v/>
      </c>
      <c r="G226" s="2">
        <f>IFERROR(__xludf.DUMMYFUNCTION("""COMPUTED_VALUE"""),74.0)</f>
        <v/>
      </c>
      <c r="H226" s="2">
        <f>IFERROR(__xludf.DUMMYFUNCTION("""COMPUTED_VALUE"""),82.0)</f>
        <v/>
      </c>
      <c r="I226" s="2">
        <f>IFERROR(__xludf.DUMMYFUNCTION("""COMPUTED_VALUE"""),90.0)</f>
        <v/>
      </c>
      <c r="J226" s="2">
        <f>IFERROR(__xludf.DUMMYFUNCTION("""COMPUTED_VALUE"""),45.0)</f>
        <v/>
      </c>
      <c r="K226" s="2">
        <f>IFERROR(__xludf.DUMMYFUNCTION("""COMPUTED_VALUE"""),250.0)</f>
        <v/>
      </c>
      <c r="L226" s="2">
        <f>IFERROR(__xludf.DUMMYFUNCTION("""COMPUTED_VALUE"""),"Smartbuy")</f>
        <v/>
      </c>
      <c r="M226" s="2">
        <f>IFERROR(__xludf.DUMMYFUNCTION("""COMPUTED_VALUE"""),"Прочие товары")</f>
        <v/>
      </c>
    </row>
    <row r="227">
      <c r="A227" s="5">
        <f>IFERROR(__xludf.DUMMYFUNCTION("""COMPUTED_VALUE"""),"4690612035376")</f>
        <v/>
      </c>
      <c r="B227" s="5">
        <f>IFERROR(__xludf.DUMMYFUNCTION("""COMPUTED_VALUE"""),"ELEGANT SANSA-B 90Вт 230В 3000-6500K 7000Лм 650х650х130мм c пультом ДУ черный IN HOME")</f>
        <v/>
      </c>
      <c r="C227" s="2">
        <f>IFERROR(__xludf.DUMMYFUNCTION("""COMPUTED_VALUE"""),2.0)</f>
        <v/>
      </c>
      <c r="D227" s="2">
        <f>IFERROR(__xludf.DUMMYFUNCTION("""COMPUTED_VALUE"""),0.016)</f>
        <v/>
      </c>
      <c r="E227" s="2">
        <f>IFERROR(__xludf.DUMMYFUNCTION("""COMPUTED_VALUE"""),4391.11)</f>
        <v/>
      </c>
      <c r="F227" s="2">
        <f>IFERROR(__xludf.DUMMYFUNCTION("""COMPUTED_VALUE"""),2421.0)</f>
        <v/>
      </c>
      <c r="G227" s="2">
        <f>IFERROR(__xludf.DUMMYFUNCTION("""COMPUTED_VALUE"""),2723.0)</f>
        <v/>
      </c>
      <c r="H227" s="2">
        <f>IFERROR(__xludf.DUMMYFUNCTION("""COMPUTED_VALUE"""),3159.0)</f>
        <v/>
      </c>
      <c r="I227" s="2">
        <f>IFERROR(__xludf.DUMMYFUNCTION("""COMPUTED_VALUE"""),3631.0)</f>
        <v/>
      </c>
      <c r="J227" s="2">
        <f>IFERROR(__xludf.DUMMYFUNCTION("""COMPUTED_VALUE"""),1816.0)</f>
        <v/>
      </c>
      <c r="K227" s="2">
        <f>IFERROR(__xludf.DUMMYFUNCTION("""COMPUTED_VALUE"""),3.0)</f>
        <v/>
      </c>
      <c r="L227" s="2">
        <f>IFERROR(__xludf.DUMMYFUNCTION("""COMPUTED_VALUE"""),"Светильники светодиодные серии ELEGANT IN HOME")</f>
        <v/>
      </c>
      <c r="M227" s="2">
        <f>IFERROR(__xludf.DUMMYFUNCTION("""COMPUTED_VALUE"""),"Накладные, Декоративные, LED Светильники")</f>
        <v/>
      </c>
    </row>
    <row r="228">
      <c r="A228" s="5">
        <f>IFERROR(__xludf.DUMMYFUNCTION("""COMPUTED_VALUE"""),"4690626040786")</f>
        <v/>
      </c>
      <c r="B228" s="5">
        <f>IFERROR(__xludf.DUMMYFUNCTION("""COMPUTED_VALUE"""),"SBL-FLSMD-30-41K")</f>
        <v/>
      </c>
      <c r="C228" s="2">
        <f>IFERROR(__xludf.DUMMYFUNCTION("""COMPUTED_VALUE"""),0.33)</f>
        <v/>
      </c>
      <c r="D228" s="2">
        <f>IFERROR(__xludf.DUMMYFUNCTION("""COMPUTED_VALUE"""),7.1E-4)</f>
        <v/>
      </c>
      <c r="E228" s="2">
        <f>IFERROR(__xludf.DUMMYFUNCTION("""COMPUTED_VALUE"""),265.78)</f>
        <v/>
      </c>
      <c r="F228" s="2">
        <f>IFERROR(__xludf.DUMMYFUNCTION("""COMPUTED_VALUE"""),303.0)</f>
        <v/>
      </c>
      <c r="G228" s="2">
        <f>IFERROR(__xludf.DUMMYFUNCTION("""COMPUTED_VALUE"""),333.0)</f>
        <v/>
      </c>
      <c r="H228" s="2">
        <f>IFERROR(__xludf.DUMMYFUNCTION("""COMPUTED_VALUE"""),370.0)</f>
        <v/>
      </c>
      <c r="I228" s="2">
        <f>IFERROR(__xludf.DUMMYFUNCTION("""COMPUTED_VALUE"""),407.0)</f>
        <v/>
      </c>
      <c r="J228" s="2">
        <f>IFERROR(__xludf.DUMMYFUNCTION("""COMPUTED_VALUE"""),204.0)</f>
        <v/>
      </c>
      <c r="K228" s="2">
        <f>IFERROR(__xludf.DUMMYFUNCTION("""COMPUTED_VALUE"""),4.0)</f>
        <v/>
      </c>
      <c r="L228" s="2">
        <f>IFERROR(__xludf.DUMMYFUNCTION("""COMPUTED_VALUE"""),"Smartbuy LED светильники")</f>
        <v/>
      </c>
      <c r="M228" s="2">
        <f>IFERROR(__xludf.DUMMYFUNCTION("""COMPUTED_VALUE"""),"Без датчиков, LED Светильники")</f>
        <v/>
      </c>
    </row>
    <row r="229">
      <c r="A229" s="5">
        <f>IFERROR(__xludf.DUMMYFUNCTION("""COMPUTED_VALUE"""),"ves2087")</f>
        <v/>
      </c>
      <c r="B229" s="5">
        <f>IFERROR(__xludf.DUMMYFUNCTION("""COMPUTED_VALUE"""),"Лампа светодиодная 18W G13 6500K")</f>
        <v/>
      </c>
      <c r="C229" s="2">
        <f>IFERROR(__xludf.DUMMYFUNCTION("""COMPUTED_VALUE"""),0.0)</f>
        <v/>
      </c>
      <c r="D229" s="2">
        <f>IFERROR(__xludf.DUMMYFUNCTION("""COMPUTED_VALUE"""),0.0)</f>
        <v/>
      </c>
      <c r="E229" s="2">
        <f>IFERROR(__xludf.DUMMYFUNCTION("""COMPUTED_VALUE"""),77.4)</f>
        <v/>
      </c>
      <c r="F229" s="2">
        <f>IFERROR(__xludf.DUMMYFUNCTION("""COMPUTED_VALUE"""),88.0)</f>
        <v/>
      </c>
      <c r="G229" s="2">
        <f>IFERROR(__xludf.DUMMYFUNCTION("""COMPUTED_VALUE"""),94.0)</f>
        <v/>
      </c>
      <c r="H229" s="2">
        <f>IFERROR(__xludf.DUMMYFUNCTION("""COMPUTED_VALUE"""),106.0)</f>
        <v/>
      </c>
      <c r="I229" s="2">
        <f>IFERROR(__xludf.DUMMYFUNCTION("""COMPUTED_VALUE"""),117.43)</f>
        <v/>
      </c>
      <c r="J229" s="2">
        <f>IFERROR(__xludf.DUMMYFUNCTION("""COMPUTED_VALUE"""),59.0)</f>
        <v/>
      </c>
      <c r="K229" s="2">
        <f>IFERROR(__xludf.DUMMYFUNCTION("""COMPUTED_VALUE"""),5.0)</f>
        <v/>
      </c>
      <c r="L229" s="2">
        <f>IFERROR(__xludf.DUMMYFUNCTION("""COMPUTED_VALUE"""),"ves2 (тендер)")</f>
        <v/>
      </c>
      <c r="M229" s="2">
        <f>IFERROR(__xludf.DUMMYFUNCTION("""COMPUTED_VALUE"""),"Прочие товары")</f>
        <v/>
      </c>
    </row>
    <row r="230">
      <c r="A230" s="5">
        <f>IFERROR(__xludf.DUMMYFUNCTION("""COMPUTED_VALUE"""),"13936")</f>
        <v/>
      </c>
      <c r="B230" s="5">
        <f>IFERROR(__xludf.DUMMYFUNCTION("""COMPUTED_VALUE"""),"TLK01 OL 13Вт 1550лм")</f>
        <v/>
      </c>
      <c r="C230" s="2">
        <f>IFERROR(__xludf.DUMMYFUNCTION("""COMPUTED_VALUE"""),0.9)</f>
        <v/>
      </c>
      <c r="D230" s="2">
        <f>IFERROR(__xludf.DUMMYFUNCTION("""COMPUTED_VALUE"""),0.00958)</f>
        <v/>
      </c>
      <c r="E230" s="2">
        <f>IFERROR(__xludf.DUMMYFUNCTION("""COMPUTED_VALUE"""),2485.04)</f>
        <v/>
      </c>
      <c r="F230" s="2">
        <f>IFERROR(__xludf.DUMMYFUNCTION("""COMPUTED_VALUE"""),2155.0)</f>
        <v/>
      </c>
      <c r="G230" s="2">
        <f>IFERROR(__xludf.DUMMYFUNCTION("""COMPUTED_VALUE"""),2433.0)</f>
        <v/>
      </c>
      <c r="H230" s="2">
        <f>IFERROR(__xludf.DUMMYFUNCTION("""COMPUTED_VALUE"""),2489.0)</f>
        <v/>
      </c>
      <c r="I230" s="2">
        <f>IFERROR(__xludf.DUMMYFUNCTION("""COMPUTED_VALUE"""),3035.0)</f>
        <v/>
      </c>
      <c r="J230" s="2">
        <f>IFERROR(__xludf.DUMMYFUNCTION("""COMPUTED_VALUE"""),1518.0)</f>
        <v/>
      </c>
      <c r="K230" s="2">
        <f>IFERROR(__xludf.DUMMYFUNCTION("""COMPUTED_VALUE"""),1.0)</f>
        <v/>
      </c>
      <c r="L230" s="2">
        <f>IFERROR(__xludf.DUMMYFUNCTION("""COMPUTED_VALUE"""),"Технолюкс Светильники LED TLK")</f>
        <v/>
      </c>
      <c r="M230" s="2">
        <f>IFERROR(__xludf.DUMMYFUNCTION("""COMPUTED_VALUE"""),"Для ЖКХ, дома, дачи, LED Светильники")</f>
        <v/>
      </c>
    </row>
    <row r="231">
      <c r="A231" s="5">
        <f>IFERROR(__xludf.DUMMYFUNCTION("""COMPUTED_VALUE"""),"4680005959044")</f>
        <v/>
      </c>
      <c r="B231" s="5">
        <f>IFERROR(__xludf.DUMMYFUNCTION("""COMPUTED_VALUE"""),"Соединитель LS35-CC 20см со шнуром LLT")</f>
        <v/>
      </c>
      <c r="C231" s="2">
        <f>IFERROR(__xludf.DUMMYFUNCTION("""COMPUTED_VALUE"""),1.0E-5)</f>
        <v/>
      </c>
      <c r="D231" s="2">
        <f>IFERROR(__xludf.DUMMYFUNCTION("""COMPUTED_VALUE"""),0.001)</f>
        <v/>
      </c>
      <c r="E231" s="2">
        <f>IFERROR(__xludf.DUMMYFUNCTION("""COMPUTED_VALUE"""),20.37)</f>
        <v/>
      </c>
      <c r="F231" s="2">
        <f>IFERROR(__xludf.DUMMYFUNCTION("""COMPUTED_VALUE"""),27.0)</f>
        <v/>
      </c>
      <c r="G231" s="2">
        <f>IFERROR(__xludf.DUMMYFUNCTION("""COMPUTED_VALUE"""),28.0)</f>
        <v/>
      </c>
      <c r="H231" s="2">
        <f>IFERROR(__xludf.DUMMYFUNCTION("""COMPUTED_VALUE"""),32.0)</f>
        <v/>
      </c>
      <c r="I231" s="2">
        <f>IFERROR(__xludf.DUMMYFUNCTION("""COMPUTED_VALUE"""),35.5)</f>
        <v/>
      </c>
      <c r="J231" s="2">
        <f>IFERROR(__xludf.DUMMYFUNCTION("""COMPUTED_VALUE"""),18.0)</f>
        <v/>
      </c>
      <c r="K231" s="2">
        <f>IFERROR(__xludf.DUMMYFUNCTION("""COMPUTED_VALUE"""),26.0)</f>
        <v/>
      </c>
      <c r="L231" s="2">
        <f>IFERROR(__xludf.DUMMYFUNCTION("""COMPUTED_VALUE"""),"Другие")</f>
        <v/>
      </c>
      <c r="M231" s="2">
        <f>IFERROR(__xludf.DUMMYFUNCTION("""COMPUTED_VALUE"""),"Прочие товары")</f>
        <v/>
      </c>
    </row>
    <row r="232">
      <c r="A232" s="5">
        <f>IFERROR(__xludf.DUMMYFUNCTION("""COMPUTED_VALUE"""),"4690612031026")</f>
        <v/>
      </c>
      <c r="B232" s="5">
        <f>IFERROR(__xludf.DUMMYFUNCTION("""COMPUTED_VALUE"""),"LED-T8-М-PRO 30Вт 230В G13 6500К 3000Лм 1200мм матовая IN HOME")</f>
        <v/>
      </c>
      <c r="C232" s="2">
        <f>IFERROR(__xludf.DUMMYFUNCTION("""COMPUTED_VALUE"""),0.2)</f>
        <v/>
      </c>
      <c r="D232" s="2">
        <f>IFERROR(__xludf.DUMMYFUNCTION("""COMPUTED_VALUE"""),0.00144)</f>
        <v/>
      </c>
      <c r="E232" s="2">
        <f>IFERROR(__xludf.DUMMYFUNCTION("""COMPUTED_VALUE"""),104.06)</f>
        <v/>
      </c>
      <c r="F232" s="2">
        <f>IFERROR(__xludf.DUMMYFUNCTION("""COMPUTED_VALUE"""),132.0)</f>
        <v/>
      </c>
      <c r="G232" s="2">
        <f>IFERROR(__xludf.DUMMYFUNCTION("""COMPUTED_VALUE"""),149.0)</f>
        <v/>
      </c>
      <c r="H232" s="2">
        <f>IFERROR(__xludf.DUMMYFUNCTION("""COMPUTED_VALUE"""),172.0)</f>
        <v/>
      </c>
      <c r="I232" s="2">
        <f>IFERROR(__xludf.DUMMYFUNCTION("""COMPUTED_VALUE"""),198.5)</f>
        <v/>
      </c>
      <c r="J232" s="2">
        <f>IFERROR(__xludf.DUMMYFUNCTION("""COMPUTED_VALUE"""),99.0)</f>
        <v/>
      </c>
      <c r="K232" s="2">
        <f>IFERROR(__xludf.DUMMYFUNCTION("""COMPUTED_VALUE"""),13.0)</f>
        <v/>
      </c>
      <c r="L232" s="2">
        <f>IFERROR(__xludf.DUMMYFUNCTION("""COMPUTED_VALUE"""),"Лампа светодиодная LED-T8")</f>
        <v/>
      </c>
      <c r="M232" s="2">
        <f>IFERROR(__xludf.DUMMYFUNCTION("""COMPUTED_VALUE"""),"Лампы")</f>
        <v/>
      </c>
    </row>
    <row r="233">
      <c r="A233" s="5">
        <f>IFERROR(__xludf.DUMMYFUNCTION("""COMPUTED_VALUE"""),"R100153")</f>
        <v/>
      </c>
      <c r="B233" s="5">
        <f>IFERROR(__xludf.DUMMYFUNCTION("""COMPUTED_VALUE"""),"RSV-SFL-3-20W-6K-IP65-SENS, 6500K с датчиком движения")</f>
        <v/>
      </c>
      <c r="C233" s="2">
        <f>IFERROR(__xludf.DUMMYFUNCTION("""COMPUTED_VALUE"""),0.0)</f>
        <v/>
      </c>
      <c r="D233" s="2">
        <f>IFERROR(__xludf.DUMMYFUNCTION("""COMPUTED_VALUE"""),0.0)</f>
        <v/>
      </c>
      <c r="E233" s="2">
        <f>IFERROR(__xludf.DUMMYFUNCTION("""COMPUTED_VALUE"""),781.33)</f>
        <v/>
      </c>
      <c r="F233" s="2">
        <f>IFERROR(__xludf.DUMMYFUNCTION("""COMPUTED_VALUE"""),818.0)</f>
        <v/>
      </c>
      <c r="G233" s="2">
        <f>IFERROR(__xludf.DUMMYFUNCTION("""COMPUTED_VALUE"""),963.0)</f>
        <v/>
      </c>
      <c r="H233" s="2">
        <f>IFERROR(__xludf.DUMMYFUNCTION("""COMPUTED_VALUE"""),992.0)</f>
        <v/>
      </c>
      <c r="I233" s="2">
        <f>IFERROR(__xludf.DUMMYFUNCTION("""COMPUTED_VALUE"""),1140.0)</f>
        <v/>
      </c>
      <c r="J233" s="2">
        <f>IFERROR(__xludf.DUMMYFUNCTION("""COMPUTED_VALUE"""),570.0)</f>
        <v/>
      </c>
      <c r="K233" s="2">
        <f>IFERROR(__xludf.DUMMYFUNCTION("""COMPUTED_VALUE"""),21.0)</f>
        <v/>
      </c>
      <c r="L233" s="2">
        <f>IFERROR(__xludf.DUMMYFUNCTION("""COMPUTED_VALUE"""),"Прожекторы RSV-SFL-3")</f>
        <v/>
      </c>
      <c r="M233" s="2">
        <f>IFERROR(__xludf.DUMMYFUNCTION("""COMPUTED_VALUE"""),"Прожекторы (LED), Бытовые (недорогие), С датчиками, LED Светильники")</f>
        <v/>
      </c>
    </row>
    <row r="234">
      <c r="A234" s="5">
        <f>IFERROR(__xludf.DUMMYFUNCTION("""COMPUTED_VALUE"""),"4690612057309-2")</f>
        <v/>
      </c>
      <c r="B234" s="5">
        <f>IFERROR(__xludf.DUMMYFUNCTION("""COMPUTED_VALUE"""),"ДВО-PRO 5065-ОПАЛ 50Вт 6500К 120лм/Вт CRI80 IP40 595х595х30мм NEOX (2 шт в упак.)")</f>
        <v/>
      </c>
      <c r="C234" s="2">
        <f>IFERROR(__xludf.DUMMYFUNCTION("""COMPUTED_VALUE"""),0.0)</f>
        <v/>
      </c>
      <c r="D234" s="2">
        <f>IFERROR(__xludf.DUMMYFUNCTION("""COMPUTED_VALUE"""),0.0)</f>
        <v/>
      </c>
      <c r="E234" s="2">
        <f>IFERROR(__xludf.DUMMYFUNCTION("""COMPUTED_VALUE"""),2013.36)</f>
        <v/>
      </c>
      <c r="F234" s="2">
        <f>IFERROR(__xludf.DUMMYFUNCTION("""COMPUTED_VALUE"""),2209.0)</f>
        <v/>
      </c>
      <c r="G234" s="2">
        <f>IFERROR(__xludf.DUMMYFUNCTION("""COMPUTED_VALUE"""),2577.0)</f>
        <v/>
      </c>
      <c r="H234" s="2">
        <f>IFERROR(__xludf.DUMMYFUNCTION("""COMPUTED_VALUE"""),2899.0)</f>
        <v/>
      </c>
      <c r="I234" s="2">
        <f>IFERROR(__xludf.DUMMYFUNCTION("""COMPUTED_VALUE"""),3221.0)</f>
        <v/>
      </c>
      <c r="J234" s="2">
        <f>IFERROR(__xludf.DUMMYFUNCTION("""COMPUTED_VALUE"""),1611.0)</f>
        <v/>
      </c>
      <c r="K234" s="2">
        <f>IFERROR(__xludf.DUMMYFUNCTION("""COMPUTED_VALUE"""),5.0)</f>
        <v/>
      </c>
      <c r="L234" s="2">
        <f>IFERROR(__xludf.DUMMYFUNCTION("""COMPUTED_VALUE"""),"NEOX Светильники LED ДВО-PRO производство, упаковка")</f>
        <v/>
      </c>
      <c r="M234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235">
      <c r="A235" s="5">
        <f>IFERROR(__xludf.DUMMYFUNCTION("""COMPUTED_VALUE"""),"GL81311")</f>
        <v/>
      </c>
      <c r="B235" s="5">
        <f>IFERROR(__xludf.DUMMYFUNCTION("""COMPUTED_VALUE"""),"GLERIO Office Casual 40 Вт 4000K 81P-40D-4V-P")</f>
        <v/>
      </c>
      <c r="C235" s="2">
        <f>IFERROR(__xludf.DUMMYFUNCTION("""COMPUTED_VALUE"""),1.14)</f>
        <v/>
      </c>
      <c r="D235" s="2">
        <f>IFERROR(__xludf.DUMMYFUNCTION("""COMPUTED_VALUE"""),0.008190000000000001)</f>
        <v/>
      </c>
      <c r="E235" s="2">
        <f>IFERROR(__xludf.DUMMYFUNCTION("""COMPUTED_VALUE"""),2261.0)</f>
        <v/>
      </c>
      <c r="F235" s="2">
        <f>IFERROR(__xludf.DUMMYFUNCTION("""COMPUTED_VALUE"""),2660.0)</f>
        <v/>
      </c>
      <c r="G235" s="2">
        <f>IFERROR(__xludf.DUMMYFUNCTION("""COMPUTED_VALUE"""),3349.0)</f>
        <v/>
      </c>
      <c r="H235" s="2">
        <f>IFERROR(__xludf.DUMMYFUNCTION("""COMPUTED_VALUE"""),3761.0)</f>
        <v/>
      </c>
      <c r="I235" s="2">
        <f>IFERROR(__xludf.DUMMYFUNCTION("""COMPUTED_VALUE"""),4173.0)</f>
        <v/>
      </c>
      <c r="J235" s="2">
        <f>IFERROR(__xludf.DUMMYFUNCTION("""COMPUTED_VALUE"""),2087.0)</f>
        <v/>
      </c>
      <c r="K235" s="2">
        <f>IFERROR(__xludf.DUMMYFUNCTION("""COMPUTED_VALUE"""),15.0)</f>
        <v/>
      </c>
      <c r="L235" s="2">
        <f>IFERROR(__xludf.DUMMYFUNCTION("""COMPUTED_VALUE"""),"Office Casual+ GLERIO (Офис)")</f>
        <v/>
      </c>
      <c r="M235" s="2">
        <f>IFERROR(__xludf.DUMMYFUNCTION("""COMPUTED_VALUE"""),"С равномерной засветкой, LED Светильники")</f>
        <v/>
      </c>
    </row>
    <row r="236">
      <c r="A236" s="5">
        <f>IFERROR(__xludf.DUMMYFUNCTION("""COMPUTED_VALUE"""),"4690612008059")</f>
        <v/>
      </c>
      <c r="B236" s="5">
        <f>IFERROR(__xludf.DUMMYFUNCTION("""COMPUTED_VALUE"""),"LED-A60-deco 7Вт 230В Е27 4000К 630Лм прозрачная IN HOME")</f>
        <v/>
      </c>
      <c r="C236" s="2">
        <f>IFERROR(__xludf.DUMMYFUNCTION("""COMPUTED_VALUE"""),0.08800000000000001)</f>
        <v/>
      </c>
      <c r="D236" s="2">
        <f>IFERROR(__xludf.DUMMYFUNCTION("""COMPUTED_VALUE"""),7.2E-4)</f>
        <v/>
      </c>
      <c r="E236" s="2">
        <f>IFERROR(__xludf.DUMMYFUNCTION("""COMPUTED_VALUE"""),55.61)</f>
        <v/>
      </c>
      <c r="F236" s="2">
        <f>IFERROR(__xludf.DUMMYFUNCTION("""COMPUTED_VALUE"""),55.0)</f>
        <v/>
      </c>
      <c r="G236" s="2">
        <f>IFERROR(__xludf.DUMMYFUNCTION("""COMPUTED_VALUE"""),62.0)</f>
        <v/>
      </c>
      <c r="H236" s="2">
        <f>IFERROR(__xludf.DUMMYFUNCTION("""COMPUTED_VALUE"""),72.0)</f>
        <v/>
      </c>
      <c r="I236" s="2">
        <f>IFERROR(__xludf.DUMMYFUNCTION("""COMPUTED_VALUE"""),83.5)</f>
        <v/>
      </c>
      <c r="J236" s="2">
        <f>IFERROR(__xludf.DUMMYFUNCTION("""COMPUTED_VALUE"""),42.0)</f>
        <v/>
      </c>
      <c r="K236" s="2">
        <f>IFERROR(__xludf.DUMMYFUNCTION("""COMPUTED_VALUE"""),3.0)</f>
        <v/>
      </c>
      <c r="L236" s="2">
        <f>IFERROR(__xludf.DUMMYFUNCTION("""COMPUTED_VALUE"""),"Лампа светодиодная LED-A60 DECO")</f>
        <v/>
      </c>
      <c r="M236" s="2">
        <f>IFERROR(__xludf.DUMMYFUNCTION("""COMPUTED_VALUE"""),"Лампы")</f>
        <v/>
      </c>
    </row>
    <row r="237">
      <c r="A237" s="5">
        <f>IFERROR(__xludf.DUMMYFUNCTION("""COMPUTED_VALUE"""),"V1036")</f>
        <v/>
      </c>
      <c r="B237" s="5">
        <f>IFERROR(__xludf.DUMMYFUNCTION("""COMPUTED_VALUE"""),"VRN-UN-124-G50K67-K, 124Вт, Консольный")</f>
        <v/>
      </c>
      <c r="C237" s="2">
        <f>IFERROR(__xludf.DUMMYFUNCTION("""COMPUTED_VALUE"""),0.172)</f>
        <v/>
      </c>
      <c r="D237" s="2">
        <f>IFERROR(__xludf.DUMMYFUNCTION("""COMPUTED_VALUE"""),0.01001)</f>
        <v/>
      </c>
      <c r="E237" s="2">
        <f>IFERROR(__xludf.DUMMYFUNCTION("""COMPUTED_VALUE"""),4503.0)</f>
        <v/>
      </c>
      <c r="F237" s="2">
        <f>IFERROR(__xludf.DUMMYFUNCTION("""COMPUTED_VALUE"""),5320.0)</f>
        <v/>
      </c>
      <c r="G237" s="2">
        <f>IFERROR(__xludf.DUMMYFUNCTION("""COMPUTED_VALUE"""),6916.0)</f>
        <v/>
      </c>
      <c r="H237" s="2">
        <f>IFERROR(__xludf.DUMMYFUNCTION("""COMPUTED_VALUE"""),7262.0)</f>
        <v/>
      </c>
      <c r="I237" s="2">
        <f>IFERROR(__xludf.DUMMYFUNCTION("""COMPUTED_VALUE"""),7608.0)</f>
        <v/>
      </c>
      <c r="J237" s="2">
        <f>IFERROR(__xludf.DUMMYFUNCTION("""COMPUTED_VALUE"""),3804.0)</f>
        <v/>
      </c>
      <c r="K237" s="2">
        <f>IFERROR(__xludf.DUMMYFUNCTION("""COMPUTED_VALUE"""),1.0)</f>
        <v/>
      </c>
      <c r="L237" s="2">
        <f>IFERROR(__xludf.DUMMYFUNCTION("""COMPUTED_VALUE"""),"Универсал")</f>
        <v/>
      </c>
      <c r="M237" s="2">
        <f>IFERROR(__xludf.DUMMYFUNCTION("""COMPUTED_VALUE"""),"Для обычных дорог, LED Светильники")</f>
        <v/>
      </c>
    </row>
    <row r="238">
      <c r="A238" s="5">
        <f>IFERROR(__xludf.DUMMYFUNCTION("""COMPUTED_VALUE"""),"4260652192584")</f>
        <v/>
      </c>
      <c r="B238" s="5">
        <f>IFERROR(__xludf.DUMMYFUNCTION("""COMPUTED_VALUE"""),"WTL-25W/01W")</f>
        <v/>
      </c>
      <c r="C238" s="2">
        <f>IFERROR(__xludf.DUMMYFUNCTION("""COMPUTED_VALUE"""),0.36)</f>
        <v/>
      </c>
      <c r="D238" s="2">
        <f>IFERROR(__xludf.DUMMYFUNCTION("""COMPUTED_VALUE"""),0.00134)</f>
        <v/>
      </c>
      <c r="E238" s="2">
        <f>IFERROR(__xludf.DUMMYFUNCTION("""COMPUTED_VALUE"""),640.64)</f>
        <v/>
      </c>
      <c r="F238" s="2">
        <f>IFERROR(__xludf.DUMMYFUNCTION("""COMPUTED_VALUE"""),723.0)</f>
        <v/>
      </c>
      <c r="G238" s="2">
        <f>IFERROR(__xludf.DUMMYFUNCTION("""COMPUTED_VALUE"""),748.0)</f>
        <v/>
      </c>
      <c r="H238" s="2">
        <f>IFERROR(__xludf.DUMMYFUNCTION("""COMPUTED_VALUE"""),981.0)</f>
        <v/>
      </c>
      <c r="I238" s="2">
        <f>IFERROR(__xludf.DUMMYFUNCTION("""COMPUTED_VALUE"""),1226.0)</f>
        <v/>
      </c>
      <c r="J238" s="2">
        <f>IFERROR(__xludf.DUMMYFUNCTION("""COMPUTED_VALUE"""),613.0)</f>
        <v/>
      </c>
      <c r="K238" s="2">
        <f>IFERROR(__xludf.DUMMYFUNCTION("""COMPUTED_VALUE"""),1.0)</f>
        <v/>
      </c>
      <c r="L238" s="2">
        <f>IFERROR(__xludf.DUMMYFUNCTION("""COMPUTED_VALUE"""),"Wolta трековые")</f>
        <v/>
      </c>
      <c r="M238" s="2">
        <f>IFERROR(__xludf.DUMMYFUNCTION("""COMPUTED_VALUE"""),"Трековые, LED Светильники")</f>
        <v/>
      </c>
    </row>
    <row r="239">
      <c r="A239" s="5">
        <f>IFERROR(__xludf.DUMMYFUNCTION("""COMPUTED_VALUE"""),"4690612020372")</f>
        <v/>
      </c>
      <c r="B239" s="5">
        <f>IFERROR(__xludf.DUMMYFUNCTION("""COMPUTED_VALUE"""),"LED-JCDR-VC 6Вт 230В GU5.3 4000К 530Лм IN HOME")</f>
        <v/>
      </c>
      <c r="C239" s="2">
        <f>IFERROR(__xludf.DUMMYFUNCTION("""COMPUTED_VALUE"""),0.03)</f>
        <v/>
      </c>
      <c r="D239" s="2">
        <f>IFERROR(__xludf.DUMMYFUNCTION("""COMPUTED_VALUE"""),2.1E-4)</f>
        <v/>
      </c>
      <c r="E239" s="2">
        <f>IFERROR(__xludf.DUMMYFUNCTION("""COMPUTED_VALUE"""),36.0)</f>
        <v/>
      </c>
      <c r="F239" s="2">
        <f>IFERROR(__xludf.DUMMYFUNCTION("""COMPUTED_VALUE"""),43.0)</f>
        <v/>
      </c>
      <c r="G239" s="2">
        <f>IFERROR(__xludf.DUMMYFUNCTION("""COMPUTED_VALUE"""),49.0)</f>
        <v/>
      </c>
      <c r="H239" s="2">
        <f>IFERROR(__xludf.DUMMYFUNCTION("""COMPUTED_VALUE"""),56.0)</f>
        <v/>
      </c>
      <c r="I239" s="2">
        <f>IFERROR(__xludf.DUMMYFUNCTION("""COMPUTED_VALUE"""),65.4)</f>
        <v/>
      </c>
      <c r="J239" s="2">
        <f>IFERROR(__xludf.DUMMYFUNCTION("""COMPUTED_VALUE"""),33.0)</f>
        <v/>
      </c>
      <c r="K239" s="2">
        <f>IFERROR(__xludf.DUMMYFUNCTION("""COMPUTED_VALUE"""),1.0)</f>
        <v/>
      </c>
      <c r="L239" s="2">
        <f>IFERROR(__xludf.DUMMYFUNCTION("""COMPUTED_VALUE"""),"Лампа светодиодная LED-JCDR-standard")</f>
        <v/>
      </c>
      <c r="M239" s="2">
        <f>IFERROR(__xludf.DUMMYFUNCTION("""COMPUTED_VALUE"""),"Лампы")</f>
        <v/>
      </c>
    </row>
    <row r="240">
      <c r="A240" s="5">
        <f>IFERROR(__xludf.DUMMYFUNCTION("""COMPUTED_VALUE"""),"GL82335")</f>
        <v/>
      </c>
      <c r="B240" s="5">
        <f>IFERROR(__xludf.DUMMYFUNCTION("""COMPUTED_VALUE"""),"GLERIO Line 36 Вт 5000К 91P-36D-5N-K")</f>
        <v/>
      </c>
      <c r="C240" s="2">
        <f>IFERROR(__xludf.DUMMYFUNCTION("""COMPUTED_VALUE"""),0.5)</f>
        <v/>
      </c>
      <c r="D240" s="2">
        <f>IFERROR(__xludf.DUMMYFUNCTION("""COMPUTED_VALUE"""),0.00396)</f>
        <v/>
      </c>
      <c r="E240" s="2">
        <f>IFERROR(__xludf.DUMMYFUNCTION("""COMPUTED_VALUE"""),2007.9)</f>
        <v/>
      </c>
      <c r="F240" s="2">
        <f>IFERROR(__xludf.DUMMYFUNCTION("""COMPUTED_VALUE"""),2310.0)</f>
        <v/>
      </c>
      <c r="G240" s="2">
        <f>IFERROR(__xludf.DUMMYFUNCTION("""COMPUTED_VALUE"""),2908.0)</f>
        <v/>
      </c>
      <c r="H240" s="2">
        <f>IFERROR(__xludf.DUMMYFUNCTION("""COMPUTED_VALUE"""),3266.0)</f>
        <v/>
      </c>
      <c r="I240" s="2">
        <f>IFERROR(__xludf.DUMMYFUNCTION("""COMPUTED_VALUE"""),3624.0)</f>
        <v/>
      </c>
      <c r="J240" s="2">
        <f>IFERROR(__xludf.DUMMYFUNCTION("""COMPUTED_VALUE"""),3624.0)</f>
        <v/>
      </c>
      <c r="K240" s="2">
        <f>IFERROR(__xludf.DUMMYFUNCTION("""COMPUTED_VALUE"""),10.0)</f>
        <v/>
      </c>
      <c r="L240" s="2">
        <f>IFERROR(__xludf.DUMMYFUNCTION("""COMPUTED_VALUE"""),"Line (Айсберг) до 10.2025")</f>
        <v/>
      </c>
      <c r="M240" s="2">
        <f>IFERROR(__xludf.DUMMYFUNCTION("""COMPUTED_VALUE"""),"Пластиковые (линейные), LED Светильники")</f>
        <v/>
      </c>
    </row>
    <row r="241">
      <c r="A241" s="5">
        <f>IFERROR(__xludf.DUMMYFUNCTION("""COMPUTED_VALUE"""),"4690612035659")</f>
        <v/>
      </c>
      <c r="B241" s="5">
        <f>IFERROR(__xludf.DUMMYFUNCTION("""COMPUTED_VALUE"""),"LED-ST64-deco gold 9Вт 230В Е27 3000К 1040Лм золотистая IN HOME")</f>
        <v/>
      </c>
      <c r="C241" s="2">
        <f>IFERROR(__xludf.DUMMYFUNCTION("""COMPUTED_VALUE"""),0.044)</f>
        <v/>
      </c>
      <c r="D241" s="2">
        <f>IFERROR(__xludf.DUMMYFUNCTION("""COMPUTED_VALUE"""),8.0E-4)</f>
        <v/>
      </c>
      <c r="E241" s="2">
        <f>IFERROR(__xludf.DUMMYFUNCTION("""COMPUTED_VALUE"""),117.0)</f>
        <v/>
      </c>
      <c r="F241" s="2">
        <f>IFERROR(__xludf.DUMMYFUNCTION("""COMPUTED_VALUE"""),152.0)</f>
        <v/>
      </c>
      <c r="G241" s="2">
        <f>IFERROR(__xludf.DUMMYFUNCTION("""COMPUTED_VALUE"""),171.0)</f>
        <v/>
      </c>
      <c r="H241" s="2">
        <f>IFERROR(__xludf.DUMMYFUNCTION("""COMPUTED_VALUE"""),198.0)</f>
        <v/>
      </c>
      <c r="I241" s="2">
        <f>IFERROR(__xludf.DUMMYFUNCTION("""COMPUTED_VALUE"""),228.5)</f>
        <v/>
      </c>
      <c r="J241" s="2">
        <f>IFERROR(__xludf.DUMMYFUNCTION("""COMPUTED_VALUE"""),114.0)</f>
        <v/>
      </c>
      <c r="K241" s="2">
        <f>IFERROR(__xludf.DUMMYFUNCTION("""COMPUTED_VALUE"""),6.0)</f>
        <v/>
      </c>
      <c r="L241" s="2">
        <f>IFERROR(__xludf.DUMMYFUNCTION("""COMPUTED_VALUE"""),"Лампа светодиодная LED-ST64-DECO золотистая")</f>
        <v/>
      </c>
      <c r="M241" s="2">
        <f>IFERROR(__xludf.DUMMYFUNCTION("""COMPUTED_VALUE"""),"Лампы")</f>
        <v/>
      </c>
    </row>
    <row r="242">
      <c r="A242" s="5">
        <f>IFERROR(__xludf.DUMMYFUNCTION("""COMPUTED_VALUE"""),"4690612020730")</f>
        <v/>
      </c>
      <c r="B242" s="5">
        <f>IFERROR(__xludf.DUMMYFUNCTION("""COMPUTED_VALUE"""),"LED-GX53-VC 8Вт 230В 4000К 760Лм IN HOME")</f>
        <v/>
      </c>
      <c r="C242" s="2">
        <f>IFERROR(__xludf.DUMMYFUNCTION("""COMPUTED_VALUE"""),0.035)</f>
        <v/>
      </c>
      <c r="D242" s="2">
        <f>IFERROR(__xludf.DUMMYFUNCTION("""COMPUTED_VALUE"""),2.1E-4)</f>
        <v/>
      </c>
      <c r="E242" s="2">
        <f>IFERROR(__xludf.DUMMYFUNCTION("""COMPUTED_VALUE"""),35.4)</f>
        <v/>
      </c>
      <c r="F242" s="2">
        <f>IFERROR(__xludf.DUMMYFUNCTION("""COMPUTED_VALUE"""),43.0)</f>
        <v/>
      </c>
      <c r="G242" s="2">
        <f>IFERROR(__xludf.DUMMYFUNCTION("""COMPUTED_VALUE"""),49.0)</f>
        <v/>
      </c>
      <c r="H242" s="2">
        <f>IFERROR(__xludf.DUMMYFUNCTION("""COMPUTED_VALUE"""),57.0)</f>
        <v/>
      </c>
      <c r="I242" s="2">
        <f>IFERROR(__xludf.DUMMYFUNCTION("""COMPUTED_VALUE"""),65.6)</f>
        <v/>
      </c>
      <c r="J242" s="2">
        <f>IFERROR(__xludf.DUMMYFUNCTION("""COMPUTED_VALUE"""),33.0)</f>
        <v/>
      </c>
      <c r="K242" s="2">
        <f>IFERROR(__xludf.DUMMYFUNCTION("""COMPUTED_VALUE"""),69.0)</f>
        <v/>
      </c>
      <c r="L242" s="2">
        <f>IFERROR(__xludf.DUMMYFUNCTION("""COMPUTED_VALUE"""),"Лампа светодиодная LED-GX53-standard")</f>
        <v/>
      </c>
      <c r="M242" s="2">
        <f>IFERROR(__xludf.DUMMYFUNCTION("""COMPUTED_VALUE"""),"Лампы")</f>
        <v/>
      </c>
    </row>
    <row r="243">
      <c r="A243" s="5">
        <f>IFERROR(__xludf.DUMMYFUNCTION("""COMPUTED_VALUE"""),"GL82511")</f>
        <v/>
      </c>
      <c r="B243" s="5">
        <f>IFERROR(__xludf.DUMMYFUNCTION("""COMPUTED_VALUE"""),"GLERIO Line Shell 30 Вт 4000K 92P-30D-4P-P")</f>
        <v/>
      </c>
      <c r="C243" s="2">
        <f>IFERROR(__xludf.DUMMYFUNCTION("""COMPUTED_VALUE"""),1.575)</f>
        <v/>
      </c>
      <c r="D243" s="2">
        <f>IFERROR(__xludf.DUMMYFUNCTION("""COMPUTED_VALUE"""),0.00495)</f>
        <v/>
      </c>
      <c r="E243" s="2">
        <f>IFERROR(__xludf.DUMMYFUNCTION("""COMPUTED_VALUE"""),2584.0)</f>
        <v/>
      </c>
      <c r="F243" s="2">
        <f>IFERROR(__xludf.DUMMYFUNCTION("""COMPUTED_VALUE"""),3040.0)</f>
        <v/>
      </c>
      <c r="G243" s="2">
        <f>IFERROR(__xludf.DUMMYFUNCTION("""COMPUTED_VALUE"""),3827.0)</f>
        <v/>
      </c>
      <c r="H243" s="2">
        <f>IFERROR(__xludf.DUMMYFUNCTION("""COMPUTED_VALUE"""),4298.0)</f>
        <v/>
      </c>
      <c r="I243" s="2">
        <f>IFERROR(__xludf.DUMMYFUNCTION("""COMPUTED_VALUE"""),4769.0)</f>
        <v/>
      </c>
      <c r="J243" s="2">
        <f>IFERROR(__xludf.DUMMYFUNCTION("""COMPUTED_VALUE"""),2385.0)</f>
        <v/>
      </c>
      <c r="K243" s="2">
        <f>IFERROR(__xludf.DUMMYFUNCTION("""COMPUTED_VALUE"""),16.0)</f>
        <v/>
      </c>
      <c r="L243" s="2">
        <f>IFERROR(__xludf.DUMMYFUNCTION("""COMPUTED_VALUE"""),"Line Shell+, Free+ GLERIO (Retail)")</f>
        <v/>
      </c>
      <c r="M243" s="2">
        <f>IFERROR(__xludf.DUMMYFUNCTION("""COMPUTED_VALUE"""),"Металлические (линейные), LED Светильники")</f>
        <v/>
      </c>
    </row>
    <row r="244">
      <c r="A244" s="5">
        <f>IFERROR(__xludf.DUMMYFUNCTION("""COMPUTED_VALUE"""),"sra097")</f>
        <v/>
      </c>
      <c r="B244" s="5">
        <f>IFERROR(__xludf.DUMMYFUNCTION("""COMPUTED_VALUE"""),"Лампа накаливания 95Вт Е27")</f>
        <v/>
      </c>
      <c r="C244" s="2">
        <f>IFERROR(__xludf.DUMMYFUNCTION("""COMPUTED_VALUE"""),0.0)</f>
        <v/>
      </c>
      <c r="D244" s="2">
        <f>IFERROR(__xludf.DUMMYFUNCTION("""COMPUTED_VALUE"""),0.0)</f>
        <v/>
      </c>
      <c r="E244" s="2">
        <f>IFERROR(__xludf.DUMMYFUNCTION("""COMPUTED_VALUE"""),18.83)</f>
        <v/>
      </c>
      <c r="F244" s="2">
        <f>IFERROR(__xludf.DUMMYFUNCTION("""COMPUTED_VALUE"""),6.0)</f>
        <v/>
      </c>
      <c r="G244" s="2">
        <f>IFERROR(__xludf.DUMMYFUNCTION("""COMPUTED_VALUE"""),7.0)</f>
        <v/>
      </c>
      <c r="H244" s="2">
        <f>IFERROR(__xludf.DUMMYFUNCTION("""COMPUTED_VALUE"""),8.0)</f>
        <v/>
      </c>
      <c r="I244" s="2">
        <f>IFERROR(__xludf.DUMMYFUNCTION("""COMPUTED_VALUE"""),8.4)</f>
        <v/>
      </c>
      <c r="J244" s="2">
        <f>IFERROR(__xludf.DUMMYFUNCTION("""COMPUTED_VALUE"""),4.0)</f>
        <v/>
      </c>
      <c r="K244" s="2">
        <f>IFERROR(__xludf.DUMMYFUNCTION("""COMPUTED_VALUE"""),8.0)</f>
        <v/>
      </c>
      <c r="L244" s="2">
        <f>IFERROR(__xludf.DUMMYFUNCTION("""COMPUTED_VALUE"""),"SRA")</f>
        <v/>
      </c>
      <c r="M244" s="2">
        <f>IFERROR(__xludf.DUMMYFUNCTION("""COMPUTED_VALUE"""),"LED Светильники")</f>
        <v/>
      </c>
    </row>
    <row r="245">
      <c r="A245" s="5">
        <f>IFERROR(__xludf.DUMMYFUNCTION("""COMPUTED_VALUE"""),"GL51361")</f>
        <v/>
      </c>
      <c r="B245" s="5">
        <f>IFERROR(__xludf.DUMMYFUNCTION("""COMPUTED_VALUE"""),"GLERIO Practical Галочка 64 Вт 5000К 6A-64D-5U-21G+")</f>
        <v/>
      </c>
      <c r="C245" s="2">
        <f>IFERROR(__xludf.DUMMYFUNCTION("""COMPUTED_VALUE"""),1.4)</f>
        <v/>
      </c>
      <c r="D245" s="2">
        <f>IFERROR(__xludf.DUMMYFUNCTION("""COMPUTED_VALUE"""),0.004430000000000001)</f>
        <v/>
      </c>
      <c r="E245" s="2">
        <f>IFERROR(__xludf.DUMMYFUNCTION("""COMPUTED_VALUE"""),2793.6)</f>
        <v/>
      </c>
      <c r="F245" s="2">
        <f>IFERROR(__xludf.DUMMYFUNCTION("""COMPUTED_VALUE"""),3200.0)</f>
        <v/>
      </c>
      <c r="G245" s="2">
        <f>IFERROR(__xludf.DUMMYFUNCTION("""COMPUTED_VALUE"""),4000.0)</f>
        <v/>
      </c>
      <c r="H245" s="2">
        <f>IFERROR(__xludf.DUMMYFUNCTION("""COMPUTED_VALUE"""),4500.0)</f>
        <v/>
      </c>
      <c r="I245" s="2">
        <f>IFERROR(__xludf.DUMMYFUNCTION("""COMPUTED_VALUE"""),5000.0)</f>
        <v/>
      </c>
      <c r="J245" s="2">
        <f>IFERROR(__xludf.DUMMYFUNCTION("""COMPUTED_VALUE"""),5000.0)</f>
        <v/>
      </c>
      <c r="K245" s="2">
        <f>IFERROR(__xludf.DUMMYFUNCTION("""COMPUTED_VALUE"""),8.0)</f>
        <v/>
      </c>
      <c r="L245" s="2">
        <f>IFERROR(__xludf.DUMMYFUNCTION("""COMPUTED_VALUE"""),"Practical+ Уличные GLERIO")</f>
        <v/>
      </c>
      <c r="M245" s="2">
        <f>IFERROR(__xludf.DUMMYFUNCTION("""COMPUTED_VALUE"""),"Для обычных дорог, LED Светильники")</f>
        <v/>
      </c>
    </row>
    <row r="246">
      <c r="A246" s="5">
        <f>IFERROR(__xludf.DUMMYFUNCTION("""COMPUTED_VALUE"""),"4690612016320")</f>
        <v/>
      </c>
      <c r="B246" s="5">
        <f>IFERROR(__xludf.DUMMYFUNCTION("""COMPUTED_VALUE"""),"LED-ШАР-deco 7Вт 230В Е27 3000К 810Лм прозрачная IN HOME")</f>
        <v/>
      </c>
      <c r="C246" s="2">
        <f>IFERROR(__xludf.DUMMYFUNCTION("""COMPUTED_VALUE"""),0.043)</f>
        <v/>
      </c>
      <c r="D246" s="2">
        <f>IFERROR(__xludf.DUMMYFUNCTION("""COMPUTED_VALUE"""),2.4E-4)</f>
        <v/>
      </c>
      <c r="E246" s="2">
        <f>IFERROR(__xludf.DUMMYFUNCTION("""COMPUTED_VALUE"""),63.5)</f>
        <v/>
      </c>
      <c r="F246" s="2">
        <f>IFERROR(__xludf.DUMMYFUNCTION("""COMPUTED_VALUE"""),68.0)</f>
        <v/>
      </c>
      <c r="G246" s="2">
        <f>IFERROR(__xludf.DUMMYFUNCTION("""COMPUTED_VALUE"""),77.0)</f>
        <v/>
      </c>
      <c r="H246" s="2">
        <f>IFERROR(__xludf.DUMMYFUNCTION("""COMPUTED_VALUE"""),89.0)</f>
        <v/>
      </c>
      <c r="I246" s="2">
        <f>IFERROR(__xludf.DUMMYFUNCTION("""COMPUTED_VALUE"""),102.5)</f>
        <v/>
      </c>
      <c r="J246" s="2">
        <f>IFERROR(__xludf.DUMMYFUNCTION("""COMPUTED_VALUE"""),51.0)</f>
        <v/>
      </c>
      <c r="K246" s="2">
        <f>IFERROR(__xludf.DUMMYFUNCTION("""COMPUTED_VALUE"""),43.0)</f>
        <v/>
      </c>
      <c r="L246" s="2">
        <f>IFERROR(__xludf.DUMMYFUNCTION("""COMPUTED_VALUE"""),"Лампа светодиодная LED-ШАР-DECO")</f>
        <v/>
      </c>
      <c r="M246" s="2">
        <f>IFERROR(__xludf.DUMMYFUNCTION("""COMPUTED_VALUE"""),"Лампы")</f>
        <v/>
      </c>
    </row>
    <row r="247">
      <c r="A247" s="5">
        <f>IFERROR(__xludf.DUMMYFUNCTION("""COMPUTED_VALUE"""),"4690612030777")</f>
        <v/>
      </c>
      <c r="B247" s="5">
        <f>IFERROR(__xludf.DUMMYFUNCTION("""COMPUTED_VALUE"""),"LED-GX53-VC 6Вт 230В 3000К 570Лм IN HOME")</f>
        <v/>
      </c>
      <c r="C247" s="2">
        <f>IFERROR(__xludf.DUMMYFUNCTION("""COMPUTED_VALUE"""),0.033)</f>
        <v/>
      </c>
      <c r="D247" s="2">
        <f>IFERROR(__xludf.DUMMYFUNCTION("""COMPUTED_VALUE"""),2.1E-4)</f>
        <v/>
      </c>
      <c r="E247" s="2">
        <f>IFERROR(__xludf.DUMMYFUNCTION("""COMPUTED_VALUE"""),44.95)</f>
        <v/>
      </c>
      <c r="F247" s="2">
        <f>IFERROR(__xludf.DUMMYFUNCTION("""COMPUTED_VALUE"""),36.0)</f>
        <v/>
      </c>
      <c r="G247" s="2">
        <f>IFERROR(__xludf.DUMMYFUNCTION("""COMPUTED_VALUE"""),41.0)</f>
        <v/>
      </c>
      <c r="H247" s="2">
        <f>IFERROR(__xludf.DUMMYFUNCTION("""COMPUTED_VALUE"""),47.0)</f>
        <v/>
      </c>
      <c r="I247" s="2">
        <f>IFERROR(__xludf.DUMMYFUNCTION("""COMPUTED_VALUE"""),54.5)</f>
        <v/>
      </c>
      <c r="J247" s="2">
        <f>IFERROR(__xludf.DUMMYFUNCTION("""COMPUTED_VALUE"""),27.0)</f>
        <v/>
      </c>
      <c r="K247" s="2">
        <f>IFERROR(__xludf.DUMMYFUNCTION("""COMPUTED_VALUE"""),9.0)</f>
        <v/>
      </c>
      <c r="L247" s="2">
        <f>IFERROR(__xludf.DUMMYFUNCTION("""COMPUTED_VALUE"""),"Лампа светодиодная LED-GX53-standard")</f>
        <v/>
      </c>
      <c r="M247" s="2">
        <f>IFERROR(__xludf.DUMMYFUNCTION("""COMPUTED_VALUE"""),"Лампы")</f>
        <v/>
      </c>
    </row>
    <row r="248">
      <c r="A248" s="5">
        <f>IFERROR(__xludf.DUMMYFUNCTION("""COMPUTED_VALUE"""),"R100076")</f>
        <v/>
      </c>
      <c r="B248" s="5">
        <f>IFERROR(__xludf.DUMMYFUNCTION("""COMPUTED_VALUE"""),"RSV-SFL-3-150W-6500K-IP65")</f>
        <v/>
      </c>
      <c r="C248" s="2">
        <f>IFERROR(__xludf.DUMMYFUNCTION("""COMPUTED_VALUE"""),1.49)</f>
        <v/>
      </c>
      <c r="D248" s="2">
        <f>IFERROR(__xludf.DUMMYFUNCTION("""COMPUTED_VALUE"""),0.0028)</f>
        <v/>
      </c>
      <c r="E248" s="2">
        <f>IFERROR(__xludf.DUMMYFUNCTION("""COMPUTED_VALUE"""),1367.31)</f>
        <v/>
      </c>
      <c r="F248" s="2">
        <f>IFERROR(__xludf.DUMMYFUNCTION("""COMPUTED_VALUE"""),594.0)</f>
        <v/>
      </c>
      <c r="G248" s="2">
        <f>IFERROR(__xludf.DUMMYFUNCTION("""COMPUTED_VALUE"""),699.0)</f>
        <v/>
      </c>
      <c r="H248" s="2">
        <f>IFERROR(__xludf.DUMMYFUNCTION("""COMPUTED_VALUE"""),720.0)</f>
        <v/>
      </c>
      <c r="I248" s="2">
        <f>IFERROR(__xludf.DUMMYFUNCTION("""COMPUTED_VALUE"""),828.0)</f>
        <v/>
      </c>
      <c r="J248" s="2">
        <f>IFERROR(__xludf.DUMMYFUNCTION("""COMPUTED_VALUE"""),414.0)</f>
        <v/>
      </c>
      <c r="K248" s="2">
        <f>IFERROR(__xludf.DUMMYFUNCTION("""COMPUTED_VALUE"""),2.0)</f>
        <v/>
      </c>
      <c r="L248" s="2">
        <f>IFERROR(__xludf.DUMMYFUNCTION("""COMPUTED_VALUE"""),"Прожекторы RSV-SFL-3")</f>
        <v/>
      </c>
      <c r="M248" s="2">
        <f>IFERROR(__xludf.DUMMYFUNCTION("""COMPUTED_VALUE"""),"Без датчиков, LED Светильники")</f>
        <v/>
      </c>
    </row>
    <row r="249">
      <c r="A249" s="5">
        <f>IFERROR(__xludf.DUMMYFUNCTION("""COMPUTED_VALUE"""),"4690612038810-1")</f>
        <v/>
      </c>
      <c r="B249" s="5">
        <f>IFERROR(__xludf.DUMMYFUNCTION("""COMPUTED_VALUE"""),"ДВО-02 4065-ОПАЛ 40Вт 230В 6500К 3600Лм 595х595х25 NEOX (в индивид. упак.)")</f>
        <v/>
      </c>
      <c r="C249" s="2">
        <f>IFERROR(__xludf.DUMMYFUNCTION("""COMPUTED_VALUE"""),1.2925)</f>
        <v/>
      </c>
      <c r="D249" s="2">
        <f>IFERROR(__xludf.DUMMYFUNCTION("""COMPUTED_VALUE"""),0.00885)</f>
        <v/>
      </c>
      <c r="E249" s="2">
        <f>IFERROR(__xludf.DUMMYFUNCTION("""COMPUTED_VALUE"""),744.42)</f>
        <v/>
      </c>
      <c r="F249" s="2">
        <f>IFERROR(__xludf.DUMMYFUNCTION("""COMPUTED_VALUE"""),817.0)</f>
        <v/>
      </c>
      <c r="G249" s="2">
        <f>IFERROR(__xludf.DUMMYFUNCTION("""COMPUTED_VALUE"""),953.0)</f>
        <v/>
      </c>
      <c r="H249" s="2">
        <f>IFERROR(__xludf.DUMMYFUNCTION("""COMPUTED_VALUE"""),1072.0)</f>
        <v/>
      </c>
      <c r="I249" s="2">
        <f>IFERROR(__xludf.DUMMYFUNCTION("""COMPUTED_VALUE"""),1191.0)</f>
        <v/>
      </c>
      <c r="J249" s="2">
        <f>IFERROR(__xludf.DUMMYFUNCTION("""COMPUTED_VALUE"""),953.0)</f>
        <v/>
      </c>
      <c r="K249" s="2">
        <f>IFERROR(__xludf.DUMMYFUNCTION("""COMPUTED_VALUE"""),7.0)</f>
        <v/>
      </c>
      <c r="L249" s="2">
        <f>IFERROR(__xludf.DUMMYFUNCTION("""COMPUTED_VALUE"""),"NEOX Светильники LED ДВО - Опал производство, упаковка")</f>
        <v/>
      </c>
      <c r="M249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/>
      </c>
    </row>
    <row r="250">
      <c r="A250" s="5">
        <f>IFERROR(__xludf.DUMMYFUNCTION("""COMPUTED_VALUE"""),"4690612054223")</f>
        <v/>
      </c>
      <c r="B250" s="5">
        <f>IFERROR(__xludf.DUMMYFUNCTION("""COMPUTED_VALUE"""),"UHB-LEVEL 150A50BK 150/120/80Вт 100-277В 22500Лм 150Лм/Вт 5000K 5 лет NEOX")</f>
        <v/>
      </c>
      <c r="C250" s="2">
        <f>IFERROR(__xludf.DUMMYFUNCTION("""COMPUTED_VALUE"""),2.3)</f>
        <v/>
      </c>
      <c r="D250" s="2">
        <f>IFERROR(__xludf.DUMMYFUNCTION("""COMPUTED_VALUE"""),0.0116)</f>
        <v/>
      </c>
      <c r="E250" s="2">
        <f>IFERROR(__xludf.DUMMYFUNCTION("""COMPUTED_VALUE"""),1.0)</f>
        <v/>
      </c>
      <c r="F250" s="2">
        <f>IFERROR(__xludf.DUMMYFUNCTION("""COMPUTED_VALUE"""),3147.0)</f>
        <v/>
      </c>
      <c r="G250" s="2">
        <f>IFERROR(__xludf.DUMMYFUNCTION("""COMPUTED_VALUE"""),3541.0)</f>
        <v/>
      </c>
      <c r="H250" s="2">
        <f>IFERROR(__xludf.DUMMYFUNCTION("""COMPUTED_VALUE"""),4107.0)</f>
        <v/>
      </c>
      <c r="I250" s="2">
        <f>IFERROR(__xludf.DUMMYFUNCTION("""COMPUTED_VALUE"""),4721.0)</f>
        <v/>
      </c>
      <c r="J250" s="2">
        <f>IFERROR(__xludf.DUMMYFUNCTION("""COMPUTED_VALUE"""),2361.0)</f>
        <v/>
      </c>
      <c r="K250" s="2">
        <f>IFERROR(__xludf.DUMMYFUNCTION("""COMPUTED_VALUE"""),1.0)</f>
        <v/>
      </c>
      <c r="L250" s="2">
        <f>IFERROR(__xludf.DUMMYFUNCTION("""COMPUTED_VALUE"""),"NEOX Светильники LED UHB")</f>
        <v/>
      </c>
      <c r="M250" s="2">
        <f>IFERROR(__xludf.DUMMYFUNCTION("""COMPUTED_VALUE"""),"Промышленные светильники (LED), LED Светильники")</f>
        <v/>
      </c>
    </row>
    <row r="251">
      <c r="A251" s="5">
        <f>IFERROR(__xludf.DUMMYFUNCTION("""COMPUTED_VALUE"""),"4260375484218")</f>
        <v/>
      </c>
      <c r="B251" s="5">
        <f>IFERROR(__xludf.DUMMYFUNCTION("""COMPUTED_VALUE"""),"LLFS18W02")</f>
        <v/>
      </c>
      <c r="C251" s="2">
        <f>IFERROR(__xludf.DUMMYFUNCTION("""COMPUTED_VALUE"""),0.15)</f>
        <v/>
      </c>
      <c r="D251" s="2">
        <f>IFERROR(__xludf.DUMMYFUNCTION("""COMPUTED_VALUE"""),0.01872)</f>
        <v/>
      </c>
      <c r="E251" s="2">
        <f>IFERROR(__xludf.DUMMYFUNCTION("""COMPUTED_VALUE"""),276.47)</f>
        <v/>
      </c>
      <c r="F251" s="2">
        <f>IFERROR(__xludf.DUMMYFUNCTION("""COMPUTED_VALUE"""),112.0)</f>
        <v/>
      </c>
      <c r="G251" s="2">
        <f>IFERROR(__xludf.DUMMYFUNCTION("""COMPUTED_VALUE"""),115.0)</f>
        <v/>
      </c>
      <c r="H251" s="2">
        <f>IFERROR(__xludf.DUMMYFUNCTION("""COMPUTED_VALUE"""),151.0)</f>
        <v/>
      </c>
      <c r="I251" s="2">
        <f>IFERROR(__xludf.DUMMYFUNCTION("""COMPUTED_VALUE"""),189.0)</f>
        <v/>
      </c>
      <c r="J251" s="2">
        <f>IFERROR(__xludf.DUMMYFUNCTION("""COMPUTED_VALUE"""),95.0)</f>
        <v/>
      </c>
      <c r="K251" s="2">
        <f>IFERROR(__xludf.DUMMYFUNCTION("""COMPUTED_VALUE"""),32.0)</f>
        <v/>
      </c>
      <c r="L251" s="2">
        <f>IFERROR(__xludf.DUMMYFUNCTION("""COMPUTED_VALUE"""),"Wolta офисные")</f>
        <v/>
      </c>
      <c r="M251" s="2">
        <f>IFERROR(__xludf.DUMMYFUNCTION("""COMPUTED_VALUE"""),"Пластиковые (линейные), LED Светильники")</f>
        <v/>
      </c>
    </row>
    <row r="252">
      <c r="A252" s="5">
        <f>IFERROR(__xludf.DUMMYFUNCTION("""COMPUTED_VALUE"""),"12-0122")</f>
        <v/>
      </c>
      <c r="B252" s="5">
        <f>IFERROR(__xludf.DUMMYFUNCTION("""COMPUTED_VALUE"""),"Паяльник с керамическим нагревателем долговечное жало ПРОФИ 220 V/30 Вт REXANT")</f>
        <v/>
      </c>
      <c r="C252" s="2">
        <f>IFERROR(__xludf.DUMMYFUNCTION("""COMPUTED_VALUE"""),0.0)</f>
        <v/>
      </c>
      <c r="D252" s="2">
        <f>IFERROR(__xludf.DUMMYFUNCTION("""COMPUTED_VALUE"""),0.0)</f>
        <v/>
      </c>
      <c r="E252" s="2">
        <f>IFERROR(__xludf.DUMMYFUNCTION("""COMPUTED_VALUE"""),1.0)</f>
        <v/>
      </c>
      <c r="F252" s="2">
        <f>IFERROR(__xludf.DUMMYFUNCTION("""COMPUTED_VALUE"""),840.0)</f>
        <v/>
      </c>
      <c r="G252" s="2">
        <f>IFERROR(__xludf.DUMMYFUNCTION("""COMPUTED_VALUE"""),896.0)</f>
        <v/>
      </c>
      <c r="H252" s="2">
        <f>IFERROR(__xludf.DUMMYFUNCTION("""COMPUTED_VALUE"""),1008.0)</f>
        <v/>
      </c>
      <c r="I252" s="2">
        <f>IFERROR(__xludf.DUMMYFUNCTION("""COMPUTED_VALUE"""),1120.06)</f>
        <v/>
      </c>
      <c r="J252" s="2">
        <f>IFERROR(__xludf.DUMMYFUNCTION("""COMPUTED_VALUE"""),560.0)</f>
        <v/>
      </c>
      <c r="K252" s="2">
        <f>IFERROR(__xludf.DUMMYFUNCTION("""COMPUTED_VALUE"""),1.0)</f>
        <v/>
      </c>
      <c r="L252" s="2">
        <f>IFERROR(__xludf.DUMMYFUNCTION("""COMPUTED_VALUE"""),"Rexant")</f>
        <v/>
      </c>
      <c r="M252" s="2">
        <f>IFERROR(__xludf.DUMMYFUNCTION("""COMPUTED_VALUE"""),"Прочие товары")</f>
        <v/>
      </c>
    </row>
    <row r="253">
      <c r="A253" s="5">
        <f>IFERROR(__xludf.DUMMYFUNCTION("""COMPUTED_VALUE"""),"4690612031545-10")</f>
        <v/>
      </c>
      <c r="B253" s="5">
        <f>IFERROR(__xludf.DUMMYFUNCTION("""COMPUTED_VALUE"""),"10 шт. Лампа LED-MO-PRO 7,5Вт 12-24В Е27 4000К 600Лм IN HOME (Комплект 10 шт)")</f>
        <v/>
      </c>
      <c r="C253" s="2">
        <f>IFERROR(__xludf.DUMMYFUNCTION("""COMPUTED_VALUE"""),0.05)</f>
        <v/>
      </c>
      <c r="D253" s="2">
        <f>IFERROR(__xludf.DUMMYFUNCTION("""COMPUTED_VALUE"""),0.05)</f>
        <v/>
      </c>
      <c r="E253" s="2">
        <f>IFERROR(__xludf.DUMMYFUNCTION("""COMPUTED_VALUE"""),1366.8)</f>
        <v/>
      </c>
      <c r="F253" s="2">
        <f>IFERROR(__xludf.DUMMYFUNCTION("""COMPUTED_VALUE"""),1500.0)</f>
        <v/>
      </c>
      <c r="G253" s="2">
        <f>IFERROR(__xludf.DUMMYFUNCTION("""COMPUTED_VALUE"""),1750.0)</f>
        <v/>
      </c>
      <c r="H253" s="2">
        <f>IFERROR(__xludf.DUMMYFUNCTION("""COMPUTED_VALUE"""),1968.0)</f>
        <v/>
      </c>
      <c r="I253" s="2">
        <f>IFERROR(__xludf.DUMMYFUNCTION("""COMPUTED_VALUE"""),2187.0)</f>
        <v/>
      </c>
      <c r="J253" s="2">
        <f>IFERROR(__xludf.DUMMYFUNCTION("""COMPUTED_VALUE"""),1094.0)</f>
        <v/>
      </c>
      <c r="K253" s="2">
        <f>IFERROR(__xludf.DUMMYFUNCTION("""COMPUTED_VALUE"""),3.0)</f>
        <v/>
      </c>
      <c r="L253" s="2">
        <f>IFERROR(__xludf.DUMMYFUNCTION("""COMPUTED_VALUE"""),"Лампы производство, упаковка")</f>
        <v/>
      </c>
      <c r="M253" s="2">
        <f>IFERROR(__xludf.DUMMYFUNCTION("""COMPUTED_VALUE"""),"Лампы")</f>
        <v/>
      </c>
    </row>
    <row r="254">
      <c r="A254" s="5">
        <f>IFERROR(__xludf.DUMMYFUNCTION("""COMPUTED_VALUE"""),"GL8231")</f>
        <v/>
      </c>
      <c r="B254" s="5">
        <f>IFERROR(__xludf.DUMMYFUNCTION("""COMPUTED_VALUE"""),"GLERIO Line 36 Вт 4000К 91P-36D-4N-P")</f>
        <v/>
      </c>
      <c r="C254" s="2">
        <f>IFERROR(__xludf.DUMMYFUNCTION("""COMPUTED_VALUE"""),0.5)</f>
        <v/>
      </c>
      <c r="D254" s="2">
        <f>IFERROR(__xludf.DUMMYFUNCTION("""COMPUTED_VALUE"""),0.00396)</f>
        <v/>
      </c>
      <c r="E254" s="2">
        <f>IFERROR(__xludf.DUMMYFUNCTION("""COMPUTED_VALUE"""),1863.0)</f>
        <v/>
      </c>
      <c r="F254" s="2">
        <f>IFERROR(__xludf.DUMMYFUNCTION("""COMPUTED_VALUE"""),2310.0)</f>
        <v/>
      </c>
      <c r="G254" s="2">
        <f>IFERROR(__xludf.DUMMYFUNCTION("""COMPUTED_VALUE"""),2908.0)</f>
        <v/>
      </c>
      <c r="H254" s="2">
        <f>IFERROR(__xludf.DUMMYFUNCTION("""COMPUTED_VALUE"""),3266.0)</f>
        <v/>
      </c>
      <c r="I254" s="2">
        <f>IFERROR(__xludf.DUMMYFUNCTION("""COMPUTED_VALUE"""),3624.0)</f>
        <v/>
      </c>
      <c r="J254" s="2">
        <f>IFERROR(__xludf.DUMMYFUNCTION("""COMPUTED_VALUE"""),3266.0)</f>
        <v/>
      </c>
      <c r="K254" s="2">
        <f>IFERROR(__xludf.DUMMYFUNCTION("""COMPUTED_VALUE"""),6.0)</f>
        <v/>
      </c>
      <c r="L254" s="2">
        <f>IFERROR(__xludf.DUMMYFUNCTION("""COMPUTED_VALUE"""),"Line (Айсберг) до 10.2025")</f>
        <v/>
      </c>
      <c r="M254" s="2">
        <f>IFERROR(__xludf.DUMMYFUNCTION("""COMPUTED_VALUE"""),"Пластиковые (линейные), LED Светильники")</f>
        <v/>
      </c>
    </row>
    <row r="255">
      <c r="A255" s="5">
        <f>IFERROR(__xludf.DUMMYFUNCTION("""COMPUTED_VALUE"""),"GL023802")</f>
        <v/>
      </c>
      <c r="B255" s="5">
        <f>IFERROR(__xludf.DUMMYFUNCTION("""COMPUTED_VALUE"""),"Магистраль 38 Вт 01A-38S-4K")</f>
        <v/>
      </c>
      <c r="C255" s="2">
        <f>IFERROR(__xludf.DUMMYFUNCTION("""COMPUTED_VALUE"""),0.8)</f>
        <v/>
      </c>
      <c r="D255" s="2">
        <f>IFERROR(__xludf.DUMMYFUNCTION("""COMPUTED_VALUE"""),0.00449)</f>
        <v/>
      </c>
      <c r="E255" s="2">
        <f>IFERROR(__xludf.DUMMYFUNCTION("""COMPUTED_VALUE"""),1827.5)</f>
        <v/>
      </c>
      <c r="F255" s="2">
        <f>IFERROR(__xludf.DUMMYFUNCTION("""COMPUTED_VALUE"""),2460.0)</f>
        <v/>
      </c>
      <c r="G255" s="2">
        <f>IFERROR(__xludf.DUMMYFUNCTION("""COMPUTED_VALUE"""),3097.0)</f>
        <v/>
      </c>
      <c r="H255" s="2">
        <f>IFERROR(__xludf.DUMMYFUNCTION("""COMPUTED_VALUE"""),3478.0)</f>
        <v/>
      </c>
      <c r="I255" s="2">
        <f>IFERROR(__xludf.DUMMYFUNCTION("""COMPUTED_VALUE"""),3859.0)</f>
        <v/>
      </c>
      <c r="J255" s="2">
        <f>IFERROR(__xludf.DUMMYFUNCTION("""COMPUTED_VALUE"""),1828.0)</f>
        <v/>
      </c>
      <c r="K255" s="2">
        <f>IFERROR(__xludf.DUMMYFUNCTION("""COMPUTED_VALUE"""),1.0)</f>
        <v/>
      </c>
      <c r="L255" s="2">
        <f>IFERROR(__xludf.DUMMYFUNCTION("""COMPUTED_VALUE"""),"Архивные GLERIO")</f>
        <v/>
      </c>
      <c r="M255" s="2">
        <f>IFERROR(__xludf.DUMMYFUNCTION("""COMPUTED_VALUE"""),"Для автомагистралей, LED Светильники")</f>
        <v/>
      </c>
    </row>
    <row r="256">
      <c r="A256" s="5">
        <f>IFERROR(__xludf.DUMMYFUNCTION("""COMPUTED_VALUE"""),"R100628-2")</f>
        <v/>
      </c>
      <c r="B256" s="5">
        <f>IFERROR(__xludf.DUMMYFUNCTION("""COMPUTED_VALUE"""),"RSV-SPO-02-56W-6500К TPR (2 штуки в упаковке)")</f>
        <v/>
      </c>
      <c r="C256" s="2">
        <f>IFERROR(__xludf.DUMMYFUNCTION("""COMPUTED_VALUE"""),0.46)</f>
        <v/>
      </c>
      <c r="D256" s="2">
        <f>IFERROR(__xludf.DUMMYFUNCTION("""COMPUTED_VALUE"""),0.0)</f>
        <v/>
      </c>
      <c r="E256" s="2">
        <f>IFERROR(__xludf.DUMMYFUNCTION("""COMPUTED_VALUE"""),787.46)</f>
        <v/>
      </c>
      <c r="F256" s="2">
        <f>IFERROR(__xludf.DUMMYFUNCTION("""COMPUTED_VALUE"""),945.0)</f>
        <v/>
      </c>
      <c r="G256" s="2">
        <f>IFERROR(__xludf.DUMMYFUNCTION("""COMPUTED_VALUE"""),1008.0)</f>
        <v/>
      </c>
      <c r="H256" s="2">
        <f>IFERROR(__xludf.DUMMYFUNCTION("""COMPUTED_VALUE"""),1134.0)</f>
        <v/>
      </c>
      <c r="I256" s="2">
        <f>IFERROR(__xludf.DUMMYFUNCTION("""COMPUTED_VALUE"""),1260.0)</f>
        <v/>
      </c>
      <c r="J256" s="2">
        <f>IFERROR(__xludf.DUMMYFUNCTION("""COMPUTED_VALUE"""),630.0)</f>
        <v/>
      </c>
      <c r="K256" s="2">
        <f>IFERROR(__xludf.DUMMYFUNCTION("""COMPUTED_VALUE"""),9.0)</f>
        <v/>
      </c>
      <c r="L256" s="2">
        <f>IFERROR(__xludf.DUMMYFUNCTION("""COMPUTED_VALUE"""),"RSV-SPO Светильники Производство, упаковка (2 и 3 штуки)")</f>
        <v/>
      </c>
      <c r="M256" s="2">
        <f>IFERROR(__xludf.DUMMYFUNCTION("""COMPUTED_VALUE"""),"Пластиковые (линейные), Светильники общего назначения (LED), Накладные, Линейные (проходные), LED Светильники")</f>
        <v/>
      </c>
    </row>
    <row r="257">
      <c r="A257" s="5">
        <f>IFERROR(__xludf.DUMMYFUNCTION("""COMPUTED_VALUE"""),"4690612038162-2")</f>
        <v/>
      </c>
      <c r="B257" s="5">
        <f>IFERROR(__xludf.DUMMYFUNCTION("""COMPUTED_VALUE"""),"ДВО-02 3640-ПРИЗМА 36Вт 230В 4000К 4020Лм 110Лм/Вт 595х595х19 NEOX (2 шт в упак.)")</f>
        <v/>
      </c>
      <c r="C257" s="2">
        <f>IFERROR(__xludf.DUMMYFUNCTION("""COMPUTED_VALUE"""),1.29)</f>
        <v/>
      </c>
      <c r="D257" s="2">
        <f>IFERROR(__xludf.DUMMYFUNCTION("""COMPUTED_VALUE"""),0.0)</f>
        <v/>
      </c>
      <c r="E257" s="2">
        <f>IFERROR(__xludf.DUMMYFUNCTION("""COMPUTED_VALUE"""),1029.46)</f>
        <v/>
      </c>
      <c r="F257" s="2">
        <f>IFERROR(__xludf.DUMMYFUNCTION("""COMPUTED_VALUE"""),1130.0)</f>
        <v/>
      </c>
      <c r="G257" s="2">
        <f>IFERROR(__xludf.DUMMYFUNCTION("""COMPUTED_VALUE"""),1318.0)</f>
        <v/>
      </c>
      <c r="H257" s="2">
        <f>IFERROR(__xludf.DUMMYFUNCTION("""COMPUTED_VALUE"""),1482.0)</f>
        <v/>
      </c>
      <c r="I257" s="2">
        <f>IFERROR(__xludf.DUMMYFUNCTION("""COMPUTED_VALUE"""),1647.0)</f>
        <v/>
      </c>
      <c r="J257" s="2">
        <f>IFERROR(__xludf.DUMMYFUNCTION("""COMPUTED_VALUE"""),824.0)</f>
        <v/>
      </c>
      <c r="K257" s="2">
        <f>IFERROR(__xludf.DUMMYFUNCTION("""COMPUTED_VALUE"""),21.0)</f>
        <v/>
      </c>
      <c r="L257" s="2">
        <f>IFERROR(__xludf.DUMMYFUNCTION("""COMPUTED_VALUE"""),"NEOX Светильники LED ДВО - Призма производство, упаковка")</f>
        <v/>
      </c>
      <c r="M257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258">
      <c r="A258" s="5">
        <f>IFERROR(__xludf.DUMMYFUNCTION("""COMPUTED_VALUE"""),"55098")</f>
        <v/>
      </c>
      <c r="B258" s="5">
        <f>IFERROR(__xludf.DUMMYFUNCTION("""COMPUTED_VALUE"""),"Шарики 30 разноцветных мигающих LED ламп, зеленый провод, 5 м, соединяемая, 220 v /50")</f>
        <v/>
      </c>
      <c r="C258" s="2">
        <f>IFERROR(__xludf.DUMMYFUNCTION("""COMPUTED_VALUE"""),0.0)</f>
        <v/>
      </c>
      <c r="D258" s="2">
        <f>IFERROR(__xludf.DUMMYFUNCTION("""COMPUTED_VALUE"""),0.0)</f>
        <v/>
      </c>
      <c r="E258" s="2">
        <f>IFERROR(__xludf.DUMMYFUNCTION("""COMPUTED_VALUE"""),269.55)</f>
        <v/>
      </c>
      <c r="F258" s="2">
        <f>IFERROR(__xludf.DUMMYFUNCTION("""COMPUTED_VALUE"""),299.0)</f>
        <v/>
      </c>
      <c r="G258" s="2">
        <f>IFERROR(__xludf.DUMMYFUNCTION("""COMPUTED_VALUE"""),326.0)</f>
        <v/>
      </c>
      <c r="H258" s="2">
        <f>IFERROR(__xludf.DUMMYFUNCTION("""COMPUTED_VALUE"""),353.0)</f>
        <v/>
      </c>
      <c r="I258" s="2">
        <f>IFERROR(__xludf.DUMMYFUNCTION("""COMPUTED_VALUE"""),381.0)</f>
        <v/>
      </c>
      <c r="J258" s="2">
        <f>IFERROR(__xludf.DUMMYFUNCTION("""COMPUTED_VALUE"""),191.0)</f>
        <v/>
      </c>
      <c r="K258" s="2">
        <f>IFERROR(__xludf.DUMMYFUNCTION("""COMPUTED_VALUE"""),52.0)</f>
        <v/>
      </c>
      <c r="L258" s="2">
        <f>IFERROR(__xludf.DUMMYFUNCTION("""COMPUTED_VALUE"""),"Праздничная иллюминация")</f>
        <v/>
      </c>
      <c r="M258" s="2">
        <f>IFERROR(__xludf.DUMMYFUNCTION("""COMPUTED_VALUE"""),"Гирлянды светодиодные (LED), Прочие товары")</f>
        <v/>
      </c>
    </row>
    <row r="259">
      <c r="A259" s="5">
        <f>IFERROR(__xludf.DUMMYFUNCTION("""COMPUTED_VALUE"""),"Y1050x2100-ST-051")</f>
        <v/>
      </c>
      <c r="B259" s="5">
        <f>IFERROR(__xludf.DUMMYFUNCTION("""COMPUTED_VALUE"""),"Ярус хранения ГхШ 1050х2100 Cтeллaжа CT-051")</f>
        <v/>
      </c>
      <c r="C259" s="2">
        <f>IFERROR(__xludf.DUMMYFUNCTION("""COMPUTED_VALUE"""),0.0)</f>
        <v/>
      </c>
      <c r="D259" s="2">
        <f>IFERROR(__xludf.DUMMYFUNCTION("""COMPUTED_VALUE"""),0.0)</f>
        <v/>
      </c>
      <c r="E259" s="2">
        <f>IFERROR(__xludf.DUMMYFUNCTION("""COMPUTED_VALUE"""),0.0)</f>
        <v/>
      </c>
      <c r="F259" s="2">
        <f>IFERROR(__xludf.DUMMYFUNCTION("""COMPUTED_VALUE"""),4050.0)</f>
        <v/>
      </c>
      <c r="G259" s="2">
        <f>IFERROR(__xludf.DUMMYFUNCTION("""COMPUTED_VALUE"""),4320.0)</f>
        <v/>
      </c>
      <c r="H259" s="2">
        <f>IFERROR(__xludf.DUMMYFUNCTION("""COMPUTED_VALUE"""),4860.0)</f>
        <v/>
      </c>
      <c r="I259" s="2">
        <f>IFERROR(__xludf.DUMMYFUNCTION("""COMPUTED_VALUE"""),5400.5)</f>
        <v/>
      </c>
      <c r="J259" s="2">
        <f>IFERROR(__xludf.DUMMYFUNCTION("""COMPUTED_VALUE"""),4320.0)</f>
        <v/>
      </c>
      <c r="K259" s="2">
        <f>IFERROR(__xludf.DUMMYFUNCTION("""COMPUTED_VALUE"""),18.0)</f>
        <v/>
      </c>
      <c r="L259" s="2">
        <f>IFERROR(__xludf.DUMMYFUNCTION("""COMPUTED_VALUE"""),"Другие")</f>
        <v/>
      </c>
      <c r="M259" s="2">
        <f>IFERROR(__xludf.DUMMYFUNCTION("""COMPUTED_VALUE"""),"Прочие товары")</f>
        <v/>
      </c>
    </row>
    <row r="260">
      <c r="A260" s="5">
        <f>IFERROR(__xludf.DUMMYFUNCTION("""COMPUTED_VALUE"""),"G23214P")</f>
        <v/>
      </c>
      <c r="B260" s="5">
        <f>IFERROR(__xludf.DUMMYFUNCTION("""COMPUTED_VALUE"""),"Elementary A60 14W E27 2700K 1/50 (2 лампы в упаковке)")</f>
        <v/>
      </c>
      <c r="C260" s="2">
        <f>IFERROR(__xludf.DUMMYFUNCTION("""COMPUTED_VALUE"""),0.0)</f>
        <v/>
      </c>
      <c r="D260" s="2">
        <f>IFERROR(__xludf.DUMMYFUNCTION("""COMPUTED_VALUE"""),0.0)</f>
        <v/>
      </c>
      <c r="E260" s="2">
        <f>IFERROR(__xludf.DUMMYFUNCTION("""COMPUTED_VALUE"""),109.15)</f>
        <v/>
      </c>
      <c r="F260" s="2">
        <f>IFERROR(__xludf.DUMMYFUNCTION("""COMPUTED_VALUE"""),156.0)</f>
        <v/>
      </c>
      <c r="G260" s="2">
        <f>IFERROR(__xludf.DUMMYFUNCTION("""COMPUTED_VALUE"""),172.0)</f>
        <v/>
      </c>
      <c r="H260" s="2">
        <f>IFERROR(__xludf.DUMMYFUNCTION("""COMPUTED_VALUE"""),203.0)</f>
        <v/>
      </c>
      <c r="I260" s="2">
        <f>IFERROR(__xludf.DUMMYFUNCTION("""COMPUTED_VALUE"""),256.0)</f>
        <v/>
      </c>
      <c r="J260" s="2">
        <f>IFERROR(__xludf.DUMMYFUNCTION("""COMPUTED_VALUE"""),128.0)</f>
        <v/>
      </c>
      <c r="K260" s="2">
        <f>IFERROR(__xludf.DUMMYFUNCTION("""COMPUTED_VALUE"""),40.0)</f>
        <v/>
      </c>
      <c r="L260" s="2">
        <f>IFERROR(__xludf.DUMMYFUNCTION("""COMPUTED_VALUE"""),"Комплекты Gauss Elementary (x2, x3)")</f>
        <v/>
      </c>
      <c r="M260" s="2">
        <f>IFERROR(__xludf.DUMMYFUNCTION("""COMPUTED_VALUE"""),"Лампы")</f>
        <v/>
      </c>
    </row>
    <row r="261">
      <c r="A261" s="5">
        <f>IFERROR(__xludf.DUMMYFUNCTION("""COMPUTED_VALUE"""),"4690626055308")</f>
        <v/>
      </c>
      <c r="B261" s="5">
        <f>IFERROR(__xludf.DUMMYFUNCTION("""COMPUTED_VALUE"""),"SBL-DL-12-4K")</f>
        <v/>
      </c>
      <c r="C261" s="2">
        <f>IFERROR(__xludf.DUMMYFUNCTION("""COMPUTED_VALUE"""),0.3675)</f>
        <v/>
      </c>
      <c r="D261" s="2">
        <f>IFERROR(__xludf.DUMMYFUNCTION("""COMPUTED_VALUE"""),1.0E-5)</f>
        <v/>
      </c>
      <c r="E261" s="2">
        <f>IFERROR(__xludf.DUMMYFUNCTION("""COMPUTED_VALUE"""),165.3)</f>
        <v/>
      </c>
      <c r="F261" s="2">
        <f>IFERROR(__xludf.DUMMYFUNCTION("""COMPUTED_VALUE"""),189.0)</f>
        <v/>
      </c>
      <c r="G261" s="2">
        <f>IFERROR(__xludf.DUMMYFUNCTION("""COMPUTED_VALUE"""),208.0)</f>
        <v/>
      </c>
      <c r="H261" s="2">
        <f>IFERROR(__xludf.DUMMYFUNCTION("""COMPUTED_VALUE"""),231.0)</f>
        <v/>
      </c>
      <c r="I261" s="2">
        <f>IFERROR(__xludf.DUMMYFUNCTION("""COMPUTED_VALUE"""),254.0)</f>
        <v/>
      </c>
      <c r="J261" s="2">
        <f>IFERROR(__xludf.DUMMYFUNCTION("""COMPUTED_VALUE"""),127.0)</f>
        <v/>
      </c>
      <c r="K261" s="2">
        <f>IFERROR(__xludf.DUMMYFUNCTION("""COMPUTED_VALUE"""),4.0)</f>
        <v/>
      </c>
      <c r="L261" s="2">
        <f>IFERROR(__xludf.DUMMYFUNCTION("""COMPUTED_VALUE"""),"Smartbuy LED светильники")</f>
        <v/>
      </c>
      <c r="M261" s="2">
        <f>IFERROR(__xludf.DUMMYFUNCTION("""COMPUTED_VALUE"""),"Встраиваемые, LED Светильники")</f>
        <v/>
      </c>
    </row>
    <row r="262">
      <c r="A262" s="5">
        <f>IFERROR(__xludf.DUMMYFUNCTION("""COMPUTED_VALUE"""),"4690612033860")</f>
        <v/>
      </c>
      <c r="B262" s="5">
        <f>IFERROR(__xludf.DUMMYFUNCTION("""COMPUTED_VALUE"""),"ДД 020B 800Вт 360 гр.6м IP33 белый IN HOME")</f>
        <v/>
      </c>
      <c r="C262" s="2">
        <f>IFERROR(__xludf.DUMMYFUNCTION("""COMPUTED_VALUE"""),0.182)</f>
        <v/>
      </c>
      <c r="D262" s="2">
        <f>IFERROR(__xludf.DUMMYFUNCTION("""COMPUTED_VALUE"""),0.001)</f>
        <v/>
      </c>
      <c r="E262" s="2">
        <f>IFERROR(__xludf.DUMMYFUNCTION("""COMPUTED_VALUE"""),298.03)</f>
        <v/>
      </c>
      <c r="F262" s="2">
        <f>IFERROR(__xludf.DUMMYFUNCTION("""COMPUTED_VALUE"""),411.0)</f>
        <v/>
      </c>
      <c r="G262" s="2">
        <f>IFERROR(__xludf.DUMMYFUNCTION("""COMPUTED_VALUE"""),462.0)</f>
        <v/>
      </c>
      <c r="H262" s="2">
        <f>IFERROR(__xludf.DUMMYFUNCTION("""COMPUTED_VALUE"""),536.0)</f>
        <v/>
      </c>
      <c r="I262" s="2">
        <f>IFERROR(__xludf.DUMMYFUNCTION("""COMPUTED_VALUE"""),616.0)</f>
        <v/>
      </c>
      <c r="J262" s="2">
        <f>IFERROR(__xludf.DUMMYFUNCTION("""COMPUTED_VALUE"""),308.0)</f>
        <v/>
      </c>
      <c r="K262" s="2">
        <f>IFERROR(__xludf.DUMMYFUNCTION("""COMPUTED_VALUE"""),1.0)</f>
        <v/>
      </c>
      <c r="L262" s="2">
        <f>IFERROR(__xludf.DUMMYFUNCTION("""COMPUTED_VALUE"""),"ASD Комплектующие")</f>
        <v/>
      </c>
      <c r="M262" s="2">
        <f>IFERROR(__xludf.DUMMYFUNCTION("""COMPUTED_VALUE"""),"Прочие товары")</f>
        <v/>
      </c>
    </row>
    <row r="263">
      <c r="A263" s="5">
        <f>IFERROR(__xludf.DUMMYFUNCTION("""COMPUTED_VALUE"""),"4690626062733")</f>
        <v/>
      </c>
      <c r="B263" s="5">
        <f>IFERROR(__xludf.DUMMYFUNCTION("""COMPUTED_VALUE"""),"Настенный светильник, на солн. батар., с датчиком движ., 20 LED, черный (SBF-21-MS)")</f>
        <v/>
      </c>
      <c r="C263" s="2">
        <f>IFERROR(__xludf.DUMMYFUNCTION("""COMPUTED_VALUE"""),0.0)</f>
        <v/>
      </c>
      <c r="D263" s="2">
        <f>IFERROR(__xludf.DUMMYFUNCTION("""COMPUTED_VALUE"""),0.0)</f>
        <v/>
      </c>
      <c r="E263" s="2">
        <f>IFERROR(__xludf.DUMMYFUNCTION("""COMPUTED_VALUE"""),271.61)</f>
        <v/>
      </c>
      <c r="F263" s="2">
        <f>IFERROR(__xludf.DUMMYFUNCTION("""COMPUTED_VALUE"""),295.0)</f>
        <v/>
      </c>
      <c r="G263" s="2">
        <f>IFERROR(__xludf.DUMMYFUNCTION("""COMPUTED_VALUE"""),324.0)</f>
        <v/>
      </c>
      <c r="H263" s="2">
        <f>IFERROR(__xludf.DUMMYFUNCTION("""COMPUTED_VALUE"""),360.0)</f>
        <v/>
      </c>
      <c r="I263" s="2">
        <f>IFERROR(__xludf.DUMMYFUNCTION("""COMPUTED_VALUE"""),396.0)</f>
        <v/>
      </c>
      <c r="J263" s="2">
        <f>IFERROR(__xludf.DUMMYFUNCTION("""COMPUTED_VALUE"""),198.0)</f>
        <v/>
      </c>
      <c r="K263" s="2">
        <f>IFERROR(__xludf.DUMMYFUNCTION("""COMPUTED_VALUE"""),9.0)</f>
        <v/>
      </c>
      <c r="L263" s="2">
        <f>IFERROR(__xludf.DUMMYFUNCTION("""COMPUTED_VALUE"""),"Smartbuy LED светильники")</f>
        <v/>
      </c>
      <c r="M263" s="2">
        <f>IFERROR(__xludf.DUMMYFUNCTION("""COMPUTED_VALUE"""),"Накладные, LED Светильники")</f>
        <v/>
      </c>
    </row>
    <row r="264">
      <c r="A264" s="5">
        <f>IFERROR(__xludf.DUMMYFUNCTION("""COMPUTED_VALUE"""),"4690612034430")</f>
        <v/>
      </c>
      <c r="B264" s="5">
        <f>IFERROR(__xludf.DUMMYFUNCTION("""COMPUTED_VALUE"""),"COMFORT LUNA 60Вт 230В 3000-6500K 4800Лм 500х110мм c пультом ДУ IN HOME")</f>
        <v/>
      </c>
      <c r="C264" s="2">
        <f>IFERROR(__xludf.DUMMYFUNCTION("""COMPUTED_VALUE"""),1.74)</f>
        <v/>
      </c>
      <c r="D264" s="2">
        <f>IFERROR(__xludf.DUMMYFUNCTION("""COMPUTED_VALUE"""),0.04)</f>
        <v/>
      </c>
      <c r="E264" s="2">
        <f>IFERROR(__xludf.DUMMYFUNCTION("""COMPUTED_VALUE"""),3167.84)</f>
        <v/>
      </c>
      <c r="F264" s="2">
        <f>IFERROR(__xludf.DUMMYFUNCTION("""COMPUTED_VALUE"""),2853.0)</f>
        <v/>
      </c>
      <c r="G264" s="2">
        <f>IFERROR(__xludf.DUMMYFUNCTION("""COMPUTED_VALUE"""),3210.0)</f>
        <v/>
      </c>
      <c r="H264" s="2">
        <f>IFERROR(__xludf.DUMMYFUNCTION("""COMPUTED_VALUE"""),3724.0)</f>
        <v/>
      </c>
      <c r="I264" s="2">
        <f>IFERROR(__xludf.DUMMYFUNCTION("""COMPUTED_VALUE"""),4280.0)</f>
        <v/>
      </c>
      <c r="J264" s="2">
        <f>IFERROR(__xludf.DUMMYFUNCTION("""COMPUTED_VALUE"""),2140.0)</f>
        <v/>
      </c>
      <c r="K264" s="2">
        <f>IFERROR(__xludf.DUMMYFUNCTION("""COMPUTED_VALUE"""),1.0)</f>
        <v/>
      </c>
      <c r="L264" s="2">
        <f>IFERROR(__xludf.DUMMYFUNCTION("""COMPUTED_VALUE"""),"Светильники светодиодные COMFORT")</f>
        <v/>
      </c>
      <c r="M264" s="2">
        <f>IFERROR(__xludf.DUMMYFUNCTION("""COMPUTED_VALUE"""),"Точечные круглые Downlight, LED Светильники")</f>
        <v/>
      </c>
    </row>
    <row r="265">
      <c r="A265" s="5">
        <f>IFERROR(__xludf.DUMMYFUNCTION("""COMPUTED_VALUE"""),"4690612035819")</f>
        <v/>
      </c>
      <c r="B265" s="5">
        <f>IFERROR(__xludf.DUMMYFUNCTION("""COMPUTED_VALUE"""),"ССО 11Б 8Вт 6500К 640Лм RGB-подсветка, сенсор-диммер, USB-кабель БЕЛЫЙ IN HOME")</f>
        <v/>
      </c>
      <c r="C265" s="2">
        <f>IFERROR(__xludf.DUMMYFUNCTION("""COMPUTED_VALUE"""),0.37813)</f>
        <v/>
      </c>
      <c r="D265" s="2">
        <f>IFERROR(__xludf.DUMMYFUNCTION("""COMPUTED_VALUE"""),0.00328)</f>
        <v/>
      </c>
      <c r="E265" s="2">
        <f>IFERROR(__xludf.DUMMYFUNCTION("""COMPUTED_VALUE"""),858.0)</f>
        <v/>
      </c>
      <c r="F265" s="2">
        <f>IFERROR(__xludf.DUMMYFUNCTION("""COMPUTED_VALUE"""),759.0)</f>
        <v/>
      </c>
      <c r="G265" s="2">
        <f>IFERROR(__xludf.DUMMYFUNCTION("""COMPUTED_VALUE"""),854.0)</f>
        <v/>
      </c>
      <c r="H265" s="2">
        <f>IFERROR(__xludf.DUMMYFUNCTION("""COMPUTED_VALUE"""),990.0)</f>
        <v/>
      </c>
      <c r="I265" s="2">
        <f>IFERROR(__xludf.DUMMYFUNCTION("""COMPUTED_VALUE"""),1138.0)</f>
        <v/>
      </c>
      <c r="J265" s="2">
        <f>IFERROR(__xludf.DUMMYFUNCTION("""COMPUTED_VALUE"""),569.0)</f>
        <v/>
      </c>
      <c r="K265" s="2">
        <f>IFERROR(__xludf.DUMMYFUNCTION("""COMPUTED_VALUE"""),2.0)</f>
        <v/>
      </c>
      <c r="L265" s="2">
        <f>IFERROR(__xludf.DUMMYFUNCTION("""COMPUTED_VALUE"""),"Светильники настольные светодиодные")</f>
        <v/>
      </c>
      <c r="M265" s="2">
        <f>IFERROR(__xludf.DUMMYFUNCTION("""COMPUTED_VALUE"""),"Светильники общего назначения (LED), Декоративные, LED Светильники")</f>
        <v/>
      </c>
    </row>
    <row r="266">
      <c r="A266" s="5">
        <f>IFERROR(__xludf.DUMMYFUNCTION("""COMPUTED_VALUE"""),"4690612023069")</f>
        <v/>
      </c>
      <c r="B266" s="5">
        <f>IFERROR(__xludf.DUMMYFUNCTION("""COMPUTED_VALUE"""),"LS 35CW-60/33-5-AP 60LED 24Вт IP33 6000K")</f>
        <v/>
      </c>
      <c r="C266" s="2">
        <f>IFERROR(__xludf.DUMMYFUNCTION("""COMPUTED_VALUE"""),0.19)</f>
        <v/>
      </c>
      <c r="D266" s="2">
        <f>IFERROR(__xludf.DUMMYFUNCTION("""COMPUTED_VALUE"""),0.00188)</f>
        <v/>
      </c>
      <c r="E266" s="2">
        <f>IFERROR(__xludf.DUMMYFUNCTION("""COMPUTED_VALUE"""),493.52)</f>
        <v/>
      </c>
      <c r="F266" s="2">
        <f>IFERROR(__xludf.DUMMYFUNCTION("""COMPUTED_VALUE"""),531.0)</f>
        <v/>
      </c>
      <c r="G266" s="2">
        <f>IFERROR(__xludf.DUMMYFUNCTION("""COMPUTED_VALUE"""),597.0)</f>
        <v/>
      </c>
      <c r="H266" s="2">
        <f>IFERROR(__xludf.DUMMYFUNCTION("""COMPUTED_VALUE"""),693.0)</f>
        <v/>
      </c>
      <c r="I266" s="2">
        <f>IFERROR(__xludf.DUMMYFUNCTION("""COMPUTED_VALUE"""),796.0)</f>
        <v/>
      </c>
      <c r="J266" s="2">
        <f>IFERROR(__xludf.DUMMYFUNCTION("""COMPUTED_VALUE"""),398.0)</f>
        <v/>
      </c>
      <c r="K266" s="2">
        <f>IFERROR(__xludf.DUMMYFUNCTION("""COMPUTED_VALUE"""),2.0)</f>
        <v/>
      </c>
      <c r="L266" s="2">
        <f>IFERROR(__xludf.DUMMYFUNCTION("""COMPUTED_VALUE"""),"Светодиодная лента LS")</f>
        <v/>
      </c>
      <c r="M266" s="2">
        <f>IFERROR(__xludf.DUMMYFUNCTION("""COMPUTED_VALUE"""),"Светодиодная лента, LED Светильники")</f>
        <v/>
      </c>
    </row>
    <row r="267">
      <c r="A267" s="5">
        <f>IFERROR(__xludf.DUMMYFUNCTION("""COMPUTED_VALUE"""),"4690612039183")</f>
        <v/>
      </c>
      <c r="B267" s="5">
        <f>IFERROR(__xludf.DUMMYFUNCTION("""COMPUTED_VALUE"""),"ДПО-108 36Вт 230В 4000К 3420Лм 1200мм IP40 NEOX")</f>
        <v/>
      </c>
      <c r="C267" s="2">
        <f>IFERROR(__xludf.DUMMYFUNCTION("""COMPUTED_VALUE"""),0.335)</f>
        <v/>
      </c>
      <c r="D267" s="2">
        <f>IFERROR(__xludf.DUMMYFUNCTION("""COMPUTED_VALUE"""),0.00252)</f>
        <v/>
      </c>
      <c r="E267" s="2">
        <f>IFERROR(__xludf.DUMMYFUNCTION("""COMPUTED_VALUE"""),297.0)</f>
        <v/>
      </c>
      <c r="F267" s="2">
        <f>IFERROR(__xludf.DUMMYFUNCTION("""COMPUTED_VALUE"""),353.0)</f>
        <v/>
      </c>
      <c r="G267" s="2">
        <f>IFERROR(__xludf.DUMMYFUNCTION("""COMPUTED_VALUE"""),398.0)</f>
        <v/>
      </c>
      <c r="H267" s="2">
        <f>IFERROR(__xludf.DUMMYFUNCTION("""COMPUTED_VALUE"""),461.0)</f>
        <v/>
      </c>
      <c r="I267" s="2">
        <f>IFERROR(__xludf.DUMMYFUNCTION("""COMPUTED_VALUE"""),530.0)</f>
        <v/>
      </c>
      <c r="J267" s="2">
        <f>IFERROR(__xludf.DUMMYFUNCTION("""COMPUTED_VALUE"""),265.0)</f>
        <v/>
      </c>
      <c r="K267" s="2">
        <f>IFERROR(__xludf.DUMMYFUNCTION("""COMPUTED_VALUE"""),6.0)</f>
        <v/>
      </c>
      <c r="L267" s="2">
        <f>IFERROR(__xludf.DUMMYFUNCTION("""COMPUTED_VALUE"""),"NEOX Светильники LED ДПО")</f>
        <v/>
      </c>
      <c r="M267" s="2">
        <f>IFERROR(__xludf.DUMMYFUNCTION("""COMPUTED_VALUE"""),"Накладные, LED Светильники")</f>
        <v/>
      </c>
    </row>
    <row r="268">
      <c r="A268" s="5">
        <f>IFERROR(__xludf.DUMMYFUNCTION("""COMPUTED_VALUE"""),"G103101107-10")</f>
        <v/>
      </c>
      <c r="B268" s="5">
        <f>IFERROR(__xludf.DUMMYFUNCTION("""COMPUTED_VALUE"""),"10 шт. Лампа Candle E14 6.5W 3000К 1/10/100 (Комплект 10 шт)")</f>
        <v/>
      </c>
      <c r="C268" s="2">
        <f>IFERROR(__xludf.DUMMYFUNCTION("""COMPUTED_VALUE"""),0.04)</f>
        <v/>
      </c>
      <c r="D268" s="2">
        <f>IFERROR(__xludf.DUMMYFUNCTION("""COMPUTED_VALUE"""),0.0)</f>
        <v/>
      </c>
      <c r="E268" s="2">
        <f>IFERROR(__xludf.DUMMYFUNCTION("""COMPUTED_VALUE"""),788.7)</f>
        <v/>
      </c>
      <c r="F268" s="2">
        <f>IFERROR(__xludf.DUMMYFUNCTION("""COMPUTED_VALUE"""),865.0)</f>
        <v/>
      </c>
      <c r="G268" s="2">
        <f>IFERROR(__xludf.DUMMYFUNCTION("""COMPUTED_VALUE"""),1010.0)</f>
        <v/>
      </c>
      <c r="H268" s="2">
        <f>IFERROR(__xludf.DUMMYFUNCTION("""COMPUTED_VALUE"""),1136.0)</f>
        <v/>
      </c>
      <c r="I268" s="2">
        <f>IFERROR(__xludf.DUMMYFUNCTION("""COMPUTED_VALUE"""),1262.0)</f>
        <v/>
      </c>
      <c r="J268" s="2">
        <f>IFERROR(__xludf.DUMMYFUNCTION("""COMPUTED_VALUE"""),631.0)</f>
        <v/>
      </c>
      <c r="K268" s="2">
        <f>IFERROR(__xludf.DUMMYFUNCTION("""COMPUTED_VALUE"""),5.0)</f>
        <v/>
      </c>
      <c r="L268" s="2">
        <f>IFERROR(__xludf.DUMMYFUNCTION("""COMPUTED_VALUE"""),"Лампы производство, упаковка")</f>
        <v/>
      </c>
      <c r="M268" s="2">
        <f>IFERROR(__xludf.DUMMYFUNCTION("""COMPUTED_VALUE"""),"Лампы")</f>
        <v/>
      </c>
    </row>
    <row r="269">
      <c r="A269" s="5">
        <f>IFERROR(__xludf.DUMMYFUNCTION("""COMPUTED_VALUE"""),"4690612020303")</f>
        <v/>
      </c>
      <c r="B269" s="5">
        <f>IFERROR(__xludf.DUMMYFUNCTION("""COMPUTED_VALUE"""),"LED-A60-VC 20Вт 230В Е27 4000К 1900Лм IN HOME")</f>
        <v/>
      </c>
      <c r="C269" s="2">
        <f>IFERROR(__xludf.DUMMYFUNCTION("""COMPUTED_VALUE"""),0.05500000000000001)</f>
        <v/>
      </c>
      <c r="D269" s="2">
        <f>IFERROR(__xludf.DUMMYFUNCTION("""COMPUTED_VALUE"""),4.0E-4)</f>
        <v/>
      </c>
      <c r="E269" s="2">
        <f>IFERROR(__xludf.DUMMYFUNCTION("""COMPUTED_VALUE"""),51.6)</f>
        <v/>
      </c>
      <c r="F269" s="2">
        <f>IFERROR(__xludf.DUMMYFUNCTION("""COMPUTED_VALUE"""),60.0)</f>
        <v/>
      </c>
      <c r="G269" s="2">
        <f>IFERROR(__xludf.DUMMYFUNCTION("""COMPUTED_VALUE"""),68.0)</f>
        <v/>
      </c>
      <c r="H269" s="2">
        <f>IFERROR(__xludf.DUMMYFUNCTION("""COMPUTED_VALUE"""),78.0)</f>
        <v/>
      </c>
      <c r="I269" s="2">
        <f>IFERROR(__xludf.DUMMYFUNCTION("""COMPUTED_VALUE"""),90.5)</f>
        <v/>
      </c>
      <c r="J269" s="2">
        <f>IFERROR(__xludf.DUMMYFUNCTION("""COMPUTED_VALUE"""),45.0)</f>
        <v/>
      </c>
      <c r="K269" s="2">
        <f>IFERROR(__xludf.DUMMYFUNCTION("""COMPUTED_VALUE"""),2.0)</f>
        <v/>
      </c>
      <c r="L269" s="2">
        <f>IFERROR(__xludf.DUMMYFUNCTION("""COMPUTED_VALUE"""),"Лампа светодиодная LED-A60-standard")</f>
        <v/>
      </c>
      <c r="M269" s="2">
        <f>IFERROR(__xludf.DUMMYFUNCTION("""COMPUTED_VALUE"""),"Лампы")</f>
        <v/>
      </c>
    </row>
    <row r="270">
      <c r="A270" s="5">
        <f>IFERROR(__xludf.DUMMYFUNCTION("""COMPUTED_VALUE"""),"4690612001531")</f>
        <v/>
      </c>
      <c r="B270" s="5">
        <f>IFERROR(__xludf.DUMMYFUNCTION("""COMPUTED_VALUE"""),"LED-R50-standard 5.0Вт 160-260В Е14 3000K 400лм")</f>
        <v/>
      </c>
      <c r="C270" s="2">
        <f>IFERROR(__xludf.DUMMYFUNCTION("""COMPUTED_VALUE"""),0.043)</f>
        <v/>
      </c>
      <c r="D270" s="2">
        <f>IFERROR(__xludf.DUMMYFUNCTION("""COMPUTED_VALUE"""),2.8E-4)</f>
        <v/>
      </c>
      <c r="E270" s="2">
        <f>IFERROR(__xludf.DUMMYFUNCTION("""COMPUTED_VALUE"""),46.23)</f>
        <v/>
      </c>
      <c r="F270" s="2">
        <f>IFERROR(__xludf.DUMMYFUNCTION("""COMPUTED_VALUE"""),35.0)</f>
        <v/>
      </c>
      <c r="G270" s="2">
        <f>IFERROR(__xludf.DUMMYFUNCTION("""COMPUTED_VALUE"""),39.0)</f>
        <v/>
      </c>
      <c r="H270" s="2">
        <f>IFERROR(__xludf.DUMMYFUNCTION("""COMPUTED_VALUE"""),45.0)</f>
        <v/>
      </c>
      <c r="I270" s="2">
        <f>IFERROR(__xludf.DUMMYFUNCTION("""COMPUTED_VALUE"""),52.75)</f>
        <v/>
      </c>
      <c r="J270" s="2">
        <f>IFERROR(__xludf.DUMMYFUNCTION("""COMPUTED_VALUE"""),26.0)</f>
        <v/>
      </c>
      <c r="K270" s="2">
        <f>IFERROR(__xludf.DUMMYFUNCTION("""COMPUTED_VALUE"""),23.0)</f>
        <v/>
      </c>
      <c r="L270" s="2">
        <f>IFERROR(__xludf.DUMMYFUNCTION("""COMPUTED_VALUE"""),"Лампа светодиодная LED-R-standard")</f>
        <v/>
      </c>
      <c r="M270" s="2">
        <f>IFERROR(__xludf.DUMMYFUNCTION("""COMPUTED_VALUE"""),"Лампы")</f>
        <v/>
      </c>
    </row>
    <row r="271">
      <c r="A271" s="5">
        <f>IFERROR(__xludf.DUMMYFUNCTION("""COMPUTED_VALUE"""),"4690612024127")</f>
        <v/>
      </c>
      <c r="B271" s="5">
        <f>IFERROR(__xludf.DUMMYFUNCTION("""COMPUTED_VALUE"""),"LED-A70-VC 30Вт 230В Е27 3000К 2850Лм IN HOME")</f>
        <v/>
      </c>
      <c r="C271" s="2">
        <f>IFERROR(__xludf.DUMMYFUNCTION("""COMPUTED_VALUE"""),0.084)</f>
        <v/>
      </c>
      <c r="D271" s="2">
        <f>IFERROR(__xludf.DUMMYFUNCTION("""COMPUTED_VALUE"""),8.0E-4)</f>
        <v/>
      </c>
      <c r="E271" s="2">
        <f>IFERROR(__xludf.DUMMYFUNCTION("""COMPUTED_VALUE"""),121.94)</f>
        <v/>
      </c>
      <c r="F271" s="2">
        <f>IFERROR(__xludf.DUMMYFUNCTION("""COMPUTED_VALUE"""),101.0)</f>
        <v/>
      </c>
      <c r="G271" s="2">
        <f>IFERROR(__xludf.DUMMYFUNCTION("""COMPUTED_VALUE"""),113.0)</f>
        <v/>
      </c>
      <c r="H271" s="2">
        <f>IFERROR(__xludf.DUMMYFUNCTION("""COMPUTED_VALUE"""),131.0)</f>
        <v/>
      </c>
      <c r="I271" s="2">
        <f>IFERROR(__xludf.DUMMYFUNCTION("""COMPUTED_VALUE"""),151.5)</f>
        <v/>
      </c>
      <c r="J271" s="2">
        <f>IFERROR(__xludf.DUMMYFUNCTION("""COMPUTED_VALUE"""),76.0)</f>
        <v/>
      </c>
      <c r="K271" s="2">
        <f>IFERROR(__xludf.DUMMYFUNCTION("""COMPUTED_VALUE"""),18.0)</f>
        <v/>
      </c>
      <c r="L271" s="2">
        <f>IFERROR(__xludf.DUMMYFUNCTION("""COMPUTED_VALUE"""),"ASD лампы LED")</f>
        <v/>
      </c>
      <c r="M271" s="2">
        <f>IFERROR(__xludf.DUMMYFUNCTION("""COMPUTED_VALUE"""),"Лампы")</f>
        <v/>
      </c>
    </row>
    <row r="272">
      <c r="A272" s="5">
        <f>IFERROR(__xludf.DUMMYFUNCTION("""COMPUTED_VALUE"""),"4680005957873")</f>
        <v/>
      </c>
      <c r="B272" s="5">
        <f>IFERROR(__xludf.DUMMYFUNCTION("""COMPUTED_VALUE"""),"Патрон-переходник ППК Е27/Е40 короткий LLT")</f>
        <v/>
      </c>
      <c r="C272" s="2">
        <f>IFERROR(__xludf.DUMMYFUNCTION("""COMPUTED_VALUE"""),0.048)</f>
        <v/>
      </c>
      <c r="D272" s="2">
        <f>IFERROR(__xludf.DUMMYFUNCTION("""COMPUTED_VALUE"""),2.2E-4)</f>
        <v/>
      </c>
      <c r="E272" s="2">
        <f>IFERROR(__xludf.DUMMYFUNCTION("""COMPUTED_VALUE"""),50.2)</f>
        <v/>
      </c>
      <c r="F272" s="2">
        <f>IFERROR(__xludf.DUMMYFUNCTION("""COMPUTED_VALUE"""),58.0)</f>
        <v/>
      </c>
      <c r="G272" s="2">
        <f>IFERROR(__xludf.DUMMYFUNCTION("""COMPUTED_VALUE"""),65.0)</f>
        <v/>
      </c>
      <c r="H272" s="2">
        <f>IFERROR(__xludf.DUMMYFUNCTION("""COMPUTED_VALUE"""),76.0)</f>
        <v/>
      </c>
      <c r="I272" s="2">
        <f>IFERROR(__xludf.DUMMYFUNCTION("""COMPUTED_VALUE"""),87.0)</f>
        <v/>
      </c>
      <c r="J272" s="2">
        <f>IFERROR(__xludf.DUMMYFUNCTION("""COMPUTED_VALUE"""),58.0)</f>
        <v/>
      </c>
      <c r="K272" s="2">
        <f>IFERROR(__xludf.DUMMYFUNCTION("""COMPUTED_VALUE"""),23.0)</f>
        <v/>
      </c>
      <c r="L272" s="2">
        <f>IFERROR(__xludf.DUMMYFUNCTION("""COMPUTED_VALUE"""),"ASD электромонтажные изделия")</f>
        <v/>
      </c>
      <c r="M272" s="2">
        <f>IFERROR(__xludf.DUMMYFUNCTION("""COMPUTED_VALUE"""),"Прочие товары")</f>
        <v/>
      </c>
    </row>
    <row r="273">
      <c r="A273" s="5">
        <f>IFERROR(__xludf.DUMMYFUNCTION("""COMPUTED_VALUE"""),"4690612008660")</f>
        <v/>
      </c>
      <c r="B273" s="5">
        <f>IFERROR(__xludf.DUMMYFUNCTION("""COMPUTED_VALUE"""),"MB-1 Крепление для прожектора для монтажа на трубу продольное LLT")</f>
        <v/>
      </c>
      <c r="C273" s="2">
        <f>IFERROR(__xludf.DUMMYFUNCTION("""COMPUTED_VALUE"""),0.4062500000000001)</f>
        <v/>
      </c>
      <c r="D273" s="2">
        <f>IFERROR(__xludf.DUMMYFUNCTION("""COMPUTED_VALUE"""),0.00106)</f>
        <v/>
      </c>
      <c r="E273" s="2">
        <f>IFERROR(__xludf.DUMMYFUNCTION("""COMPUTED_VALUE"""),259.98)</f>
        <v/>
      </c>
      <c r="F273" s="2">
        <f>IFERROR(__xludf.DUMMYFUNCTION("""COMPUTED_VALUE"""),280.0)</f>
        <v/>
      </c>
      <c r="G273" s="2">
        <f>IFERROR(__xludf.DUMMYFUNCTION("""COMPUTED_VALUE"""),315.0)</f>
        <v/>
      </c>
      <c r="H273" s="2">
        <f>IFERROR(__xludf.DUMMYFUNCTION("""COMPUTED_VALUE"""),365.0)</f>
        <v/>
      </c>
      <c r="I273" s="2">
        <f>IFERROR(__xludf.DUMMYFUNCTION("""COMPUTED_VALUE"""),420.0)</f>
        <v/>
      </c>
      <c r="J273" s="2">
        <f>IFERROR(__xludf.DUMMYFUNCTION("""COMPUTED_VALUE"""),210.0)</f>
        <v/>
      </c>
      <c r="K273" s="2">
        <f>IFERROR(__xludf.DUMMYFUNCTION("""COMPUTED_VALUE"""),12.0)</f>
        <v/>
      </c>
      <c r="L273" s="2">
        <f>IFERROR(__xludf.DUMMYFUNCTION("""COMPUTED_VALUE"""),"ASD Комплектующие")</f>
        <v/>
      </c>
      <c r="M273" s="2">
        <f>IFERROR(__xludf.DUMMYFUNCTION("""COMPUTED_VALUE"""),"Прочие товары")</f>
        <v/>
      </c>
    </row>
    <row r="274">
      <c r="A274" s="5">
        <f>IFERROR(__xludf.DUMMYFUNCTION("""COMPUTED_VALUE"""),"ms6181")</f>
        <v/>
      </c>
      <c r="B274" s="5">
        <f>IFERROR(__xludf.DUMMYFUNCTION("""COMPUTED_VALUE"""),"Лампочка галогенная 20Вт 2700К 220Лм G4 12В")</f>
        <v/>
      </c>
      <c r="C274" s="2">
        <f>IFERROR(__xludf.DUMMYFUNCTION("""COMPUTED_VALUE"""),0.0)</f>
        <v/>
      </c>
      <c r="D274" s="2">
        <f>IFERROR(__xludf.DUMMYFUNCTION("""COMPUTED_VALUE"""),0.0)</f>
        <v/>
      </c>
      <c r="E274" s="2">
        <f>IFERROR(__xludf.DUMMYFUNCTION("""COMPUTED_VALUE"""),19.55)</f>
        <v/>
      </c>
      <c r="F274" s="2">
        <f>IFERROR(__xludf.DUMMYFUNCTION("""COMPUTED_VALUE"""),14.0)</f>
        <v/>
      </c>
      <c r="G274" s="2">
        <f>IFERROR(__xludf.DUMMYFUNCTION("""COMPUTED_VALUE"""),15.0)</f>
        <v/>
      </c>
      <c r="H274" s="2">
        <f>IFERROR(__xludf.DUMMYFUNCTION("""COMPUTED_VALUE"""),17.0)</f>
        <v/>
      </c>
      <c r="I274" s="2">
        <f>IFERROR(__xludf.DUMMYFUNCTION("""COMPUTED_VALUE"""),19.09)</f>
        <v/>
      </c>
      <c r="J274" s="2">
        <f>IFERROR(__xludf.DUMMYFUNCTION("""COMPUTED_VALUE"""),10.0)</f>
        <v/>
      </c>
      <c r="K274" s="2">
        <f>IFERROR(__xludf.DUMMYFUNCTION("""COMPUTED_VALUE"""),75.0)</f>
        <v/>
      </c>
      <c r="L274" s="2">
        <f>IFERROR(__xludf.DUMMYFUNCTION("""COMPUTED_VALUE"""),"ms6 (тендер)")</f>
        <v/>
      </c>
      <c r="M274" s="2">
        <f>IFERROR(__xludf.DUMMYFUNCTION("""COMPUTED_VALUE"""),"LED Светильники")</f>
        <v/>
      </c>
    </row>
    <row r="275">
      <c r="A275" s="5">
        <f>IFERROR(__xludf.DUMMYFUNCTION("""COMPUTED_VALUE"""),"4690612035659-10")</f>
        <v/>
      </c>
      <c r="B275" s="5">
        <f>IFERROR(__xludf.DUMMYFUNCTION("""COMPUTED_VALUE"""),"10 шт. Лампа LED-ST64-deco gold 9Вт 230В Е27 3000К 1040Лм золотистая IN HOME (Комплект 10 шт)")</f>
        <v/>
      </c>
      <c r="C275" s="2">
        <f>IFERROR(__xludf.DUMMYFUNCTION("""COMPUTED_VALUE"""),0.22)</f>
        <v/>
      </c>
      <c r="D275" s="2">
        <f>IFERROR(__xludf.DUMMYFUNCTION("""COMPUTED_VALUE"""),0.004)</f>
        <v/>
      </c>
      <c r="E275" s="2">
        <f>IFERROR(__xludf.DUMMYFUNCTION("""COMPUTED_VALUE"""),1170.0)</f>
        <v/>
      </c>
      <c r="F275" s="2">
        <f>IFERROR(__xludf.DUMMYFUNCTION("""COMPUTED_VALUE"""),1284.0)</f>
        <v/>
      </c>
      <c r="G275" s="2">
        <f>IFERROR(__xludf.DUMMYFUNCTION("""COMPUTED_VALUE"""),1498.0)</f>
        <v/>
      </c>
      <c r="H275" s="2">
        <f>IFERROR(__xludf.DUMMYFUNCTION("""COMPUTED_VALUE"""),1685.0)</f>
        <v/>
      </c>
      <c r="I275" s="2">
        <f>IFERROR(__xludf.DUMMYFUNCTION("""COMPUTED_VALUE"""),1872.0)</f>
        <v/>
      </c>
      <c r="J275" s="2">
        <f>IFERROR(__xludf.DUMMYFUNCTION("""COMPUTED_VALUE"""),936.0)</f>
        <v/>
      </c>
      <c r="K275" s="2">
        <f>IFERROR(__xludf.DUMMYFUNCTION("""COMPUTED_VALUE"""),2.0)</f>
        <v/>
      </c>
      <c r="L275" s="2">
        <f>IFERROR(__xludf.DUMMYFUNCTION("""COMPUTED_VALUE"""),"Лампы производство, упаковка")</f>
        <v/>
      </c>
      <c r="M275" s="2">
        <f>IFERROR(__xludf.DUMMYFUNCTION("""COMPUTED_VALUE"""),"Лампы")</f>
        <v/>
      </c>
    </row>
    <row r="276">
      <c r="A276" s="5">
        <f>IFERROR(__xludf.DUMMYFUNCTION("""COMPUTED_VALUE"""),"V9014")</f>
        <v/>
      </c>
      <c r="B276" s="5">
        <f>IFERROR(__xludf.DUMMYFUNCTION("""COMPUTED_VALUE"""),"VRN-UNE-62-G40K67-K, 62Вт, Консольный")</f>
        <v/>
      </c>
      <c r="C276" s="2">
        <f>IFERROR(__xludf.DUMMYFUNCTION("""COMPUTED_VALUE"""),0.108)</f>
        <v/>
      </c>
      <c r="D276" s="2">
        <f>IFERROR(__xludf.DUMMYFUNCTION("""COMPUTED_VALUE"""),0.00564)</f>
        <v/>
      </c>
      <c r="E276" s="2">
        <f>IFERROR(__xludf.DUMMYFUNCTION("""COMPUTED_VALUE"""),2367.0)</f>
        <v/>
      </c>
      <c r="F276" s="2">
        <f>IFERROR(__xludf.DUMMYFUNCTION("""COMPUTED_VALUE"""),2605.0)</f>
        <v/>
      </c>
      <c r="G276" s="2">
        <f>IFERROR(__xludf.DUMMYFUNCTION("""COMPUTED_VALUE"""),3387.0)</f>
        <v/>
      </c>
      <c r="H276" s="2">
        <f>IFERROR(__xludf.DUMMYFUNCTION("""COMPUTED_VALUE"""),3556.0)</f>
        <v/>
      </c>
      <c r="I276" s="2">
        <f>IFERROR(__xludf.DUMMYFUNCTION("""COMPUTED_VALUE"""),3725.0)</f>
        <v/>
      </c>
      <c r="J276" s="2">
        <f>IFERROR(__xludf.DUMMYFUNCTION("""COMPUTED_VALUE"""),3725.0)</f>
        <v/>
      </c>
      <c r="K276" s="2">
        <f>IFERROR(__xludf.DUMMYFUNCTION("""COMPUTED_VALUE"""),2.0)</f>
        <v/>
      </c>
      <c r="L276" s="2">
        <f>IFERROR(__xludf.DUMMYFUNCTION("""COMPUTED_VALUE"""),"Универсал Эконом")</f>
        <v/>
      </c>
      <c r="M276" s="2">
        <f>IFERROR(__xludf.DUMMYFUNCTION("""COMPUTED_VALUE"""),"Для обычных дорог, LED Светильники")</f>
        <v/>
      </c>
    </row>
    <row r="277">
      <c r="A277" s="5">
        <f>IFERROR(__xludf.DUMMYFUNCTION("""COMPUTED_VALUE"""),"23345")</f>
        <v/>
      </c>
      <c r="B277" s="5">
        <f>IFERROR(__xludf.DUMMYFUNCTION("""COMPUTED_VALUE"""),"Выключатель дистанционный 230V 1000W 3-хканальный 30м с пультом управления, TM76")</f>
        <v/>
      </c>
      <c r="C277" s="2">
        <f>IFERROR(__xludf.DUMMYFUNCTION("""COMPUTED_VALUE"""),0.0)</f>
        <v/>
      </c>
      <c r="D277" s="2">
        <f>IFERROR(__xludf.DUMMYFUNCTION("""COMPUTED_VALUE"""),0.0)</f>
        <v/>
      </c>
      <c r="E277" s="2">
        <f>IFERROR(__xludf.DUMMYFUNCTION("""COMPUTED_VALUE"""),547.7)</f>
        <v/>
      </c>
      <c r="F277" s="2">
        <f>IFERROR(__xludf.DUMMYFUNCTION("""COMPUTED_VALUE"""),0.0)</f>
        <v/>
      </c>
      <c r="G277" s="2">
        <f>IFERROR(__xludf.DUMMYFUNCTION("""COMPUTED_VALUE"""),0.0)</f>
        <v/>
      </c>
      <c r="H277" s="2">
        <f>IFERROR(__xludf.DUMMYFUNCTION("""COMPUTED_VALUE"""),0.0)</f>
        <v/>
      </c>
      <c r="I277" s="2">
        <f>IFERROR(__xludf.DUMMYFUNCTION("""COMPUTED_VALUE"""),0.5)</f>
        <v/>
      </c>
      <c r="J277" s="2">
        <f>IFERROR(__xludf.DUMMYFUNCTION("""COMPUTED_VALUE"""),0.5)</f>
        <v/>
      </c>
      <c r="K277" s="2">
        <f>IFERROR(__xludf.DUMMYFUNCTION("""COMPUTED_VALUE"""),1.0)</f>
        <v/>
      </c>
      <c r="L277" s="2">
        <f>IFERROR(__xludf.DUMMYFUNCTION("""COMPUTED_VALUE"""),"Feron")</f>
        <v/>
      </c>
      <c r="M277" s="2">
        <f>IFERROR(__xludf.DUMMYFUNCTION("""COMPUTED_VALUE"""),"LED Светильники")</f>
        <v/>
      </c>
    </row>
    <row r="278">
      <c r="A278" s="5">
        <f>IFERROR(__xludf.DUMMYFUNCTION("""COMPUTED_VALUE"""),"4260652192805")</f>
        <v/>
      </c>
      <c r="B278" s="5">
        <f>IFERROR(__xludf.DUMMYFUNCTION("""COMPUTED_VALUE"""),"WTL-SC/01B")</f>
        <v/>
      </c>
      <c r="C278" s="2">
        <f>IFERROR(__xludf.DUMMYFUNCTION("""COMPUTED_VALUE"""),0.039)</f>
        <v/>
      </c>
      <c r="D278" s="2">
        <f>IFERROR(__xludf.DUMMYFUNCTION("""COMPUTED_VALUE"""),6.000000000000001E-5)</f>
        <v/>
      </c>
      <c r="E278" s="2">
        <f>IFERROR(__xludf.DUMMYFUNCTION("""COMPUTED_VALUE"""),117.74)</f>
        <v/>
      </c>
      <c r="F278" s="2">
        <f>IFERROR(__xludf.DUMMYFUNCTION("""COMPUTED_VALUE"""),125.0)</f>
        <v/>
      </c>
      <c r="G278" s="2">
        <f>IFERROR(__xludf.DUMMYFUNCTION("""COMPUTED_VALUE"""),129.0)</f>
        <v/>
      </c>
      <c r="H278" s="2">
        <f>IFERROR(__xludf.DUMMYFUNCTION("""COMPUTED_VALUE"""),169.0)</f>
        <v/>
      </c>
      <c r="I278" s="2">
        <f>IFERROR(__xludf.DUMMYFUNCTION("""COMPUTED_VALUE"""),211.0)</f>
        <v/>
      </c>
      <c r="J278" s="2">
        <f>IFERROR(__xludf.DUMMYFUNCTION("""COMPUTED_VALUE"""),106.0)</f>
        <v/>
      </c>
      <c r="K278" s="2">
        <f>IFERROR(__xludf.DUMMYFUNCTION("""COMPUTED_VALUE"""),1.0)</f>
        <v/>
      </c>
      <c r="L278" s="2">
        <f>IFERROR(__xludf.DUMMYFUNCTION("""COMPUTED_VALUE"""),"Wolta трековые")</f>
        <v/>
      </c>
      <c r="M278" s="2">
        <f>IFERROR(__xludf.DUMMYFUNCTION("""COMPUTED_VALUE"""),"Трековые, LED Светильники")</f>
        <v/>
      </c>
    </row>
    <row r="279">
      <c r="A279" s="5">
        <f>IFERROR(__xludf.DUMMYFUNCTION("""COMPUTED_VALUE"""),"4690612020549")</f>
        <v/>
      </c>
      <c r="B279" s="5">
        <f>IFERROR(__xludf.DUMMYFUNCTION("""COMPUTED_VALUE"""),"LED-ШАР-VC 8Вт 230В Е14 3000К 760Лм IN HOME")</f>
        <v/>
      </c>
      <c r="C279" s="2">
        <f>IFERROR(__xludf.DUMMYFUNCTION("""COMPUTED_VALUE"""),0.032)</f>
        <v/>
      </c>
      <c r="D279" s="2">
        <f>IFERROR(__xludf.DUMMYFUNCTION("""COMPUTED_VALUE"""),2.3E-4)</f>
        <v/>
      </c>
      <c r="E279" s="2">
        <f>IFERROR(__xludf.DUMMYFUNCTION("""COMPUTED_VALUE"""),39.0)</f>
        <v/>
      </c>
      <c r="F279" s="2">
        <f>IFERROR(__xludf.DUMMYFUNCTION("""COMPUTED_VALUE"""),45.0)</f>
        <v/>
      </c>
      <c r="G279" s="2">
        <f>IFERROR(__xludf.DUMMYFUNCTION("""COMPUTED_VALUE"""),50.0)</f>
        <v/>
      </c>
      <c r="H279" s="2">
        <f>IFERROR(__xludf.DUMMYFUNCTION("""COMPUTED_VALUE"""),58.0)</f>
        <v/>
      </c>
      <c r="I279" s="2">
        <f>IFERROR(__xludf.DUMMYFUNCTION("""COMPUTED_VALUE"""),67.6)</f>
        <v/>
      </c>
      <c r="J279" s="2">
        <f>IFERROR(__xludf.DUMMYFUNCTION("""COMPUTED_VALUE"""),34.0)</f>
        <v/>
      </c>
      <c r="K279" s="2">
        <f>IFERROR(__xludf.DUMMYFUNCTION("""COMPUTED_VALUE"""),5.0)</f>
        <v/>
      </c>
      <c r="L279" s="2">
        <f>IFERROR(__xludf.DUMMYFUNCTION("""COMPUTED_VALUE"""),"Лампа светодиодная LED-ШАР-standard")</f>
        <v/>
      </c>
      <c r="M279" s="2">
        <f>IFERROR(__xludf.DUMMYFUNCTION("""COMPUTED_VALUE"""),"Лампы")</f>
        <v/>
      </c>
    </row>
    <row r="280">
      <c r="A280" s="5">
        <f>IFERROR(__xludf.DUMMYFUNCTION("""COMPUTED_VALUE"""),"4690612009087")</f>
        <v/>
      </c>
      <c r="B280" s="5">
        <f>IFERROR(__xludf.DUMMYFUNCTION("""COMPUTED_VALUE"""),"Штепсельное гнездо (розетка кабельная) 10А черное 4252 IN HOME")</f>
        <v/>
      </c>
      <c r="C280" s="2">
        <f>IFERROR(__xludf.DUMMYFUNCTION("""COMPUTED_VALUE"""),0.04)</f>
        <v/>
      </c>
      <c r="D280" s="2">
        <f>IFERROR(__xludf.DUMMYFUNCTION("""COMPUTED_VALUE"""),2.2E-4)</f>
        <v/>
      </c>
      <c r="E280" s="2">
        <f>IFERROR(__xludf.DUMMYFUNCTION("""COMPUTED_VALUE"""),18.5)</f>
        <v/>
      </c>
      <c r="F280" s="2">
        <f>IFERROR(__xludf.DUMMYFUNCTION("""COMPUTED_VALUE"""),24.0)</f>
        <v/>
      </c>
      <c r="G280" s="2">
        <f>IFERROR(__xludf.DUMMYFUNCTION("""COMPUTED_VALUE"""),27.0)</f>
        <v/>
      </c>
      <c r="H280" s="2">
        <f>IFERROR(__xludf.DUMMYFUNCTION("""COMPUTED_VALUE"""),31.0)</f>
        <v/>
      </c>
      <c r="I280" s="2">
        <f>IFERROR(__xludf.DUMMYFUNCTION("""COMPUTED_VALUE"""),36.0)</f>
        <v/>
      </c>
      <c r="J280" s="2">
        <f>IFERROR(__xludf.DUMMYFUNCTION("""COMPUTED_VALUE"""),18.0)</f>
        <v/>
      </c>
      <c r="K280" s="2">
        <f>IFERROR(__xludf.DUMMYFUNCTION("""COMPUTED_VALUE"""),5.0)</f>
        <v/>
      </c>
      <c r="L280" s="2">
        <f>IFERROR(__xludf.DUMMYFUNCTION("""COMPUTED_VALUE"""),"ASD электромонтажные изделия")</f>
        <v/>
      </c>
      <c r="M280" s="2">
        <f>IFERROR(__xludf.DUMMYFUNCTION("""COMPUTED_VALUE"""),"Прочие товары")</f>
        <v/>
      </c>
    </row>
    <row r="281">
      <c r="A281" s="5">
        <f>IFERROR(__xludf.DUMMYFUNCTION("""COMPUTED_VALUE"""),"R2500x1050-ST-051")</f>
        <v/>
      </c>
      <c r="B281" s="5">
        <f>IFERROR(__xludf.DUMMYFUNCTION("""COMPUTED_VALUE"""),"Рама ВхГ 2500х1050 Cтeллaжа CT-051")</f>
        <v/>
      </c>
      <c r="C281" s="2">
        <f>IFERROR(__xludf.DUMMYFUNCTION("""COMPUTED_VALUE"""),0.0)</f>
        <v/>
      </c>
      <c r="D281" s="2">
        <f>IFERROR(__xludf.DUMMYFUNCTION("""COMPUTED_VALUE"""),0.0)</f>
        <v/>
      </c>
      <c r="E281" s="2">
        <f>IFERROR(__xludf.DUMMYFUNCTION("""COMPUTED_VALUE"""),0.0)</f>
        <v/>
      </c>
      <c r="F281" s="2">
        <f>IFERROR(__xludf.DUMMYFUNCTION("""COMPUTED_VALUE"""),2100.0)</f>
        <v/>
      </c>
      <c r="G281" s="2">
        <f>IFERROR(__xludf.DUMMYFUNCTION("""COMPUTED_VALUE"""),2240.0)</f>
        <v/>
      </c>
      <c r="H281" s="2">
        <f>IFERROR(__xludf.DUMMYFUNCTION("""COMPUTED_VALUE"""),2520.0)</f>
        <v/>
      </c>
      <c r="I281" s="2">
        <f>IFERROR(__xludf.DUMMYFUNCTION("""COMPUTED_VALUE"""),2800.5)</f>
        <v/>
      </c>
      <c r="J281" s="2">
        <f>IFERROR(__xludf.DUMMYFUNCTION("""COMPUTED_VALUE"""),2240.0)</f>
        <v/>
      </c>
      <c r="K281" s="2">
        <f>IFERROR(__xludf.DUMMYFUNCTION("""COMPUTED_VALUE"""),7.0)</f>
        <v/>
      </c>
      <c r="L281" s="2">
        <f>IFERROR(__xludf.DUMMYFUNCTION("""COMPUTED_VALUE"""),"Другие")</f>
        <v/>
      </c>
      <c r="M281" s="2">
        <f>IFERROR(__xludf.DUMMYFUNCTION("""COMPUTED_VALUE"""),"Прочие товары")</f>
        <v/>
      </c>
    </row>
    <row r="282">
      <c r="A282" s="5">
        <f>IFERROR(__xludf.DUMMYFUNCTION("""COMPUTED_VALUE"""),"4690612053080")</f>
        <v/>
      </c>
      <c r="B282" s="5">
        <f>IFERROR(__xludf.DUMMYFUNCTION("""COMPUTED_VALUE"""),"ДПО-108 ПРИЗМА 36Вт 6500К 1200мм IP40 NEOX")</f>
        <v/>
      </c>
      <c r="C282" s="2">
        <f>IFERROR(__xludf.DUMMYFUNCTION("""COMPUTED_VALUE"""),0.325)</f>
        <v/>
      </c>
      <c r="D282" s="2">
        <f>IFERROR(__xludf.DUMMYFUNCTION("""COMPUTED_VALUE"""),0.00252)</f>
        <v/>
      </c>
      <c r="E282" s="2">
        <f>IFERROR(__xludf.DUMMYFUNCTION("""COMPUTED_VALUE"""),285.0)</f>
        <v/>
      </c>
      <c r="F282" s="2">
        <f>IFERROR(__xludf.DUMMYFUNCTION("""COMPUTED_VALUE"""),367.0)</f>
        <v/>
      </c>
      <c r="G282" s="2">
        <f>IFERROR(__xludf.DUMMYFUNCTION("""COMPUTED_VALUE"""),413.0)</f>
        <v/>
      </c>
      <c r="H282" s="2">
        <f>IFERROR(__xludf.DUMMYFUNCTION("""COMPUTED_VALUE"""),479.0)</f>
        <v/>
      </c>
      <c r="I282" s="2">
        <f>IFERROR(__xludf.DUMMYFUNCTION("""COMPUTED_VALUE"""),550.0)</f>
        <v/>
      </c>
      <c r="J282" s="2">
        <f>IFERROR(__xludf.DUMMYFUNCTION("""COMPUTED_VALUE"""),275.0)</f>
        <v/>
      </c>
      <c r="K282" s="2">
        <f>IFERROR(__xludf.DUMMYFUNCTION("""COMPUTED_VALUE"""),26.0)</f>
        <v/>
      </c>
      <c r="L282" s="2">
        <f>IFERROR(__xludf.DUMMYFUNCTION("""COMPUTED_VALUE"""),"NEOX Светильники LED ДПО")</f>
        <v/>
      </c>
      <c r="M282" s="2">
        <f>IFERROR(__xludf.DUMMYFUNCTION("""COMPUTED_VALUE"""),"Пластиковые (линейные), Светильники общего назначения (LED), Накладные, Линейные (проходные), LED Светильники")</f>
        <v/>
      </c>
    </row>
    <row r="283">
      <c r="A283" s="5">
        <f>IFERROR(__xludf.DUMMYFUNCTION("""COMPUTED_VALUE"""),"4690612024165")</f>
        <v/>
      </c>
      <c r="B283" s="5">
        <f>IFERROR(__xludf.DUMMYFUNCTION("""COMPUTED_VALUE"""),"LED-A70-VC 30Вт 230В Е27 6500К 2850Лм IN HOME")</f>
        <v/>
      </c>
      <c r="C283" s="2">
        <f>IFERROR(__xludf.DUMMYFUNCTION("""COMPUTED_VALUE"""),0.084)</f>
        <v/>
      </c>
      <c r="D283" s="2">
        <f>IFERROR(__xludf.DUMMYFUNCTION("""COMPUTED_VALUE"""),8.0E-4)</f>
        <v/>
      </c>
      <c r="E283" s="2">
        <f>IFERROR(__xludf.DUMMYFUNCTION("""COMPUTED_VALUE"""),90.24)</f>
        <v/>
      </c>
      <c r="F283" s="2">
        <f>IFERROR(__xludf.DUMMYFUNCTION("""COMPUTED_VALUE"""),83.0)</f>
        <v/>
      </c>
      <c r="G283" s="2">
        <f>IFERROR(__xludf.DUMMYFUNCTION("""COMPUTED_VALUE"""),93.0)</f>
        <v/>
      </c>
      <c r="H283" s="2">
        <f>IFERROR(__xludf.DUMMYFUNCTION("""COMPUTED_VALUE"""),108.0)</f>
        <v/>
      </c>
      <c r="I283" s="2">
        <f>IFERROR(__xludf.DUMMYFUNCTION("""COMPUTED_VALUE"""),124.5)</f>
        <v/>
      </c>
      <c r="J283" s="2">
        <f>IFERROR(__xludf.DUMMYFUNCTION("""COMPUTED_VALUE"""),62.0)</f>
        <v/>
      </c>
      <c r="K283" s="2">
        <f>IFERROR(__xludf.DUMMYFUNCTION("""COMPUTED_VALUE"""),20.0)</f>
        <v/>
      </c>
      <c r="L283" s="2">
        <f>IFERROR(__xludf.DUMMYFUNCTION("""COMPUTED_VALUE"""),"ASD лампы LED")</f>
        <v/>
      </c>
      <c r="M283" s="2">
        <f>IFERROR(__xludf.DUMMYFUNCTION("""COMPUTED_VALUE"""),"Лампы")</f>
        <v/>
      </c>
    </row>
    <row r="284">
      <c r="A284" s="5">
        <f>IFERROR(__xludf.DUMMYFUNCTION("""COMPUTED_VALUE"""),"4690612053004-2")</f>
        <v/>
      </c>
      <c r="B284" s="5">
        <f>IFERROR(__xludf.DUMMYFUNCTION("""COMPUTED_VALUE"""),"ДВО-01 7565-ПРИЗМА 75Вт 6500К 180х1195х19 NEOX (2 штуки в упаковке)")</f>
        <v/>
      </c>
      <c r="C284" s="2">
        <f>IFERROR(__xludf.DUMMYFUNCTION("""COMPUTED_VALUE"""),1.36)</f>
        <v/>
      </c>
      <c r="D284" s="2">
        <f>IFERROR(__xludf.DUMMYFUNCTION("""COMPUTED_VALUE"""),0.0)</f>
        <v/>
      </c>
      <c r="E284" s="2">
        <f>IFERROR(__xludf.DUMMYFUNCTION("""COMPUTED_VALUE"""),1524.65)</f>
        <v/>
      </c>
      <c r="F284" s="2">
        <f>IFERROR(__xludf.DUMMYFUNCTION("""COMPUTED_VALUE"""),1673.0)</f>
        <v/>
      </c>
      <c r="G284" s="2">
        <f>IFERROR(__xludf.DUMMYFUNCTION("""COMPUTED_VALUE"""),1951.0)</f>
        <v/>
      </c>
      <c r="H284" s="2">
        <f>IFERROR(__xludf.DUMMYFUNCTION("""COMPUTED_VALUE"""),2195.0)</f>
        <v/>
      </c>
      <c r="I284" s="2">
        <f>IFERROR(__xludf.DUMMYFUNCTION("""COMPUTED_VALUE"""),2439.0)</f>
        <v/>
      </c>
      <c r="J284" s="2">
        <f>IFERROR(__xludf.DUMMYFUNCTION("""COMPUTED_VALUE"""),1220.0)</f>
        <v/>
      </c>
      <c r="K284" s="2">
        <f>IFERROR(__xludf.DUMMYFUNCTION("""COMPUTED_VALUE"""),8.0)</f>
        <v/>
      </c>
      <c r="L284" s="2">
        <f>IFERROR(__xludf.DUMMYFUNCTION("""COMPUTED_VALUE"""),"NEOX Светильники LED ДВО - Призма производство, упаковка")</f>
        <v/>
      </c>
      <c r="M284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285">
      <c r="A285" s="5">
        <f>IFERROR(__xludf.DUMMYFUNCTION("""COMPUTED_VALUE"""),"4690612052991-2")</f>
        <v/>
      </c>
      <c r="B285" s="5">
        <f>IFERROR(__xludf.DUMMYFUNCTION("""COMPUTED_VALUE"""),"ДВО-01 4565-ПРИЗМА 45Вт 6500К 180х1195х19 NEOX (2 штуки в упаковке)")</f>
        <v/>
      </c>
      <c r="C285" s="2">
        <f>IFERROR(__xludf.DUMMYFUNCTION("""COMPUTED_VALUE"""),1.35)</f>
        <v/>
      </c>
      <c r="D285" s="2">
        <f>IFERROR(__xludf.DUMMYFUNCTION("""COMPUTED_VALUE"""),0.0)</f>
        <v/>
      </c>
      <c r="E285" s="2">
        <f>IFERROR(__xludf.DUMMYFUNCTION("""COMPUTED_VALUE"""),1356.93)</f>
        <v/>
      </c>
      <c r="F285" s="2">
        <f>IFERROR(__xludf.DUMMYFUNCTION("""COMPUTED_VALUE"""),1489.0)</f>
        <v/>
      </c>
      <c r="G285" s="2">
        <f>IFERROR(__xludf.DUMMYFUNCTION("""COMPUTED_VALUE"""),1737.0)</f>
        <v/>
      </c>
      <c r="H285" s="2">
        <f>IFERROR(__xludf.DUMMYFUNCTION("""COMPUTED_VALUE"""),1954.0)</f>
        <v/>
      </c>
      <c r="I285" s="2">
        <f>IFERROR(__xludf.DUMMYFUNCTION("""COMPUTED_VALUE"""),2171.0)</f>
        <v/>
      </c>
      <c r="J285" s="2">
        <f>IFERROR(__xludf.DUMMYFUNCTION("""COMPUTED_VALUE"""),1086.0)</f>
        <v/>
      </c>
      <c r="K285" s="2">
        <f>IFERROR(__xludf.DUMMYFUNCTION("""COMPUTED_VALUE"""),9.0)</f>
        <v/>
      </c>
      <c r="L285" s="2">
        <f>IFERROR(__xludf.DUMMYFUNCTION("""COMPUTED_VALUE"""),"NEOX Светильники LED ДВО - Призма производство, упаковка")</f>
        <v/>
      </c>
      <c r="M285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286">
      <c r="A286" s="5">
        <f>IFERROR(__xludf.DUMMYFUNCTION("""COMPUTED_VALUE"""),"4690626071285")</f>
        <v/>
      </c>
      <c r="B286" s="5">
        <f>IFERROR(__xludf.DUMMYFUNCTION("""COMPUTED_VALUE"""),"Светодиодный (LED) прожектор FL ФИТО Smartbuy-50W/1300K/IP65 (SBL-FLFITO-50-65K)")</f>
        <v/>
      </c>
      <c r="C286" s="2">
        <f>IFERROR(__xludf.DUMMYFUNCTION("""COMPUTED_VALUE"""),0.0)</f>
        <v/>
      </c>
      <c r="D286" s="2">
        <f>IFERROR(__xludf.DUMMYFUNCTION("""COMPUTED_VALUE"""),0.0)</f>
        <v/>
      </c>
      <c r="E286" s="2">
        <f>IFERROR(__xludf.DUMMYFUNCTION("""COMPUTED_VALUE"""),781.0)</f>
        <v/>
      </c>
      <c r="F286" s="2">
        <f>IFERROR(__xludf.DUMMYFUNCTION("""COMPUTED_VALUE"""),848.0)</f>
        <v/>
      </c>
      <c r="G286" s="2">
        <f>IFERROR(__xludf.DUMMYFUNCTION("""COMPUTED_VALUE"""),930.0)</f>
        <v/>
      </c>
      <c r="H286" s="2">
        <f>IFERROR(__xludf.DUMMYFUNCTION("""COMPUTED_VALUE"""),1034.0)</f>
        <v/>
      </c>
      <c r="I286" s="2">
        <f>IFERROR(__xludf.DUMMYFUNCTION("""COMPUTED_VALUE"""),1137.0)</f>
        <v/>
      </c>
      <c r="J286" s="2">
        <f>IFERROR(__xludf.DUMMYFUNCTION("""COMPUTED_VALUE"""),569.0)</f>
        <v/>
      </c>
      <c r="K286" s="2">
        <f>IFERROR(__xludf.DUMMYFUNCTION("""COMPUTED_VALUE"""),3.0)</f>
        <v/>
      </c>
      <c r="L286" s="2">
        <f>IFERROR(__xludf.DUMMYFUNCTION("""COMPUTED_VALUE"""),"Smartbuy LED светильники")</f>
        <v/>
      </c>
      <c r="M286" s="2">
        <f>IFERROR(__xludf.DUMMYFUNCTION("""COMPUTED_VALUE"""),"Фито светильники (для растений), LED Светильники")</f>
        <v/>
      </c>
    </row>
    <row r="287">
      <c r="A287" s="5">
        <f>IFERROR(__xludf.DUMMYFUNCTION("""COMPUTED_VALUE"""),"14690612053018")</f>
        <v/>
      </c>
      <c r="B287" s="5">
        <f>IFERROR(__xludf.DUMMYFUNCTION("""COMPUTED_VALUE"""),"ДВО-02-EMERGENCY 3640-ПРИЗМА 36Вт 4000К 595х595х19 NEOX без БАП-10W90 (4 шт в упак.)")</f>
        <v/>
      </c>
      <c r="C287" s="2">
        <f>IFERROR(__xludf.DUMMYFUNCTION("""COMPUTED_VALUE"""),1.075)</f>
        <v/>
      </c>
      <c r="D287" s="2">
        <f>IFERROR(__xludf.DUMMYFUNCTION("""COMPUTED_VALUE"""),0.0)</f>
        <v/>
      </c>
      <c r="E287" s="2">
        <f>IFERROR(__xludf.DUMMYFUNCTION("""COMPUTED_VALUE"""),2137.18)</f>
        <v/>
      </c>
      <c r="F287" s="2">
        <f>IFERROR(__xludf.DUMMYFUNCTION("""COMPUTED_VALUE"""),2345.0)</f>
        <v/>
      </c>
      <c r="G287" s="2">
        <f>IFERROR(__xludf.DUMMYFUNCTION("""COMPUTED_VALUE"""),2735.0)</f>
        <v/>
      </c>
      <c r="H287" s="2">
        <f>IFERROR(__xludf.DUMMYFUNCTION("""COMPUTED_VALUE"""),3077.0)</f>
        <v/>
      </c>
      <c r="I287" s="2">
        <f>IFERROR(__xludf.DUMMYFUNCTION("""COMPUTED_VALUE"""),3419.0)</f>
        <v/>
      </c>
      <c r="J287" s="2">
        <f>IFERROR(__xludf.DUMMYFUNCTION("""COMPUTED_VALUE"""),1710.0)</f>
        <v/>
      </c>
      <c r="K287" s="2">
        <f>IFERROR(__xludf.DUMMYFUNCTION("""COMPUTED_VALUE"""),4.0)</f>
        <v/>
      </c>
      <c r="L287" s="2">
        <f>IFERROR(__xludf.DUMMYFUNCTION("""COMPUTED_VALUE"""),"NEOX Светильники LED ДВО - Призма производство, упаковка")</f>
        <v/>
      </c>
      <c r="M287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288">
      <c r="A288" s="5">
        <f>IFERROR(__xludf.DUMMYFUNCTION("""COMPUTED_VALUE"""),"12-5022-4")</f>
        <v/>
      </c>
      <c r="B288" s="5">
        <f>IFERROR(__xludf.DUMMYFUNCTION("""COMPUTED_VALUE"""),"Ящик пластиковый универсальный (двойной) 325х280х85 мм PROconnect")</f>
        <v/>
      </c>
      <c r="C288" s="2">
        <f>IFERROR(__xludf.DUMMYFUNCTION("""COMPUTED_VALUE"""),0.0)</f>
        <v/>
      </c>
      <c r="D288" s="2">
        <f>IFERROR(__xludf.DUMMYFUNCTION("""COMPUTED_VALUE"""),0.0)</f>
        <v/>
      </c>
      <c r="E288" s="2">
        <f>IFERROR(__xludf.DUMMYFUNCTION("""COMPUTED_VALUE"""),1.0)</f>
        <v/>
      </c>
      <c r="F288" s="2">
        <f>IFERROR(__xludf.DUMMYFUNCTION("""COMPUTED_VALUE"""),880.0)</f>
        <v/>
      </c>
      <c r="G288" s="2">
        <f>IFERROR(__xludf.DUMMYFUNCTION("""COMPUTED_VALUE"""),939.0)</f>
        <v/>
      </c>
      <c r="H288" s="2">
        <f>IFERROR(__xludf.DUMMYFUNCTION("""COMPUTED_VALUE"""),1056.0)</f>
        <v/>
      </c>
      <c r="I288" s="2">
        <f>IFERROR(__xludf.DUMMYFUNCTION("""COMPUTED_VALUE"""),1173.85)</f>
        <v/>
      </c>
      <c r="J288" s="2">
        <f>IFERROR(__xludf.DUMMYFUNCTION("""COMPUTED_VALUE"""),587.0)</f>
        <v/>
      </c>
      <c r="K288" s="2">
        <f>IFERROR(__xludf.DUMMYFUNCTION("""COMPUTED_VALUE"""),4.0)</f>
        <v/>
      </c>
      <c r="L288" s="2">
        <f>IFERROR(__xludf.DUMMYFUNCTION("""COMPUTED_VALUE"""),"Rexant")</f>
        <v/>
      </c>
      <c r="M288" s="2">
        <f>IFERROR(__xludf.DUMMYFUNCTION("""COMPUTED_VALUE"""),"Прочие товары")</f>
        <v/>
      </c>
    </row>
    <row r="289">
      <c r="A289" s="5">
        <f>IFERROR(__xludf.DUMMYFUNCTION("""COMPUTED_VALUE"""),"4690612057286")</f>
        <v/>
      </c>
      <c r="B289" s="5">
        <f>IFERROR(__xludf.DUMMYFUNCTION("""COMPUTED_VALUE"""),"ДВО-PRO 4065-ОПАЛ 40Вт 6500К 120лм/Вт CRI80 IP40 595х595х30мм NEOX")</f>
        <v/>
      </c>
      <c r="C289" s="2">
        <f>IFERROR(__xludf.DUMMYFUNCTION("""COMPUTED_VALUE"""),0.9750000000000001)</f>
        <v/>
      </c>
      <c r="D289" s="2">
        <f>IFERROR(__xludf.DUMMYFUNCTION("""COMPUTED_VALUE"""),0.01625)</f>
        <v/>
      </c>
      <c r="E289" s="2">
        <f>IFERROR(__xludf.DUMMYFUNCTION("""COMPUTED_VALUE"""),874.5600000000001)</f>
        <v/>
      </c>
      <c r="F289" s="2">
        <f>IFERROR(__xludf.DUMMYFUNCTION("""COMPUTED_VALUE"""),964.0)</f>
        <v/>
      </c>
      <c r="G289" s="2">
        <f>IFERROR(__xludf.DUMMYFUNCTION("""COMPUTED_VALUE"""),1084.0)</f>
        <v/>
      </c>
      <c r="H289" s="2">
        <f>IFERROR(__xludf.DUMMYFUNCTION("""COMPUTED_VALUE"""),1257.0)</f>
        <v/>
      </c>
      <c r="I289" s="2">
        <f>IFERROR(__xludf.DUMMYFUNCTION("""COMPUTED_VALUE"""),1445.0)</f>
        <v/>
      </c>
      <c r="J289" s="2">
        <f>IFERROR(__xludf.DUMMYFUNCTION("""COMPUTED_VALUE"""),723.0)</f>
        <v/>
      </c>
      <c r="K289" s="2">
        <f>IFERROR(__xludf.DUMMYFUNCTION("""COMPUTED_VALUE"""),9.0)</f>
        <v/>
      </c>
      <c r="L289" s="2">
        <f>IFERROR(__xludf.DUMMYFUNCTION("""COMPUTED_VALUE"""),"NEOX Светильники LED ДВО")</f>
        <v/>
      </c>
      <c r="M289" s="2">
        <f>IFERROR(__xludf.DUMMYFUNCTION("""COMPUTED_VALUE"""),"С равномерной засветкой, С равномерной засветкой, LED Светильники")</f>
        <v/>
      </c>
    </row>
    <row r="290">
      <c r="A290" s="5">
        <f>IFERROR(__xludf.DUMMYFUNCTION("""COMPUTED_VALUE"""),"4690612031095")</f>
        <v/>
      </c>
      <c r="B290" s="5">
        <f>IFERROR(__xludf.DUMMYFUNCTION("""COMPUTED_VALUE"""),"LED-HP-PRO 40Вт 230В Е27 с адаптером E40 4000К 3800Лм IN HOME")</f>
        <v/>
      </c>
      <c r="C290" s="2">
        <f>IFERROR(__xludf.DUMMYFUNCTION("""COMPUTED_VALUE"""),0.2)</f>
        <v/>
      </c>
      <c r="D290" s="2">
        <f>IFERROR(__xludf.DUMMYFUNCTION("""COMPUTED_VALUE"""),0.003)</f>
        <v/>
      </c>
      <c r="E290" s="2">
        <f>IFERROR(__xludf.DUMMYFUNCTION("""COMPUTED_VALUE"""),165.6)</f>
        <v/>
      </c>
      <c r="F290" s="2">
        <f>IFERROR(__xludf.DUMMYFUNCTION("""COMPUTED_VALUE"""),182.0)</f>
        <v/>
      </c>
      <c r="G290" s="2">
        <f>IFERROR(__xludf.DUMMYFUNCTION("""COMPUTED_VALUE"""),205.0)</f>
        <v/>
      </c>
      <c r="H290" s="2">
        <f>IFERROR(__xludf.DUMMYFUNCTION("""COMPUTED_VALUE"""),237.0)</f>
        <v/>
      </c>
      <c r="I290" s="2">
        <f>IFERROR(__xludf.DUMMYFUNCTION("""COMPUTED_VALUE"""),273.3)</f>
        <v/>
      </c>
      <c r="J290" s="2">
        <f>IFERROR(__xludf.DUMMYFUNCTION("""COMPUTED_VALUE"""),137.0)</f>
        <v/>
      </c>
      <c r="K290" s="2">
        <f>IFERROR(__xludf.DUMMYFUNCTION("""COMPUTED_VALUE"""),19.0)</f>
        <v/>
      </c>
      <c r="L290" s="2">
        <f>IFERROR(__xludf.DUMMYFUNCTION("""COMPUTED_VALUE"""),"Лампа светодиодная HP PRO")</f>
        <v/>
      </c>
      <c r="M290" s="2">
        <f>IFERROR(__xludf.DUMMYFUNCTION("""COMPUTED_VALUE"""),"Лампы")</f>
        <v/>
      </c>
    </row>
    <row r="291">
      <c r="A291" s="5">
        <f>IFERROR(__xludf.DUMMYFUNCTION("""COMPUTED_VALUE"""),"KR-2-45-250")</f>
        <v/>
      </c>
      <c r="B291" s="5">
        <f>IFERROR(__xludf.DUMMYFUNCTION("""COMPUTED_VALUE"""),"КР-2 кронштейн настенный / под монт. ленту D=45, L=250 (регул.)")</f>
        <v/>
      </c>
      <c r="C291" s="2">
        <f>IFERROR(__xludf.DUMMYFUNCTION("""COMPUTED_VALUE"""),1.0)</f>
        <v/>
      </c>
      <c r="D291" s="2">
        <f>IFERROR(__xludf.DUMMYFUNCTION("""COMPUTED_VALUE"""),0.001)</f>
        <v/>
      </c>
      <c r="E291" s="2">
        <f>IFERROR(__xludf.DUMMYFUNCTION("""COMPUTED_VALUE"""),230.54)</f>
        <v/>
      </c>
      <c r="F291" s="2">
        <f>IFERROR(__xludf.DUMMYFUNCTION("""COMPUTED_VALUE"""),267.0)</f>
        <v/>
      </c>
      <c r="G291" s="2">
        <f>IFERROR(__xludf.DUMMYFUNCTION("""COMPUTED_VALUE"""),293.0)</f>
        <v/>
      </c>
      <c r="H291" s="2">
        <f>IFERROR(__xludf.DUMMYFUNCTION("""COMPUTED_VALUE"""),311.0)</f>
        <v/>
      </c>
      <c r="I291" s="2">
        <f>IFERROR(__xludf.DUMMYFUNCTION("""COMPUTED_VALUE"""),346.0)</f>
        <v/>
      </c>
      <c r="J291" s="2">
        <f>IFERROR(__xludf.DUMMYFUNCTION("""COMPUTED_VALUE"""),346.0)</f>
        <v/>
      </c>
      <c r="K291" s="2">
        <f>IFERROR(__xludf.DUMMYFUNCTION("""COMPUTED_VALUE"""),350.0)</f>
        <v/>
      </c>
      <c r="L291" s="2">
        <f>IFERROR(__xludf.DUMMYFUNCTION("""COMPUTED_VALUE"""),"Приставные, настенные, регулируемые")</f>
        <v/>
      </c>
      <c r="M291" s="2">
        <f>IFERROR(__xludf.DUMMYFUNCTION("""COMPUTED_VALUE"""),"Настенные, Прочие товары")</f>
        <v/>
      </c>
    </row>
    <row r="292">
      <c r="A292" s="5">
        <f>IFERROR(__xludf.DUMMYFUNCTION("""COMPUTED_VALUE"""),"4690612031095-10")</f>
        <v/>
      </c>
      <c r="B292" s="5">
        <f>IFERROR(__xludf.DUMMYFUNCTION("""COMPUTED_VALUE"""),"10 шт. Лампа LED-HP-PRO 40Вт 230В Е27 с адаптером E40 4000К 3800Лм IN HOME (Комплект 10 шт)")</f>
        <v/>
      </c>
      <c r="C292" s="2">
        <f>IFERROR(__xludf.DUMMYFUNCTION("""COMPUTED_VALUE"""),0.2)</f>
        <v/>
      </c>
      <c r="D292" s="2">
        <f>IFERROR(__xludf.DUMMYFUNCTION("""COMPUTED_VALUE"""),0.015)</f>
        <v/>
      </c>
      <c r="E292" s="2">
        <f>IFERROR(__xludf.DUMMYFUNCTION("""COMPUTED_VALUE"""),1656.0)</f>
        <v/>
      </c>
      <c r="F292" s="2">
        <f>IFERROR(__xludf.DUMMYFUNCTION("""COMPUTED_VALUE"""),1817.0)</f>
        <v/>
      </c>
      <c r="G292" s="2">
        <f>IFERROR(__xludf.DUMMYFUNCTION("""COMPUTED_VALUE"""),2120.0)</f>
        <v/>
      </c>
      <c r="H292" s="2">
        <f>IFERROR(__xludf.DUMMYFUNCTION("""COMPUTED_VALUE"""),2385.0)</f>
        <v/>
      </c>
      <c r="I292" s="2">
        <f>IFERROR(__xludf.DUMMYFUNCTION("""COMPUTED_VALUE"""),2650.0)</f>
        <v/>
      </c>
      <c r="J292" s="2">
        <f>IFERROR(__xludf.DUMMYFUNCTION("""COMPUTED_VALUE"""),1325.0)</f>
        <v/>
      </c>
      <c r="K292" s="2">
        <f>IFERROR(__xludf.DUMMYFUNCTION("""COMPUTED_VALUE"""),1.0)</f>
        <v/>
      </c>
      <c r="L292" s="2">
        <f>IFERROR(__xludf.DUMMYFUNCTION("""COMPUTED_VALUE"""),"Лампы производство, упаковка")</f>
        <v/>
      </c>
      <c r="M292" s="2">
        <f>IFERROR(__xludf.DUMMYFUNCTION("""COMPUTED_VALUE"""),"Лампы")</f>
        <v/>
      </c>
    </row>
    <row r="293">
      <c r="A293" s="5">
        <f>IFERROR(__xludf.DUMMYFUNCTION("""COMPUTED_VALUE"""),"4690612064390-2")</f>
        <v/>
      </c>
      <c r="B293" s="5">
        <f>IFERROR(__xludf.DUMMYFUNCTION("""COMPUTED_VALUE"""),"ДВО-PRO 7540-ОПАЛ 75Вт 4000К 100лм/Вт CRI80 IP40 595х595х30мм NEOX (2 шт в упак.)")</f>
        <v/>
      </c>
      <c r="C293" s="2">
        <f>IFERROR(__xludf.DUMMYFUNCTION("""COMPUTED_VALUE"""),0.0)</f>
        <v/>
      </c>
      <c r="D293" s="2">
        <f>IFERROR(__xludf.DUMMYFUNCTION("""COMPUTED_VALUE"""),0.0)</f>
        <v/>
      </c>
      <c r="E293" s="2">
        <f>IFERROR(__xludf.DUMMYFUNCTION("""COMPUTED_VALUE"""),2031.9)</f>
        <v/>
      </c>
      <c r="F293" s="2">
        <f>IFERROR(__xludf.DUMMYFUNCTION("""COMPUTED_VALUE"""),2229.0)</f>
        <v/>
      </c>
      <c r="G293" s="2">
        <f>IFERROR(__xludf.DUMMYFUNCTION("""COMPUTED_VALUE"""),2601.0)</f>
        <v/>
      </c>
      <c r="H293" s="2">
        <f>IFERROR(__xludf.DUMMYFUNCTION("""COMPUTED_VALUE"""),2926.0)</f>
        <v/>
      </c>
      <c r="I293" s="2">
        <f>IFERROR(__xludf.DUMMYFUNCTION("""COMPUTED_VALUE"""),3251.0)</f>
        <v/>
      </c>
      <c r="J293" s="2">
        <f>IFERROR(__xludf.DUMMYFUNCTION("""COMPUTED_VALUE"""),1626.0)</f>
        <v/>
      </c>
      <c r="K293" s="2">
        <f>IFERROR(__xludf.DUMMYFUNCTION("""COMPUTED_VALUE"""),10.0)</f>
        <v/>
      </c>
      <c r="L293" s="2">
        <f>IFERROR(__xludf.DUMMYFUNCTION("""COMPUTED_VALUE"""),"NEOX Светильники LED ДВО-PRO производство, упаковка")</f>
        <v/>
      </c>
      <c r="M293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294">
      <c r="A294" s="5">
        <f>IFERROR(__xludf.DUMMYFUNCTION("""COMPUTED_VALUE"""),"4690612023441-10")</f>
        <v/>
      </c>
      <c r="B294" s="5">
        <f>IFERROR(__xludf.DUMMYFUNCTION("""COMPUTED_VALUE"""),"10 шт. Лампа LED-JCDRC-VC 8Вт 230В GU10 4000К 720Лм IN HOME (Комплект 10 шт)")</f>
        <v/>
      </c>
      <c r="C294" s="2">
        <f>IFERROR(__xludf.DUMMYFUNCTION("""COMPUTED_VALUE"""),0.04)</f>
        <v/>
      </c>
      <c r="D294" s="2">
        <f>IFERROR(__xludf.DUMMYFUNCTION("""COMPUTED_VALUE"""),0.0021)</f>
        <v/>
      </c>
      <c r="E294" s="2">
        <f>IFERROR(__xludf.DUMMYFUNCTION("""COMPUTED_VALUE"""),330.0)</f>
        <v/>
      </c>
      <c r="F294" s="2">
        <f>IFERROR(__xludf.DUMMYFUNCTION("""COMPUTED_VALUE"""),362.0)</f>
        <v/>
      </c>
      <c r="G294" s="2">
        <f>IFERROR(__xludf.DUMMYFUNCTION("""COMPUTED_VALUE"""),422.0)</f>
        <v/>
      </c>
      <c r="H294" s="2">
        <f>IFERROR(__xludf.DUMMYFUNCTION("""COMPUTED_VALUE"""),475.0)</f>
        <v/>
      </c>
      <c r="I294" s="2">
        <f>IFERROR(__xludf.DUMMYFUNCTION("""COMPUTED_VALUE"""),528.0)</f>
        <v/>
      </c>
      <c r="J294" s="2">
        <f>IFERROR(__xludf.DUMMYFUNCTION("""COMPUTED_VALUE"""),264.0)</f>
        <v/>
      </c>
      <c r="K294" s="2">
        <f>IFERROR(__xludf.DUMMYFUNCTION("""COMPUTED_VALUE"""),12.0)</f>
        <v/>
      </c>
      <c r="L294" s="2">
        <f>IFERROR(__xludf.DUMMYFUNCTION("""COMPUTED_VALUE"""),"Лампы производство, упаковка")</f>
        <v/>
      </c>
      <c r="M294" s="2">
        <f>IFERROR(__xludf.DUMMYFUNCTION("""COMPUTED_VALUE"""),"Лампы")</f>
        <v/>
      </c>
    </row>
    <row r="295">
      <c r="A295" s="5">
        <f>IFERROR(__xludf.DUMMYFUNCTION("""COMPUTED_VALUE"""),"V9029")</f>
        <v/>
      </c>
      <c r="B295" s="5">
        <f>IFERROR(__xludf.DUMMYFUNCTION("""COMPUTED_VALUE"""),"VRN-UNE-96-G40K67-U, 96Вт, Универсальный")</f>
        <v/>
      </c>
      <c r="C295" s="2">
        <f>IFERROR(__xludf.DUMMYFUNCTION("""COMPUTED_VALUE"""),0.17)</f>
        <v/>
      </c>
      <c r="D295" s="2">
        <f>IFERROR(__xludf.DUMMYFUNCTION("""COMPUTED_VALUE"""),0.00902)</f>
        <v/>
      </c>
      <c r="E295" s="2">
        <f>IFERROR(__xludf.DUMMYFUNCTION("""COMPUTED_VALUE"""),3785.0)</f>
        <v/>
      </c>
      <c r="F295" s="2">
        <f>IFERROR(__xludf.DUMMYFUNCTION("""COMPUTED_VALUE"""),4165.0)</f>
        <v/>
      </c>
      <c r="G295" s="2">
        <f>IFERROR(__xludf.DUMMYFUNCTION("""COMPUTED_VALUE"""),5415.0)</f>
        <v/>
      </c>
      <c r="H295" s="2">
        <f>IFERROR(__xludf.DUMMYFUNCTION("""COMPUTED_VALUE"""),5685.0)</f>
        <v/>
      </c>
      <c r="I295" s="2">
        <f>IFERROR(__xludf.DUMMYFUNCTION("""COMPUTED_VALUE"""),5956.0)</f>
        <v/>
      </c>
      <c r="J295" s="2">
        <f>IFERROR(__xludf.DUMMYFUNCTION("""COMPUTED_VALUE"""),5956.0)</f>
        <v/>
      </c>
      <c r="K295" s="2">
        <f>IFERROR(__xludf.DUMMYFUNCTION("""COMPUTED_VALUE"""),21.0)</f>
        <v/>
      </c>
      <c r="L295" s="2">
        <f>IFERROR(__xludf.DUMMYFUNCTION("""COMPUTED_VALUE"""),"Универсал Эконом")</f>
        <v/>
      </c>
      <c r="M295" s="2">
        <f>IFERROR(__xludf.DUMMYFUNCTION("""COMPUTED_VALUE"""),"Для обычных дорог, Модульные, LED Светильники")</f>
        <v/>
      </c>
    </row>
    <row r="296">
      <c r="A296" s="5">
        <f>IFERROR(__xludf.DUMMYFUNCTION("""COMPUTED_VALUE"""),"Fefco/0201-6")</f>
        <v/>
      </c>
      <c r="B296" s="5">
        <f>IFERROR(__xludf.DUMMYFUNCTION("""COMPUTED_VALUE"""),"Короб 400х380х270 (картон Т-24 ""В"" бурый)")</f>
        <v/>
      </c>
      <c r="C296" s="2">
        <f>IFERROR(__xludf.DUMMYFUNCTION("""COMPUTED_VALUE"""),0.0)</f>
        <v/>
      </c>
      <c r="D296" s="2">
        <f>IFERROR(__xludf.DUMMYFUNCTION("""COMPUTED_VALUE"""),0.0)</f>
        <v/>
      </c>
      <c r="E296" s="2">
        <f>IFERROR(__xludf.DUMMYFUNCTION("""COMPUTED_VALUE"""),104.0)</f>
        <v/>
      </c>
      <c r="F296" s="2">
        <f>IFERROR(__xludf.DUMMYFUNCTION("""COMPUTED_VALUE"""),1.0)</f>
        <v/>
      </c>
      <c r="G296" s="2">
        <f>IFERROR(__xludf.DUMMYFUNCTION("""COMPUTED_VALUE"""),1.0)</f>
        <v/>
      </c>
      <c r="H296" s="2">
        <f>IFERROR(__xludf.DUMMYFUNCTION("""COMPUTED_VALUE"""),1.0)</f>
        <v/>
      </c>
      <c r="I296" s="2">
        <f>IFERROR(__xludf.DUMMYFUNCTION("""COMPUTED_VALUE"""),1.5)</f>
        <v/>
      </c>
      <c r="J296" s="2">
        <f>IFERROR(__xludf.DUMMYFUNCTION("""COMPUTED_VALUE"""),1.5)</f>
        <v/>
      </c>
      <c r="K296" s="2">
        <f>IFERROR(__xludf.DUMMYFUNCTION("""COMPUTED_VALUE"""),80.0)</f>
        <v/>
      </c>
      <c r="L296" s="2">
        <f>IFERROR(__xludf.DUMMYFUNCTION("""COMPUTED_VALUE"""),"Упаковка")</f>
        <v/>
      </c>
      <c r="M296" s="2">
        <f>IFERROR(__xludf.DUMMYFUNCTION("""COMPUTED_VALUE"""),"Прочие товары")</f>
        <v/>
      </c>
    </row>
    <row r="297">
      <c r="A297" s="5">
        <f>IFERROR(__xludf.DUMMYFUNCTION("""COMPUTED_VALUE"""),"4690612004860")</f>
        <v/>
      </c>
      <c r="B297" s="5">
        <f>IFERROR(__xludf.DUMMYFUNCTION("""COMPUTED_VALUE"""),"RLP-eco 0842 8Вт 160-260В 4000К 640Лм 120/105мм алюминий IP40 ASD")</f>
        <v/>
      </c>
      <c r="C297" s="2">
        <f>IFERROR(__xludf.DUMMYFUNCTION("""COMPUTED_VALUE"""),0.1038)</f>
        <v/>
      </c>
      <c r="D297" s="2">
        <f>IFERROR(__xludf.DUMMYFUNCTION("""COMPUTED_VALUE"""),8.200000000000001E-4)</f>
        <v/>
      </c>
      <c r="E297" s="2">
        <f>IFERROR(__xludf.DUMMYFUNCTION("""COMPUTED_VALUE"""),186.11)</f>
        <v/>
      </c>
      <c r="F297" s="2">
        <f>IFERROR(__xludf.DUMMYFUNCTION("""COMPUTED_VALUE"""),1.0)</f>
        <v/>
      </c>
      <c r="G297" s="2">
        <f>IFERROR(__xludf.DUMMYFUNCTION("""COMPUTED_VALUE"""),1.0)</f>
        <v/>
      </c>
      <c r="H297" s="2">
        <f>IFERROR(__xludf.DUMMYFUNCTION("""COMPUTED_VALUE"""),1.0)</f>
        <v/>
      </c>
      <c r="I297" s="2">
        <f>IFERROR(__xludf.DUMMYFUNCTION("""COMPUTED_VALUE"""),1.0)</f>
        <v/>
      </c>
      <c r="J297" s="2">
        <f>IFERROR(__xludf.DUMMYFUNCTION("""COMPUTED_VALUE"""),1.0)</f>
        <v/>
      </c>
      <c r="K297" s="2">
        <f>IFERROR(__xludf.DUMMYFUNCTION("""COMPUTED_VALUE"""),1.0)</f>
        <v/>
      </c>
      <c r="L297" s="2">
        <f>IFERROR(__xludf.DUMMYFUNCTION("""COMPUTED_VALUE"""),"Панели светодиодные круглые встраиваемые RLP")</f>
        <v/>
      </c>
      <c r="M297" s="2">
        <f>IFERROR(__xludf.DUMMYFUNCTION("""COMPUTED_VALUE"""),"Встраиваемые, Точечные круглые Downlight, LED Светильники")</f>
        <v/>
      </c>
    </row>
    <row r="298">
      <c r="A298" s="5">
        <f>IFERROR(__xludf.DUMMYFUNCTION("""COMPUTED_VALUE"""),"4260708178135")</f>
        <v/>
      </c>
      <c r="B298" s="5">
        <f>IFERROR(__xludf.DUMMYFUNCTION("""COMPUTED_VALUE"""),"WLD-50W/01-12V")</f>
        <v/>
      </c>
      <c r="C298" s="2">
        <f>IFERROR(__xludf.DUMMYFUNCTION("""COMPUTED_VALUE"""),0.078)</f>
        <v/>
      </c>
      <c r="D298" s="2">
        <f>IFERROR(__xludf.DUMMYFUNCTION("""COMPUTED_VALUE"""),0.0201)</f>
        <v/>
      </c>
      <c r="E298" s="2">
        <f>IFERROR(__xludf.DUMMYFUNCTION("""COMPUTED_VALUE"""),324.63)</f>
        <v/>
      </c>
      <c r="F298" s="2">
        <f>IFERROR(__xludf.DUMMYFUNCTION("""COMPUTED_VALUE"""),464.0)</f>
        <v/>
      </c>
      <c r="G298" s="2">
        <f>IFERROR(__xludf.DUMMYFUNCTION("""COMPUTED_VALUE"""),480.0)</f>
        <v/>
      </c>
      <c r="H298" s="2">
        <f>IFERROR(__xludf.DUMMYFUNCTION("""COMPUTED_VALUE"""),629.0)</f>
        <v/>
      </c>
      <c r="I298" s="2">
        <f>IFERROR(__xludf.DUMMYFUNCTION("""COMPUTED_VALUE"""),786.0)</f>
        <v/>
      </c>
      <c r="J298" s="2">
        <f>IFERROR(__xludf.DUMMYFUNCTION("""COMPUTED_VALUE"""),393.0)</f>
        <v/>
      </c>
      <c r="K298" s="2">
        <f>IFERROR(__xludf.DUMMYFUNCTION("""COMPUTED_VALUE"""),2.0)</f>
        <v/>
      </c>
      <c r="L298" s="2">
        <f>IFERROR(__xludf.DUMMYFUNCTION("""COMPUTED_VALUE"""),"Светодиодная лента")</f>
        <v/>
      </c>
      <c r="M298" s="2">
        <f>IFERROR(__xludf.DUMMYFUNCTION("""COMPUTED_VALUE"""),"Светодиодная лента, Прочие товары")</f>
        <v/>
      </c>
    </row>
    <row r="299">
      <c r="A299" s="5">
        <f>IFERROR(__xludf.DUMMYFUNCTION("""COMPUTED_VALUE"""),"4690612057279-2")</f>
        <v/>
      </c>
      <c r="B299" s="5">
        <f>IFERROR(__xludf.DUMMYFUNCTION("""COMPUTED_VALUE"""),"ДВО-PRO 4040-ОПАЛ 40Вт 4000К 120лм/Вт CRI80 IP40 595х595х30мм NEOX (2 шт в упак.)")</f>
        <v/>
      </c>
      <c r="C299" s="2">
        <f>IFERROR(__xludf.DUMMYFUNCTION("""COMPUTED_VALUE"""),0.0)</f>
        <v/>
      </c>
      <c r="D299" s="2">
        <f>IFERROR(__xludf.DUMMYFUNCTION("""COMPUTED_VALUE"""),0.0)</f>
        <v/>
      </c>
      <c r="E299" s="2">
        <f>IFERROR(__xludf.DUMMYFUNCTION("""COMPUTED_VALUE"""),1478.72)</f>
        <v/>
      </c>
      <c r="F299" s="2">
        <f>IFERROR(__xludf.DUMMYFUNCTION("""COMPUTED_VALUE"""),1622.0)</f>
        <v/>
      </c>
      <c r="G299" s="2">
        <f>IFERROR(__xludf.DUMMYFUNCTION("""COMPUTED_VALUE"""),1893.0)</f>
        <v/>
      </c>
      <c r="H299" s="2">
        <f>IFERROR(__xludf.DUMMYFUNCTION("""COMPUTED_VALUE"""),2129.0)</f>
        <v/>
      </c>
      <c r="I299" s="2">
        <f>IFERROR(__xludf.DUMMYFUNCTION("""COMPUTED_VALUE"""),2366.0)</f>
        <v/>
      </c>
      <c r="J299" s="2">
        <f>IFERROR(__xludf.DUMMYFUNCTION("""COMPUTED_VALUE"""),1183.0)</f>
        <v/>
      </c>
      <c r="K299" s="2">
        <f>IFERROR(__xludf.DUMMYFUNCTION("""COMPUTED_VALUE"""),18.0)</f>
        <v/>
      </c>
      <c r="L299" s="2">
        <f>IFERROR(__xludf.DUMMYFUNCTION("""COMPUTED_VALUE"""),"NEOX Светильники LED ДВО-PRO производство, упаковка")</f>
        <v/>
      </c>
      <c r="M299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300">
      <c r="A300" s="5">
        <f>IFERROR(__xludf.DUMMYFUNCTION("""COMPUTED_VALUE"""),"GL51101")</f>
        <v/>
      </c>
      <c r="B300" s="5">
        <f>IFERROR(__xludf.DUMMYFUNCTION("""COMPUTED_VALUE"""),"GLERIO Practical 32 Вт 5000К 6A-32D-5U+")</f>
        <v/>
      </c>
      <c r="C300" s="2">
        <f>IFERROR(__xludf.DUMMYFUNCTION("""COMPUTED_VALUE"""),0.8)</f>
        <v/>
      </c>
      <c r="D300" s="2">
        <f>IFERROR(__xludf.DUMMYFUNCTION("""COMPUTED_VALUE"""),0.00204)</f>
        <v/>
      </c>
      <c r="E300" s="2">
        <f>IFERROR(__xludf.DUMMYFUNCTION("""COMPUTED_VALUE"""),1396.8)</f>
        <v/>
      </c>
      <c r="F300" s="2">
        <f>IFERROR(__xludf.DUMMYFUNCTION("""COMPUTED_VALUE"""),1600.0)</f>
        <v/>
      </c>
      <c r="G300" s="2">
        <f>IFERROR(__xludf.DUMMYFUNCTION("""COMPUTED_VALUE"""),2000.0)</f>
        <v/>
      </c>
      <c r="H300" s="2">
        <f>IFERROR(__xludf.DUMMYFUNCTION("""COMPUTED_VALUE"""),2250.0)</f>
        <v/>
      </c>
      <c r="I300" s="2">
        <f>IFERROR(__xludf.DUMMYFUNCTION("""COMPUTED_VALUE"""),2500.0)</f>
        <v/>
      </c>
      <c r="J300" s="2">
        <f>IFERROR(__xludf.DUMMYFUNCTION("""COMPUTED_VALUE"""),2500.0)</f>
        <v/>
      </c>
      <c r="K300" s="2">
        <f>IFERROR(__xludf.DUMMYFUNCTION("""COMPUTED_VALUE"""),4.0)</f>
        <v/>
      </c>
      <c r="L300" s="2">
        <f>IFERROR(__xludf.DUMMYFUNCTION("""COMPUTED_VALUE"""),"Practical+ Уличные GLERIO")</f>
        <v/>
      </c>
      <c r="M300" s="2">
        <f>IFERROR(__xludf.DUMMYFUNCTION("""COMPUTED_VALUE"""),"Для обычных дорог, LED Светильники")</f>
        <v/>
      </c>
    </row>
    <row r="301">
      <c r="A301" s="5">
        <f>IFERROR(__xludf.DUMMYFUNCTION("""COMPUTED_VALUE"""),"4690612031118")</f>
        <v/>
      </c>
      <c r="B301" s="5">
        <f>IFERROR(__xludf.DUMMYFUNCTION("""COMPUTED_VALUE"""),"LED-HP-PRO 50Вт 230В Е27 с адаптером E40 4000К 4750Лм IN HOME")</f>
        <v/>
      </c>
      <c r="C301" s="2">
        <f>IFERROR(__xludf.DUMMYFUNCTION("""COMPUTED_VALUE"""),0.24)</f>
        <v/>
      </c>
      <c r="D301" s="2">
        <f>IFERROR(__xludf.DUMMYFUNCTION("""COMPUTED_VALUE"""),0.0038)</f>
        <v/>
      </c>
      <c r="E301" s="2">
        <f>IFERROR(__xludf.DUMMYFUNCTION("""COMPUTED_VALUE"""),215.4)</f>
        <v/>
      </c>
      <c r="F301" s="2">
        <f>IFERROR(__xludf.DUMMYFUNCTION("""COMPUTED_VALUE"""),255.0)</f>
        <v/>
      </c>
      <c r="G301" s="2">
        <f>IFERROR(__xludf.DUMMYFUNCTION("""COMPUTED_VALUE"""),287.0)</f>
        <v/>
      </c>
      <c r="H301" s="2">
        <f>IFERROR(__xludf.DUMMYFUNCTION("""COMPUTED_VALUE"""),333.0)</f>
        <v/>
      </c>
      <c r="I301" s="2">
        <f>IFERROR(__xludf.DUMMYFUNCTION("""COMPUTED_VALUE"""),383.3)</f>
        <v/>
      </c>
      <c r="J301" s="2">
        <f>IFERROR(__xludf.DUMMYFUNCTION("""COMPUTED_VALUE"""),192.0)</f>
        <v/>
      </c>
      <c r="K301" s="2">
        <f>IFERROR(__xludf.DUMMYFUNCTION("""COMPUTED_VALUE"""),5.0)</f>
        <v/>
      </c>
      <c r="L301" s="2">
        <f>IFERROR(__xludf.DUMMYFUNCTION("""COMPUTED_VALUE"""),"Лампа светодиодная HP PRO")</f>
        <v/>
      </c>
      <c r="M301" s="2">
        <f>IFERROR(__xludf.DUMMYFUNCTION("""COMPUTED_VALUE"""),"Лампы")</f>
        <v/>
      </c>
    </row>
    <row r="302">
      <c r="A302" s="5">
        <f>IFERROR(__xludf.DUMMYFUNCTION("""COMPUTED_VALUE"""),"V9019")</f>
        <v/>
      </c>
      <c r="B302" s="5">
        <f>IFERROR(__xludf.DUMMYFUNCTION("""COMPUTED_VALUE"""),"VRN-UNE-80-G40K67-U, 80Вт, Универсальный")</f>
        <v/>
      </c>
      <c r="C302" s="2">
        <f>IFERROR(__xludf.DUMMYFUNCTION("""COMPUTED_VALUE"""),0.148)</f>
        <v/>
      </c>
      <c r="D302" s="2">
        <f>IFERROR(__xludf.DUMMYFUNCTION("""COMPUTED_VALUE"""),0.00805)</f>
        <v/>
      </c>
      <c r="E302" s="2">
        <f>IFERROR(__xludf.DUMMYFUNCTION("""COMPUTED_VALUE"""),3381.62)</f>
        <v/>
      </c>
      <c r="F302" s="2">
        <f>IFERROR(__xludf.DUMMYFUNCTION("""COMPUTED_VALUE"""),3925.0)</f>
        <v/>
      </c>
      <c r="G302" s="2">
        <f>IFERROR(__xludf.DUMMYFUNCTION("""COMPUTED_VALUE"""),5103.0)</f>
        <v/>
      </c>
      <c r="H302" s="2">
        <f>IFERROR(__xludf.DUMMYFUNCTION("""COMPUTED_VALUE"""),5358.0)</f>
        <v/>
      </c>
      <c r="I302" s="2">
        <f>IFERROR(__xludf.DUMMYFUNCTION("""COMPUTED_VALUE"""),5613.0)</f>
        <v/>
      </c>
      <c r="J302" s="2">
        <f>IFERROR(__xludf.DUMMYFUNCTION("""COMPUTED_VALUE"""),5358.0)</f>
        <v/>
      </c>
      <c r="K302" s="2">
        <f>IFERROR(__xludf.DUMMYFUNCTION("""COMPUTED_VALUE"""),107.0)</f>
        <v/>
      </c>
      <c r="L302" s="2">
        <f>IFERROR(__xludf.DUMMYFUNCTION("""COMPUTED_VALUE"""),"Универсал Эконом")</f>
        <v/>
      </c>
      <c r="M302" s="2">
        <f>IFERROR(__xludf.DUMMYFUNCTION("""COMPUTED_VALUE"""),"Для обычных дорог, Модульные, LED Светильники")</f>
        <v/>
      </c>
    </row>
    <row r="303">
      <c r="A303" s="5">
        <f>IFERROR(__xludf.DUMMYFUNCTION("""COMPUTED_VALUE"""),"4690612009032")</f>
        <v/>
      </c>
      <c r="B303" s="5">
        <f>IFERROR(__xludf.DUMMYFUNCTION("""COMPUTED_VALUE"""),"4242 Вилка прямая 10А черная IN HOME")</f>
        <v/>
      </c>
      <c r="C303" s="2">
        <f>IFERROR(__xludf.DUMMYFUNCTION("""COMPUTED_VALUE"""),0.02)</f>
        <v/>
      </c>
      <c r="D303" s="2">
        <f>IFERROR(__xludf.DUMMYFUNCTION("""COMPUTED_VALUE"""),1.0E-4)</f>
        <v/>
      </c>
      <c r="E303" s="2">
        <f>IFERROR(__xludf.DUMMYFUNCTION("""COMPUTED_VALUE"""),59.34)</f>
        <v/>
      </c>
      <c r="F303" s="2">
        <f>IFERROR(__xludf.DUMMYFUNCTION("""COMPUTED_VALUE"""),40.0)</f>
        <v/>
      </c>
      <c r="G303" s="2">
        <f>IFERROR(__xludf.DUMMYFUNCTION("""COMPUTED_VALUE"""),45.0)</f>
        <v/>
      </c>
      <c r="H303" s="2">
        <f>IFERROR(__xludf.DUMMYFUNCTION("""COMPUTED_VALUE"""),52.0)</f>
        <v/>
      </c>
      <c r="I303" s="2">
        <f>IFERROR(__xludf.DUMMYFUNCTION("""COMPUTED_VALUE"""),59.0)</f>
        <v/>
      </c>
      <c r="J303" s="2">
        <f>IFERROR(__xludf.DUMMYFUNCTION("""COMPUTED_VALUE"""),30.0)</f>
        <v/>
      </c>
      <c r="K303" s="2">
        <f>IFERROR(__xludf.DUMMYFUNCTION("""COMPUTED_VALUE"""),3.0)</f>
        <v/>
      </c>
      <c r="L303" s="2">
        <f>IFERROR(__xludf.DUMMYFUNCTION("""COMPUTED_VALUE"""),"Розетки, вилки и колодки")</f>
        <v/>
      </c>
      <c r="M303" s="2">
        <f>IFERROR(__xludf.DUMMYFUNCTION("""COMPUTED_VALUE"""),"Прочие товары")</f>
        <v/>
      </c>
    </row>
    <row r="304">
      <c r="A304" s="5">
        <f>IFERROR(__xludf.DUMMYFUNCTION("""COMPUTED_VALUE"""),"4690612020570")</f>
        <v/>
      </c>
      <c r="B304" s="5">
        <f>IFERROR(__xludf.DUMMYFUNCTION("""COMPUTED_VALUE"""),"LED-ШАР-VC 8Вт 230В Е27 4000К 760Лм IN HOME")</f>
        <v/>
      </c>
      <c r="C304" s="2">
        <f>IFERROR(__xludf.DUMMYFUNCTION("""COMPUTED_VALUE"""),0.031)</f>
        <v/>
      </c>
      <c r="D304" s="2">
        <f>IFERROR(__xludf.DUMMYFUNCTION("""COMPUTED_VALUE"""),2.3E-4)</f>
        <v/>
      </c>
      <c r="E304" s="2">
        <f>IFERROR(__xludf.DUMMYFUNCTION("""COMPUTED_VALUE"""),39.0)</f>
        <v/>
      </c>
      <c r="F304" s="2">
        <f>IFERROR(__xludf.DUMMYFUNCTION("""COMPUTED_VALUE"""),45.0)</f>
        <v/>
      </c>
      <c r="G304" s="2">
        <f>IFERROR(__xludf.DUMMYFUNCTION("""COMPUTED_VALUE"""),50.0)</f>
        <v/>
      </c>
      <c r="H304" s="2">
        <f>IFERROR(__xludf.DUMMYFUNCTION("""COMPUTED_VALUE"""),58.0)</f>
        <v/>
      </c>
      <c r="I304" s="2">
        <f>IFERROR(__xludf.DUMMYFUNCTION("""COMPUTED_VALUE"""),67.6)</f>
        <v/>
      </c>
      <c r="J304" s="2">
        <f>IFERROR(__xludf.DUMMYFUNCTION("""COMPUTED_VALUE"""),34.0)</f>
        <v/>
      </c>
      <c r="K304" s="2">
        <f>IFERROR(__xludf.DUMMYFUNCTION("""COMPUTED_VALUE"""),2.0)</f>
        <v/>
      </c>
      <c r="L304" s="2">
        <f>IFERROR(__xludf.DUMMYFUNCTION("""COMPUTED_VALUE"""),"Лампа светодиодная LED-ШАР-standard")</f>
        <v/>
      </c>
      <c r="M304" s="2">
        <f>IFERROR(__xludf.DUMMYFUNCTION("""COMPUTED_VALUE"""),"Лампы")</f>
        <v/>
      </c>
    </row>
    <row r="305">
      <c r="A305" s="5">
        <f>IFERROR(__xludf.DUMMYFUNCTION("""COMPUTED_VALUE"""),"4690612020778")</f>
        <v/>
      </c>
      <c r="B305" s="5">
        <f>IFERROR(__xludf.DUMMYFUNCTION("""COMPUTED_VALUE"""),"LED-GX53-VC 10Вт 230В 6500К 950Лм IN HOME")</f>
        <v/>
      </c>
      <c r="C305" s="2">
        <f>IFERROR(__xludf.DUMMYFUNCTION("""COMPUTED_VALUE"""),0.03700000000000001)</f>
        <v/>
      </c>
      <c r="D305" s="2">
        <f>IFERROR(__xludf.DUMMYFUNCTION("""COMPUTED_VALUE"""),2.1E-4)</f>
        <v/>
      </c>
      <c r="E305" s="2">
        <f>IFERROR(__xludf.DUMMYFUNCTION("""COMPUTED_VALUE"""),37.8)</f>
        <v/>
      </c>
      <c r="F305" s="2">
        <f>IFERROR(__xludf.DUMMYFUNCTION("""COMPUTED_VALUE"""),45.0)</f>
        <v/>
      </c>
      <c r="G305" s="2">
        <f>IFERROR(__xludf.DUMMYFUNCTION("""COMPUTED_VALUE"""),50.0)</f>
        <v/>
      </c>
      <c r="H305" s="2">
        <f>IFERROR(__xludf.DUMMYFUNCTION("""COMPUTED_VALUE"""),58.0)</f>
        <v/>
      </c>
      <c r="I305" s="2">
        <f>IFERROR(__xludf.DUMMYFUNCTION("""COMPUTED_VALUE"""),67.7)</f>
        <v/>
      </c>
      <c r="J305" s="2">
        <f>IFERROR(__xludf.DUMMYFUNCTION("""COMPUTED_VALUE"""),34.0)</f>
        <v/>
      </c>
      <c r="K305" s="2">
        <f>IFERROR(__xludf.DUMMYFUNCTION("""COMPUTED_VALUE"""),65.0)</f>
        <v/>
      </c>
      <c r="L305" s="2">
        <f>IFERROR(__xludf.DUMMYFUNCTION("""COMPUTED_VALUE"""),"Лампа светодиодная LED-GX53-standard")</f>
        <v/>
      </c>
      <c r="M305" s="2">
        <f>IFERROR(__xludf.DUMMYFUNCTION("""COMPUTED_VALUE"""),"Лампы")</f>
        <v/>
      </c>
    </row>
    <row r="306">
      <c r="A306" s="5">
        <f>IFERROR(__xludf.DUMMYFUNCTION("""COMPUTED_VALUE"""),"4690612035673-10")</f>
        <v/>
      </c>
      <c r="B306" s="5">
        <f>IFERROR(__xludf.DUMMYFUNCTION("""COMPUTED_VALUE"""),"10 шт. Лампа LED-ST64-deco gold 11Вт 230В Е27 3000К 1160Лм золотистая IN HOME (Комплект 10 шт)")</f>
        <v/>
      </c>
      <c r="C306" s="2">
        <f>IFERROR(__xludf.DUMMYFUNCTION("""COMPUTED_VALUE"""),0.22)</f>
        <v/>
      </c>
      <c r="D306" s="2">
        <f>IFERROR(__xludf.DUMMYFUNCTION("""COMPUTED_VALUE"""),0.004)</f>
        <v/>
      </c>
      <c r="E306" s="2">
        <f>IFERROR(__xludf.DUMMYFUNCTION("""COMPUTED_VALUE"""),1462.1)</f>
        <v/>
      </c>
      <c r="F306" s="2">
        <f>IFERROR(__xludf.DUMMYFUNCTION("""COMPUTED_VALUE"""),1604.0)</f>
        <v/>
      </c>
      <c r="G306" s="2">
        <f>IFERROR(__xludf.DUMMYFUNCTION("""COMPUTED_VALUE"""),1871.0)</f>
        <v/>
      </c>
      <c r="H306" s="2">
        <f>IFERROR(__xludf.DUMMYFUNCTION("""COMPUTED_VALUE"""),2105.0)</f>
        <v/>
      </c>
      <c r="I306" s="2">
        <f>IFERROR(__xludf.DUMMYFUNCTION("""COMPUTED_VALUE"""),2339.0)</f>
        <v/>
      </c>
      <c r="J306" s="2">
        <f>IFERROR(__xludf.DUMMYFUNCTION("""COMPUTED_VALUE"""),1170.0)</f>
        <v/>
      </c>
      <c r="K306" s="2">
        <f>IFERROR(__xludf.DUMMYFUNCTION("""COMPUTED_VALUE"""),1.0)</f>
        <v/>
      </c>
      <c r="L306" s="2">
        <f>IFERROR(__xludf.DUMMYFUNCTION("""COMPUTED_VALUE"""),"Лампы производство, упаковка")</f>
        <v/>
      </c>
      <c r="M306" s="2">
        <f>IFERROR(__xludf.DUMMYFUNCTION("""COMPUTED_VALUE"""),"Лампы")</f>
        <v/>
      </c>
    </row>
    <row r="307">
      <c r="A307" s="5">
        <f>IFERROR(__xludf.DUMMYFUNCTION("""COMPUTED_VALUE"""),"GL8110")</f>
        <v/>
      </c>
      <c r="B307" s="5">
        <f>IFERROR(__xludf.DUMMYFUNCTION("""COMPUTED_VALUE"""),"GLERIO Office Casual 24 Вт 4000К 81P-24D-4V-M")</f>
        <v/>
      </c>
      <c r="C307" s="2">
        <f>IFERROR(__xludf.DUMMYFUNCTION("""COMPUTED_VALUE"""),1.04)</f>
        <v/>
      </c>
      <c r="D307" s="2">
        <f>IFERROR(__xludf.DUMMYFUNCTION("""COMPUTED_VALUE"""),0.008190000000000001)</f>
        <v/>
      </c>
      <c r="E307" s="2">
        <f>IFERROR(__xludf.DUMMYFUNCTION("""COMPUTED_VALUE"""),1464.7)</f>
        <v/>
      </c>
      <c r="F307" s="2">
        <f>IFERROR(__xludf.DUMMYFUNCTION("""COMPUTED_VALUE"""),1700.0)</f>
        <v/>
      </c>
      <c r="G307" s="2">
        <f>IFERROR(__xludf.DUMMYFUNCTION("""COMPUTED_VALUE"""),2140.0)</f>
        <v/>
      </c>
      <c r="H307" s="2">
        <f>IFERROR(__xludf.DUMMYFUNCTION("""COMPUTED_VALUE"""),2404.0)</f>
        <v/>
      </c>
      <c r="I307" s="2">
        <f>IFERROR(__xludf.DUMMYFUNCTION("""COMPUTED_VALUE"""),2667.0)</f>
        <v/>
      </c>
      <c r="J307" s="2">
        <f>IFERROR(__xludf.DUMMYFUNCTION("""COMPUTED_VALUE"""),2404.0)</f>
        <v/>
      </c>
      <c r="K307" s="2">
        <f>IFERROR(__xludf.DUMMYFUNCTION("""COMPUTED_VALUE"""),30.0)</f>
        <v/>
      </c>
      <c r="L307" s="2">
        <f>IFERROR(__xludf.DUMMYFUNCTION("""COMPUTED_VALUE"""),"Office Casual (Офис) до 10.2025")</f>
        <v/>
      </c>
      <c r="M307" s="2">
        <f>IFERROR(__xludf.DUMMYFUNCTION("""COMPUTED_VALUE"""),"Встраиваемые, Накладные, LED Светильники")</f>
        <v/>
      </c>
    </row>
    <row r="308">
      <c r="A308" s="5">
        <f>IFERROR(__xludf.DUMMYFUNCTION("""COMPUTED_VALUE"""),"4690612055350")</f>
        <v/>
      </c>
      <c r="B308" s="5">
        <f>IFERROR(__xludf.DUMMYFUNCTION("""COMPUTED_VALUE"""),"ДПО-108 ОПАЛ 48Вт 4000К 1200мм IP40 NEOX")</f>
        <v/>
      </c>
      <c r="C308" s="2">
        <f>IFERROR(__xludf.DUMMYFUNCTION("""COMPUTED_VALUE"""),0.325)</f>
        <v/>
      </c>
      <c r="D308" s="2">
        <f>IFERROR(__xludf.DUMMYFUNCTION("""COMPUTED_VALUE"""),0.0025)</f>
        <v/>
      </c>
      <c r="E308" s="2">
        <f>IFERROR(__xludf.DUMMYFUNCTION("""COMPUTED_VALUE"""),290.13)</f>
        <v/>
      </c>
      <c r="F308" s="2">
        <f>IFERROR(__xludf.DUMMYFUNCTION("""COMPUTED_VALUE"""),379.0)</f>
        <v/>
      </c>
      <c r="G308" s="2">
        <f>IFERROR(__xludf.DUMMYFUNCTION("""COMPUTED_VALUE"""),427.0)</f>
        <v/>
      </c>
      <c r="H308" s="2">
        <f>IFERROR(__xludf.DUMMYFUNCTION("""COMPUTED_VALUE"""),495.0)</f>
        <v/>
      </c>
      <c r="I308" s="2">
        <f>IFERROR(__xludf.DUMMYFUNCTION("""COMPUTED_VALUE"""),569.0)</f>
        <v/>
      </c>
      <c r="J308" s="2">
        <f>IFERROR(__xludf.DUMMYFUNCTION("""COMPUTED_VALUE"""),285.0)</f>
        <v/>
      </c>
      <c r="K308" s="2">
        <f>IFERROR(__xludf.DUMMYFUNCTION("""COMPUTED_VALUE"""),20.0)</f>
        <v/>
      </c>
      <c r="L308" s="2">
        <f>IFERROR(__xludf.DUMMYFUNCTION("""COMPUTED_VALUE"""),"NEOX Светильники LED ДПО")</f>
        <v/>
      </c>
      <c r="M308" s="2">
        <f>IFERROR(__xludf.DUMMYFUNCTION("""COMPUTED_VALUE"""),"Накладные, LED Светильники")</f>
        <v/>
      </c>
    </row>
    <row r="309">
      <c r="A309" s="5">
        <f>IFERROR(__xludf.DUMMYFUNCTION("""COMPUTED_VALUE"""),"4690612035673")</f>
        <v/>
      </c>
      <c r="B309" s="5">
        <f>IFERROR(__xludf.DUMMYFUNCTION("""COMPUTED_VALUE"""),"LED-ST64-deco gold 11Вт 230В Е27 3000К 1160Лм золотистая IN HOME")</f>
        <v/>
      </c>
      <c r="C309" s="2">
        <f>IFERROR(__xludf.DUMMYFUNCTION("""COMPUTED_VALUE"""),0.044)</f>
        <v/>
      </c>
      <c r="D309" s="2">
        <f>IFERROR(__xludf.DUMMYFUNCTION("""COMPUTED_VALUE"""),8.0E-4)</f>
        <v/>
      </c>
      <c r="E309" s="2">
        <f>IFERROR(__xludf.DUMMYFUNCTION("""COMPUTED_VALUE"""),146.21)</f>
        <v/>
      </c>
      <c r="F309" s="2">
        <f>IFERROR(__xludf.DUMMYFUNCTION("""COMPUTED_VALUE"""),159.0)</f>
        <v/>
      </c>
      <c r="G309" s="2">
        <f>IFERROR(__xludf.DUMMYFUNCTION("""COMPUTED_VALUE"""),179.0)</f>
        <v/>
      </c>
      <c r="H309" s="2">
        <f>IFERROR(__xludf.DUMMYFUNCTION("""COMPUTED_VALUE"""),207.0)</f>
        <v/>
      </c>
      <c r="I309" s="2">
        <f>IFERROR(__xludf.DUMMYFUNCTION("""COMPUTED_VALUE"""),238.5)</f>
        <v/>
      </c>
      <c r="J309" s="2">
        <f>IFERROR(__xludf.DUMMYFUNCTION("""COMPUTED_VALUE"""),119.0)</f>
        <v/>
      </c>
      <c r="K309" s="2">
        <f>IFERROR(__xludf.DUMMYFUNCTION("""COMPUTED_VALUE"""),8.0)</f>
        <v/>
      </c>
      <c r="L309" s="2">
        <f>IFERROR(__xludf.DUMMYFUNCTION("""COMPUTED_VALUE"""),"Лампа светодиодная LED-ST64-DECO золотистая")</f>
        <v/>
      </c>
      <c r="M309" s="2">
        <f>IFERROR(__xludf.DUMMYFUNCTION("""COMPUTED_VALUE"""),"Лампы")</f>
        <v/>
      </c>
    </row>
    <row r="310">
      <c r="A310" s="5">
        <f>IFERROR(__xludf.DUMMYFUNCTION("""COMPUTED_VALUE"""),"4690612038179")</f>
        <v/>
      </c>
      <c r="B310" s="5">
        <f>IFERROR(__xludf.DUMMYFUNCTION("""COMPUTED_VALUE"""),"ДВО-02 3665-ПРИЗМА 36Вт 230В 6500К 4020Лм 110Лм/Вт 595х595х19 NEOX")</f>
        <v/>
      </c>
      <c r="C310" s="2">
        <f>IFERROR(__xludf.DUMMYFUNCTION("""COMPUTED_VALUE"""),4.500010000000001)</f>
        <v/>
      </c>
      <c r="D310" s="2">
        <f>IFERROR(__xludf.DUMMYFUNCTION("""COMPUTED_VALUE"""),0.032)</f>
        <v/>
      </c>
      <c r="E310" s="2">
        <f>IFERROR(__xludf.DUMMYFUNCTION("""COMPUTED_VALUE"""),481.53)</f>
        <v/>
      </c>
      <c r="F310" s="2">
        <f>IFERROR(__xludf.DUMMYFUNCTION("""COMPUTED_VALUE"""),567.0)</f>
        <v/>
      </c>
      <c r="G310" s="2">
        <f>IFERROR(__xludf.DUMMYFUNCTION("""COMPUTED_VALUE"""),638.0)</f>
        <v/>
      </c>
      <c r="H310" s="2">
        <f>IFERROR(__xludf.DUMMYFUNCTION("""COMPUTED_VALUE"""),740.0)</f>
        <v/>
      </c>
      <c r="I310" s="2">
        <f>IFERROR(__xludf.DUMMYFUNCTION("""COMPUTED_VALUE"""),850.0)</f>
        <v/>
      </c>
      <c r="J310" s="2">
        <f>IFERROR(__xludf.DUMMYFUNCTION("""COMPUTED_VALUE"""),638.0)</f>
        <v/>
      </c>
      <c r="K310" s="2">
        <f>IFERROR(__xludf.DUMMYFUNCTION("""COMPUTED_VALUE"""),19.0)</f>
        <v/>
      </c>
      <c r="L310" s="2">
        <f>IFERROR(__xludf.DUMMYFUNCTION("""COMPUTED_VALUE"""),"NEOX Светильники LED ДВО")</f>
        <v/>
      </c>
      <c r="M310" s="2">
        <f>IFERROR(__xludf.DUMMYFUNCTION("""COMPUTED_VALUE"""),"Светильники общего назначения (LED), Встраиваемые, Накладные, Встраиваемые, LED Светильники")</f>
        <v/>
      </c>
    </row>
    <row r="311">
      <c r="A311" s="5">
        <f>IFERROR(__xludf.DUMMYFUNCTION("""COMPUTED_VALUE"""),"601-268")</f>
        <v/>
      </c>
      <c r="B311" s="5">
        <f>IFERROR(__xludf.DUMMYFUNCTION("""COMPUTED_VALUE"""),"проектор LED «Звезды» 220 В NEONNIGHT NEONNIGHT NEON-NIGHT 601-268")</f>
        <v/>
      </c>
      <c r="C311" s="2">
        <f>IFERROR(__xludf.DUMMYFUNCTION("""COMPUTED_VALUE"""),0.0)</f>
        <v/>
      </c>
      <c r="D311" s="2">
        <f>IFERROR(__xludf.DUMMYFUNCTION("""COMPUTED_VALUE"""),0.0)</f>
        <v/>
      </c>
      <c r="E311" s="2">
        <f>IFERROR(__xludf.DUMMYFUNCTION("""COMPUTED_VALUE"""),1.0)</f>
        <v/>
      </c>
      <c r="F311" s="2">
        <f>IFERROR(__xludf.DUMMYFUNCTION("""COMPUTED_VALUE"""),2554.0)</f>
        <v/>
      </c>
      <c r="G311" s="2">
        <f>IFERROR(__xludf.DUMMYFUNCTION("""COMPUTED_VALUE"""),2725.0)</f>
        <v/>
      </c>
      <c r="H311" s="2">
        <f>IFERROR(__xludf.DUMMYFUNCTION("""COMPUTED_VALUE"""),3065.0)</f>
        <v/>
      </c>
      <c r="I311" s="2">
        <f>IFERROR(__xludf.DUMMYFUNCTION("""COMPUTED_VALUE"""),3405.98)</f>
        <v/>
      </c>
      <c r="J311" s="2">
        <f>IFERROR(__xludf.DUMMYFUNCTION("""COMPUTED_VALUE"""),1703.0)</f>
        <v/>
      </c>
      <c r="K311" s="2">
        <f>IFERROR(__xludf.DUMMYFUNCTION("""COMPUTED_VALUE"""),2.0)</f>
        <v/>
      </c>
      <c r="L311" s="2">
        <f>IFERROR(__xludf.DUMMYFUNCTION("""COMPUTED_VALUE"""),"Rexant")</f>
        <v/>
      </c>
      <c r="M311" s="2">
        <f>IFERROR(__xludf.DUMMYFUNCTION("""COMPUTED_VALUE"""),"Прочие товары")</f>
        <v/>
      </c>
    </row>
    <row r="312">
      <c r="A312" s="5">
        <f>IFERROR(__xludf.DUMMYFUNCTION("""COMPUTED_VALUE"""),"15367")</f>
        <v/>
      </c>
      <c r="B312" s="5">
        <f>IFERROR(__xludf.DUMMYFUNCTION("""COMPUTED_VALUE"""),"TLR01 OL 9Вт 1070лм")</f>
        <v/>
      </c>
      <c r="C312" s="2">
        <f>IFERROR(__xludf.DUMMYFUNCTION("""COMPUTED_VALUE"""),0.6000000000000001)</f>
        <v/>
      </c>
      <c r="D312" s="2">
        <f>IFERROR(__xludf.DUMMYFUNCTION("""COMPUTED_VALUE"""),0.00602)</f>
        <v/>
      </c>
      <c r="E312" s="2">
        <f>IFERROR(__xludf.DUMMYFUNCTION("""COMPUTED_VALUE"""),1581.42)</f>
        <v/>
      </c>
      <c r="F312" s="2">
        <f>IFERROR(__xludf.DUMMYFUNCTION("""COMPUTED_VALUE"""),2276.0)</f>
        <v/>
      </c>
      <c r="G312" s="2">
        <f>IFERROR(__xludf.DUMMYFUNCTION("""COMPUTED_VALUE"""),2569.0)</f>
        <v/>
      </c>
      <c r="H312" s="2">
        <f>IFERROR(__xludf.DUMMYFUNCTION("""COMPUTED_VALUE"""),2628.0)</f>
        <v/>
      </c>
      <c r="I312" s="2">
        <f>IFERROR(__xludf.DUMMYFUNCTION("""COMPUTED_VALUE"""),3205.0)</f>
        <v/>
      </c>
      <c r="J312" s="2">
        <f>IFERROR(__xludf.DUMMYFUNCTION("""COMPUTED_VALUE"""),1603.0)</f>
        <v/>
      </c>
      <c r="K312" s="2">
        <f>IFERROR(__xludf.DUMMYFUNCTION("""COMPUTED_VALUE"""),1.0)</f>
        <v/>
      </c>
      <c r="L312" s="2">
        <f>IFERROR(__xludf.DUMMYFUNCTION("""COMPUTED_VALUE"""),"Технолюкс Светильники LED TLR")</f>
        <v/>
      </c>
      <c r="M312" s="2">
        <f>IFERROR(__xludf.DUMMYFUNCTION("""COMPUTED_VALUE"""),"Для ЖКХ, дома, дачи, LED Светильники")</f>
        <v/>
      </c>
    </row>
    <row r="313">
      <c r="A313" s="5">
        <f>IFERROR(__xludf.DUMMYFUNCTION("""COMPUTED_VALUE"""),"4690612020785")</f>
        <v/>
      </c>
      <c r="B313" s="5">
        <f>IFERROR(__xludf.DUMMYFUNCTION("""COMPUTED_VALUE"""),"LED-GX53-VC 12Вт 230В 3000К 1140Лм IN HOME")</f>
        <v/>
      </c>
      <c r="C313" s="2">
        <f>IFERROR(__xludf.DUMMYFUNCTION("""COMPUTED_VALUE"""),0.03800000000000001)</f>
        <v/>
      </c>
      <c r="D313" s="2">
        <f>IFERROR(__xludf.DUMMYFUNCTION("""COMPUTED_VALUE"""),2.1E-4)</f>
        <v/>
      </c>
      <c r="E313" s="2">
        <f>IFERROR(__xludf.DUMMYFUNCTION("""COMPUTED_VALUE"""),41.08)</f>
        <v/>
      </c>
      <c r="F313" s="2">
        <f>IFERROR(__xludf.DUMMYFUNCTION("""COMPUTED_VALUE"""),48.0)</f>
        <v/>
      </c>
      <c r="G313" s="2">
        <f>IFERROR(__xludf.DUMMYFUNCTION("""COMPUTED_VALUE"""),54.0)</f>
        <v/>
      </c>
      <c r="H313" s="2">
        <f>IFERROR(__xludf.DUMMYFUNCTION("""COMPUTED_VALUE"""),62.0)</f>
        <v/>
      </c>
      <c r="I313" s="2">
        <f>IFERROR(__xludf.DUMMYFUNCTION("""COMPUTED_VALUE"""),71.9)</f>
        <v/>
      </c>
      <c r="J313" s="2">
        <f>IFERROR(__xludf.DUMMYFUNCTION("""COMPUTED_VALUE"""),36.0)</f>
        <v/>
      </c>
      <c r="K313" s="2">
        <f>IFERROR(__xludf.DUMMYFUNCTION("""COMPUTED_VALUE"""),68.0)</f>
        <v/>
      </c>
      <c r="L313" s="2">
        <f>IFERROR(__xludf.DUMMYFUNCTION("""COMPUTED_VALUE"""),"Лампа светодиодная LED-GX53-standard")</f>
        <v/>
      </c>
      <c r="M313" s="2">
        <f>IFERROR(__xludf.DUMMYFUNCTION("""COMPUTED_VALUE"""),"Лампы")</f>
        <v/>
      </c>
    </row>
    <row r="314">
      <c r="A314" s="5">
        <f>IFERROR(__xludf.DUMMYFUNCTION("""COMPUTED_VALUE"""),"GL815191")</f>
        <v/>
      </c>
      <c r="B314" s="5">
        <f>IFERROR(__xludf.DUMMYFUNCTION("""COMPUTED_VALUE"""),"GLERIO Office Special 40 Вт 4000K 82P-40D-4G-P")</f>
        <v/>
      </c>
      <c r="C314" s="2">
        <f>IFERROR(__xludf.DUMMYFUNCTION("""COMPUTED_VALUE"""),1.14)</f>
        <v/>
      </c>
      <c r="D314" s="2">
        <f>IFERROR(__xludf.DUMMYFUNCTION("""COMPUTED_VALUE"""),0.008190000000000001)</f>
        <v/>
      </c>
      <c r="E314" s="2">
        <f>IFERROR(__xludf.DUMMYFUNCTION("""COMPUTED_VALUE"""),2366.8)</f>
        <v/>
      </c>
      <c r="F314" s="2">
        <f>IFERROR(__xludf.DUMMYFUNCTION("""COMPUTED_VALUE"""),2730.0)</f>
        <v/>
      </c>
      <c r="G314" s="2">
        <f>IFERROR(__xludf.DUMMYFUNCTION("""COMPUTED_VALUE"""),3437.0)</f>
        <v/>
      </c>
      <c r="H314" s="2">
        <f>IFERROR(__xludf.DUMMYFUNCTION("""COMPUTED_VALUE"""),3860.0)</f>
        <v/>
      </c>
      <c r="I314" s="2">
        <f>IFERROR(__xludf.DUMMYFUNCTION("""COMPUTED_VALUE"""),4283.0)</f>
        <v/>
      </c>
      <c r="J314" s="2">
        <f>IFERROR(__xludf.DUMMYFUNCTION("""COMPUTED_VALUE"""),2142.0)</f>
        <v/>
      </c>
      <c r="K314" s="2">
        <f>IFERROR(__xludf.DUMMYFUNCTION("""COMPUTED_VALUE"""),15.0)</f>
        <v/>
      </c>
      <c r="L314" s="2">
        <f>IFERROR(__xludf.DUMMYFUNCTION("""COMPUTED_VALUE"""),"Office Special+ GLERIO (Офис Премиум)")</f>
        <v/>
      </c>
      <c r="M314" s="2">
        <f>IFERROR(__xludf.DUMMYFUNCTION("""COMPUTED_VALUE"""),"С равномерной засветкой, LED Светильники")</f>
        <v/>
      </c>
    </row>
    <row r="315">
      <c r="A315" s="5">
        <f>IFERROR(__xludf.DUMMYFUNCTION("""COMPUTED_VALUE"""),"15268")</f>
        <v/>
      </c>
      <c r="B315" s="5">
        <f>IFERROR(__xludf.DUMMYFUNCTION("""COMPUTED_VALUE"""),"TLK04 OL 8Вт 750лм")</f>
        <v/>
      </c>
      <c r="C315" s="2">
        <f>IFERROR(__xludf.DUMMYFUNCTION("""COMPUTED_VALUE"""),0.9)</f>
        <v/>
      </c>
      <c r="D315" s="2">
        <f>IFERROR(__xludf.DUMMYFUNCTION("""COMPUTED_VALUE"""),0.00958)</f>
        <v/>
      </c>
      <c r="E315" s="2">
        <f>IFERROR(__xludf.DUMMYFUNCTION("""COMPUTED_VALUE"""),1.12)</f>
        <v/>
      </c>
      <c r="F315" s="2">
        <f>IFERROR(__xludf.DUMMYFUNCTION("""COMPUTED_VALUE"""),1299.0)</f>
        <v/>
      </c>
      <c r="G315" s="2">
        <f>IFERROR(__xludf.DUMMYFUNCTION("""COMPUTED_VALUE"""),1467.0)</f>
        <v/>
      </c>
      <c r="H315" s="2">
        <f>IFERROR(__xludf.DUMMYFUNCTION("""COMPUTED_VALUE"""),1501.0)</f>
        <v/>
      </c>
      <c r="I315" s="2">
        <f>IFERROR(__xludf.DUMMYFUNCTION("""COMPUTED_VALUE"""),1830.0)</f>
        <v/>
      </c>
      <c r="J315" s="2">
        <f>IFERROR(__xludf.DUMMYFUNCTION("""COMPUTED_VALUE"""),915.0)</f>
        <v/>
      </c>
      <c r="K315" s="2">
        <f>IFERROR(__xludf.DUMMYFUNCTION("""COMPUTED_VALUE"""),1.0)</f>
        <v/>
      </c>
      <c r="L315" s="2">
        <f>IFERROR(__xludf.DUMMYFUNCTION("""COMPUTED_VALUE"""),"Технолюкс Светильники LED TLK")</f>
        <v/>
      </c>
      <c r="M315" s="2">
        <f>IFERROR(__xludf.DUMMYFUNCTION("""COMPUTED_VALUE"""),"Для ЖКХ, дома, дачи, LED Светильники")</f>
        <v/>
      </c>
    </row>
    <row r="316">
      <c r="A316" s="5">
        <f>IFERROR(__xludf.DUMMYFUNCTION("""COMPUTED_VALUE"""),"4690612035802")</f>
        <v/>
      </c>
      <c r="B316" s="5">
        <f>IFERROR(__xludf.DUMMYFUNCTION("""COMPUTED_VALUE"""),"GEO RAINBOW 120Вт 230В 3000-6500К 8400Лм 500x50мм с пультом ДУ IN HOME")</f>
        <v/>
      </c>
      <c r="C316" s="2">
        <f>IFERROR(__xludf.DUMMYFUNCTION("""COMPUTED_VALUE"""),3.3)</f>
        <v/>
      </c>
      <c r="D316" s="2">
        <f>IFERROR(__xludf.DUMMYFUNCTION("""COMPUTED_VALUE"""),0.022)</f>
        <v/>
      </c>
      <c r="E316" s="2">
        <f>IFERROR(__xludf.DUMMYFUNCTION("""COMPUTED_VALUE"""),3195.14)</f>
        <v/>
      </c>
      <c r="F316" s="2">
        <f>IFERROR(__xludf.DUMMYFUNCTION("""COMPUTED_VALUE"""),3267.0)</f>
        <v/>
      </c>
      <c r="G316" s="2">
        <f>IFERROR(__xludf.DUMMYFUNCTION("""COMPUTED_VALUE"""),3675.0)</f>
        <v/>
      </c>
      <c r="H316" s="2">
        <f>IFERROR(__xludf.DUMMYFUNCTION("""COMPUTED_VALUE"""),4263.0)</f>
        <v/>
      </c>
      <c r="I316" s="2">
        <f>IFERROR(__xludf.DUMMYFUNCTION("""COMPUTED_VALUE"""),4900.0)</f>
        <v/>
      </c>
      <c r="J316" s="2">
        <f>IFERROR(__xludf.DUMMYFUNCTION("""COMPUTED_VALUE"""),2450.0)</f>
        <v/>
      </c>
      <c r="K316" s="2">
        <f>IFERROR(__xludf.DUMMYFUNCTION("""COMPUTED_VALUE"""),1.0)</f>
        <v/>
      </c>
      <c r="L316" s="2">
        <f>IFERROR(__xludf.DUMMYFUNCTION("""COMPUTED_VALUE"""),"Светильники светодиодные GEO")</f>
        <v/>
      </c>
      <c r="M316" s="2">
        <f>IFERROR(__xludf.DUMMYFUNCTION("""COMPUTED_VALUE"""),"Накладные, Декоративные, LED Светильники")</f>
        <v/>
      </c>
    </row>
    <row r="317">
      <c r="A317" s="5">
        <f>IFERROR(__xludf.DUMMYFUNCTION("""COMPUTED_VALUE"""),"V4104")</f>
        <v/>
      </c>
      <c r="B317" s="5">
        <f>IFERROR(__xludf.DUMMYFUNCTION("""COMPUTED_VALUE"""),"VRN-LME45X140-96D-A50K67-K, 96Вт, Консольный")</f>
        <v/>
      </c>
      <c r="C317" s="2">
        <f>IFERROR(__xludf.DUMMYFUNCTION("""COMPUTED_VALUE"""),0.0)</f>
        <v/>
      </c>
      <c r="D317" s="2">
        <f>IFERROR(__xludf.DUMMYFUNCTION("""COMPUTED_VALUE"""),0.0)</f>
        <v/>
      </c>
      <c r="E317" s="2">
        <f>IFERROR(__xludf.DUMMYFUNCTION("""COMPUTED_VALUE"""),4000.0)</f>
        <v/>
      </c>
      <c r="F317" s="2">
        <f>IFERROR(__xludf.DUMMYFUNCTION("""COMPUTED_VALUE"""),4625.0)</f>
        <v/>
      </c>
      <c r="G317" s="2">
        <f>IFERROR(__xludf.DUMMYFUNCTION("""COMPUTED_VALUE"""),6013.0)</f>
        <v/>
      </c>
      <c r="H317" s="2">
        <f>IFERROR(__xludf.DUMMYFUNCTION("""COMPUTED_VALUE"""),6313.0)</f>
        <v/>
      </c>
      <c r="I317" s="2">
        <f>IFERROR(__xludf.DUMMYFUNCTION("""COMPUTED_VALUE"""),6614.0)</f>
        <v/>
      </c>
      <c r="J317" s="2">
        <f>IFERROR(__xludf.DUMMYFUNCTION("""COMPUTED_VALUE"""),3307.0)</f>
        <v/>
      </c>
      <c r="K317" s="2">
        <f>IFERROR(__xludf.DUMMYFUNCTION("""COMPUTED_VALUE"""),3.0)</f>
        <v/>
      </c>
      <c r="L317" s="2">
        <f>IFERROR(__xludf.DUMMYFUNCTION("""COMPUTED_VALUE"""),"Магистраль Эконом")</f>
        <v/>
      </c>
      <c r="M317" s="2">
        <f>IFERROR(__xludf.DUMMYFUNCTION("""COMPUTED_VALUE"""),"Уличные светильники (LED), Для обычных дорог, Прожекторы (LED), LED Светильники")</f>
        <v/>
      </c>
    </row>
    <row r="318">
      <c r="A318" s="5">
        <f>IFERROR(__xludf.DUMMYFUNCTION("""COMPUTED_VALUE"""),"V9035")</f>
        <v/>
      </c>
      <c r="B318" s="5">
        <f>IFERROR(__xludf.DUMMYFUNCTION("""COMPUTED_VALUE"""),"VRN-UNE-124-G40K67-U, 124Вт, Универсальный")</f>
        <v/>
      </c>
      <c r="C318" s="2">
        <f>IFERROR(__xludf.DUMMYFUNCTION("""COMPUTED_VALUE"""),0.215)</f>
        <v/>
      </c>
      <c r="D318" s="2">
        <f>IFERROR(__xludf.DUMMYFUNCTION("""COMPUTED_VALUE"""),0.01001)</f>
        <v/>
      </c>
      <c r="E318" s="2">
        <f>IFERROR(__xludf.DUMMYFUNCTION("""COMPUTED_VALUE"""),4567.96)</f>
        <v/>
      </c>
      <c r="F318" s="2">
        <f>IFERROR(__xludf.DUMMYFUNCTION("""COMPUTED_VALUE"""),5025.0)</f>
        <v/>
      </c>
      <c r="G318" s="2">
        <f>IFERROR(__xludf.DUMMYFUNCTION("""COMPUTED_VALUE"""),6533.0)</f>
        <v/>
      </c>
      <c r="H318" s="2">
        <f>IFERROR(__xludf.DUMMYFUNCTION("""COMPUTED_VALUE"""),6859.0)</f>
        <v/>
      </c>
      <c r="I318" s="2">
        <f>IFERROR(__xludf.DUMMYFUNCTION("""COMPUTED_VALUE"""),7186.0)</f>
        <v/>
      </c>
      <c r="J318" s="2">
        <f>IFERROR(__xludf.DUMMYFUNCTION("""COMPUTED_VALUE"""),7186.0)</f>
        <v/>
      </c>
      <c r="K318" s="2">
        <f>IFERROR(__xludf.DUMMYFUNCTION("""COMPUTED_VALUE"""),3.0)</f>
        <v/>
      </c>
      <c r="L318" s="2">
        <f>IFERROR(__xludf.DUMMYFUNCTION("""COMPUTED_VALUE"""),"Универсал Эконом")</f>
        <v/>
      </c>
      <c r="M318" s="2">
        <f>IFERROR(__xludf.DUMMYFUNCTION("""COMPUTED_VALUE"""),"Для обычных дорог, Модульные, LED Светильники")</f>
        <v/>
      </c>
    </row>
    <row r="319">
      <c r="A319" s="5">
        <f>IFERROR(__xludf.DUMMYFUNCTION("""COMPUTED_VALUE"""),"G948411206")</f>
        <v/>
      </c>
      <c r="B319" s="5">
        <f>IFERROR(__xludf.DUMMYFUNCTION("""COMPUTED_VALUE"""),"Квадрат. Белый, 6W, 520 Lm LED 4100K")</f>
        <v/>
      </c>
      <c r="C319" s="2">
        <f>IFERROR(__xludf.DUMMYFUNCTION("""COMPUTED_VALUE"""),0.0)</f>
        <v/>
      </c>
      <c r="D319" s="2">
        <f>IFERROR(__xludf.DUMMYFUNCTION("""COMPUTED_VALUE"""),4.5E-4)</f>
        <v/>
      </c>
      <c r="E319" s="2">
        <f>IFERROR(__xludf.DUMMYFUNCTION("""COMPUTED_VALUE"""),207.17)</f>
        <v/>
      </c>
      <c r="F319" s="2">
        <f>IFERROR(__xludf.DUMMYFUNCTION("""COMPUTED_VALUE"""),218.0)</f>
        <v/>
      </c>
      <c r="G319" s="2">
        <f>IFERROR(__xludf.DUMMYFUNCTION("""COMPUTED_VALUE"""),240.0)</f>
        <v/>
      </c>
      <c r="H319" s="2">
        <f>IFERROR(__xludf.DUMMYFUNCTION("""COMPUTED_VALUE"""),283.0)</f>
        <v/>
      </c>
      <c r="I319" s="2">
        <f>IFERROR(__xludf.DUMMYFUNCTION("""COMPUTED_VALUE"""),357.0)</f>
        <v/>
      </c>
      <c r="J319" s="2">
        <f>IFERROR(__xludf.DUMMYFUNCTION("""COMPUTED_VALUE"""),179.0)</f>
        <v/>
      </c>
      <c r="K319" s="2">
        <f>IFERROR(__xludf.DUMMYFUNCTION("""COMPUTED_VALUE"""),10.0)</f>
        <v/>
      </c>
      <c r="L319" s="2">
        <f>IFERROR(__xludf.DUMMYFUNCTION("""COMPUTED_VALUE"""),"Даунлайты")</f>
        <v/>
      </c>
      <c r="M319" s="2">
        <f>IFERROR(__xludf.DUMMYFUNCTION("""COMPUTED_VALUE"""),"С равномерной засветкой, Точечные круглые Downlight, LED Светильники")</f>
        <v/>
      </c>
    </row>
    <row r="320">
      <c r="A320" s="5">
        <f>IFERROR(__xludf.DUMMYFUNCTION("""COMPUTED_VALUE"""),"4690612040097")</f>
        <v/>
      </c>
      <c r="B320" s="5">
        <f>IFERROR(__xludf.DUMMYFUNCTION("""COMPUTED_VALUE"""),"RLP-VC 36Вт 230В 4000К 2880Лм 220мм белая IP40 IN HOME")</f>
        <v/>
      </c>
      <c r="C320" s="2">
        <f>IFERROR(__xludf.DUMMYFUNCTION("""COMPUTED_VALUE"""),0.32)</f>
        <v/>
      </c>
      <c r="D320" s="2">
        <f>IFERROR(__xludf.DUMMYFUNCTION("""COMPUTED_VALUE"""),0.002)</f>
        <v/>
      </c>
      <c r="E320" s="2">
        <f>IFERROR(__xludf.DUMMYFUNCTION("""COMPUTED_VALUE"""),362.49)</f>
        <v/>
      </c>
      <c r="F320" s="2">
        <f>IFERROR(__xludf.DUMMYFUNCTION("""COMPUTED_VALUE"""),301.0)</f>
        <v/>
      </c>
      <c r="G320" s="2">
        <f>IFERROR(__xludf.DUMMYFUNCTION("""COMPUTED_VALUE"""),338.0)</f>
        <v/>
      </c>
      <c r="H320" s="2">
        <f>IFERROR(__xludf.DUMMYFUNCTION("""COMPUTED_VALUE"""),392.0)</f>
        <v/>
      </c>
      <c r="I320" s="2">
        <f>IFERROR(__xludf.DUMMYFUNCTION("""COMPUTED_VALUE"""),451.0)</f>
        <v/>
      </c>
      <c r="J320" s="2">
        <f>IFERROR(__xludf.DUMMYFUNCTION("""COMPUTED_VALUE"""),226.0)</f>
        <v/>
      </c>
      <c r="K320" s="2">
        <f>IFERROR(__xludf.DUMMYFUNCTION("""COMPUTED_VALUE"""),1.0)</f>
        <v/>
      </c>
      <c r="L320" s="2">
        <f>IFERROR(__xludf.DUMMYFUNCTION("""COMPUTED_VALUE"""),"Панели светодиодные круглые встраиваемые RLP")</f>
        <v/>
      </c>
      <c r="M320" s="2">
        <f>IFERROR(__xludf.DUMMYFUNCTION("""COMPUTED_VALUE"""),"Точечные круглые Downlight, LED Светильники")</f>
        <v/>
      </c>
    </row>
    <row r="321">
      <c r="A321" s="5">
        <f>IFERROR(__xludf.DUMMYFUNCTION("""COMPUTED_VALUE"""),"4690612008431-5")</f>
        <v/>
      </c>
      <c r="B321" s="5">
        <f>IFERROR(__xludf.DUMMYFUNCTION("""COMPUTED_VALUE"""),"5 шт. Светильник встраиваемый GX53R-mini RW ультратонкий металл под лампу GX53 230В белый IN HOME (Комплект 5 шт)")</f>
        <v/>
      </c>
      <c r="C321" s="2">
        <f>IFERROR(__xludf.DUMMYFUNCTION("""COMPUTED_VALUE"""),0.05)</f>
        <v/>
      </c>
      <c r="D321" s="2">
        <f>IFERROR(__xludf.DUMMYFUNCTION("""COMPUTED_VALUE"""),0.01)</f>
        <v/>
      </c>
      <c r="E321" s="2">
        <f>IFERROR(__xludf.DUMMYFUNCTION("""COMPUTED_VALUE"""),213.65)</f>
        <v/>
      </c>
      <c r="F321" s="2">
        <f>IFERROR(__xludf.DUMMYFUNCTION("""COMPUTED_VALUE"""),234.0)</f>
        <v/>
      </c>
      <c r="G321" s="2">
        <f>IFERROR(__xludf.DUMMYFUNCTION("""COMPUTED_VALUE"""),274.0)</f>
        <v/>
      </c>
      <c r="H321" s="2">
        <f>IFERROR(__xludf.DUMMYFUNCTION("""COMPUTED_VALUE"""),308.0)</f>
        <v/>
      </c>
      <c r="I321" s="2">
        <f>IFERROR(__xludf.DUMMYFUNCTION("""COMPUTED_VALUE"""),342.0)</f>
        <v/>
      </c>
      <c r="J321" s="2">
        <f>IFERROR(__xludf.DUMMYFUNCTION("""COMPUTED_VALUE"""),171.0)</f>
        <v/>
      </c>
      <c r="K321" s="2">
        <f>IFERROR(__xludf.DUMMYFUNCTION("""COMPUTED_VALUE"""),35.0)</f>
        <v/>
      </c>
      <c r="L321" s="2">
        <f>IFERROR(__xludf.DUMMYFUNCTION("""COMPUTED_VALUE"""),"Лампы производство, упаковка")</f>
        <v/>
      </c>
      <c r="M321" s="2">
        <f>IFERROR(__xludf.DUMMYFUNCTION("""COMPUTED_VALUE"""),"Лампы")</f>
        <v/>
      </c>
    </row>
    <row r="322">
      <c r="A322" s="5">
        <f>IFERROR(__xludf.DUMMYFUNCTION("""COMPUTED_VALUE"""),"4690612053011-1")</f>
        <v/>
      </c>
      <c r="B322" s="5">
        <f>IFERROR(__xludf.DUMMYFUNCTION("""COMPUTED_VALUE"""),"ДВО-02-EMERGENCY 3640-ПРИЗМА 36Вт 4000К 595х595х19 NEOX без БАП-10W90 (в индив. уп.)")</f>
        <v/>
      </c>
      <c r="C322" s="2">
        <f>IFERROR(__xludf.DUMMYFUNCTION("""COMPUTED_VALUE"""),0.0)</f>
        <v/>
      </c>
      <c r="D322" s="2">
        <f>IFERROR(__xludf.DUMMYFUNCTION("""COMPUTED_VALUE"""),0.0)</f>
        <v/>
      </c>
      <c r="E322" s="2">
        <f>IFERROR(__xludf.DUMMYFUNCTION("""COMPUTED_VALUE"""),570.23)</f>
        <v/>
      </c>
      <c r="F322" s="2">
        <f>IFERROR(__xludf.DUMMYFUNCTION("""COMPUTED_VALUE"""),626.0)</f>
        <v/>
      </c>
      <c r="G322" s="2">
        <f>IFERROR(__xludf.DUMMYFUNCTION("""COMPUTED_VALUE"""),730.0)</f>
        <v/>
      </c>
      <c r="H322" s="2">
        <f>IFERROR(__xludf.DUMMYFUNCTION("""COMPUTED_VALUE"""),821.0)</f>
        <v/>
      </c>
      <c r="I322" s="2">
        <f>IFERROR(__xludf.DUMMYFUNCTION("""COMPUTED_VALUE"""),912.0)</f>
        <v/>
      </c>
      <c r="J322" s="2">
        <f>IFERROR(__xludf.DUMMYFUNCTION("""COMPUTED_VALUE"""),456.0)</f>
        <v/>
      </c>
      <c r="K322" s="2">
        <f>IFERROR(__xludf.DUMMYFUNCTION("""COMPUTED_VALUE"""),5.0)</f>
        <v/>
      </c>
      <c r="L322" s="2">
        <f>IFERROR(__xludf.DUMMYFUNCTION("""COMPUTED_VALUE"""),"NEOX Светильники LED ДВО - Призма производство, упаковка")</f>
        <v/>
      </c>
      <c r="M322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323">
      <c r="A323" s="5">
        <f>IFERROR(__xludf.DUMMYFUNCTION("""COMPUTED_VALUE"""),"21149")</f>
        <v/>
      </c>
      <c r="B323" s="5">
        <f>IFERROR(__xludf.DUMMYFUNCTION("""COMPUTED_VALUE"""),"TLWP06 PS OL ECP 30Вт 4000лм")</f>
        <v/>
      </c>
      <c r="C323" s="2">
        <f>IFERROR(__xludf.DUMMYFUNCTION("""COMPUTED_VALUE"""),2.5)</f>
        <v/>
      </c>
      <c r="D323" s="2">
        <f>IFERROR(__xludf.DUMMYFUNCTION("""COMPUTED_VALUE"""),0.01482)</f>
        <v/>
      </c>
      <c r="E323" s="2">
        <f>IFERROR(__xludf.DUMMYFUNCTION("""COMPUTED_VALUE"""),1149.5)</f>
        <v/>
      </c>
      <c r="F323" s="2">
        <f>IFERROR(__xludf.DUMMYFUNCTION("""COMPUTED_VALUE"""),4029.0)</f>
        <v/>
      </c>
      <c r="G323" s="2">
        <f>IFERROR(__xludf.DUMMYFUNCTION("""COMPUTED_VALUE"""),4550.0)</f>
        <v/>
      </c>
      <c r="H323" s="2">
        <f>IFERROR(__xludf.DUMMYFUNCTION("""COMPUTED_VALUE"""),4654.0)</f>
        <v/>
      </c>
      <c r="I323" s="2">
        <f>IFERROR(__xludf.DUMMYFUNCTION("""COMPUTED_VALUE"""),5675.0)</f>
        <v/>
      </c>
      <c r="J323" s="2">
        <f>IFERROR(__xludf.DUMMYFUNCTION("""COMPUTED_VALUE"""),4029.0)</f>
        <v/>
      </c>
      <c r="K323" s="2">
        <f>IFERROR(__xludf.DUMMYFUNCTION("""COMPUTED_VALUE"""),1.0)</f>
        <v/>
      </c>
      <c r="L323" s="2">
        <f>IFERROR(__xludf.DUMMYFUNCTION("""COMPUTED_VALUE"""),"Технолюкс Светильники LED TLWP (IP65)")</f>
        <v/>
      </c>
      <c r="M323" s="2">
        <f>IFERROR(__xludf.DUMMYFUNCTION("""COMPUTED_VALUE"""),"Пластиковые (линейные), LED Светильники")</f>
        <v/>
      </c>
    </row>
    <row r="324">
      <c r="A324" s="5">
        <f>IFERROR(__xludf.DUMMYFUNCTION("""COMPUTED_VALUE"""),"V12040")</f>
        <v/>
      </c>
      <c r="B324" s="5">
        <f>IFERROR(__xludf.DUMMYFUNCTION("""COMPUTED_VALUE"""),"VRN-LME45X140-53-A50K67-K, 53Вт, Консольный")</f>
        <v/>
      </c>
      <c r="C324" s="2">
        <f>IFERROR(__xludf.DUMMYFUNCTION("""COMPUTED_VALUE"""),0.0)</f>
        <v/>
      </c>
      <c r="D324" s="2">
        <f>IFERROR(__xludf.DUMMYFUNCTION("""COMPUTED_VALUE"""),0.0)</f>
        <v/>
      </c>
      <c r="E324" s="2">
        <f>IFERROR(__xludf.DUMMYFUNCTION("""COMPUTED_VALUE"""),2700.0)</f>
        <v/>
      </c>
      <c r="F324" s="2">
        <f>IFERROR(__xludf.DUMMYFUNCTION("""COMPUTED_VALUE"""),3120.0)</f>
        <v/>
      </c>
      <c r="G324" s="2">
        <f>IFERROR(__xludf.DUMMYFUNCTION("""COMPUTED_VALUE"""),4056.0)</f>
        <v/>
      </c>
      <c r="H324" s="2">
        <f>IFERROR(__xludf.DUMMYFUNCTION("""COMPUTED_VALUE"""),4259.0)</f>
        <v/>
      </c>
      <c r="I324" s="2">
        <f>IFERROR(__xludf.DUMMYFUNCTION("""COMPUTED_VALUE"""),4462.0)</f>
        <v/>
      </c>
      <c r="J324" s="2">
        <f>IFERROR(__xludf.DUMMYFUNCTION("""COMPUTED_VALUE"""),4259.0)</f>
        <v/>
      </c>
      <c r="K324" s="2">
        <f>IFERROR(__xludf.DUMMYFUNCTION("""COMPUTED_VALUE"""),2.0)</f>
        <v/>
      </c>
      <c r="L324" s="2">
        <f>IFERROR(__xludf.DUMMYFUNCTION("""COMPUTED_VALUE"""),"Магистраль Эконом")</f>
        <v/>
      </c>
      <c r="M324" s="2">
        <f>IFERROR(__xludf.DUMMYFUNCTION("""COMPUTED_VALUE"""),"Для автомагистралей, LED Светильники")</f>
        <v/>
      </c>
    </row>
    <row r="325">
      <c r="A325" s="5">
        <f>IFERROR(__xludf.DUMMYFUNCTION("""COMPUTED_VALUE"""),"4690612035505")</f>
        <v/>
      </c>
      <c r="B325" s="5">
        <f>IFERROR(__xludf.DUMMYFUNCTION("""COMPUTED_VALUE"""),"TR-07-TL 15Вт 4000К 1500Лм IP40 24 градуса белый серии TOP-LINE IN HOME")</f>
        <v/>
      </c>
      <c r="C325" s="2">
        <f>IFERROR(__xludf.DUMMYFUNCTION("""COMPUTED_VALUE"""),0.22)</f>
        <v/>
      </c>
      <c r="D325" s="2">
        <f>IFERROR(__xludf.DUMMYFUNCTION("""COMPUTED_VALUE"""),0.001)</f>
        <v/>
      </c>
      <c r="E325" s="2">
        <f>IFERROR(__xludf.DUMMYFUNCTION("""COMPUTED_VALUE"""),432.0)</f>
        <v/>
      </c>
      <c r="F325" s="2">
        <f>IFERROR(__xludf.DUMMYFUNCTION("""COMPUTED_VALUE"""),489.0)</f>
        <v/>
      </c>
      <c r="G325" s="2">
        <f>IFERROR(__xludf.DUMMYFUNCTION("""COMPUTED_VALUE"""),551.0)</f>
        <v/>
      </c>
      <c r="H325" s="2">
        <f>IFERROR(__xludf.DUMMYFUNCTION("""COMPUTED_VALUE"""),639.0)</f>
        <v/>
      </c>
      <c r="I325" s="2">
        <f>IFERROR(__xludf.DUMMYFUNCTION("""COMPUTED_VALUE"""),734.0)</f>
        <v/>
      </c>
      <c r="J325" s="2">
        <f>IFERROR(__xludf.DUMMYFUNCTION("""COMPUTED_VALUE"""),367.0)</f>
        <v/>
      </c>
      <c r="K325" s="2">
        <f>IFERROR(__xludf.DUMMYFUNCTION("""COMPUTED_VALUE"""),3.0)</f>
        <v/>
      </c>
      <c r="L325" s="2">
        <f>IFERROR(__xludf.DUMMYFUNCTION("""COMPUTED_VALUE"""),"Светильники светодиодные трековые TR-01, 02, 03, 04, 05, 06, 07, 08")</f>
        <v/>
      </c>
      <c r="M325" s="2">
        <f>IFERROR(__xludf.DUMMYFUNCTION("""COMPUTED_VALUE"""),"Трековые, LED Светильники")</f>
        <v/>
      </c>
    </row>
    <row r="326">
      <c r="A326" s="5">
        <f>IFERROR(__xludf.DUMMYFUNCTION("""COMPUTED_VALUE"""),"4260529290672")</f>
        <v/>
      </c>
      <c r="B326" s="5">
        <f>IFERROR(__xludf.DUMMYFUNCTION("""COMPUTED_VALUE"""),"LLFW36W05")</f>
        <v/>
      </c>
      <c r="C326" s="2">
        <f>IFERROR(__xludf.DUMMYFUNCTION("""COMPUTED_VALUE"""),0.275)</f>
        <v/>
      </c>
      <c r="D326" s="2">
        <f>IFERROR(__xludf.DUMMYFUNCTION("""COMPUTED_VALUE"""),0.049)</f>
        <v/>
      </c>
      <c r="E326" s="2">
        <f>IFERROR(__xludf.DUMMYFUNCTION("""COMPUTED_VALUE"""),281.91)</f>
        <v/>
      </c>
      <c r="F326" s="2">
        <f>IFERROR(__xludf.DUMMYFUNCTION("""COMPUTED_VALUE"""),287.0)</f>
        <v/>
      </c>
      <c r="G326" s="2">
        <f>IFERROR(__xludf.DUMMYFUNCTION("""COMPUTED_VALUE"""),297.0)</f>
        <v/>
      </c>
      <c r="H326" s="2">
        <f>IFERROR(__xludf.DUMMYFUNCTION("""COMPUTED_VALUE"""),389.0)</f>
        <v/>
      </c>
      <c r="I326" s="2">
        <f>IFERROR(__xludf.DUMMYFUNCTION("""COMPUTED_VALUE"""),487.0)</f>
        <v/>
      </c>
      <c r="J326" s="2">
        <f>IFERROR(__xludf.DUMMYFUNCTION("""COMPUTED_VALUE"""),244.0)</f>
        <v/>
      </c>
      <c r="K326" s="2">
        <f>IFERROR(__xludf.DUMMYFUNCTION("""COMPUTED_VALUE"""),30.0)</f>
        <v/>
      </c>
      <c r="L326" s="2">
        <f>IFERROR(__xludf.DUMMYFUNCTION("""COMPUTED_VALUE"""),"Wolta офисные")</f>
        <v/>
      </c>
      <c r="M326" s="2">
        <f>IFERROR(__xludf.DUMMYFUNCTION("""COMPUTED_VALUE"""),"Пластиковые (линейные), Светильники общего назначения (LED), С равномерной засветкой, Светильники для торговых помещений (LED), Линейные (проходные), LED Светильники")</f>
        <v/>
      </c>
    </row>
    <row r="327">
      <c r="A327" s="5">
        <f>IFERROR(__xludf.DUMMYFUNCTION("""COMPUTED_VALUE"""),"4690612035017")</f>
        <v/>
      </c>
      <c r="B327" s="5">
        <f>IFERROR(__xludf.DUMMYFUNCTION("""COMPUTED_VALUE"""),"COMFORT ASTRA 55Вт 230В 3000-6500K 4400Лм 385x90мм с пультом ДУ IN HOME")</f>
        <v/>
      </c>
      <c r="C327" s="2">
        <f>IFERROR(__xludf.DUMMYFUNCTION("""COMPUTED_VALUE"""),0.9800000000000001)</f>
        <v/>
      </c>
      <c r="D327" s="2">
        <f>IFERROR(__xludf.DUMMYFUNCTION("""COMPUTED_VALUE"""),0.018)</f>
        <v/>
      </c>
      <c r="E327" s="2">
        <f>IFERROR(__xludf.DUMMYFUNCTION("""COMPUTED_VALUE"""),1301.09)</f>
        <v/>
      </c>
      <c r="F327" s="2">
        <f>IFERROR(__xludf.DUMMYFUNCTION("""COMPUTED_VALUE"""),1439.0)</f>
        <v/>
      </c>
      <c r="G327" s="2">
        <f>IFERROR(__xludf.DUMMYFUNCTION("""COMPUTED_VALUE"""),1619.0)</f>
        <v/>
      </c>
      <c r="H327" s="2">
        <f>IFERROR(__xludf.DUMMYFUNCTION("""COMPUTED_VALUE"""),1877.0)</f>
        <v/>
      </c>
      <c r="I327" s="2">
        <f>IFERROR(__xludf.DUMMYFUNCTION("""COMPUTED_VALUE"""),2158.0)</f>
        <v/>
      </c>
      <c r="J327" s="2">
        <f>IFERROR(__xludf.DUMMYFUNCTION("""COMPUTED_VALUE"""),1079.0)</f>
        <v/>
      </c>
      <c r="K327" s="2">
        <f>IFERROR(__xludf.DUMMYFUNCTION("""COMPUTED_VALUE"""),2.0)</f>
        <v/>
      </c>
      <c r="L327" s="2">
        <f>IFERROR(__xludf.DUMMYFUNCTION("""COMPUTED_VALUE"""),"Светильники светодиодные COMFORT")</f>
        <v/>
      </c>
      <c r="M327" s="2">
        <f>IFERROR(__xludf.DUMMYFUNCTION("""COMPUTED_VALUE"""),"Накладные, Декоративные, LED Светильники")</f>
        <v/>
      </c>
    </row>
    <row r="328">
      <c r="A328" s="5">
        <f>IFERROR(__xludf.DUMMYFUNCTION("""COMPUTED_VALUE"""),"4690612035123")</f>
        <v/>
      </c>
      <c r="B328" s="5">
        <f>IFERROR(__xludf.DUMMYFUNCTION("""COMPUTED_VALUE"""),"COMFORT SAPHIR 75Вт 230В 3000-6500K 6000Лм 500x115мм с пультом ДУ IN HOME")</f>
        <v/>
      </c>
      <c r="C328" s="2">
        <f>IFERROR(__xludf.DUMMYFUNCTION("""COMPUTED_VALUE"""),1.84)</f>
        <v/>
      </c>
      <c r="D328" s="2">
        <f>IFERROR(__xludf.DUMMYFUNCTION("""COMPUTED_VALUE"""),0.0362)</f>
        <v/>
      </c>
      <c r="E328" s="2">
        <f>IFERROR(__xludf.DUMMYFUNCTION("""COMPUTED_VALUE"""),1.0)</f>
        <v/>
      </c>
      <c r="F328" s="2">
        <f>IFERROR(__xludf.DUMMYFUNCTION("""COMPUTED_VALUE"""),1530.0)</f>
        <v/>
      </c>
      <c r="G328" s="2">
        <f>IFERROR(__xludf.DUMMYFUNCTION("""COMPUTED_VALUE"""),1721.0)</f>
        <v/>
      </c>
      <c r="H328" s="2">
        <f>IFERROR(__xludf.DUMMYFUNCTION("""COMPUTED_VALUE"""),1997.0)</f>
        <v/>
      </c>
      <c r="I328" s="2">
        <f>IFERROR(__xludf.DUMMYFUNCTION("""COMPUTED_VALUE"""),2295.0)</f>
        <v/>
      </c>
      <c r="J328" s="2">
        <f>IFERROR(__xludf.DUMMYFUNCTION("""COMPUTED_VALUE"""),1148.0)</f>
        <v/>
      </c>
      <c r="K328" s="2">
        <f>IFERROR(__xludf.DUMMYFUNCTION("""COMPUTED_VALUE"""),1.0)</f>
        <v/>
      </c>
      <c r="L328" s="2">
        <f>IFERROR(__xludf.DUMMYFUNCTION("""COMPUTED_VALUE"""),"Светильники светодиодные COMFORT")</f>
        <v/>
      </c>
      <c r="M328" s="2">
        <f>IFERROR(__xludf.DUMMYFUNCTION("""COMPUTED_VALUE"""),"Накладные, Декоративные, LED Светильники")</f>
        <v/>
      </c>
    </row>
    <row r="329">
      <c r="A329" s="5">
        <f>IFERROR(__xludf.DUMMYFUNCTION("""COMPUTED_VALUE"""),"4690612020365")</f>
        <v/>
      </c>
      <c r="B329" s="5">
        <f>IFERROR(__xludf.DUMMYFUNCTION("""COMPUTED_VALUE"""),"LED-JCDR-VC 6Вт 230В GU5.3 3000К 530Лм IN HOME")</f>
        <v/>
      </c>
      <c r="C329" s="2">
        <f>IFERROR(__xludf.DUMMYFUNCTION("""COMPUTED_VALUE"""),0.03)</f>
        <v/>
      </c>
      <c r="D329" s="2">
        <f>IFERROR(__xludf.DUMMYFUNCTION("""COMPUTED_VALUE"""),2.1E-4)</f>
        <v/>
      </c>
      <c r="E329" s="2">
        <f>IFERROR(__xludf.DUMMYFUNCTION("""COMPUTED_VALUE"""),32.11)</f>
        <v/>
      </c>
      <c r="F329" s="2">
        <f>IFERROR(__xludf.DUMMYFUNCTION("""COMPUTED_VALUE"""),43.0)</f>
        <v/>
      </c>
      <c r="G329" s="2">
        <f>IFERROR(__xludf.DUMMYFUNCTION("""COMPUTED_VALUE"""),49.0)</f>
        <v/>
      </c>
      <c r="H329" s="2">
        <f>IFERROR(__xludf.DUMMYFUNCTION("""COMPUTED_VALUE"""),56.0)</f>
        <v/>
      </c>
      <c r="I329" s="2">
        <f>IFERROR(__xludf.DUMMYFUNCTION("""COMPUTED_VALUE"""),65.4)</f>
        <v/>
      </c>
      <c r="J329" s="2">
        <f>IFERROR(__xludf.DUMMYFUNCTION("""COMPUTED_VALUE"""),33.0)</f>
        <v/>
      </c>
      <c r="K329" s="2">
        <f>IFERROR(__xludf.DUMMYFUNCTION("""COMPUTED_VALUE"""),23.0)</f>
        <v/>
      </c>
      <c r="L329" s="2">
        <f>IFERROR(__xludf.DUMMYFUNCTION("""COMPUTED_VALUE"""),"Лампа светодиодная LED-JCDR-standard")</f>
        <v/>
      </c>
      <c r="M329" s="2">
        <f>IFERROR(__xludf.DUMMYFUNCTION("""COMPUTED_VALUE"""),"Лампы")</f>
        <v/>
      </c>
    </row>
    <row r="330">
      <c r="A330" s="5">
        <f>IFERROR(__xludf.DUMMYFUNCTION("""COMPUTED_VALUE"""),"4690612057309-1")</f>
        <v/>
      </c>
      <c r="B330" s="5">
        <f>IFERROR(__xludf.DUMMYFUNCTION("""COMPUTED_VALUE"""),"ДВО-PRO 5065-ОПАЛ 50Вт 6500К 120лм/Вт CRI80 IP40 595х595х30мм NEOX (в индивид. уп)")</f>
        <v/>
      </c>
      <c r="C330" s="2">
        <f>IFERROR(__xludf.DUMMYFUNCTION("""COMPUTED_VALUE"""),0.0)</f>
        <v/>
      </c>
      <c r="D330" s="2">
        <f>IFERROR(__xludf.DUMMYFUNCTION("""COMPUTED_VALUE"""),0.0)</f>
        <v/>
      </c>
      <c r="E330" s="2">
        <f>IFERROR(__xludf.DUMMYFUNCTION("""COMPUTED_VALUE"""),1100.66)</f>
        <v/>
      </c>
      <c r="F330" s="2">
        <f>IFERROR(__xludf.DUMMYFUNCTION("""COMPUTED_VALUE"""),1208.0)</f>
        <v/>
      </c>
      <c r="G330" s="2">
        <f>IFERROR(__xludf.DUMMYFUNCTION("""COMPUTED_VALUE"""),1409.0)</f>
        <v/>
      </c>
      <c r="H330" s="2">
        <f>IFERROR(__xludf.DUMMYFUNCTION("""COMPUTED_VALUE"""),1585.0)</f>
        <v/>
      </c>
      <c r="I330" s="2">
        <f>IFERROR(__xludf.DUMMYFUNCTION("""COMPUTED_VALUE"""),1761.0)</f>
        <v/>
      </c>
      <c r="J330" s="2">
        <f>IFERROR(__xludf.DUMMYFUNCTION("""COMPUTED_VALUE"""),881.0)</f>
        <v/>
      </c>
      <c r="K330" s="2">
        <f>IFERROR(__xludf.DUMMYFUNCTION("""COMPUTED_VALUE"""),5.0)</f>
        <v/>
      </c>
      <c r="L330" s="2">
        <f>IFERROR(__xludf.DUMMYFUNCTION("""COMPUTED_VALUE"""),"NEOX Светильники LED ДВО-PRO производство, упаковка")</f>
        <v/>
      </c>
      <c r="M330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331">
      <c r="A331" s="5">
        <f>IFERROR(__xludf.DUMMYFUNCTION("""COMPUTED_VALUE"""),"4690612033631")</f>
        <v/>
      </c>
      <c r="B331" s="5">
        <f>IFERROR(__xludf.DUMMYFUNCTION("""COMPUTED_VALUE"""),"DECO 18Вт 230В 4000К 1170Лм 230х55мм ДАЙМОНД IN HOME")</f>
        <v/>
      </c>
      <c r="C331" s="2">
        <f>IFERROR(__xludf.DUMMYFUNCTION("""COMPUTED_VALUE"""),0.31)</f>
        <v/>
      </c>
      <c r="D331" s="2">
        <f>IFERROR(__xludf.DUMMYFUNCTION("""COMPUTED_VALUE"""),0.004500000000000001)</f>
        <v/>
      </c>
      <c r="E331" s="2">
        <f>IFERROR(__xludf.DUMMYFUNCTION("""COMPUTED_VALUE"""),300.1)</f>
        <v/>
      </c>
      <c r="F331" s="2">
        <f>IFERROR(__xludf.DUMMYFUNCTION("""COMPUTED_VALUE"""),356.0)</f>
        <v/>
      </c>
      <c r="G331" s="2">
        <f>IFERROR(__xludf.DUMMYFUNCTION("""COMPUTED_VALUE"""),401.0)</f>
        <v/>
      </c>
      <c r="H331" s="2">
        <f>IFERROR(__xludf.DUMMYFUNCTION("""COMPUTED_VALUE"""),465.0)</f>
        <v/>
      </c>
      <c r="I331" s="2">
        <f>IFERROR(__xludf.DUMMYFUNCTION("""COMPUTED_VALUE"""),534.0)</f>
        <v/>
      </c>
      <c r="J331" s="2">
        <f>IFERROR(__xludf.DUMMYFUNCTION("""COMPUTED_VALUE"""),267.0)</f>
        <v/>
      </c>
      <c r="K331" s="2">
        <f>IFERROR(__xludf.DUMMYFUNCTION("""COMPUTED_VALUE"""),4.0)</f>
        <v/>
      </c>
      <c r="L331" s="2">
        <f>IFERROR(__xludf.DUMMYFUNCTION("""COMPUTED_VALUE"""),"Светильник светодиодный серии DECO")</f>
        <v/>
      </c>
      <c r="M331" s="2">
        <f>IFERROR(__xludf.DUMMYFUNCTION("""COMPUTED_VALUE"""),"Накладные, Декоративные, LED Светильники")</f>
        <v/>
      </c>
    </row>
    <row r="332">
      <c r="A332" s="5">
        <f>IFERROR(__xludf.DUMMYFUNCTION("""COMPUTED_VALUE"""),"55073")</f>
        <v/>
      </c>
      <c r="B332" s="5">
        <f>IFERROR(__xludf.DUMMYFUNCTION("""COMPUTED_VALUE"""),"Сеть 176 разноцветных LED ламп, контроллер 8 режимов, прозрачный провод, 1,5*1,5м, 220v/20")</f>
        <v/>
      </c>
      <c r="C332" s="2">
        <f>IFERROR(__xludf.DUMMYFUNCTION("""COMPUTED_VALUE"""),0.0)</f>
        <v/>
      </c>
      <c r="D332" s="2">
        <f>IFERROR(__xludf.DUMMYFUNCTION("""COMPUTED_VALUE"""),0.0)</f>
        <v/>
      </c>
      <c r="E332" s="2">
        <f>IFERROR(__xludf.DUMMYFUNCTION("""COMPUTED_VALUE"""),944.6800000000001)</f>
        <v/>
      </c>
      <c r="F332" s="2">
        <f>IFERROR(__xludf.DUMMYFUNCTION("""COMPUTED_VALUE"""),989.0)</f>
        <v/>
      </c>
      <c r="G332" s="2">
        <f>IFERROR(__xludf.DUMMYFUNCTION("""COMPUTED_VALUE"""),1079.0)</f>
        <v/>
      </c>
      <c r="H332" s="2">
        <f>IFERROR(__xludf.DUMMYFUNCTION("""COMPUTED_VALUE"""),1169.0)</f>
        <v/>
      </c>
      <c r="I332" s="2">
        <f>IFERROR(__xludf.DUMMYFUNCTION("""COMPUTED_VALUE"""),1259.0)</f>
        <v/>
      </c>
      <c r="J332" s="2">
        <f>IFERROR(__xludf.DUMMYFUNCTION("""COMPUTED_VALUE"""),630.0)</f>
        <v/>
      </c>
      <c r="K332" s="2">
        <f>IFERROR(__xludf.DUMMYFUNCTION("""COMPUTED_VALUE"""),8.0)</f>
        <v/>
      </c>
      <c r="L332" s="2">
        <f>IFERROR(__xludf.DUMMYFUNCTION("""COMPUTED_VALUE"""),"Праздничная иллюминация")</f>
        <v/>
      </c>
      <c r="M332" s="2">
        <f>IFERROR(__xludf.DUMMYFUNCTION("""COMPUTED_VALUE"""),"Гирлянды светодиодные (LED), Прочие товары")</f>
        <v/>
      </c>
    </row>
    <row r="333">
      <c r="A333" s="5">
        <f>IFERROR(__xludf.DUMMYFUNCTION("""COMPUTED_VALUE"""),"4260652192546")</f>
        <v/>
      </c>
      <c r="B333" s="5">
        <f>IFERROR(__xludf.DUMMYFUNCTION("""COMPUTED_VALUE"""),"WTL-15W/01W")</f>
        <v/>
      </c>
      <c r="C333" s="2">
        <f>IFERROR(__xludf.DUMMYFUNCTION("""COMPUTED_VALUE"""),0.235)</f>
        <v/>
      </c>
      <c r="D333" s="2">
        <f>IFERROR(__xludf.DUMMYFUNCTION("""COMPUTED_VALUE"""),8.300000000000001E-4)</f>
        <v/>
      </c>
      <c r="E333" s="2">
        <f>IFERROR(__xludf.DUMMYFUNCTION("""COMPUTED_VALUE"""),472.23)</f>
        <v/>
      </c>
      <c r="F333" s="2">
        <f>IFERROR(__xludf.DUMMYFUNCTION("""COMPUTED_VALUE"""),590.0)</f>
        <v/>
      </c>
      <c r="G333" s="2">
        <f>IFERROR(__xludf.DUMMYFUNCTION("""COMPUTED_VALUE"""),610.0)</f>
        <v/>
      </c>
      <c r="H333" s="2">
        <f>IFERROR(__xludf.DUMMYFUNCTION("""COMPUTED_VALUE"""),800.0)</f>
        <v/>
      </c>
      <c r="I333" s="2">
        <f>IFERROR(__xludf.DUMMYFUNCTION("""COMPUTED_VALUE"""),999.0)</f>
        <v/>
      </c>
      <c r="J333" s="2">
        <f>IFERROR(__xludf.DUMMYFUNCTION("""COMPUTED_VALUE"""),500.0)</f>
        <v/>
      </c>
      <c r="K333" s="2">
        <f>IFERROR(__xludf.DUMMYFUNCTION("""COMPUTED_VALUE"""),1.0)</f>
        <v/>
      </c>
      <c r="L333" s="2">
        <f>IFERROR(__xludf.DUMMYFUNCTION("""COMPUTED_VALUE"""),"Wolta трековые")</f>
        <v/>
      </c>
      <c r="M333" s="2">
        <f>IFERROR(__xludf.DUMMYFUNCTION("""COMPUTED_VALUE"""),"Трековые, LED Светильники")</f>
        <v/>
      </c>
    </row>
    <row r="334">
      <c r="A334" s="5">
        <f>IFERROR(__xludf.DUMMYFUNCTION("""COMPUTED_VALUE"""),"V9002")</f>
        <v/>
      </c>
      <c r="B334" s="5">
        <f>IFERROR(__xludf.DUMMYFUNCTION("""COMPUTED_VALUE"""),"VRN-UNE-32-G40K67-K, 32Вт, Консольный")</f>
        <v/>
      </c>
      <c r="C334" s="2">
        <f>IFERROR(__xludf.DUMMYFUNCTION("""COMPUTED_VALUE"""),0.106)</f>
        <v/>
      </c>
      <c r="D334" s="2">
        <f>IFERROR(__xludf.DUMMYFUNCTION("""COMPUTED_VALUE"""),0.004030000000000001)</f>
        <v/>
      </c>
      <c r="E334" s="2">
        <f>IFERROR(__xludf.DUMMYFUNCTION("""COMPUTED_VALUE"""),1744.2)</f>
        <v/>
      </c>
      <c r="F334" s="2">
        <f>IFERROR(__xludf.DUMMYFUNCTION("""COMPUTED_VALUE"""),2020.0)</f>
        <v/>
      </c>
      <c r="G334" s="2">
        <f>IFERROR(__xludf.DUMMYFUNCTION("""COMPUTED_VALUE"""),2626.0)</f>
        <v/>
      </c>
      <c r="H334" s="2">
        <f>IFERROR(__xludf.DUMMYFUNCTION("""COMPUTED_VALUE"""),2757.0)</f>
        <v/>
      </c>
      <c r="I334" s="2">
        <f>IFERROR(__xludf.DUMMYFUNCTION("""COMPUTED_VALUE"""),2889.0)</f>
        <v/>
      </c>
      <c r="J334" s="2">
        <f>IFERROR(__xludf.DUMMYFUNCTION("""COMPUTED_VALUE"""),1445.0)</f>
        <v/>
      </c>
      <c r="K334" s="2">
        <f>IFERROR(__xludf.DUMMYFUNCTION("""COMPUTED_VALUE"""),0.0)</f>
        <v/>
      </c>
      <c r="L334" s="2">
        <f>IFERROR(__xludf.DUMMYFUNCTION("""COMPUTED_VALUE"""),"Универсал Эконом")</f>
        <v/>
      </c>
      <c r="M334" s="2">
        <f>IFERROR(__xludf.DUMMYFUNCTION("""COMPUTED_VALUE"""),"Для обычных дорог, LED Светильники")</f>
        <v/>
      </c>
    </row>
    <row r="335">
      <c r="A335" s="5">
        <f>IFERROR(__xludf.DUMMYFUNCTION("""COMPUTED_VALUE"""),"4690612008912")</f>
        <v/>
      </c>
      <c r="B335" s="5">
        <f>IFERROR(__xludf.DUMMYFUNCTION("""COMPUTED_VALUE"""),"LP-02-PRO 36Вт 230В 4000К 2700Лм 595х595х8мм без ЭПРА белая IP40 LLT")</f>
        <v/>
      </c>
      <c r="C335" s="2">
        <f>IFERROR(__xludf.DUMMYFUNCTION("""COMPUTED_VALUE"""),1.645)</f>
        <v/>
      </c>
      <c r="D335" s="2">
        <f>IFERROR(__xludf.DUMMYFUNCTION("""COMPUTED_VALUE"""),0.004)</f>
        <v/>
      </c>
      <c r="E335" s="2">
        <f>IFERROR(__xludf.DUMMYFUNCTION("""COMPUTED_VALUE"""),570.92)</f>
        <v/>
      </c>
      <c r="F335" s="2">
        <f>IFERROR(__xludf.DUMMYFUNCTION("""COMPUTED_VALUE"""),567.0)</f>
        <v/>
      </c>
      <c r="G335" s="2">
        <f>IFERROR(__xludf.DUMMYFUNCTION("""COMPUTED_VALUE"""),638.0)</f>
        <v/>
      </c>
      <c r="H335" s="2">
        <f>IFERROR(__xludf.DUMMYFUNCTION("""COMPUTED_VALUE"""),740.0)</f>
        <v/>
      </c>
      <c r="I335" s="2">
        <f>IFERROR(__xludf.DUMMYFUNCTION("""COMPUTED_VALUE"""),850.0)</f>
        <v/>
      </c>
      <c r="J335" s="2">
        <f>IFERROR(__xludf.DUMMYFUNCTION("""COMPUTED_VALUE"""),425.0)</f>
        <v/>
      </c>
      <c r="K335" s="2">
        <f>IFERROR(__xludf.DUMMYFUNCTION("""COMPUTED_VALUE"""),8.0)</f>
        <v/>
      </c>
      <c r="L335" s="2">
        <f>IFERROR(__xludf.DUMMYFUNCTION("""COMPUTED_VALUE"""),"Панели светодиодные LP серии PRO")</f>
        <v/>
      </c>
      <c r="M335" s="2">
        <f>IFERROR(__xludf.DUMMYFUNCTION("""COMPUTED_VALUE"""),"Встраиваемые, С равномерной засветкой, Накладные, LED Светильники")</f>
        <v/>
      </c>
    </row>
    <row r="336">
      <c r="A336" s="5">
        <f>IFERROR(__xludf.DUMMYFUNCTION("""COMPUTED_VALUE"""),"GL81511")</f>
        <v/>
      </c>
      <c r="B336" s="5">
        <f>IFERROR(__xludf.DUMMYFUNCTION("""COMPUTED_VALUE"""),"GLERIO Office Special 40 Вт 4000K 82P-40D-4V-P")</f>
        <v/>
      </c>
      <c r="C336" s="2">
        <f>IFERROR(__xludf.DUMMYFUNCTION("""COMPUTED_VALUE"""),1.14)</f>
        <v/>
      </c>
      <c r="D336" s="2">
        <f>IFERROR(__xludf.DUMMYFUNCTION("""COMPUTED_VALUE"""),0.008190000000000001)</f>
        <v/>
      </c>
      <c r="E336" s="2">
        <f>IFERROR(__xludf.DUMMYFUNCTION("""COMPUTED_VALUE"""),2308.6)</f>
        <v/>
      </c>
      <c r="F336" s="2">
        <f>IFERROR(__xludf.DUMMYFUNCTION("""COMPUTED_VALUE"""),2660.0)</f>
        <v/>
      </c>
      <c r="G336" s="2">
        <f>IFERROR(__xludf.DUMMYFUNCTION("""COMPUTED_VALUE"""),3349.0)</f>
        <v/>
      </c>
      <c r="H336" s="2">
        <f>IFERROR(__xludf.DUMMYFUNCTION("""COMPUTED_VALUE"""),3761.0)</f>
        <v/>
      </c>
      <c r="I336" s="2">
        <f>IFERROR(__xludf.DUMMYFUNCTION("""COMPUTED_VALUE"""),4173.0)</f>
        <v/>
      </c>
      <c r="J336" s="2">
        <f>IFERROR(__xludf.DUMMYFUNCTION("""COMPUTED_VALUE"""),2087.0)</f>
        <v/>
      </c>
      <c r="K336" s="2">
        <f>IFERROR(__xludf.DUMMYFUNCTION("""COMPUTED_VALUE"""),15.0)</f>
        <v/>
      </c>
      <c r="L336" s="2">
        <f>IFERROR(__xludf.DUMMYFUNCTION("""COMPUTED_VALUE"""),"Office Special+ GLERIO (Офис Премиум)")</f>
        <v/>
      </c>
      <c r="M336" s="2">
        <f>IFERROR(__xludf.DUMMYFUNCTION("""COMPUTED_VALUE"""),"С равномерной засветкой, LED Светильники")</f>
        <v/>
      </c>
    </row>
    <row r="337">
      <c r="A337" s="5">
        <f>IFERROR(__xludf.DUMMYFUNCTION("""COMPUTED_VALUE"""),"GL8273")</f>
        <v/>
      </c>
      <c r="B337" s="5">
        <f>IFERROR(__xludf.DUMMYFUNCTION("""COMPUTED_VALUE"""),"GLERIO Line Free 36 Вт 4000К 93P-36D-4P-K")</f>
        <v/>
      </c>
      <c r="C337" s="2">
        <f>IFERROR(__xludf.DUMMYFUNCTION("""COMPUTED_VALUE"""),0.5)</f>
        <v/>
      </c>
      <c r="D337" s="2">
        <f>IFERROR(__xludf.DUMMYFUNCTION("""COMPUTED_VALUE"""),0.00396)</f>
        <v/>
      </c>
      <c r="E337" s="2">
        <f>IFERROR(__xludf.DUMMYFUNCTION("""COMPUTED_VALUE"""),1823.9)</f>
        <v/>
      </c>
      <c r="F337" s="2">
        <f>IFERROR(__xludf.DUMMYFUNCTION("""COMPUTED_VALUE"""),2150.0)</f>
        <v/>
      </c>
      <c r="G337" s="2">
        <f>IFERROR(__xludf.DUMMYFUNCTION("""COMPUTED_VALUE"""),2707.0)</f>
        <v/>
      </c>
      <c r="H337" s="2">
        <f>IFERROR(__xludf.DUMMYFUNCTION("""COMPUTED_VALUE"""),3040.0)</f>
        <v/>
      </c>
      <c r="I337" s="2">
        <f>IFERROR(__xludf.DUMMYFUNCTION("""COMPUTED_VALUE"""),3373.0)</f>
        <v/>
      </c>
      <c r="J337" s="2">
        <f>IFERROR(__xludf.DUMMYFUNCTION("""COMPUTED_VALUE"""),2707.0)</f>
        <v/>
      </c>
      <c r="K337" s="2">
        <f>IFERROR(__xludf.DUMMYFUNCTION("""COMPUTED_VALUE"""),1.0)</f>
        <v/>
      </c>
      <c r="L337" s="2">
        <f>IFERROR(__xludf.DUMMYFUNCTION("""COMPUTED_VALUE"""),"Line Shell, Free (Retail) до 10.2025")</f>
        <v/>
      </c>
      <c r="M337" s="2">
        <f>IFERROR(__xludf.DUMMYFUNCTION("""COMPUTED_VALUE"""),"Пластиковые (линейные), LED Светильники")</f>
        <v/>
      </c>
    </row>
    <row r="338">
      <c r="A338" s="5">
        <f>IFERROR(__xludf.DUMMYFUNCTION("""COMPUTED_VALUE"""),"4690612042718")</f>
        <v/>
      </c>
      <c r="B338" s="5">
        <f>IFERROR(__xludf.DUMMYFUNCTION("""COMPUTED_VALUE"""),"ДВО-01 4040-ОПАЛ 40Вт 230В 4000К 3600Лм 180х1195х25мм NEOX")</f>
        <v/>
      </c>
      <c r="C338" s="2">
        <f>IFERROR(__xludf.DUMMYFUNCTION("""COMPUTED_VALUE"""),4.800000000000001)</f>
        <v/>
      </c>
      <c r="D338" s="2">
        <f>IFERROR(__xludf.DUMMYFUNCTION("""COMPUTED_VALUE"""),0.032)</f>
        <v/>
      </c>
      <c r="E338" s="2">
        <f>IFERROR(__xludf.DUMMYFUNCTION("""COMPUTED_VALUE"""),625.2)</f>
        <v/>
      </c>
      <c r="F338" s="2">
        <f>IFERROR(__xludf.DUMMYFUNCTION("""COMPUTED_VALUE"""),818.0)</f>
        <v/>
      </c>
      <c r="G338" s="2">
        <f>IFERROR(__xludf.DUMMYFUNCTION("""COMPUTED_VALUE"""),920.0)</f>
        <v/>
      </c>
      <c r="H338" s="2">
        <f>IFERROR(__xludf.DUMMYFUNCTION("""COMPUTED_VALUE"""),1067.0)</f>
        <v/>
      </c>
      <c r="I338" s="2">
        <f>IFERROR(__xludf.DUMMYFUNCTION("""COMPUTED_VALUE"""),1227.0)</f>
        <v/>
      </c>
      <c r="J338" s="2">
        <f>IFERROR(__xludf.DUMMYFUNCTION("""COMPUTED_VALUE"""),614.0)</f>
        <v/>
      </c>
      <c r="K338" s="2">
        <f>IFERROR(__xludf.DUMMYFUNCTION("""COMPUTED_VALUE"""),39.0)</f>
        <v/>
      </c>
      <c r="L338" s="2">
        <f>IFERROR(__xludf.DUMMYFUNCTION("""COMPUTED_VALUE"""),"NEOX Светильники LED ДВО")</f>
        <v/>
      </c>
      <c r="M338" s="2">
        <f>IFERROR(__xludf.DUMMYFUNCTION("""COMPUTED_VALUE"""),"С равномерной засветкой, С равномерной засветкой, LED Светильники")</f>
        <v/>
      </c>
    </row>
    <row r="339">
      <c r="A339" s="5">
        <f>IFERROR(__xludf.DUMMYFUNCTION("""COMPUTED_VALUE"""),"CS30")</f>
        <v/>
      </c>
      <c r="B339" s="5">
        <f>IFERROR(__xludf.DUMMYFUNCTION("""COMPUTED_VALUE"""),"Лампа светодиодная, 18W 230V G13 4000К ТВ, SBT1218")</f>
        <v/>
      </c>
      <c r="C339" s="2">
        <f>IFERROR(__xludf.DUMMYFUNCTION("""COMPUTED_VALUE"""),0.0)</f>
        <v/>
      </c>
      <c r="D339" s="2">
        <f>IFERROR(__xludf.DUMMYFUNCTION("""COMPUTED_VALUE"""),0.0)</f>
        <v/>
      </c>
      <c r="E339" s="2">
        <f>IFERROR(__xludf.DUMMYFUNCTION("""COMPUTED_VALUE"""),92.47)</f>
        <v/>
      </c>
      <c r="F339" s="2">
        <f>IFERROR(__xludf.DUMMYFUNCTION("""COMPUTED_VALUE"""),50.0)</f>
        <v/>
      </c>
      <c r="G339" s="2">
        <f>IFERROR(__xludf.DUMMYFUNCTION("""COMPUTED_VALUE"""),53.0)</f>
        <v/>
      </c>
      <c r="H339" s="2">
        <f>IFERROR(__xludf.DUMMYFUNCTION("""COMPUTED_VALUE"""),60.0)</f>
        <v/>
      </c>
      <c r="I339" s="2">
        <f>IFERROR(__xludf.DUMMYFUNCTION("""COMPUTED_VALUE"""),66.24)</f>
        <v/>
      </c>
      <c r="J339" s="2">
        <f>IFERROR(__xludf.DUMMYFUNCTION("""COMPUTED_VALUE"""),33.0)</f>
        <v/>
      </c>
      <c r="K339" s="2">
        <f>IFERROR(__xludf.DUMMYFUNCTION("""COMPUTED_VALUE"""),45.0)</f>
        <v/>
      </c>
      <c r="L339" s="2">
        <f>IFERROR(__xludf.DUMMYFUNCTION("""COMPUTED_VALUE"""),"CS")</f>
        <v/>
      </c>
      <c r="M339" s="2">
        <f>IFERROR(__xludf.DUMMYFUNCTION("""COMPUTED_VALUE"""),"LED Светильники")</f>
        <v/>
      </c>
    </row>
    <row r="340">
      <c r="A340" s="5">
        <f>IFERROR(__xludf.DUMMYFUNCTION("""COMPUTED_VALUE"""),"4260652193208")</f>
        <v/>
      </c>
      <c r="B340" s="5">
        <f>IFERROR(__xludf.DUMMYFUNCTION("""COMPUTED_VALUE"""),"LCL04-8W-R01-6K")</f>
        <v/>
      </c>
      <c r="C340" s="2">
        <f>IFERROR(__xludf.DUMMYFUNCTION("""COMPUTED_VALUE"""),0.09000000000000001)</f>
        <v/>
      </c>
      <c r="D340" s="2">
        <f>IFERROR(__xludf.DUMMYFUNCTION("""COMPUTED_VALUE"""),0.05180000000000001)</f>
        <v/>
      </c>
      <c r="E340" s="2">
        <f>IFERROR(__xludf.DUMMYFUNCTION("""COMPUTED_VALUE"""),192.53)</f>
        <v/>
      </c>
      <c r="F340" s="2">
        <f>IFERROR(__xludf.DUMMYFUNCTION("""COMPUTED_VALUE"""),179.0)</f>
        <v/>
      </c>
      <c r="G340" s="2">
        <f>IFERROR(__xludf.DUMMYFUNCTION("""COMPUTED_VALUE"""),185.0)</f>
        <v/>
      </c>
      <c r="H340" s="2">
        <f>IFERROR(__xludf.DUMMYFUNCTION("""COMPUTED_VALUE"""),242.0)</f>
        <v/>
      </c>
      <c r="I340" s="2">
        <f>IFERROR(__xludf.DUMMYFUNCTION("""COMPUTED_VALUE"""),303.0)</f>
        <v/>
      </c>
      <c r="J340" s="2">
        <f>IFERROR(__xludf.DUMMYFUNCTION("""COMPUTED_VALUE"""),185.0)</f>
        <v/>
      </c>
      <c r="K340" s="2">
        <f>IFERROR(__xludf.DUMMYFUNCTION("""COMPUTED_VALUE"""),105.0)</f>
        <v/>
      </c>
      <c r="L340" s="2">
        <f>IFERROR(__xludf.DUMMYFUNCTION("""COMPUTED_VALUE"""),"Wolta ЖКХ")</f>
        <v/>
      </c>
      <c r="M340" s="2">
        <f>IFERROR(__xludf.DUMMYFUNCTION("""COMPUTED_VALUE"""),"Для ЖКХ, дома, дачи, LED Светильники")</f>
        <v/>
      </c>
    </row>
    <row r="341">
      <c r="A341" s="5">
        <f>IFERROR(__xludf.DUMMYFUNCTION("""COMPUTED_VALUE"""),"V1046")</f>
        <v/>
      </c>
      <c r="B341" s="5">
        <f>IFERROR(__xludf.DUMMYFUNCTION("""COMPUTED_VALUE"""),"VRN-UN-48D-G50K67-UV, 48Вт, Галочка")</f>
        <v/>
      </c>
      <c r="C341" s="2">
        <f>IFERROR(__xludf.DUMMYFUNCTION("""COMPUTED_VALUE"""),1.85)</f>
        <v/>
      </c>
      <c r="D341" s="2">
        <f>IFERROR(__xludf.DUMMYFUNCTION("""COMPUTED_VALUE"""),0.0085)</f>
        <v/>
      </c>
      <c r="E341" s="2">
        <f>IFERROR(__xludf.DUMMYFUNCTION("""COMPUTED_VALUE"""),3781.0)</f>
        <v/>
      </c>
      <c r="F341" s="2">
        <f>IFERROR(__xludf.DUMMYFUNCTION("""COMPUTED_VALUE"""),4465.0)</f>
        <v/>
      </c>
      <c r="G341" s="2">
        <f>IFERROR(__xludf.DUMMYFUNCTION("""COMPUTED_VALUE"""),5805.0)</f>
        <v/>
      </c>
      <c r="H341" s="2">
        <f>IFERROR(__xludf.DUMMYFUNCTION("""COMPUTED_VALUE"""),6095.0)</f>
        <v/>
      </c>
      <c r="I341" s="2">
        <f>IFERROR(__xludf.DUMMYFUNCTION("""COMPUTED_VALUE"""),6385.0)</f>
        <v/>
      </c>
      <c r="J341" s="2">
        <f>IFERROR(__xludf.DUMMYFUNCTION("""COMPUTED_VALUE"""),6095.0)</f>
        <v/>
      </c>
      <c r="K341" s="2">
        <f>IFERROR(__xludf.DUMMYFUNCTION("""COMPUTED_VALUE"""),1.0)</f>
        <v/>
      </c>
      <c r="L341" s="2">
        <f>IFERROR(__xludf.DUMMYFUNCTION("""COMPUTED_VALUE"""),"Универсал")</f>
        <v/>
      </c>
      <c r="M341" s="2">
        <f>IFERROR(__xludf.DUMMYFUNCTION("""COMPUTED_VALUE"""),"Для обычных дорог, Модульные, LED Светильники")</f>
        <v/>
      </c>
    </row>
    <row r="342">
      <c r="A342" s="5">
        <f>IFERROR(__xludf.DUMMYFUNCTION("""COMPUTED_VALUE"""),"4690626067448")</f>
        <v/>
      </c>
      <c r="B342" s="5">
        <f>IFERROR(__xludf.DUMMYFUNCTION("""COMPUTED_VALUE"""),"SL3 Smartbuy-70w/6000K/IP65 (SBL-SL3-70-6K)")</f>
        <v/>
      </c>
      <c r="C342" s="2">
        <f>IFERROR(__xludf.DUMMYFUNCTION("""COMPUTED_VALUE"""),1.0)</f>
        <v/>
      </c>
      <c r="D342" s="2">
        <f>IFERROR(__xludf.DUMMYFUNCTION("""COMPUTED_VALUE"""),0.0036)</f>
        <v/>
      </c>
      <c r="E342" s="2">
        <f>IFERROR(__xludf.DUMMYFUNCTION("""COMPUTED_VALUE"""),908.46)</f>
        <v/>
      </c>
      <c r="F342" s="2">
        <f>IFERROR(__xludf.DUMMYFUNCTION("""COMPUTED_VALUE"""),1009.0)</f>
        <v/>
      </c>
      <c r="G342" s="2">
        <f>IFERROR(__xludf.DUMMYFUNCTION("""COMPUTED_VALUE"""),1107.0)</f>
        <v/>
      </c>
      <c r="H342" s="2">
        <f>IFERROR(__xludf.DUMMYFUNCTION("""COMPUTED_VALUE"""),1230.0)</f>
        <v/>
      </c>
      <c r="I342" s="2">
        <f>IFERROR(__xludf.DUMMYFUNCTION("""COMPUTED_VALUE"""),1353.0)</f>
        <v/>
      </c>
      <c r="J342" s="2">
        <f>IFERROR(__xludf.DUMMYFUNCTION("""COMPUTED_VALUE"""),1353.0)</f>
        <v/>
      </c>
      <c r="K342" s="2">
        <f>IFERROR(__xludf.DUMMYFUNCTION("""COMPUTED_VALUE"""),13.0)</f>
        <v/>
      </c>
      <c r="L342" s="2">
        <f>IFERROR(__xludf.DUMMYFUNCTION("""COMPUTED_VALUE"""),"Smartbuy LED светильники")</f>
        <v/>
      </c>
      <c r="M342" s="2">
        <f>IFERROR(__xludf.DUMMYFUNCTION("""COMPUTED_VALUE"""),"Для обычных дорог, Для автомагистралей, LED Светильники")</f>
        <v/>
      </c>
    </row>
    <row r="343">
      <c r="A343" s="5">
        <f>IFERROR(__xludf.DUMMYFUNCTION("""COMPUTED_VALUE"""),"12-0152")</f>
        <v/>
      </c>
      <c r="B343" s="5">
        <f>IFERROR(__xludf.DUMMYFUNCTION("""COMPUTED_VALUE"""),"Паяльная станция (160-500 град.) 220 V/48 Вт REXANT")</f>
        <v/>
      </c>
      <c r="C343" s="2">
        <f>IFERROR(__xludf.DUMMYFUNCTION("""COMPUTED_VALUE"""),0.0)</f>
        <v/>
      </c>
      <c r="D343" s="2">
        <f>IFERROR(__xludf.DUMMYFUNCTION("""COMPUTED_VALUE"""),0.0)</f>
        <v/>
      </c>
      <c r="E343" s="2">
        <f>IFERROR(__xludf.DUMMYFUNCTION("""COMPUTED_VALUE"""),1.0)</f>
        <v/>
      </c>
      <c r="F343" s="2">
        <f>IFERROR(__xludf.DUMMYFUNCTION("""COMPUTED_VALUE"""),2337.0)</f>
        <v/>
      </c>
      <c r="G343" s="2">
        <f>IFERROR(__xludf.DUMMYFUNCTION("""COMPUTED_VALUE"""),2493.0)</f>
        <v/>
      </c>
      <c r="H343" s="2">
        <f>IFERROR(__xludf.DUMMYFUNCTION("""COMPUTED_VALUE"""),2804.0)</f>
        <v/>
      </c>
      <c r="I343" s="2">
        <f>IFERROR(__xludf.DUMMYFUNCTION("""COMPUTED_VALUE"""),3115.68)</f>
        <v/>
      </c>
      <c r="J343" s="2">
        <f>IFERROR(__xludf.DUMMYFUNCTION("""COMPUTED_VALUE"""),2337.0)</f>
        <v/>
      </c>
      <c r="K343" s="2">
        <f>IFERROR(__xludf.DUMMYFUNCTION("""COMPUTED_VALUE"""),1.0)</f>
        <v/>
      </c>
      <c r="L343" s="2">
        <f>IFERROR(__xludf.DUMMYFUNCTION("""COMPUTED_VALUE"""),"Rexant")</f>
        <v/>
      </c>
      <c r="M343" s="2">
        <f>IFERROR(__xludf.DUMMYFUNCTION("""COMPUTED_VALUE"""),"Прочие товары")</f>
        <v/>
      </c>
    </row>
    <row r="344">
      <c r="A344" s="5">
        <f>IFERROR(__xludf.DUMMYFUNCTION("""COMPUTED_VALUE"""),"ves037")</f>
        <v/>
      </c>
      <c r="B344" s="5">
        <f>IFERROR(__xludf.DUMMYFUNCTION("""COMPUTED_VALUE"""),"Светильник светодиодный AM-PL-36W")</f>
        <v/>
      </c>
      <c r="C344" s="2">
        <f>IFERROR(__xludf.DUMMYFUNCTION("""COMPUTED_VALUE"""),0.0)</f>
        <v/>
      </c>
      <c r="D344" s="2">
        <f>IFERROR(__xludf.DUMMYFUNCTION("""COMPUTED_VALUE"""),0.0)</f>
        <v/>
      </c>
      <c r="E344" s="2">
        <f>IFERROR(__xludf.DUMMYFUNCTION("""COMPUTED_VALUE"""),1200.0)</f>
        <v/>
      </c>
      <c r="F344" s="2">
        <f>IFERROR(__xludf.DUMMYFUNCTION("""COMPUTED_VALUE"""),1485.0)</f>
        <v/>
      </c>
      <c r="G344" s="2">
        <f>IFERROR(__xludf.DUMMYFUNCTION("""COMPUTED_VALUE"""),1584.0)</f>
        <v/>
      </c>
      <c r="H344" s="2">
        <f>IFERROR(__xludf.DUMMYFUNCTION("""COMPUTED_VALUE"""),1782.0)</f>
        <v/>
      </c>
      <c r="I344" s="2">
        <f>IFERROR(__xludf.DUMMYFUNCTION("""COMPUTED_VALUE"""),1980.0)</f>
        <v/>
      </c>
      <c r="J344" s="2">
        <f>IFERROR(__xludf.DUMMYFUNCTION("""COMPUTED_VALUE"""),990.0)</f>
        <v/>
      </c>
      <c r="K344" s="2">
        <f>IFERROR(__xludf.DUMMYFUNCTION("""COMPUTED_VALUE"""),50.0)</f>
        <v/>
      </c>
      <c r="L344" s="2">
        <f>IFERROR(__xludf.DUMMYFUNCTION("""COMPUTED_VALUE"""),"ves")</f>
        <v/>
      </c>
      <c r="M344" s="2">
        <f>IFERROR(__xludf.DUMMYFUNCTION("""COMPUTED_VALUE"""),"LED Светильники")</f>
        <v/>
      </c>
    </row>
    <row r="345">
      <c r="A345" s="5">
        <f>IFERROR(__xludf.DUMMYFUNCTION("""COMPUTED_VALUE"""),"4690612030791")</f>
        <v/>
      </c>
      <c r="B345" s="5">
        <f>IFERROR(__xludf.DUMMYFUNCTION("""COMPUTED_VALUE"""),"LED-GX53-VC 6Вт 230В 4000К 570Лм IN HOME")</f>
        <v/>
      </c>
      <c r="C345" s="2">
        <f>IFERROR(__xludf.DUMMYFUNCTION("""COMPUTED_VALUE"""),0.033)</f>
        <v/>
      </c>
      <c r="D345" s="2">
        <f>IFERROR(__xludf.DUMMYFUNCTION("""COMPUTED_VALUE"""),2.1E-4)</f>
        <v/>
      </c>
      <c r="E345" s="2">
        <f>IFERROR(__xludf.DUMMYFUNCTION("""COMPUTED_VALUE"""),32.4)</f>
        <v/>
      </c>
      <c r="F345" s="2">
        <f>IFERROR(__xludf.DUMMYFUNCTION("""COMPUTED_VALUE"""),31.0)</f>
        <v/>
      </c>
      <c r="G345" s="2">
        <f>IFERROR(__xludf.DUMMYFUNCTION("""COMPUTED_VALUE"""),35.0)</f>
        <v/>
      </c>
      <c r="H345" s="2">
        <f>IFERROR(__xludf.DUMMYFUNCTION("""COMPUTED_VALUE"""),40.0)</f>
        <v/>
      </c>
      <c r="I345" s="2">
        <f>IFERROR(__xludf.DUMMYFUNCTION("""COMPUTED_VALUE"""),46.5)</f>
        <v/>
      </c>
      <c r="J345" s="2">
        <f>IFERROR(__xludf.DUMMYFUNCTION("""COMPUTED_VALUE"""),23.0)</f>
        <v/>
      </c>
      <c r="K345" s="2">
        <f>IFERROR(__xludf.DUMMYFUNCTION("""COMPUTED_VALUE"""),118.0)</f>
        <v/>
      </c>
      <c r="L345" s="2">
        <f>IFERROR(__xludf.DUMMYFUNCTION("""COMPUTED_VALUE"""),"Лампа светодиодная LED-GX53-standard")</f>
        <v/>
      </c>
      <c r="M345" s="2">
        <f>IFERROR(__xludf.DUMMYFUNCTION("""COMPUTED_VALUE"""),"Лампы")</f>
        <v/>
      </c>
    </row>
    <row r="346">
      <c r="A346" s="5">
        <f>IFERROR(__xludf.DUMMYFUNCTION("""COMPUTED_VALUE"""),"4690612042336-2")</f>
        <v/>
      </c>
      <c r="B346" s="5">
        <f>IFERROR(__xludf.DUMMYFUNCTION("""COMPUTED_VALUE"""),"ДВО-01 4065-ОПАЛ 40Вт 230В 6500К 3600Лм 180х1195х25мм NEOX (2 штуки в упаковке)")</f>
        <v/>
      </c>
      <c r="C346" s="2">
        <f>IFERROR(__xludf.DUMMYFUNCTION("""COMPUTED_VALUE"""),1.36)</f>
        <v/>
      </c>
      <c r="D346" s="2">
        <f>IFERROR(__xludf.DUMMYFUNCTION("""COMPUTED_VALUE"""),0.0)</f>
        <v/>
      </c>
      <c r="E346" s="2">
        <f>IFERROR(__xludf.DUMMYFUNCTION("""COMPUTED_VALUE"""),1591.35)</f>
        <v/>
      </c>
      <c r="F346" s="2">
        <f>IFERROR(__xludf.DUMMYFUNCTION("""COMPUTED_VALUE"""),1746.0)</f>
        <v/>
      </c>
      <c r="G346" s="2">
        <f>IFERROR(__xludf.DUMMYFUNCTION("""COMPUTED_VALUE"""),2037.0)</f>
        <v/>
      </c>
      <c r="H346" s="2">
        <f>IFERROR(__xludf.DUMMYFUNCTION("""COMPUTED_VALUE"""),2291.0)</f>
        <v/>
      </c>
      <c r="I346" s="2">
        <f>IFERROR(__xludf.DUMMYFUNCTION("""COMPUTED_VALUE"""),2546.0)</f>
        <v/>
      </c>
      <c r="J346" s="2">
        <f>IFERROR(__xludf.DUMMYFUNCTION("""COMPUTED_VALUE"""),1273.0)</f>
        <v/>
      </c>
      <c r="K346" s="2">
        <f>IFERROR(__xludf.DUMMYFUNCTION("""COMPUTED_VALUE"""),10.0)</f>
        <v/>
      </c>
      <c r="L346" s="2">
        <f>IFERROR(__xludf.DUMMYFUNCTION("""COMPUTED_VALUE"""),"NEOX Светильники LED ДВО - Опал производство, упаковка")</f>
        <v/>
      </c>
      <c r="M346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/>
      </c>
    </row>
    <row r="347">
      <c r="A347" s="5">
        <f>IFERROR(__xludf.DUMMYFUNCTION("""COMPUTED_VALUE"""),"G33127T")</f>
        <v/>
      </c>
      <c r="B347" s="5">
        <f>IFERROR(__xludf.DUMMYFUNCTION("""COMPUTED_VALUE"""),"Elementary Candle 7W E14 4100K 1/40 (3 лампы в упаковке)")</f>
        <v/>
      </c>
      <c r="C347" s="2">
        <f>IFERROR(__xludf.DUMMYFUNCTION("""COMPUTED_VALUE"""),0.0)</f>
        <v/>
      </c>
      <c r="D347" s="2">
        <f>IFERROR(__xludf.DUMMYFUNCTION("""COMPUTED_VALUE"""),0.0)</f>
        <v/>
      </c>
      <c r="E347" s="2">
        <f>IFERROR(__xludf.DUMMYFUNCTION("""COMPUTED_VALUE"""),94.9)</f>
        <v/>
      </c>
      <c r="F347" s="2">
        <f>IFERROR(__xludf.DUMMYFUNCTION("""COMPUTED_VALUE"""),128.0)</f>
        <v/>
      </c>
      <c r="G347" s="2">
        <f>IFERROR(__xludf.DUMMYFUNCTION("""COMPUTED_VALUE"""),141.0)</f>
        <v/>
      </c>
      <c r="H347" s="2">
        <f>IFERROR(__xludf.DUMMYFUNCTION("""COMPUTED_VALUE"""),166.0)</f>
        <v/>
      </c>
      <c r="I347" s="2">
        <f>IFERROR(__xludf.DUMMYFUNCTION("""COMPUTED_VALUE"""),210.0)</f>
        <v/>
      </c>
      <c r="J347" s="2">
        <f>IFERROR(__xludf.DUMMYFUNCTION("""COMPUTED_VALUE"""),105.0)</f>
        <v/>
      </c>
      <c r="K347" s="2">
        <f>IFERROR(__xludf.DUMMYFUNCTION("""COMPUTED_VALUE"""),18.0)</f>
        <v/>
      </c>
      <c r="L347" s="2">
        <f>IFERROR(__xludf.DUMMYFUNCTION("""COMPUTED_VALUE"""),"Комплекты Gauss Elementary (x2, x3)")</f>
        <v/>
      </c>
      <c r="M347" s="2">
        <f>IFERROR(__xludf.DUMMYFUNCTION("""COMPUTED_VALUE"""),"Лампы")</f>
        <v/>
      </c>
    </row>
    <row r="348">
      <c r="A348" s="5">
        <f>IFERROR(__xludf.DUMMYFUNCTION("""COMPUTED_VALUE"""),"GL8213")</f>
        <v/>
      </c>
      <c r="B348" s="5">
        <f>IFERROR(__xludf.DUMMYFUNCTION("""COMPUTED_VALUE"""),"GLERIO Line 12 Вт 4000К 91P-12D-4N-K")</f>
        <v/>
      </c>
      <c r="C348" s="2">
        <f>IFERROR(__xludf.DUMMYFUNCTION("""COMPUTED_VALUE"""),0.3)</f>
        <v/>
      </c>
      <c r="D348" s="2">
        <f>IFERROR(__xludf.DUMMYFUNCTION("""COMPUTED_VALUE"""),0.00195)</f>
        <v/>
      </c>
      <c r="E348" s="2">
        <f>IFERROR(__xludf.DUMMYFUNCTION("""COMPUTED_VALUE"""),921.5)</f>
        <v/>
      </c>
      <c r="F348" s="2">
        <f>IFERROR(__xludf.DUMMYFUNCTION("""COMPUTED_VALUE"""),1070.0)</f>
        <v/>
      </c>
      <c r="G348" s="2">
        <f>IFERROR(__xludf.DUMMYFUNCTION("""COMPUTED_VALUE"""),1347.0)</f>
        <v/>
      </c>
      <c r="H348" s="2">
        <f>IFERROR(__xludf.DUMMYFUNCTION("""COMPUTED_VALUE"""),1513.0)</f>
        <v/>
      </c>
      <c r="I348" s="2">
        <f>IFERROR(__xludf.DUMMYFUNCTION("""COMPUTED_VALUE"""),1679.0)</f>
        <v/>
      </c>
      <c r="J348" s="2">
        <f>IFERROR(__xludf.DUMMYFUNCTION("""COMPUTED_VALUE"""),1347.0)</f>
        <v/>
      </c>
      <c r="K348" s="2">
        <f>IFERROR(__xludf.DUMMYFUNCTION("""COMPUTED_VALUE"""),2.0)</f>
        <v/>
      </c>
      <c r="L348" s="2">
        <f>IFERROR(__xludf.DUMMYFUNCTION("""COMPUTED_VALUE"""),"Line (Айсберг) до 10.2025")</f>
        <v/>
      </c>
      <c r="M348" s="2">
        <f>IFERROR(__xludf.DUMMYFUNCTION("""COMPUTED_VALUE"""),"Пластиковые (линейные), LED Светильники")</f>
        <v/>
      </c>
    </row>
    <row r="349">
      <c r="A349" s="5">
        <f>IFERROR(__xludf.DUMMYFUNCTION("""COMPUTED_VALUE"""),"R100629-1")</f>
        <v/>
      </c>
      <c r="B349" s="5">
        <f>IFERROR(__xludf.DUMMYFUNCTION("""COMPUTED_VALUE"""),"RSV-SPO-02-100W-6500K OPL (в индивидуальной упаковке)")</f>
        <v/>
      </c>
      <c r="C349" s="2">
        <f>IFERROR(__xludf.DUMMYFUNCTION("""COMPUTED_VALUE"""),0.0)</f>
        <v/>
      </c>
      <c r="D349" s="2">
        <f>IFERROR(__xludf.DUMMYFUNCTION("""COMPUTED_VALUE"""),0.00293)</f>
        <v/>
      </c>
      <c r="E349" s="2">
        <f>IFERROR(__xludf.DUMMYFUNCTION("""COMPUTED_VALUE"""),503.22)</f>
        <v/>
      </c>
      <c r="F349" s="2">
        <f>IFERROR(__xludf.DUMMYFUNCTION("""COMPUTED_VALUE"""),604.0)</f>
        <v/>
      </c>
      <c r="G349" s="2">
        <f>IFERROR(__xludf.DUMMYFUNCTION("""COMPUTED_VALUE"""),644.0)</f>
        <v/>
      </c>
      <c r="H349" s="2">
        <f>IFERROR(__xludf.DUMMYFUNCTION("""COMPUTED_VALUE"""),725.0)</f>
        <v/>
      </c>
      <c r="I349" s="2">
        <f>IFERROR(__xludf.DUMMYFUNCTION("""COMPUTED_VALUE"""),805.0)</f>
        <v/>
      </c>
      <c r="J349" s="2">
        <f>IFERROR(__xludf.DUMMYFUNCTION("""COMPUTED_VALUE"""),403.0)</f>
        <v/>
      </c>
      <c r="K349" s="2">
        <f>IFERROR(__xludf.DUMMYFUNCTION("""COMPUTED_VALUE"""),1.0)</f>
        <v/>
      </c>
      <c r="L349" s="2">
        <f>IFERROR(__xludf.DUMMYFUNCTION("""COMPUTED_VALUE"""),"RSV-SPO Светильники Производство, упаковка (1 штука)")</f>
        <v/>
      </c>
      <c r="M349" s="2">
        <f>IFERROR(__xludf.DUMMYFUNCTION("""COMPUTED_VALUE"""),"Пластиковые (линейные), Светильники общего назначения (LED), Накладные, Линейные (проходные), LED Светильники")</f>
        <v/>
      </c>
    </row>
    <row r="350">
      <c r="A350" s="5">
        <f>IFERROR(__xludf.DUMMYFUNCTION("""COMPUTED_VALUE"""),"GL8232")</f>
        <v/>
      </c>
      <c r="B350" s="5">
        <f>IFERROR(__xludf.DUMMYFUNCTION("""COMPUTED_VALUE"""),"GLERIO Line 36 Вт 4000К 91P-36D-4N-MP")</f>
        <v/>
      </c>
      <c r="C350" s="2">
        <f>IFERROR(__xludf.DUMMYFUNCTION("""COMPUTED_VALUE"""),0.5)</f>
        <v/>
      </c>
      <c r="D350" s="2">
        <f>IFERROR(__xludf.DUMMYFUNCTION("""COMPUTED_VALUE"""),0.00396)</f>
        <v/>
      </c>
      <c r="E350" s="2">
        <f>IFERROR(__xludf.DUMMYFUNCTION("""COMPUTED_VALUE"""),2007.67)</f>
        <v/>
      </c>
      <c r="F350" s="2">
        <f>IFERROR(__xludf.DUMMYFUNCTION("""COMPUTED_VALUE"""),2310.0)</f>
        <v/>
      </c>
      <c r="G350" s="2">
        <f>IFERROR(__xludf.DUMMYFUNCTION("""COMPUTED_VALUE"""),2908.0)</f>
        <v/>
      </c>
      <c r="H350" s="2">
        <f>IFERROR(__xludf.DUMMYFUNCTION("""COMPUTED_VALUE"""),3266.0)</f>
        <v/>
      </c>
      <c r="I350" s="2">
        <f>IFERROR(__xludf.DUMMYFUNCTION("""COMPUTED_VALUE"""),3624.0)</f>
        <v/>
      </c>
      <c r="J350" s="2">
        <f>IFERROR(__xludf.DUMMYFUNCTION("""COMPUTED_VALUE"""),3624.0)</f>
        <v/>
      </c>
      <c r="K350" s="2">
        <f>IFERROR(__xludf.DUMMYFUNCTION("""COMPUTED_VALUE"""),8.0)</f>
        <v/>
      </c>
      <c r="L350" s="2">
        <f>IFERROR(__xludf.DUMMYFUNCTION("""COMPUTED_VALUE"""),"Line (Айсберг) до 10.2025")</f>
        <v/>
      </c>
      <c r="M350" s="2">
        <f>IFERROR(__xludf.DUMMYFUNCTION("""COMPUTED_VALUE"""),"Пластиковые (линейные), LED Светильники")</f>
        <v/>
      </c>
    </row>
    <row r="351">
      <c r="A351" s="5">
        <f>IFERROR(__xludf.DUMMYFUNCTION("""COMPUTED_VALUE"""),"4690612018935")</f>
        <v/>
      </c>
      <c r="B351" s="5">
        <f>IFERROR(__xludf.DUMMYFUNCTION("""COMPUTED_VALUE"""),"ССП-155-PRO 18Вт 230В 4000К 1500Лм 600мм IP65 LLT")</f>
        <v/>
      </c>
      <c r="C351" s="2">
        <f>IFERROR(__xludf.DUMMYFUNCTION("""COMPUTED_VALUE"""),0.23)</f>
        <v/>
      </c>
      <c r="D351" s="2">
        <f>IFERROR(__xludf.DUMMYFUNCTION("""COMPUTED_VALUE"""),0.0023)</f>
        <v/>
      </c>
      <c r="E351" s="2">
        <f>IFERROR(__xludf.DUMMYFUNCTION("""COMPUTED_VALUE"""),311.19)</f>
        <v/>
      </c>
      <c r="F351" s="2">
        <f>IFERROR(__xludf.DUMMYFUNCTION("""COMPUTED_VALUE"""),303.0)</f>
        <v/>
      </c>
      <c r="G351" s="2">
        <f>IFERROR(__xludf.DUMMYFUNCTION("""COMPUTED_VALUE"""),341.0)</f>
        <v/>
      </c>
      <c r="H351" s="2">
        <f>IFERROR(__xludf.DUMMYFUNCTION("""COMPUTED_VALUE"""),396.0)</f>
        <v/>
      </c>
      <c r="I351" s="2">
        <f>IFERROR(__xludf.DUMMYFUNCTION("""COMPUTED_VALUE"""),455.0)</f>
        <v/>
      </c>
      <c r="J351" s="2">
        <f>IFERROR(__xludf.DUMMYFUNCTION("""COMPUTED_VALUE"""),228.0)</f>
        <v/>
      </c>
      <c r="K351" s="2">
        <f>IFERROR(__xludf.DUMMYFUNCTION("""COMPUTED_VALUE"""),1.0)</f>
        <v/>
      </c>
      <c r="L351" s="2">
        <f>IFERROR(__xludf.DUMMYFUNCTION("""COMPUTED_VALUE"""),"Светильники светодиодные ССП")</f>
        <v/>
      </c>
      <c r="M351" s="2">
        <f>IFERROR(__xludf.DUMMYFUNCTION("""COMPUTED_VALUE"""),"Пластиковые (линейные), Для ЖКХ, дома, дачи, LED Светильники")</f>
        <v/>
      </c>
    </row>
    <row r="352">
      <c r="A352" s="5">
        <f>IFERROR(__xludf.DUMMYFUNCTION("""COMPUTED_VALUE"""),"4690612025964")</f>
        <v/>
      </c>
      <c r="B352" s="5">
        <f>IFERROR(__xludf.DUMMYFUNCTION("""COMPUTED_VALUE"""),"DREAM-60D-ПУ 60Вт 230В 3000-6500K")</f>
        <v/>
      </c>
      <c r="C352" s="2">
        <f>IFERROR(__xludf.DUMMYFUNCTION("""COMPUTED_VALUE"""),2.18)</f>
        <v/>
      </c>
      <c r="D352" s="2">
        <f>IFERROR(__xludf.DUMMYFUNCTION("""COMPUTED_VALUE"""),0.0262)</f>
        <v/>
      </c>
      <c r="E352" s="2">
        <f>IFERROR(__xludf.DUMMYFUNCTION("""COMPUTED_VALUE"""),2251.3)</f>
        <v/>
      </c>
      <c r="F352" s="2">
        <f>IFERROR(__xludf.DUMMYFUNCTION("""COMPUTED_VALUE"""),2167.0)</f>
        <v/>
      </c>
      <c r="G352" s="2">
        <f>IFERROR(__xludf.DUMMYFUNCTION("""COMPUTED_VALUE"""),2438.0)</f>
        <v/>
      </c>
      <c r="H352" s="2">
        <f>IFERROR(__xludf.DUMMYFUNCTION("""COMPUTED_VALUE"""),2828.0)</f>
        <v/>
      </c>
      <c r="I352" s="2">
        <f>IFERROR(__xludf.DUMMYFUNCTION("""COMPUTED_VALUE"""),3250.0)</f>
        <v/>
      </c>
      <c r="J352" s="2">
        <f>IFERROR(__xludf.DUMMYFUNCTION("""COMPUTED_VALUE"""),1625.0)</f>
        <v/>
      </c>
      <c r="K352" s="2">
        <f>IFERROR(__xludf.DUMMYFUNCTION("""COMPUTED_VALUE"""),4.0)</f>
        <v/>
      </c>
      <c r="L352" s="2">
        <f>IFERROR(__xludf.DUMMYFUNCTION("""COMPUTED_VALUE"""),"Светильники светодиодные COMFORT")</f>
        <v/>
      </c>
      <c r="M352" s="2">
        <f>IFERROR(__xludf.DUMMYFUNCTION("""COMPUTED_VALUE"""),"Накладные, LED Светильники")</f>
        <v/>
      </c>
    </row>
    <row r="353">
      <c r="A353" s="5">
        <f>IFERROR(__xludf.DUMMYFUNCTION("""COMPUTED_VALUE"""),"4690612021966")</f>
        <v/>
      </c>
      <c r="B353" s="5">
        <f>IFERROR(__xludf.DUMMYFUNCTION("""COMPUTED_VALUE"""),"DECO 18Вт 230В 4000К 1170Лм 230х55мм ОРИОН IN HOME")</f>
        <v/>
      </c>
      <c r="C353" s="2">
        <f>IFERROR(__xludf.DUMMYFUNCTION("""COMPUTED_VALUE"""),0.30833)</f>
        <v/>
      </c>
      <c r="D353" s="2">
        <f>IFERROR(__xludf.DUMMYFUNCTION("""COMPUTED_VALUE"""),0.00417)</f>
        <v/>
      </c>
      <c r="E353" s="2">
        <f>IFERROR(__xludf.DUMMYFUNCTION("""COMPUTED_VALUE"""),270.36)</f>
        <v/>
      </c>
      <c r="F353" s="2">
        <f>IFERROR(__xludf.DUMMYFUNCTION("""COMPUTED_VALUE"""),321.0)</f>
        <v/>
      </c>
      <c r="G353" s="2">
        <f>IFERROR(__xludf.DUMMYFUNCTION("""COMPUTED_VALUE"""),361.0)</f>
        <v/>
      </c>
      <c r="H353" s="2">
        <f>IFERROR(__xludf.DUMMYFUNCTION("""COMPUTED_VALUE"""),418.0)</f>
        <v/>
      </c>
      <c r="I353" s="2">
        <f>IFERROR(__xludf.DUMMYFUNCTION("""COMPUTED_VALUE"""),481.0)</f>
        <v/>
      </c>
      <c r="J353" s="2">
        <f>IFERROR(__xludf.DUMMYFUNCTION("""COMPUTED_VALUE"""),241.0)</f>
        <v/>
      </c>
      <c r="K353" s="2">
        <f>IFERROR(__xludf.DUMMYFUNCTION("""COMPUTED_VALUE"""),1.0)</f>
        <v/>
      </c>
      <c r="L353" s="2">
        <f>IFERROR(__xludf.DUMMYFUNCTION("""COMPUTED_VALUE"""),"Светильник светодиодный серии DECO")</f>
        <v/>
      </c>
      <c r="M353" s="2">
        <f>IFERROR(__xludf.DUMMYFUNCTION("""COMPUTED_VALUE"""),"Накладные, Декоративные, LED Светильники")</f>
        <v/>
      </c>
    </row>
    <row r="354">
      <c r="A354" s="5">
        <f>IFERROR(__xludf.DUMMYFUNCTION("""COMPUTED_VALUE"""),"4260760427738")</f>
        <v/>
      </c>
      <c r="B354" s="5">
        <f>IFERROR(__xludf.DUMMYFUNCTION("""COMPUTED_VALUE"""),"LCL04-25W-R01-6K")</f>
        <v/>
      </c>
      <c r="C354" s="2">
        <f>IFERROR(__xludf.DUMMYFUNCTION("""COMPUTED_VALUE"""),0.196)</f>
        <v/>
      </c>
      <c r="D354" s="2">
        <f>IFERROR(__xludf.DUMMYFUNCTION("""COMPUTED_VALUE"""),0.0)</f>
        <v/>
      </c>
      <c r="E354" s="2">
        <f>IFERROR(__xludf.DUMMYFUNCTION("""COMPUTED_VALUE"""),309.91)</f>
        <v/>
      </c>
      <c r="F354" s="2">
        <f>IFERROR(__xludf.DUMMYFUNCTION("""COMPUTED_VALUE"""),476.0)</f>
        <v/>
      </c>
      <c r="G354" s="2">
        <f>IFERROR(__xludf.DUMMYFUNCTION("""COMPUTED_VALUE"""),492.0)</f>
        <v/>
      </c>
      <c r="H354" s="2">
        <f>IFERROR(__xludf.DUMMYFUNCTION("""COMPUTED_VALUE"""),646.0)</f>
        <v/>
      </c>
      <c r="I354" s="2">
        <f>IFERROR(__xludf.DUMMYFUNCTION("""COMPUTED_VALUE"""),807.0)</f>
        <v/>
      </c>
      <c r="J354" s="2">
        <f>IFERROR(__xludf.DUMMYFUNCTION("""COMPUTED_VALUE"""),492.0)</f>
        <v/>
      </c>
      <c r="K354" s="2">
        <f>IFERROR(__xludf.DUMMYFUNCTION("""COMPUTED_VALUE"""),25.0)</f>
        <v/>
      </c>
      <c r="L354" s="2">
        <f>IFERROR(__xludf.DUMMYFUNCTION("""COMPUTED_VALUE"""),"Wolta ЖКХ")</f>
        <v/>
      </c>
      <c r="M354" s="2">
        <f>IFERROR(__xludf.DUMMYFUNCTION("""COMPUTED_VALUE"""),"Для ЖКХ, дома, дачи, LED Светильники")</f>
        <v/>
      </c>
    </row>
    <row r="355">
      <c r="A355" s="5">
        <f>IFERROR(__xludf.DUMMYFUNCTION("""COMPUTED_VALUE"""),"14690612042326")</f>
        <v/>
      </c>
      <c r="B355" s="5">
        <f>IFERROR(__xludf.DUMMYFUNCTION("""COMPUTED_VALUE"""),"ДВО-01 3665-ПРИЗМА 36Вт 230В 6500K 3600Лм 180х1195х19мм NEOX (4 шт в упак.)")</f>
        <v/>
      </c>
      <c r="C355" s="2">
        <f>IFERROR(__xludf.DUMMYFUNCTION("""COMPUTED_VALUE"""),1.275)</f>
        <v/>
      </c>
      <c r="D355" s="2">
        <f>IFERROR(__xludf.DUMMYFUNCTION("""COMPUTED_VALUE"""),0.0)</f>
        <v/>
      </c>
      <c r="E355" s="2">
        <f>IFERROR(__xludf.DUMMYFUNCTION("""COMPUTED_VALUE"""),2178.6)</f>
        <v/>
      </c>
      <c r="F355" s="2">
        <f>IFERROR(__xludf.DUMMYFUNCTION("""COMPUTED_VALUE"""),2390.0)</f>
        <v/>
      </c>
      <c r="G355" s="2">
        <f>IFERROR(__xludf.DUMMYFUNCTION("""COMPUTED_VALUE"""),2789.0)</f>
        <v/>
      </c>
      <c r="H355" s="2">
        <f>IFERROR(__xludf.DUMMYFUNCTION("""COMPUTED_VALUE"""),3137.0)</f>
        <v/>
      </c>
      <c r="I355" s="2">
        <f>IFERROR(__xludf.DUMMYFUNCTION("""COMPUTED_VALUE"""),3486.0)</f>
        <v/>
      </c>
      <c r="J355" s="2">
        <f>IFERROR(__xludf.DUMMYFUNCTION("""COMPUTED_VALUE"""),1743.0)</f>
        <v/>
      </c>
      <c r="K355" s="2">
        <f>IFERROR(__xludf.DUMMYFUNCTION("""COMPUTED_VALUE"""),5.0)</f>
        <v/>
      </c>
      <c r="L355" s="2">
        <f>IFERROR(__xludf.DUMMYFUNCTION("""COMPUTED_VALUE"""),"NEOX Светильники LED ДВО - Призма производство, упаковка")</f>
        <v/>
      </c>
      <c r="M355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356">
      <c r="A356" s="5">
        <f>IFERROR(__xludf.DUMMYFUNCTION("""COMPUTED_VALUE"""),"ves004")</f>
        <v/>
      </c>
      <c r="B356" s="5">
        <f>IFERROR(__xludf.DUMMYFUNCTION("""COMPUTED_VALUE"""),"Светильник под лампу накаливания потолочный для общественных зданий накладной 100Вт НПП 03-100-001")</f>
        <v/>
      </c>
      <c r="C356" s="2">
        <f>IFERROR(__xludf.DUMMYFUNCTION("""COMPUTED_VALUE"""),0.0)</f>
        <v/>
      </c>
      <c r="D356" s="2">
        <f>IFERROR(__xludf.DUMMYFUNCTION("""COMPUTED_VALUE"""),0.0)</f>
        <v/>
      </c>
      <c r="E356" s="2">
        <f>IFERROR(__xludf.DUMMYFUNCTION("""COMPUTED_VALUE"""),409.5)</f>
        <v/>
      </c>
      <c r="F356" s="2">
        <f>IFERROR(__xludf.DUMMYFUNCTION("""COMPUTED_VALUE"""),448.0)</f>
        <v/>
      </c>
      <c r="G356" s="2">
        <f>IFERROR(__xludf.DUMMYFUNCTION("""COMPUTED_VALUE"""),478.0)</f>
        <v/>
      </c>
      <c r="H356" s="2">
        <f>IFERROR(__xludf.DUMMYFUNCTION("""COMPUTED_VALUE"""),537.0)</f>
        <v/>
      </c>
      <c r="I356" s="2">
        <f>IFERROR(__xludf.DUMMYFUNCTION("""COMPUTED_VALUE"""),597.0)</f>
        <v/>
      </c>
      <c r="J356" s="2">
        <f>IFERROR(__xludf.DUMMYFUNCTION("""COMPUTED_VALUE"""),299.0)</f>
        <v/>
      </c>
      <c r="K356" s="2">
        <f>IFERROR(__xludf.DUMMYFUNCTION("""COMPUTED_VALUE"""),26.0)</f>
        <v/>
      </c>
      <c r="L356" s="2">
        <f>IFERROR(__xludf.DUMMYFUNCTION("""COMPUTED_VALUE"""),"ves")</f>
        <v/>
      </c>
      <c r="M356" s="2">
        <f>IFERROR(__xludf.DUMMYFUNCTION("""COMPUTED_VALUE"""),"LED Светильники")</f>
        <v/>
      </c>
    </row>
    <row r="357">
      <c r="A357" s="5">
        <f>IFERROR(__xludf.DUMMYFUNCTION("""COMPUTED_VALUE"""),"4690612007250")</f>
        <v/>
      </c>
      <c r="B357" s="5">
        <f>IFERROR(__xludf.DUMMYFUNCTION("""COMPUTED_VALUE"""),"LED-СВЕЧА-ECO 5Вт 230В Е27 4000К 375Лм (5шт в упаковке) IN HOME")</f>
        <v/>
      </c>
      <c r="C357" s="2">
        <f>IFERROR(__xludf.DUMMYFUNCTION("""COMPUTED_VALUE"""),0.22)</f>
        <v/>
      </c>
      <c r="D357" s="2">
        <f>IFERROR(__xludf.DUMMYFUNCTION("""COMPUTED_VALUE"""),0.00102)</f>
        <v/>
      </c>
      <c r="E357" s="2">
        <f>IFERROR(__xludf.DUMMYFUNCTION("""COMPUTED_VALUE"""),193.79)</f>
        <v/>
      </c>
      <c r="F357" s="2">
        <f>IFERROR(__xludf.DUMMYFUNCTION("""COMPUTED_VALUE"""),1.0)</f>
        <v/>
      </c>
      <c r="G357" s="2">
        <f>IFERROR(__xludf.DUMMYFUNCTION("""COMPUTED_VALUE"""),1.0)</f>
        <v/>
      </c>
      <c r="H357" s="2">
        <f>IFERROR(__xludf.DUMMYFUNCTION("""COMPUTED_VALUE"""),1.0)</f>
        <v/>
      </c>
      <c r="I357" s="2">
        <f>IFERROR(__xludf.DUMMYFUNCTION("""COMPUTED_VALUE"""),1.5)</f>
        <v/>
      </c>
      <c r="J357" s="2">
        <f>IFERROR(__xludf.DUMMYFUNCTION("""COMPUTED_VALUE"""),1.5)</f>
        <v/>
      </c>
      <c r="K357" s="2">
        <f>IFERROR(__xludf.DUMMYFUNCTION("""COMPUTED_VALUE"""),1.0)</f>
        <v/>
      </c>
      <c r="L357" s="2">
        <f>IFERROR(__xludf.DUMMYFUNCTION("""COMPUTED_VALUE"""),"Лампа светодиодная LED-СВЕЧА-standard")</f>
        <v/>
      </c>
      <c r="M357" s="2">
        <f>IFERROR(__xludf.DUMMYFUNCTION("""COMPUTED_VALUE"""),"Лампы")</f>
        <v/>
      </c>
    </row>
    <row r="358">
      <c r="A358" s="5">
        <f>IFERROR(__xludf.DUMMYFUNCTION("""COMPUTED_VALUE"""),"4260652193536")</f>
        <v/>
      </c>
      <c r="B358" s="5">
        <f>IFERROR(__xludf.DUMMYFUNCTION("""COMPUTED_VALUE"""),"LCL04-18W-R11-6K-SOA")</f>
        <v/>
      </c>
      <c r="C358" s="2">
        <f>IFERROR(__xludf.DUMMYFUNCTION("""COMPUTED_VALUE"""),0.145)</f>
        <v/>
      </c>
      <c r="D358" s="2">
        <f>IFERROR(__xludf.DUMMYFUNCTION("""COMPUTED_VALUE"""),0.0)</f>
        <v/>
      </c>
      <c r="E358" s="2">
        <f>IFERROR(__xludf.DUMMYFUNCTION("""COMPUTED_VALUE"""),330.28)</f>
        <v/>
      </c>
      <c r="F358" s="2">
        <f>IFERROR(__xludf.DUMMYFUNCTION("""COMPUTED_VALUE"""),417.0)</f>
        <v/>
      </c>
      <c r="G358" s="2">
        <f>IFERROR(__xludf.DUMMYFUNCTION("""COMPUTED_VALUE"""),431.0)</f>
        <v/>
      </c>
      <c r="H358" s="2">
        <f>IFERROR(__xludf.DUMMYFUNCTION("""COMPUTED_VALUE"""),565.0)</f>
        <v/>
      </c>
      <c r="I358" s="2">
        <f>IFERROR(__xludf.DUMMYFUNCTION("""COMPUTED_VALUE"""),707.0)</f>
        <v/>
      </c>
      <c r="J358" s="2">
        <f>IFERROR(__xludf.DUMMYFUNCTION("""COMPUTED_VALUE"""),354.0)</f>
        <v/>
      </c>
      <c r="K358" s="2">
        <f>IFERROR(__xludf.DUMMYFUNCTION("""COMPUTED_VALUE"""),20.0)</f>
        <v/>
      </c>
      <c r="L358" s="2">
        <f>IFERROR(__xludf.DUMMYFUNCTION("""COMPUTED_VALUE"""),"Wolta ЖКХ")</f>
        <v/>
      </c>
      <c r="M358" s="2">
        <f>IFERROR(__xludf.DUMMYFUNCTION("""COMPUTED_VALUE"""),"Для ЖКХ, дома, дачи, LED Светильники")</f>
        <v/>
      </c>
    </row>
    <row r="359">
      <c r="A359" s="5">
        <f>IFERROR(__xludf.DUMMYFUNCTION("""COMPUTED_VALUE"""),"BRAS2216")</f>
        <v/>
      </c>
      <c r="B359" s="5">
        <f>IFERROR(__xludf.DUMMYFUNCTION("""COMPUTED_VALUE"""),"Фонарь прожекторный GFL602 Gauss")</f>
        <v/>
      </c>
      <c r="C359" s="2">
        <f>IFERROR(__xludf.DUMMYFUNCTION("""COMPUTED_VALUE"""),0.0)</f>
        <v/>
      </c>
      <c r="D359" s="2">
        <f>IFERROR(__xludf.DUMMYFUNCTION("""COMPUTED_VALUE"""),0.0)</f>
        <v/>
      </c>
      <c r="E359" s="2">
        <f>IFERROR(__xludf.DUMMYFUNCTION("""COMPUTED_VALUE"""),1018.07)</f>
        <v/>
      </c>
      <c r="F359" s="2">
        <f>IFERROR(__xludf.DUMMYFUNCTION("""COMPUTED_VALUE"""),1638.0)</f>
        <v/>
      </c>
      <c r="G359" s="2">
        <f>IFERROR(__xludf.DUMMYFUNCTION("""COMPUTED_VALUE"""),1747.0)</f>
        <v/>
      </c>
      <c r="H359" s="2">
        <f>IFERROR(__xludf.DUMMYFUNCTION("""COMPUTED_VALUE"""),1966.0)</f>
        <v/>
      </c>
      <c r="I359" s="2">
        <f>IFERROR(__xludf.DUMMYFUNCTION("""COMPUTED_VALUE"""),2184.0)</f>
        <v/>
      </c>
      <c r="J359" s="2">
        <f>IFERROR(__xludf.DUMMYFUNCTION("""COMPUTED_VALUE"""),1018.0)</f>
        <v/>
      </c>
      <c r="K359" s="2">
        <f>IFERROR(__xludf.DUMMYFUNCTION("""COMPUTED_VALUE"""),4.0)</f>
        <v/>
      </c>
      <c r="L359" s="2">
        <f>IFERROR(__xludf.DUMMYFUNCTION("""COMPUTED_VALUE"""),"BRAS2 (тендер)")</f>
        <v/>
      </c>
      <c r="M359" s="2">
        <f>IFERROR(__xludf.DUMMYFUNCTION("""COMPUTED_VALUE"""),"LED Светильники")</f>
        <v/>
      </c>
    </row>
    <row r="360">
      <c r="A360" s="5">
        <f>IFERROR(__xludf.DUMMYFUNCTION("""COMPUTED_VALUE"""),"4690612032900")</f>
        <v/>
      </c>
      <c r="B360" s="5">
        <f>IFERROR(__xludf.DUMMYFUNCTION("""COMPUTED_VALUE"""),"ФР 606 6А 230В IN HOME")</f>
        <v/>
      </c>
      <c r="C360" s="2">
        <f>IFERROR(__xludf.DUMMYFUNCTION("""COMPUTED_VALUE"""),0.07500000000000001)</f>
        <v/>
      </c>
      <c r="D360" s="2">
        <f>IFERROR(__xludf.DUMMYFUNCTION("""COMPUTED_VALUE"""),3.4E-4)</f>
        <v/>
      </c>
      <c r="E360" s="2">
        <f>IFERROR(__xludf.DUMMYFUNCTION("""COMPUTED_VALUE"""),136.7)</f>
        <v/>
      </c>
      <c r="F360" s="2">
        <f>IFERROR(__xludf.DUMMYFUNCTION("""COMPUTED_VALUE"""),163.0)</f>
        <v/>
      </c>
      <c r="G360" s="2">
        <f>IFERROR(__xludf.DUMMYFUNCTION("""COMPUTED_VALUE"""),184.0)</f>
        <v/>
      </c>
      <c r="H360" s="2">
        <f>IFERROR(__xludf.DUMMYFUNCTION("""COMPUTED_VALUE"""),213.0)</f>
        <v/>
      </c>
      <c r="I360" s="2">
        <f>IFERROR(__xludf.DUMMYFUNCTION("""COMPUTED_VALUE"""),245.0)</f>
        <v/>
      </c>
      <c r="J360" s="2">
        <f>IFERROR(__xludf.DUMMYFUNCTION("""COMPUTED_VALUE"""),123.0)</f>
        <v/>
      </c>
      <c r="K360" s="2">
        <f>IFERROR(__xludf.DUMMYFUNCTION("""COMPUTED_VALUE"""),3.0)</f>
        <v/>
      </c>
      <c r="L360" s="2">
        <f>IFERROR(__xludf.DUMMYFUNCTION("""COMPUTED_VALUE"""),"ASD Комплектующие")</f>
        <v/>
      </c>
      <c r="M360" s="2">
        <f>IFERROR(__xludf.DUMMYFUNCTION("""COMPUTED_VALUE"""),"Прочие товары")</f>
        <v/>
      </c>
    </row>
    <row r="361">
      <c r="A361" s="5">
        <f>IFERROR(__xludf.DUMMYFUNCTION("""COMPUTED_VALUE"""),"4690612026169")</f>
        <v/>
      </c>
      <c r="B361" s="5">
        <f>IFERROR(__xludf.DUMMYFUNCTION("""COMPUTED_VALUE"""),"LED-A60-deco 11Вт 230В Е27 6500К 1160Лм прозрачная IN HOME")</f>
        <v/>
      </c>
      <c r="C361" s="2">
        <f>IFERROR(__xludf.DUMMYFUNCTION("""COMPUTED_VALUE"""),0.044)</f>
        <v/>
      </c>
      <c r="D361" s="2">
        <f>IFERROR(__xludf.DUMMYFUNCTION("""COMPUTED_VALUE"""),5.600000000000001E-4)</f>
        <v/>
      </c>
      <c r="E361" s="2">
        <f>IFERROR(__xludf.DUMMYFUNCTION("""COMPUTED_VALUE"""),80.4)</f>
        <v/>
      </c>
      <c r="F361" s="2">
        <f>IFERROR(__xludf.DUMMYFUNCTION("""COMPUTED_VALUE"""),98.0)</f>
        <v/>
      </c>
      <c r="G361" s="2">
        <f>IFERROR(__xludf.DUMMYFUNCTION("""COMPUTED_VALUE"""),110.0)</f>
        <v/>
      </c>
      <c r="H361" s="2">
        <f>IFERROR(__xludf.DUMMYFUNCTION("""COMPUTED_VALUE"""),128.0)</f>
        <v/>
      </c>
      <c r="I361" s="2">
        <f>IFERROR(__xludf.DUMMYFUNCTION("""COMPUTED_VALUE"""),147.5)</f>
        <v/>
      </c>
      <c r="J361" s="2">
        <f>IFERROR(__xludf.DUMMYFUNCTION("""COMPUTED_VALUE"""),74.0)</f>
        <v/>
      </c>
      <c r="K361" s="2">
        <f>IFERROR(__xludf.DUMMYFUNCTION("""COMPUTED_VALUE"""),49.0)</f>
        <v/>
      </c>
      <c r="L361" s="2">
        <f>IFERROR(__xludf.DUMMYFUNCTION("""COMPUTED_VALUE"""),"Лампа светодиодная LED-A60 DECO")</f>
        <v/>
      </c>
      <c r="M361" s="2">
        <f>IFERROR(__xludf.DUMMYFUNCTION("""COMPUTED_VALUE"""),"Лампы")</f>
        <v/>
      </c>
    </row>
    <row r="362">
      <c r="A362" s="5">
        <f>IFERROR(__xludf.DUMMYFUNCTION("""COMPUTED_VALUE"""),"V9046")</f>
        <v/>
      </c>
      <c r="B362" s="5">
        <f>IFERROR(__xludf.DUMMYFUNCTION("""COMPUTED_VALUE"""),"VRN-UNE-48D-G40K67-UV, 48Вт, Галочка")</f>
        <v/>
      </c>
      <c r="C362" s="2">
        <f>IFERROR(__xludf.DUMMYFUNCTION("""COMPUTED_VALUE"""),1.85)</f>
        <v/>
      </c>
      <c r="D362" s="2">
        <f>IFERROR(__xludf.DUMMYFUNCTION("""COMPUTED_VALUE"""),0.009000000000000001)</f>
        <v/>
      </c>
      <c r="E362" s="2">
        <f>IFERROR(__xludf.DUMMYFUNCTION("""COMPUTED_VALUE"""),2994.4)</f>
        <v/>
      </c>
      <c r="F362" s="2">
        <f>IFERROR(__xludf.DUMMYFUNCTION("""COMPUTED_VALUE"""),3465.0)</f>
        <v/>
      </c>
      <c r="G362" s="2">
        <f>IFERROR(__xludf.DUMMYFUNCTION("""COMPUTED_VALUE"""),4505.0)</f>
        <v/>
      </c>
      <c r="H362" s="2">
        <f>IFERROR(__xludf.DUMMYFUNCTION("""COMPUTED_VALUE"""),4730.0)</f>
        <v/>
      </c>
      <c r="I362" s="2">
        <f>IFERROR(__xludf.DUMMYFUNCTION("""COMPUTED_VALUE"""),4955.0)</f>
        <v/>
      </c>
      <c r="J362" s="2">
        <f>IFERROR(__xludf.DUMMYFUNCTION("""COMPUTED_VALUE"""),2478.0)</f>
        <v/>
      </c>
      <c r="K362" s="2">
        <f>IFERROR(__xludf.DUMMYFUNCTION("""COMPUTED_VALUE"""),2.0)</f>
        <v/>
      </c>
      <c r="L362" s="2">
        <f>IFERROR(__xludf.DUMMYFUNCTION("""COMPUTED_VALUE"""),"Универсал Эконом")</f>
        <v/>
      </c>
      <c r="M362" s="2">
        <f>IFERROR(__xludf.DUMMYFUNCTION("""COMPUTED_VALUE"""),"Для обычных дорог, Модульные, LED Светильники")</f>
        <v/>
      </c>
    </row>
    <row r="363">
      <c r="A363" s="5">
        <f>IFERROR(__xludf.DUMMYFUNCTION("""COMPUTED_VALUE"""),"ATS012")</f>
        <v/>
      </c>
      <c r="B363" s="5">
        <f>IFERROR(__xludf.DUMMYFUNCTION("""COMPUTED_VALUE"""),"Светильник НСП-11 36В-230В")</f>
        <v/>
      </c>
      <c r="C363" s="2">
        <f>IFERROR(__xludf.DUMMYFUNCTION("""COMPUTED_VALUE"""),0.0)</f>
        <v/>
      </c>
      <c r="D363" s="2">
        <f>IFERROR(__xludf.DUMMYFUNCTION("""COMPUTED_VALUE"""),0.0)</f>
        <v/>
      </c>
      <c r="E363" s="2">
        <f>IFERROR(__xludf.DUMMYFUNCTION("""COMPUTED_VALUE"""),1339.91)</f>
        <v/>
      </c>
      <c r="F363" s="2">
        <f>IFERROR(__xludf.DUMMYFUNCTION("""COMPUTED_VALUE"""),654.0)</f>
        <v/>
      </c>
      <c r="G363" s="2">
        <f>IFERROR(__xludf.DUMMYFUNCTION("""COMPUTED_VALUE"""),698.0)</f>
        <v/>
      </c>
      <c r="H363" s="2">
        <f>IFERROR(__xludf.DUMMYFUNCTION("""COMPUTED_VALUE"""),785.0)</f>
        <v/>
      </c>
      <c r="I363" s="2">
        <f>IFERROR(__xludf.DUMMYFUNCTION("""COMPUTED_VALUE"""),871.9300000000001)</f>
        <v/>
      </c>
      <c r="J363" s="2">
        <f>IFERROR(__xludf.DUMMYFUNCTION("""COMPUTED_VALUE"""),436.0)</f>
        <v/>
      </c>
      <c r="K363" s="2">
        <f>IFERROR(__xludf.DUMMYFUNCTION("""COMPUTED_VALUE"""),2.0)</f>
        <v/>
      </c>
      <c r="L363" s="2">
        <f>IFERROR(__xludf.DUMMYFUNCTION("""COMPUTED_VALUE"""),"ATS (тендер)")</f>
        <v/>
      </c>
      <c r="M363" s="2">
        <f>IFERROR(__xludf.DUMMYFUNCTION("""COMPUTED_VALUE"""),"LED Светильники")</f>
        <v/>
      </c>
    </row>
    <row r="364">
      <c r="A364" s="5">
        <f>IFERROR(__xludf.DUMMYFUNCTION("""COMPUTED_VALUE"""),"GL82411")</f>
        <v/>
      </c>
      <c r="B364" s="5">
        <f>IFERROR(__xludf.DUMMYFUNCTION("""COMPUTED_VALUE"""),"GLERIO Line Shell 20 Вт 4000K 92P-20D-4P-P")</f>
        <v/>
      </c>
      <c r="C364" s="2">
        <f>IFERROR(__xludf.DUMMYFUNCTION("""COMPUTED_VALUE"""),1.575)</f>
        <v/>
      </c>
      <c r="D364" s="2">
        <f>IFERROR(__xludf.DUMMYFUNCTION("""COMPUTED_VALUE"""),0.00495)</f>
        <v/>
      </c>
      <c r="E364" s="2">
        <f>IFERROR(__xludf.DUMMYFUNCTION("""COMPUTED_VALUE"""),1824.0)</f>
        <v/>
      </c>
      <c r="F364" s="2">
        <f>IFERROR(__xludf.DUMMYFUNCTION("""COMPUTED_VALUE"""),2150.0)</f>
        <v/>
      </c>
      <c r="G364" s="2">
        <f>IFERROR(__xludf.DUMMYFUNCTION("""COMPUTED_VALUE"""),2707.0)</f>
        <v/>
      </c>
      <c r="H364" s="2">
        <f>IFERROR(__xludf.DUMMYFUNCTION("""COMPUTED_VALUE"""),3040.0)</f>
        <v/>
      </c>
      <c r="I364" s="2">
        <f>IFERROR(__xludf.DUMMYFUNCTION("""COMPUTED_VALUE"""),3373.0)</f>
        <v/>
      </c>
      <c r="J364" s="2">
        <f>IFERROR(__xludf.DUMMYFUNCTION("""COMPUTED_VALUE"""),1687.0)</f>
        <v/>
      </c>
      <c r="K364" s="2">
        <f>IFERROR(__xludf.DUMMYFUNCTION("""COMPUTED_VALUE"""),32.0)</f>
        <v/>
      </c>
      <c r="L364" s="2">
        <f>IFERROR(__xludf.DUMMYFUNCTION("""COMPUTED_VALUE"""),"Line Shell+, Free+ GLERIO (Retail)")</f>
        <v/>
      </c>
      <c r="M364" s="2">
        <f>IFERROR(__xludf.DUMMYFUNCTION("""COMPUTED_VALUE"""),"Пластиковые (линейные), LED Светильники")</f>
        <v/>
      </c>
    </row>
    <row r="365">
      <c r="A365" s="5">
        <f>IFERROR(__xludf.DUMMYFUNCTION("""COMPUTED_VALUE"""),"4680005959105")</f>
        <v/>
      </c>
      <c r="B365" s="5">
        <f>IFERROR(__xludf.DUMMYFUNCTION("""COMPUTED_VALUE"""),"LS-AA-8.5 8.5А 100Вт 12В алюминий")</f>
        <v/>
      </c>
      <c r="C365" s="2">
        <f>IFERROR(__xludf.DUMMYFUNCTION("""COMPUTED_VALUE"""),0.5865)</f>
        <v/>
      </c>
      <c r="D365" s="2">
        <f>IFERROR(__xludf.DUMMYFUNCTION("""COMPUTED_VALUE"""),9.000000000000001E-4)</f>
        <v/>
      </c>
      <c r="E365" s="2">
        <f>IFERROR(__xludf.DUMMYFUNCTION("""COMPUTED_VALUE"""),448.14)</f>
        <v/>
      </c>
      <c r="F365" s="2">
        <f>IFERROR(__xludf.DUMMYFUNCTION("""COMPUTED_VALUE"""),340.0)</f>
        <v/>
      </c>
      <c r="G365" s="2">
        <f>IFERROR(__xludf.DUMMYFUNCTION("""COMPUTED_VALUE"""),383.0)</f>
        <v/>
      </c>
      <c r="H365" s="2">
        <f>IFERROR(__xludf.DUMMYFUNCTION("""COMPUTED_VALUE"""),444.0)</f>
        <v/>
      </c>
      <c r="I365" s="2">
        <f>IFERROR(__xludf.DUMMYFUNCTION("""COMPUTED_VALUE"""),510.0)</f>
        <v/>
      </c>
      <c r="J365" s="2">
        <f>IFERROR(__xludf.DUMMYFUNCTION("""COMPUTED_VALUE"""),255.0)</f>
        <v/>
      </c>
      <c r="K365" s="2">
        <f>IFERROR(__xludf.DUMMYFUNCTION("""COMPUTED_VALUE"""),3.0)</f>
        <v/>
      </c>
      <c r="L365" s="2">
        <f>IFERROR(__xludf.DUMMYFUNCTION("""COMPUTED_VALUE"""),"ASD электромонтажные изделия")</f>
        <v/>
      </c>
      <c r="M365" s="2">
        <f>IFERROR(__xludf.DUMMYFUNCTION("""COMPUTED_VALUE"""),"Прочие товары")</f>
        <v/>
      </c>
    </row>
    <row r="366">
      <c r="A366" s="5">
        <f>IFERROR(__xludf.DUMMYFUNCTION("""COMPUTED_VALUE"""),"ms6082")</f>
        <v/>
      </c>
      <c r="B366" s="5">
        <f>IFERROR(__xludf.DUMMYFUNCTION("""COMPUTED_VALUE"""),"Светильник светодиодный ЛЭД IP65 60Вт 6500К 4700Лм")</f>
        <v/>
      </c>
      <c r="C366" s="2">
        <f>IFERROR(__xludf.DUMMYFUNCTION("""COMPUTED_VALUE"""),0.0)</f>
        <v/>
      </c>
      <c r="D366" s="2">
        <f>IFERROR(__xludf.DUMMYFUNCTION("""COMPUTED_VALUE"""),0.0)</f>
        <v/>
      </c>
      <c r="E366" s="2">
        <f>IFERROR(__xludf.DUMMYFUNCTION("""COMPUTED_VALUE"""),1350.0)</f>
        <v/>
      </c>
      <c r="F366" s="2">
        <f>IFERROR(__xludf.DUMMYFUNCTION("""COMPUTED_VALUE"""),1563.0)</f>
        <v/>
      </c>
      <c r="G366" s="2">
        <f>IFERROR(__xludf.DUMMYFUNCTION("""COMPUTED_VALUE"""),1667.0)</f>
        <v/>
      </c>
      <c r="H366" s="2">
        <f>IFERROR(__xludf.DUMMYFUNCTION("""COMPUTED_VALUE"""),1875.0)</f>
        <v/>
      </c>
      <c r="I366" s="2">
        <f>IFERROR(__xludf.DUMMYFUNCTION("""COMPUTED_VALUE"""),2083.43)</f>
        <v/>
      </c>
      <c r="J366" s="2">
        <f>IFERROR(__xludf.DUMMYFUNCTION("""COMPUTED_VALUE"""),1042.0)</f>
        <v/>
      </c>
      <c r="K366" s="2">
        <f>IFERROR(__xludf.DUMMYFUNCTION("""COMPUTED_VALUE"""),2.0)</f>
        <v/>
      </c>
      <c r="L366" s="2">
        <f>IFERROR(__xludf.DUMMYFUNCTION("""COMPUTED_VALUE"""),"ms6 (тендер)")</f>
        <v/>
      </c>
      <c r="M366" s="2">
        <f>IFERROR(__xludf.DUMMYFUNCTION("""COMPUTED_VALUE"""),"LED Светильники")</f>
        <v/>
      </c>
    </row>
    <row r="367">
      <c r="A367" s="5">
        <f>IFERROR(__xludf.DUMMYFUNCTION("""COMPUTED_VALUE"""),"4260652192560")</f>
        <v/>
      </c>
      <c r="B367" s="5">
        <f>IFERROR(__xludf.DUMMYFUNCTION("""COMPUTED_VALUE"""),"WTL-15W/01B")</f>
        <v/>
      </c>
      <c r="C367" s="2">
        <f>IFERROR(__xludf.DUMMYFUNCTION("""COMPUTED_VALUE"""),0.237)</f>
        <v/>
      </c>
      <c r="D367" s="2">
        <f>IFERROR(__xludf.DUMMYFUNCTION("""COMPUTED_VALUE"""),8.300000000000001E-4)</f>
        <v/>
      </c>
      <c r="E367" s="2">
        <f>IFERROR(__xludf.DUMMYFUNCTION("""COMPUTED_VALUE"""),510.18)</f>
        <v/>
      </c>
      <c r="F367" s="2">
        <f>IFERROR(__xludf.DUMMYFUNCTION("""COMPUTED_VALUE"""),590.0)</f>
        <v/>
      </c>
      <c r="G367" s="2">
        <f>IFERROR(__xludf.DUMMYFUNCTION("""COMPUTED_VALUE"""),610.0)</f>
        <v/>
      </c>
      <c r="H367" s="2">
        <f>IFERROR(__xludf.DUMMYFUNCTION("""COMPUTED_VALUE"""),800.0)</f>
        <v/>
      </c>
      <c r="I367" s="2">
        <f>IFERROR(__xludf.DUMMYFUNCTION("""COMPUTED_VALUE"""),999.0)</f>
        <v/>
      </c>
      <c r="J367" s="2">
        <f>IFERROR(__xludf.DUMMYFUNCTION("""COMPUTED_VALUE"""),500.0)</f>
        <v/>
      </c>
      <c r="K367" s="2">
        <f>IFERROR(__xludf.DUMMYFUNCTION("""COMPUTED_VALUE"""),20.0)</f>
        <v/>
      </c>
      <c r="L367" s="2">
        <f>IFERROR(__xludf.DUMMYFUNCTION("""COMPUTED_VALUE"""),"Wolta трековые")</f>
        <v/>
      </c>
      <c r="M367" s="2">
        <f>IFERROR(__xludf.DUMMYFUNCTION("""COMPUTED_VALUE"""),"Трековые, LED Светильники")</f>
        <v/>
      </c>
    </row>
    <row r="368">
      <c r="A368" s="5">
        <f>IFERROR(__xludf.DUMMYFUNCTION("""COMPUTED_VALUE"""),"4690612015484")</f>
        <v/>
      </c>
      <c r="B368" s="5">
        <f>IFERROR(__xludf.DUMMYFUNCTION("""COMPUTED_VALUE"""),"LED-ШАР-standard 10Вт 230В Е27 4000К 900Лм ASD")</f>
        <v/>
      </c>
      <c r="C368" s="2">
        <f>IFERROR(__xludf.DUMMYFUNCTION("""COMPUTED_VALUE"""),0.036)</f>
        <v/>
      </c>
      <c r="D368" s="2">
        <f>IFERROR(__xludf.DUMMYFUNCTION("""COMPUTED_VALUE"""),2.3E-4)</f>
        <v/>
      </c>
      <c r="E368" s="2">
        <f>IFERROR(__xludf.DUMMYFUNCTION("""COMPUTED_VALUE"""),48.24)</f>
        <v/>
      </c>
      <c r="F368" s="2">
        <f>IFERROR(__xludf.DUMMYFUNCTION("""COMPUTED_VALUE"""),33.0)</f>
        <v/>
      </c>
      <c r="G368" s="2">
        <f>IFERROR(__xludf.DUMMYFUNCTION("""COMPUTED_VALUE"""),37.0)</f>
        <v/>
      </c>
      <c r="H368" s="2">
        <f>IFERROR(__xludf.DUMMYFUNCTION("""COMPUTED_VALUE"""),43.0)</f>
        <v/>
      </c>
      <c r="I368" s="2">
        <f>IFERROR(__xludf.DUMMYFUNCTION("""COMPUTED_VALUE"""),49.9)</f>
        <v/>
      </c>
      <c r="J368" s="2">
        <f>IFERROR(__xludf.DUMMYFUNCTION("""COMPUTED_VALUE"""),25.0)</f>
        <v/>
      </c>
      <c r="K368" s="2">
        <f>IFERROR(__xludf.DUMMYFUNCTION("""COMPUTED_VALUE"""),1.0)</f>
        <v/>
      </c>
      <c r="L368" s="2">
        <f>IFERROR(__xludf.DUMMYFUNCTION("""COMPUTED_VALUE"""),"Лампа светодиодная LED-ШАР-standard")</f>
        <v/>
      </c>
      <c r="M368" s="2">
        <f>IFERROR(__xludf.DUMMYFUNCTION("""COMPUTED_VALUE"""),"Лампы")</f>
        <v/>
      </c>
    </row>
    <row r="369">
      <c r="A369" s="5">
        <f>IFERROR(__xludf.DUMMYFUNCTION("""COMPUTED_VALUE"""),"4690612001999")</f>
        <v/>
      </c>
      <c r="B369" s="5">
        <f>IFERROR(__xludf.DUMMYFUNCTION("""COMPUTED_VALUE"""),"LP-КПП-Д потолочный ДЛИННЫЙ для панели светодиодной")</f>
        <v/>
      </c>
      <c r="C369" s="2">
        <f>IFERROR(__xludf.DUMMYFUNCTION("""COMPUTED_VALUE"""),0.08833)</f>
        <v/>
      </c>
      <c r="D369" s="2">
        <f>IFERROR(__xludf.DUMMYFUNCTION("""COMPUTED_VALUE"""),8.0E-5)</f>
        <v/>
      </c>
      <c r="E369" s="2">
        <f>IFERROR(__xludf.DUMMYFUNCTION("""COMPUTED_VALUE"""),128.62)</f>
        <v/>
      </c>
      <c r="F369" s="2">
        <f>IFERROR(__xludf.DUMMYFUNCTION("""COMPUTED_VALUE"""),144.0)</f>
        <v/>
      </c>
      <c r="G369" s="2">
        <f>IFERROR(__xludf.DUMMYFUNCTION("""COMPUTED_VALUE"""),162.0)</f>
        <v/>
      </c>
      <c r="H369" s="2">
        <f>IFERROR(__xludf.DUMMYFUNCTION("""COMPUTED_VALUE"""),188.0)</f>
        <v/>
      </c>
      <c r="I369" s="2">
        <f>IFERROR(__xludf.DUMMYFUNCTION("""COMPUTED_VALUE"""),216.0)</f>
        <v/>
      </c>
      <c r="J369" s="2">
        <f>IFERROR(__xludf.DUMMYFUNCTION("""COMPUTED_VALUE"""),108.0)</f>
        <v/>
      </c>
      <c r="K369" s="2">
        <f>IFERROR(__xludf.DUMMYFUNCTION("""COMPUTED_VALUE"""),18.0)</f>
        <v/>
      </c>
      <c r="L369" s="2">
        <f>IFERROR(__xludf.DUMMYFUNCTION("""COMPUTED_VALUE"""),"ASD Комплектующие")</f>
        <v/>
      </c>
      <c r="M369" s="2">
        <f>IFERROR(__xludf.DUMMYFUNCTION("""COMPUTED_VALUE"""),"Прочие товары")</f>
        <v/>
      </c>
    </row>
    <row r="370">
      <c r="A370" s="5">
        <f>IFERROR(__xludf.DUMMYFUNCTION("""COMPUTED_VALUE"""),"4690612040141")</f>
        <v/>
      </c>
      <c r="B370" s="5">
        <f>IFERROR(__xludf.DUMMYFUNCTION("""COMPUTED_VALUE"""),"TR-07-TL 15Вт 6500К 1500Лм IP40 24 градуса черный серии TOP-LINE IN HOME")</f>
        <v/>
      </c>
      <c r="C370" s="2">
        <f>IFERROR(__xludf.DUMMYFUNCTION("""COMPUTED_VALUE"""),0.22)</f>
        <v/>
      </c>
      <c r="D370" s="2">
        <f>IFERROR(__xludf.DUMMYFUNCTION("""COMPUTED_VALUE"""),0.001)</f>
        <v/>
      </c>
      <c r="E370" s="2">
        <f>IFERROR(__xludf.DUMMYFUNCTION("""COMPUTED_VALUE"""),366.0)</f>
        <v/>
      </c>
      <c r="F370" s="2">
        <f>IFERROR(__xludf.DUMMYFUNCTION("""COMPUTED_VALUE"""),489.0)</f>
        <v/>
      </c>
      <c r="G370" s="2">
        <f>IFERROR(__xludf.DUMMYFUNCTION("""COMPUTED_VALUE"""),551.0)</f>
        <v/>
      </c>
      <c r="H370" s="2">
        <f>IFERROR(__xludf.DUMMYFUNCTION("""COMPUTED_VALUE"""),639.0)</f>
        <v/>
      </c>
      <c r="I370" s="2">
        <f>IFERROR(__xludf.DUMMYFUNCTION("""COMPUTED_VALUE"""),734.0)</f>
        <v/>
      </c>
      <c r="J370" s="2">
        <f>IFERROR(__xludf.DUMMYFUNCTION("""COMPUTED_VALUE"""),366.0)</f>
        <v/>
      </c>
      <c r="K370" s="2">
        <f>IFERROR(__xludf.DUMMYFUNCTION("""COMPUTED_VALUE"""),6.0)</f>
        <v/>
      </c>
      <c r="L370" s="2">
        <f>IFERROR(__xludf.DUMMYFUNCTION("""COMPUTED_VALUE"""),"Светильники светодиодные трековые TR-01, 02, 03, 04, 05, 06, 07, 08")</f>
        <v/>
      </c>
      <c r="M370" s="2">
        <f>IFERROR(__xludf.DUMMYFUNCTION("""COMPUTED_VALUE"""),"Трековые, LED Светильники")</f>
        <v/>
      </c>
    </row>
    <row r="371">
      <c r="A371" s="5">
        <f>IFERROR(__xludf.DUMMYFUNCTION("""COMPUTED_VALUE"""),"55097")</f>
        <v/>
      </c>
      <c r="B371" s="5">
        <f>IFERROR(__xludf.DUMMYFUNCTION("""COMPUTED_VALUE"""),"Звезда, верхушка на ёлку VEGAS красная 10 красных LED, зелёный провод 3м, 15*15 см")</f>
        <v/>
      </c>
      <c r="C371" s="2">
        <f>IFERROR(__xludf.DUMMYFUNCTION("""COMPUTED_VALUE"""),0.0)</f>
        <v/>
      </c>
      <c r="D371" s="2">
        <f>IFERROR(__xludf.DUMMYFUNCTION("""COMPUTED_VALUE"""),0.0)</f>
        <v/>
      </c>
      <c r="E371" s="2">
        <f>IFERROR(__xludf.DUMMYFUNCTION("""COMPUTED_VALUE"""),280.78)</f>
        <v/>
      </c>
      <c r="F371" s="2">
        <f>IFERROR(__xludf.DUMMYFUNCTION("""COMPUTED_VALUE"""),304.0)</f>
        <v/>
      </c>
      <c r="G371" s="2">
        <f>IFERROR(__xludf.DUMMYFUNCTION("""COMPUTED_VALUE"""),332.0)</f>
        <v/>
      </c>
      <c r="H371" s="2">
        <f>IFERROR(__xludf.DUMMYFUNCTION("""COMPUTED_VALUE"""),360.0)</f>
        <v/>
      </c>
      <c r="I371" s="2">
        <f>IFERROR(__xludf.DUMMYFUNCTION("""COMPUTED_VALUE"""),387.0)</f>
        <v/>
      </c>
      <c r="J371" s="2">
        <f>IFERROR(__xludf.DUMMYFUNCTION("""COMPUTED_VALUE"""),194.0)</f>
        <v/>
      </c>
      <c r="K371" s="2">
        <f>IFERROR(__xludf.DUMMYFUNCTION("""COMPUTED_VALUE"""),5.0)</f>
        <v/>
      </c>
      <c r="L371" s="2">
        <f>IFERROR(__xludf.DUMMYFUNCTION("""COMPUTED_VALUE"""),"Праздничная иллюминация")</f>
        <v/>
      </c>
      <c r="M371" s="2">
        <f>IFERROR(__xludf.DUMMYFUNCTION("""COMPUTED_VALUE"""),"Гирлянды светодиодные (LED), Прочие товары")</f>
        <v/>
      </c>
    </row>
    <row r="372">
      <c r="A372" s="5">
        <f>IFERROR(__xludf.DUMMYFUNCTION("""COMPUTED_VALUE"""),"G33117T")</f>
        <v/>
      </c>
      <c r="B372" s="5">
        <f>IFERROR(__xludf.DUMMYFUNCTION("""COMPUTED_VALUE"""),"Elementary Свеча 7W E14 2700K 1/40 (3 лампы в упаковке)")</f>
        <v/>
      </c>
      <c r="C372" s="2">
        <f>IFERROR(__xludf.DUMMYFUNCTION("""COMPUTED_VALUE"""),0.0)</f>
        <v/>
      </c>
      <c r="D372" s="2">
        <f>IFERROR(__xludf.DUMMYFUNCTION("""COMPUTED_VALUE"""),0.0)</f>
        <v/>
      </c>
      <c r="E372" s="2">
        <f>IFERROR(__xludf.DUMMYFUNCTION("""COMPUTED_VALUE"""),94.9)</f>
        <v/>
      </c>
      <c r="F372" s="2">
        <f>IFERROR(__xludf.DUMMYFUNCTION("""COMPUTED_VALUE"""),128.0)</f>
        <v/>
      </c>
      <c r="G372" s="2">
        <f>IFERROR(__xludf.DUMMYFUNCTION("""COMPUTED_VALUE"""),141.0)</f>
        <v/>
      </c>
      <c r="H372" s="2">
        <f>IFERROR(__xludf.DUMMYFUNCTION("""COMPUTED_VALUE"""),166.0)</f>
        <v/>
      </c>
      <c r="I372" s="2">
        <f>IFERROR(__xludf.DUMMYFUNCTION("""COMPUTED_VALUE"""),210.0)</f>
        <v/>
      </c>
      <c r="J372" s="2">
        <f>IFERROR(__xludf.DUMMYFUNCTION("""COMPUTED_VALUE"""),105.0)</f>
        <v/>
      </c>
      <c r="K372" s="2">
        <f>IFERROR(__xludf.DUMMYFUNCTION("""COMPUTED_VALUE"""),10.0)</f>
        <v/>
      </c>
      <c r="L372" s="2">
        <f>IFERROR(__xludf.DUMMYFUNCTION("""COMPUTED_VALUE"""),"Комплекты Gauss Elementary (x2, x3)")</f>
        <v/>
      </c>
      <c r="M372" s="2">
        <f>IFERROR(__xludf.DUMMYFUNCTION("""COMPUTED_VALUE"""),"Лампы")</f>
        <v/>
      </c>
    </row>
    <row r="373">
      <c r="A373" s="5">
        <f>IFERROR(__xludf.DUMMYFUNCTION("""COMPUTED_VALUE"""),"R100628-1")</f>
        <v/>
      </c>
      <c r="B373" s="5">
        <f>IFERROR(__xludf.DUMMYFUNCTION("""COMPUTED_VALUE"""),"RSV-SPO-02-56W-6500К TPR (в индивидуальной упаковке)")</f>
        <v/>
      </c>
      <c r="C373" s="2">
        <f>IFERROR(__xludf.DUMMYFUNCTION("""COMPUTED_VALUE"""),0.0)</f>
        <v/>
      </c>
      <c r="D373" s="2">
        <f>IFERROR(__xludf.DUMMYFUNCTION("""COMPUTED_VALUE"""),0.00293)</f>
        <v/>
      </c>
      <c r="E373" s="2">
        <f>IFERROR(__xludf.DUMMYFUNCTION("""COMPUTED_VALUE"""),469.98)</f>
        <v/>
      </c>
      <c r="F373" s="2">
        <f>IFERROR(__xludf.DUMMYFUNCTION("""COMPUTED_VALUE"""),564.0)</f>
        <v/>
      </c>
      <c r="G373" s="2">
        <f>IFERROR(__xludf.DUMMYFUNCTION("""COMPUTED_VALUE"""),602.0)</f>
        <v/>
      </c>
      <c r="H373" s="2">
        <f>IFERROR(__xludf.DUMMYFUNCTION("""COMPUTED_VALUE"""),677.0)</f>
        <v/>
      </c>
      <c r="I373" s="2">
        <f>IFERROR(__xludf.DUMMYFUNCTION("""COMPUTED_VALUE"""),752.0)</f>
        <v/>
      </c>
      <c r="J373" s="2">
        <f>IFERROR(__xludf.DUMMYFUNCTION("""COMPUTED_VALUE"""),376.0)</f>
        <v/>
      </c>
      <c r="K373" s="2">
        <f>IFERROR(__xludf.DUMMYFUNCTION("""COMPUTED_VALUE"""),11.0)</f>
        <v/>
      </c>
      <c r="L373" s="2">
        <f>IFERROR(__xludf.DUMMYFUNCTION("""COMPUTED_VALUE"""),"RSV-SPO Светильники Производство, упаковка (1 штука)")</f>
        <v/>
      </c>
      <c r="M373" s="2">
        <f>IFERROR(__xludf.DUMMYFUNCTION("""COMPUTED_VALUE"""),"Пластиковые (линейные), Светильники общего назначения (LED), Накладные, Линейные (проходные), LED Светильники")</f>
        <v/>
      </c>
    </row>
    <row r="374">
      <c r="A374" s="5">
        <f>IFERROR(__xludf.DUMMYFUNCTION("""COMPUTED_VALUE"""),"NL8072")</f>
        <v/>
      </c>
      <c r="B374" s="5">
        <f>IFERROR(__xludf.DUMMYFUNCTION("""COMPUTED_VALUE"""),"V.64.120.5K.IP67")</f>
        <v/>
      </c>
      <c r="C374" s="2">
        <f>IFERROR(__xludf.DUMMYFUNCTION("""COMPUTED_VALUE"""),1.40175)</f>
        <v/>
      </c>
      <c r="D374" s="2">
        <f>IFERROR(__xludf.DUMMYFUNCTION("""COMPUTED_VALUE"""),0.00816)</f>
        <v/>
      </c>
      <c r="E374" s="2">
        <f>IFERROR(__xludf.DUMMYFUNCTION("""COMPUTED_VALUE"""),3720.0)</f>
        <v/>
      </c>
      <c r="F374" s="2">
        <f>IFERROR(__xludf.DUMMYFUNCTION("""COMPUTED_VALUE"""),5363.0)</f>
        <v/>
      </c>
      <c r="G374" s="2">
        <f>IFERROR(__xludf.DUMMYFUNCTION("""COMPUTED_VALUE"""),6190.0)</f>
        <v/>
      </c>
      <c r="H374" s="2">
        <f>IFERROR(__xludf.DUMMYFUNCTION("""COMPUTED_VALUE"""),7010.0)</f>
        <v/>
      </c>
      <c r="I374" s="2">
        <f>IFERROR(__xludf.DUMMYFUNCTION("""COMPUTED_VALUE"""),8250.0)</f>
        <v/>
      </c>
      <c r="J374" s="2">
        <f>IFERROR(__xludf.DUMMYFUNCTION("""COMPUTED_VALUE"""),4125.0)</f>
        <v/>
      </c>
      <c r="K374" s="2">
        <f>IFERROR(__xludf.DUMMYFUNCTION("""COMPUTED_VALUE"""),1.0)</f>
        <v/>
      </c>
      <c r="L374" s="2">
        <f>IFERROR(__xludf.DUMMYFUNCTION("""COMPUTED_VALUE"""),"Серия V NEWLED")</f>
        <v/>
      </c>
      <c r="M374" s="2">
        <f>IFERROR(__xludf.DUMMYFUNCTION("""COMPUTED_VALUE"""),"Для обычных дорог, Модульные, LED Светильники")</f>
        <v/>
      </c>
    </row>
    <row r="375">
      <c r="A375" s="5">
        <f>IFERROR(__xludf.DUMMYFUNCTION("""COMPUTED_VALUE"""),"GL8292")</f>
        <v/>
      </c>
      <c r="B375" s="5">
        <f>IFERROR(__xludf.DUMMYFUNCTION("""COMPUTED_VALUE"""),"GLERIO Line Ultra 48 Вт 4000К 94P-48D-4N-MP")</f>
        <v/>
      </c>
      <c r="C375" s="2">
        <f>IFERROR(__xludf.DUMMYFUNCTION("""COMPUTED_VALUE"""),0.7200000000000001)</f>
        <v/>
      </c>
      <c r="D375" s="2">
        <f>IFERROR(__xludf.DUMMYFUNCTION("""COMPUTED_VALUE"""),0.00485)</f>
        <v/>
      </c>
      <c r="E375" s="2">
        <f>IFERROR(__xludf.DUMMYFUNCTION("""COMPUTED_VALUE"""),2415.3)</f>
        <v/>
      </c>
      <c r="F375" s="2">
        <f>IFERROR(__xludf.DUMMYFUNCTION("""COMPUTED_VALUE"""),3060.0)</f>
        <v/>
      </c>
      <c r="G375" s="2">
        <f>IFERROR(__xludf.DUMMYFUNCTION("""COMPUTED_VALUE"""),3853.0)</f>
        <v/>
      </c>
      <c r="H375" s="2">
        <f>IFERROR(__xludf.DUMMYFUNCTION("""COMPUTED_VALUE"""),4327.0)</f>
        <v/>
      </c>
      <c r="I375" s="2">
        <f>IFERROR(__xludf.DUMMYFUNCTION("""COMPUTED_VALUE"""),4801.0)</f>
        <v/>
      </c>
      <c r="J375" s="2">
        <f>IFERROR(__xludf.DUMMYFUNCTION("""COMPUTED_VALUE"""),2401.0)</f>
        <v/>
      </c>
      <c r="K375" s="2">
        <f>IFERROR(__xludf.DUMMYFUNCTION("""COMPUTED_VALUE"""),4.0)</f>
        <v/>
      </c>
      <c r="L375" s="2">
        <f>IFERROR(__xludf.DUMMYFUNCTION("""COMPUTED_VALUE"""),"Line Ultra (Сеть) до 10.2025")</f>
        <v/>
      </c>
      <c r="M375" s="2">
        <f>IFERROR(__xludf.DUMMYFUNCTION("""COMPUTED_VALUE"""),"Пластиковые (линейные), LED Светильники")</f>
        <v/>
      </c>
    </row>
    <row r="376">
      <c r="A376" s="5">
        <f>IFERROR(__xludf.DUMMYFUNCTION("""COMPUTED_VALUE"""),"4690612029764")</f>
        <v/>
      </c>
      <c r="B376" s="5">
        <f>IFERROR(__xludf.DUMMYFUNCTION("""COMPUTED_VALUE"""),"LPU-02 75Вт ПРИЗМА 230В 4000К 7125Лм 595х595х19мм IP40 IN HOME")</f>
        <v/>
      </c>
      <c r="C376" s="2">
        <f>IFERROR(__xludf.DUMMYFUNCTION("""COMPUTED_VALUE"""),1.1)</f>
        <v/>
      </c>
      <c r="D376" s="2">
        <f>IFERROR(__xludf.DUMMYFUNCTION("""COMPUTED_VALUE"""),0.00825)</f>
        <v/>
      </c>
      <c r="E376" s="2">
        <f>IFERROR(__xludf.DUMMYFUNCTION("""COMPUTED_VALUE"""),923.4200000000001)</f>
        <v/>
      </c>
      <c r="F376" s="2">
        <f>IFERROR(__xludf.DUMMYFUNCTION("""COMPUTED_VALUE"""),837.0)</f>
        <v/>
      </c>
      <c r="G376" s="2">
        <f>IFERROR(__xludf.DUMMYFUNCTION("""COMPUTED_VALUE"""),941.0)</f>
        <v/>
      </c>
      <c r="H376" s="2">
        <f>IFERROR(__xludf.DUMMYFUNCTION("""COMPUTED_VALUE"""),1092.0)</f>
        <v/>
      </c>
      <c r="I376" s="2">
        <f>IFERROR(__xludf.DUMMYFUNCTION("""COMPUTED_VALUE"""),1255.0)</f>
        <v/>
      </c>
      <c r="J376" s="2">
        <f>IFERROR(__xludf.DUMMYFUNCTION("""COMPUTED_VALUE"""),628.0)</f>
        <v/>
      </c>
      <c r="K376" s="2">
        <f>IFERROR(__xludf.DUMMYFUNCTION("""COMPUTED_VALUE"""),3.0)</f>
        <v/>
      </c>
      <c r="L376" s="2">
        <f>IFERROR(__xludf.DUMMYFUNCTION("""COMPUTED_VALUE"""),"Панели светодиодные LP серии ПРИЗМА")</f>
        <v/>
      </c>
      <c r="M376" s="2">
        <f>IFERROR(__xludf.DUMMYFUNCTION("""COMPUTED_VALUE"""),"Встраиваемые, Накладные, LED Светильники")</f>
        <v/>
      </c>
    </row>
    <row r="377">
      <c r="A377" s="5">
        <f>IFERROR(__xludf.DUMMYFUNCTION("""COMPUTED_VALUE"""),"4260652195356")</f>
        <v/>
      </c>
      <c r="B377" s="5">
        <f>IFERROR(__xludf.DUMMYFUNCTION("""COMPUTED_VALUE"""),"WTL-PI/02B")</f>
        <v/>
      </c>
      <c r="C377" s="2">
        <f>IFERROR(__xludf.DUMMYFUNCTION("""COMPUTED_VALUE"""),0.056)</f>
        <v/>
      </c>
      <c r="D377" s="2">
        <f>IFERROR(__xludf.DUMMYFUNCTION("""COMPUTED_VALUE"""),0.0153)</f>
        <v/>
      </c>
      <c r="E377" s="2">
        <f>IFERROR(__xludf.DUMMYFUNCTION("""COMPUTED_VALUE"""),69.78)</f>
        <v/>
      </c>
      <c r="F377" s="2">
        <f>IFERROR(__xludf.DUMMYFUNCTION("""COMPUTED_VALUE"""),113.0)</f>
        <v/>
      </c>
      <c r="G377" s="2">
        <f>IFERROR(__xludf.DUMMYFUNCTION("""COMPUTED_VALUE"""),117.0)</f>
        <v/>
      </c>
      <c r="H377" s="2">
        <f>IFERROR(__xludf.DUMMYFUNCTION("""COMPUTED_VALUE"""),154.0)</f>
        <v/>
      </c>
      <c r="I377" s="2">
        <f>IFERROR(__xludf.DUMMYFUNCTION("""COMPUTED_VALUE"""),192.0)</f>
        <v/>
      </c>
      <c r="J377" s="2">
        <f>IFERROR(__xludf.DUMMYFUNCTION("""COMPUTED_VALUE"""),96.0)</f>
        <v/>
      </c>
      <c r="K377" s="2">
        <f>IFERROR(__xludf.DUMMYFUNCTION("""COMPUTED_VALUE"""),7.0)</f>
        <v/>
      </c>
      <c r="L377" s="2">
        <f>IFERROR(__xludf.DUMMYFUNCTION("""COMPUTED_VALUE"""),"Wolta трековые")</f>
        <v/>
      </c>
      <c r="M377" s="2">
        <f>IFERROR(__xludf.DUMMYFUNCTION("""COMPUTED_VALUE"""),"Трековые, LED Светильники")</f>
        <v/>
      </c>
    </row>
    <row r="378">
      <c r="A378" s="5">
        <f>IFERROR(__xludf.DUMMYFUNCTION("""COMPUTED_VALUE"""),"4690612004648")</f>
        <v/>
      </c>
      <c r="B378" s="5">
        <f>IFERROR(__xludf.DUMMYFUNCTION("""COMPUTED_VALUE"""),"LED-JC-standard 3Вт 12В G4 4000К ASD")</f>
        <v/>
      </c>
      <c r="C378" s="2">
        <f>IFERROR(__xludf.DUMMYFUNCTION("""COMPUTED_VALUE"""),0.01785)</f>
        <v/>
      </c>
      <c r="D378" s="2">
        <f>IFERROR(__xludf.DUMMYFUNCTION("""COMPUTED_VALUE"""),9.0E-5)</f>
        <v/>
      </c>
      <c r="E378" s="2">
        <f>IFERROR(__xludf.DUMMYFUNCTION("""COMPUTED_VALUE"""),52.7)</f>
        <v/>
      </c>
      <c r="F378" s="2">
        <f>IFERROR(__xludf.DUMMYFUNCTION("""COMPUTED_VALUE"""),57.0)</f>
        <v/>
      </c>
      <c r="G378" s="2">
        <f>IFERROR(__xludf.DUMMYFUNCTION("""COMPUTED_VALUE"""),64.0)</f>
        <v/>
      </c>
      <c r="H378" s="2">
        <f>IFERROR(__xludf.DUMMYFUNCTION("""COMPUTED_VALUE"""),74.0)</f>
        <v/>
      </c>
      <c r="I378" s="2">
        <f>IFERROR(__xludf.DUMMYFUNCTION("""COMPUTED_VALUE"""),85.5)</f>
        <v/>
      </c>
      <c r="J378" s="2">
        <f>IFERROR(__xludf.DUMMYFUNCTION("""COMPUTED_VALUE"""),43.0)</f>
        <v/>
      </c>
      <c r="K378" s="2">
        <f>IFERROR(__xludf.DUMMYFUNCTION("""COMPUTED_VALUE"""),2.0)</f>
        <v/>
      </c>
      <c r="L378" s="2">
        <f>IFERROR(__xludf.DUMMYFUNCTION("""COMPUTED_VALUE"""),"Лампа светодиодная LED-JC-standard")</f>
        <v/>
      </c>
      <c r="M378" s="2">
        <f>IFERROR(__xludf.DUMMYFUNCTION("""COMPUTED_VALUE"""),"Лампы")</f>
        <v/>
      </c>
    </row>
    <row r="379">
      <c r="A379" s="5">
        <f>IFERROR(__xludf.DUMMYFUNCTION("""COMPUTED_VALUE"""),"4690612037646")</f>
        <v/>
      </c>
      <c r="B379" s="5">
        <f>IFERROR(__xludf.DUMMYFUNCTION("""COMPUTED_VALUE"""),"ДВО-02 4540-ПРИЗМА 45Вт 230В 4000К 4500Лм 100Лм/Вт 595х595х19 NEOX")</f>
        <v/>
      </c>
      <c r="C379" s="2">
        <f>IFERROR(__xludf.DUMMYFUNCTION("""COMPUTED_VALUE"""),4.30001)</f>
        <v/>
      </c>
      <c r="D379" s="2">
        <f>IFERROR(__xludf.DUMMYFUNCTION("""COMPUTED_VALUE"""),0.032)</f>
        <v/>
      </c>
      <c r="E379" s="2">
        <f>IFERROR(__xludf.DUMMYFUNCTION("""COMPUTED_VALUE"""),519.63)</f>
        <v/>
      </c>
      <c r="F379" s="2">
        <f>IFERROR(__xludf.DUMMYFUNCTION("""COMPUTED_VALUE"""),653.0)</f>
        <v/>
      </c>
      <c r="G379" s="2">
        <f>IFERROR(__xludf.DUMMYFUNCTION("""COMPUTED_VALUE"""),735.0)</f>
        <v/>
      </c>
      <c r="H379" s="2">
        <f>IFERROR(__xludf.DUMMYFUNCTION("""COMPUTED_VALUE"""),853.0)</f>
        <v/>
      </c>
      <c r="I379" s="2">
        <f>IFERROR(__xludf.DUMMYFUNCTION("""COMPUTED_VALUE"""),980.0)</f>
        <v/>
      </c>
      <c r="J379" s="2">
        <f>IFERROR(__xludf.DUMMYFUNCTION("""COMPUTED_VALUE"""),490.0)</f>
        <v/>
      </c>
      <c r="K379" s="2">
        <f>IFERROR(__xludf.DUMMYFUNCTION("""COMPUTED_VALUE"""),3.0)</f>
        <v/>
      </c>
      <c r="L379" s="2">
        <f>IFERROR(__xludf.DUMMYFUNCTION("""COMPUTED_VALUE"""),"NEOX Светильники LED ДВО")</f>
        <v/>
      </c>
      <c r="M379" s="2">
        <f>IFERROR(__xludf.DUMMYFUNCTION("""COMPUTED_VALUE"""),"Светильники общего назначения (LED), Встраиваемые, Накладные, Встраиваемые, LED Светильники")</f>
        <v/>
      </c>
    </row>
    <row r="380">
      <c r="A380" s="5">
        <f>IFERROR(__xludf.DUMMYFUNCTION("""COMPUTED_VALUE"""),"4690612034638")</f>
        <v/>
      </c>
      <c r="B380" s="5">
        <f>IFERROR(__xludf.DUMMYFUNCTION("""COMPUTED_VALUE"""),"СДО-7 50Вт 230В 6500К IP65 черный IN HOME")</f>
        <v/>
      </c>
      <c r="C380" s="2">
        <f>IFERROR(__xludf.DUMMYFUNCTION("""COMPUTED_VALUE"""),0.4)</f>
        <v/>
      </c>
      <c r="D380" s="2">
        <f>IFERROR(__xludf.DUMMYFUNCTION("""COMPUTED_VALUE"""),9.500000000000001E-4)</f>
        <v/>
      </c>
      <c r="E380" s="2">
        <f>IFERROR(__xludf.DUMMYFUNCTION("""COMPUTED_VALUE"""),312.66)</f>
        <v/>
      </c>
      <c r="F380" s="2">
        <f>IFERROR(__xludf.DUMMYFUNCTION("""COMPUTED_VALUE"""),250.0)</f>
        <v/>
      </c>
      <c r="G380" s="2">
        <f>IFERROR(__xludf.DUMMYFUNCTION("""COMPUTED_VALUE"""),281.0)</f>
        <v/>
      </c>
      <c r="H380" s="2">
        <f>IFERROR(__xludf.DUMMYFUNCTION("""COMPUTED_VALUE"""),326.0)</f>
        <v/>
      </c>
      <c r="I380" s="2">
        <f>IFERROR(__xludf.DUMMYFUNCTION("""COMPUTED_VALUE"""),375.0)</f>
        <v/>
      </c>
      <c r="J380" s="2">
        <f>IFERROR(__xludf.DUMMYFUNCTION("""COMPUTED_VALUE"""),281.0)</f>
        <v/>
      </c>
      <c r="K380" s="2">
        <f>IFERROR(__xludf.DUMMYFUNCTION("""COMPUTED_VALUE"""),2.0)</f>
        <v/>
      </c>
      <c r="L380" s="2">
        <f>IFERROR(__xludf.DUMMYFUNCTION("""COMPUTED_VALUE"""),"Прожекторы светодиодные СДО-07")</f>
        <v/>
      </c>
      <c r="M380" s="2">
        <f>IFERROR(__xludf.DUMMYFUNCTION("""COMPUTED_VALUE"""),"Прожекторы (LED), Бытовые (недорогие), Без датчиков, LED Светильники")</f>
        <v/>
      </c>
    </row>
    <row r="381">
      <c r="A381" s="5">
        <f>IFERROR(__xludf.DUMMYFUNCTION("""COMPUTED_VALUE"""),"4690612020358")</f>
        <v/>
      </c>
      <c r="B381" s="5">
        <f>IFERROR(__xludf.DUMMYFUNCTION("""COMPUTED_VALUE"""),"LED-JCDR-VC 11Вт 230В GU5.3 4000К 990Лм IN HOME")</f>
        <v/>
      </c>
      <c r="C381" s="2">
        <f>IFERROR(__xludf.DUMMYFUNCTION("""COMPUTED_VALUE"""),0.03700000000000001)</f>
        <v/>
      </c>
      <c r="D381" s="2">
        <f>IFERROR(__xludf.DUMMYFUNCTION("""COMPUTED_VALUE"""),2.1E-4)</f>
        <v/>
      </c>
      <c r="E381" s="2">
        <f>IFERROR(__xludf.DUMMYFUNCTION("""COMPUTED_VALUE"""),43.2)</f>
        <v/>
      </c>
      <c r="F381" s="2">
        <f>IFERROR(__xludf.DUMMYFUNCTION("""COMPUTED_VALUE"""),48.0)</f>
        <v/>
      </c>
      <c r="G381" s="2">
        <f>IFERROR(__xludf.DUMMYFUNCTION("""COMPUTED_VALUE"""),54.0)</f>
        <v/>
      </c>
      <c r="H381" s="2">
        <f>IFERROR(__xludf.DUMMYFUNCTION("""COMPUTED_VALUE"""),63.0)</f>
        <v/>
      </c>
      <c r="I381" s="2">
        <f>IFERROR(__xludf.DUMMYFUNCTION("""COMPUTED_VALUE"""),73.10000000000001)</f>
        <v/>
      </c>
      <c r="J381" s="2">
        <f>IFERROR(__xludf.DUMMYFUNCTION("""COMPUTED_VALUE"""),37.0)</f>
        <v/>
      </c>
      <c r="K381" s="2">
        <f>IFERROR(__xludf.DUMMYFUNCTION("""COMPUTED_VALUE"""),15.0)</f>
        <v/>
      </c>
      <c r="L381" s="2">
        <f>IFERROR(__xludf.DUMMYFUNCTION("""COMPUTED_VALUE"""),"Лампа светодиодная LED-JCDR-standard")</f>
        <v/>
      </c>
      <c r="M381" s="2">
        <f>IFERROR(__xludf.DUMMYFUNCTION("""COMPUTED_VALUE"""),"Лампы")</f>
        <v/>
      </c>
    </row>
    <row r="382">
      <c r="A382" s="5">
        <f>IFERROR(__xludf.DUMMYFUNCTION("""COMPUTED_VALUE"""),"4690626057722")</f>
        <v/>
      </c>
      <c r="B382" s="5">
        <f>IFERROR(__xludf.DUMMYFUNCTION("""COMPUTED_VALUE"""),"sbl-ms-012")</f>
        <v/>
      </c>
      <c r="C382" s="2">
        <f>IFERROR(__xludf.DUMMYFUNCTION("""COMPUTED_VALUE"""),0.125)</f>
        <v/>
      </c>
      <c r="D382" s="2">
        <f>IFERROR(__xludf.DUMMYFUNCTION("""COMPUTED_VALUE"""),5.8E-4)</f>
        <v/>
      </c>
      <c r="E382" s="2">
        <f>IFERROR(__xludf.DUMMYFUNCTION("""COMPUTED_VALUE"""),270.0)</f>
        <v/>
      </c>
      <c r="F382" s="2">
        <f>IFERROR(__xludf.DUMMYFUNCTION("""COMPUTED_VALUE"""),523.0)</f>
        <v/>
      </c>
      <c r="G382" s="2">
        <f>IFERROR(__xludf.DUMMYFUNCTION("""COMPUTED_VALUE"""),574.0)</f>
        <v/>
      </c>
      <c r="H382" s="2">
        <f>IFERROR(__xludf.DUMMYFUNCTION("""COMPUTED_VALUE"""),638.0)</f>
        <v/>
      </c>
      <c r="I382" s="2">
        <f>IFERROR(__xludf.DUMMYFUNCTION("""COMPUTED_VALUE"""),701.0)</f>
        <v/>
      </c>
      <c r="J382" s="2">
        <f>IFERROR(__xludf.DUMMYFUNCTION("""COMPUTED_VALUE"""),351.0)</f>
        <v/>
      </c>
      <c r="K382" s="2">
        <f>IFERROR(__xludf.DUMMYFUNCTION("""COMPUTED_VALUE"""),1.0)</f>
        <v/>
      </c>
      <c r="L382" s="2">
        <f>IFERROR(__xludf.DUMMYFUNCTION("""COMPUTED_VALUE"""),"Smartbuy")</f>
        <v/>
      </c>
      <c r="M382" s="2">
        <f>IFERROR(__xludf.DUMMYFUNCTION("""COMPUTED_VALUE"""),"Прочие товары")</f>
        <v/>
      </c>
    </row>
    <row r="383">
      <c r="A383" s="5">
        <f>IFERROR(__xludf.DUMMYFUNCTION("""COMPUTED_VALUE"""),"GL51401")</f>
        <v/>
      </c>
      <c r="B383" s="5">
        <f>IFERROR(__xludf.DUMMYFUNCTION("""COMPUTED_VALUE"""),"GLERIO Practical 96 Вт 5000К 6A-96D-5U+")</f>
        <v/>
      </c>
      <c r="C383" s="2">
        <f>IFERROR(__xludf.DUMMYFUNCTION("""COMPUTED_VALUE"""),1.5)</f>
        <v/>
      </c>
      <c r="D383" s="2">
        <f>IFERROR(__xludf.DUMMYFUNCTION("""COMPUTED_VALUE"""),0.005)</f>
        <v/>
      </c>
      <c r="E383" s="2">
        <f>IFERROR(__xludf.DUMMYFUNCTION("""COMPUTED_VALUE"""),2793.6)</f>
        <v/>
      </c>
      <c r="F383" s="2">
        <f>IFERROR(__xludf.DUMMYFUNCTION("""COMPUTED_VALUE"""),3200.0)</f>
        <v/>
      </c>
      <c r="G383" s="2">
        <f>IFERROR(__xludf.DUMMYFUNCTION("""COMPUTED_VALUE"""),4000.0)</f>
        <v/>
      </c>
      <c r="H383" s="2">
        <f>IFERROR(__xludf.DUMMYFUNCTION("""COMPUTED_VALUE"""),4500.0)</f>
        <v/>
      </c>
      <c r="I383" s="2">
        <f>IFERROR(__xludf.DUMMYFUNCTION("""COMPUTED_VALUE"""),5000.0)</f>
        <v/>
      </c>
      <c r="J383" s="2">
        <f>IFERROR(__xludf.DUMMYFUNCTION("""COMPUTED_VALUE"""),5000.0)</f>
        <v/>
      </c>
      <c r="K383" s="2">
        <f>IFERROR(__xludf.DUMMYFUNCTION("""COMPUTED_VALUE"""),0.0)</f>
        <v/>
      </c>
      <c r="L383" s="2">
        <f>IFERROR(__xludf.DUMMYFUNCTION("""COMPUTED_VALUE"""),"Practical+ Уличные GLERIO")</f>
        <v/>
      </c>
      <c r="M383" s="2">
        <f>IFERROR(__xludf.DUMMYFUNCTION("""COMPUTED_VALUE"""),"Для обычных дорог, LED Светильники")</f>
        <v/>
      </c>
    </row>
    <row r="384">
      <c r="A384" s="5">
        <f>IFERROR(__xludf.DUMMYFUNCTION("""COMPUTED_VALUE"""),"R100701")</f>
        <v/>
      </c>
      <c r="B384" s="5">
        <f>IFERROR(__xludf.DUMMYFUNCTION("""COMPUTED_VALUE"""),"RSV-SPO-02-40W-6500К, IP40 P")</f>
        <v/>
      </c>
      <c r="C384" s="2">
        <f>IFERROR(__xludf.DUMMYFUNCTION("""COMPUTED_VALUE"""),0.3733300000000001)</f>
        <v/>
      </c>
      <c r="D384" s="2">
        <f>IFERROR(__xludf.DUMMYFUNCTION("""COMPUTED_VALUE"""),0.00252)</f>
        <v/>
      </c>
      <c r="E384" s="2">
        <f>IFERROR(__xludf.DUMMYFUNCTION("""COMPUTED_VALUE"""),198.56)</f>
        <v/>
      </c>
      <c r="F384" s="2">
        <f>IFERROR(__xludf.DUMMYFUNCTION("""COMPUTED_VALUE"""),239.0)</f>
        <v/>
      </c>
      <c r="G384" s="2">
        <f>IFERROR(__xludf.DUMMYFUNCTION("""COMPUTED_VALUE"""),254.0)</f>
        <v/>
      </c>
      <c r="H384" s="2">
        <f>IFERROR(__xludf.DUMMYFUNCTION("""COMPUTED_VALUE"""),286.0)</f>
        <v/>
      </c>
      <c r="I384" s="2">
        <f>IFERROR(__xludf.DUMMYFUNCTION("""COMPUTED_VALUE"""),318.0)</f>
        <v/>
      </c>
      <c r="J384" s="2">
        <f>IFERROR(__xludf.DUMMYFUNCTION("""COMPUTED_VALUE"""),159.0)</f>
        <v/>
      </c>
      <c r="K384" s="2">
        <f>IFERROR(__xludf.DUMMYFUNCTION("""COMPUTED_VALUE"""),2.0)</f>
        <v/>
      </c>
      <c r="L384" s="2">
        <f>IFERROR(__xludf.DUMMYFUNCTION("""COMPUTED_VALUE"""),"Архив (не производим)")</f>
        <v/>
      </c>
      <c r="M384" s="2">
        <f>IFERROR(__xludf.DUMMYFUNCTION("""COMPUTED_VALUE"""),"Для ЖКХ, дома, дачи, Без датчиков, LED Светильники")</f>
        <v/>
      </c>
    </row>
    <row r="385">
      <c r="A385" s="5">
        <f>IFERROR(__xludf.DUMMYFUNCTION("""COMPUTED_VALUE"""),"4690612030975")</f>
        <v/>
      </c>
      <c r="B385" s="5">
        <f>IFERROR(__xludf.DUMMYFUNCTION("""COMPUTED_VALUE"""),"LED-T8-М-PRO 20Вт 230В G13 4000К 2000Лм 1200мм матовая IN HOME")</f>
        <v/>
      </c>
      <c r="C385" s="2">
        <f>IFERROR(__xludf.DUMMYFUNCTION("""COMPUTED_VALUE"""),0.188)</f>
        <v/>
      </c>
      <c r="D385" s="2">
        <f>IFERROR(__xludf.DUMMYFUNCTION("""COMPUTED_VALUE"""),0.00144)</f>
        <v/>
      </c>
      <c r="E385" s="2">
        <f>IFERROR(__xludf.DUMMYFUNCTION("""COMPUTED_VALUE"""),81.36)</f>
        <v/>
      </c>
      <c r="F385" s="2">
        <f>IFERROR(__xludf.DUMMYFUNCTION("""COMPUTED_VALUE"""),111.0)</f>
        <v/>
      </c>
      <c r="G385" s="2">
        <f>IFERROR(__xludf.DUMMYFUNCTION("""COMPUTED_VALUE"""),125.0)</f>
        <v/>
      </c>
      <c r="H385" s="2">
        <f>IFERROR(__xludf.DUMMYFUNCTION("""COMPUTED_VALUE"""),145.0)</f>
        <v/>
      </c>
      <c r="I385" s="2">
        <f>IFERROR(__xludf.DUMMYFUNCTION("""COMPUTED_VALUE"""),166.6)</f>
        <v/>
      </c>
      <c r="J385" s="2">
        <f>IFERROR(__xludf.DUMMYFUNCTION("""COMPUTED_VALUE"""),83.0)</f>
        <v/>
      </c>
      <c r="K385" s="2">
        <f>IFERROR(__xludf.DUMMYFUNCTION("""COMPUTED_VALUE"""),10.0)</f>
        <v/>
      </c>
      <c r="L385" s="2">
        <f>IFERROR(__xludf.DUMMYFUNCTION("""COMPUTED_VALUE"""),"Лампа светодиодная LED-T8")</f>
        <v/>
      </c>
      <c r="M385" s="2">
        <f>IFERROR(__xludf.DUMMYFUNCTION("""COMPUTED_VALUE"""),"Лампы")</f>
        <v/>
      </c>
    </row>
    <row r="386">
      <c r="A386" s="5">
        <f>IFERROR(__xludf.DUMMYFUNCTION("""COMPUTED_VALUE"""),"4690612029894")</f>
        <v/>
      </c>
      <c r="B386" s="5">
        <f>IFERROR(__xludf.DUMMYFUNCTION("""COMPUTED_VALUE"""),"LPU-02 40Вт ОПАЛ 230В 6500К 3600Лм 595х595х25мм IP40 IN HOME")</f>
        <v/>
      </c>
      <c r="C386" s="2">
        <f>IFERROR(__xludf.DUMMYFUNCTION("""COMPUTED_VALUE"""),1.2)</f>
        <v/>
      </c>
      <c r="D386" s="2">
        <f>IFERROR(__xludf.DUMMYFUNCTION("""COMPUTED_VALUE"""),0.00975)</f>
        <v/>
      </c>
      <c r="E386" s="2">
        <f>IFERROR(__xludf.DUMMYFUNCTION("""COMPUTED_VALUE"""),711.09)</f>
        <v/>
      </c>
      <c r="F386" s="2">
        <f>IFERROR(__xludf.DUMMYFUNCTION("""COMPUTED_VALUE"""),690.0)</f>
        <v/>
      </c>
      <c r="G386" s="2">
        <f>IFERROR(__xludf.DUMMYFUNCTION("""COMPUTED_VALUE"""),776.0)</f>
        <v/>
      </c>
      <c r="H386" s="2">
        <f>IFERROR(__xludf.DUMMYFUNCTION("""COMPUTED_VALUE"""),900.0)</f>
        <v/>
      </c>
      <c r="I386" s="2">
        <f>IFERROR(__xludf.DUMMYFUNCTION("""COMPUTED_VALUE"""),1035.0)</f>
        <v/>
      </c>
      <c r="J386" s="2">
        <f>IFERROR(__xludf.DUMMYFUNCTION("""COMPUTED_VALUE"""),776.0)</f>
        <v/>
      </c>
      <c r="K386" s="2">
        <f>IFERROR(__xludf.DUMMYFUNCTION("""COMPUTED_VALUE"""),9.0)</f>
        <v/>
      </c>
      <c r="L386" s="2">
        <f>IFERROR(__xludf.DUMMYFUNCTION("""COMPUTED_VALUE"""),"Панели светодиодные LP серии ОПАЛ")</f>
        <v/>
      </c>
      <c r="M386" s="2">
        <f>IFERROR(__xludf.DUMMYFUNCTION("""COMPUTED_VALUE"""),"Встраиваемые, Накладные, LED Светильники")</f>
        <v/>
      </c>
    </row>
    <row r="387">
      <c r="A387" s="5">
        <f>IFERROR(__xludf.DUMMYFUNCTION("""COMPUTED_VALUE"""),"4690612019161")</f>
        <v/>
      </c>
      <c r="B387" s="5">
        <f>IFERROR(__xludf.DUMMYFUNCTION("""COMPUTED_VALUE"""),"LED-JCDRC-standard 5.5Вт 230В GU10 6500К 495Лм ASD")</f>
        <v/>
      </c>
      <c r="C387" s="2">
        <f>IFERROR(__xludf.DUMMYFUNCTION("""COMPUTED_VALUE"""),0.032)</f>
        <v/>
      </c>
      <c r="D387" s="2">
        <f>IFERROR(__xludf.DUMMYFUNCTION("""COMPUTED_VALUE"""),2.2E-4)</f>
        <v/>
      </c>
      <c r="E387" s="2">
        <f>IFERROR(__xludf.DUMMYFUNCTION("""COMPUTED_VALUE"""),31.0)</f>
        <v/>
      </c>
      <c r="F387" s="2">
        <f>IFERROR(__xludf.DUMMYFUNCTION("""COMPUTED_VALUE"""),26.0)</f>
        <v/>
      </c>
      <c r="G387" s="2">
        <f>IFERROR(__xludf.DUMMYFUNCTION("""COMPUTED_VALUE"""),29.0)</f>
        <v/>
      </c>
      <c r="H387" s="2">
        <f>IFERROR(__xludf.DUMMYFUNCTION("""COMPUTED_VALUE"""),34.0)</f>
        <v/>
      </c>
      <c r="I387" s="2">
        <f>IFERROR(__xludf.DUMMYFUNCTION("""COMPUTED_VALUE"""),39.45)</f>
        <v/>
      </c>
      <c r="J387" s="2">
        <f>IFERROR(__xludf.DUMMYFUNCTION("""COMPUTED_VALUE"""),20.0)</f>
        <v/>
      </c>
      <c r="K387" s="2">
        <f>IFERROR(__xludf.DUMMYFUNCTION("""COMPUTED_VALUE"""),30.0)</f>
        <v/>
      </c>
      <c r="L387" s="2">
        <f>IFERROR(__xludf.DUMMYFUNCTION("""COMPUTED_VALUE"""),"ASD лампы LED")</f>
        <v/>
      </c>
      <c r="M387" s="2">
        <f>IFERROR(__xludf.DUMMYFUNCTION("""COMPUTED_VALUE"""),"Лампы")</f>
        <v/>
      </c>
    </row>
    <row r="388">
      <c r="A388" s="5">
        <f>IFERROR(__xludf.DUMMYFUNCTION("""COMPUTED_VALUE"""),"4690612035321")</f>
        <v/>
      </c>
      <c r="B388" s="5">
        <f>IFERROR(__xludf.DUMMYFUNCTION("""COMPUTED_VALUE"""),"ELEGANT ARIS-W 15Вт 230В 3000-6500К 1050Лм STEP COLOR белый IN HOME")</f>
        <v/>
      </c>
      <c r="C388" s="2">
        <f>IFERROR(__xludf.DUMMYFUNCTION("""COMPUTED_VALUE"""),0.35)</f>
        <v/>
      </c>
      <c r="D388" s="2">
        <f>IFERROR(__xludf.DUMMYFUNCTION("""COMPUTED_VALUE"""),0.0035)</f>
        <v/>
      </c>
      <c r="E388" s="2">
        <f>IFERROR(__xludf.DUMMYFUNCTION("""COMPUTED_VALUE"""),597.6)</f>
        <v/>
      </c>
      <c r="F388" s="2">
        <f>IFERROR(__xludf.DUMMYFUNCTION("""COMPUTED_VALUE"""),627.0)</f>
        <v/>
      </c>
      <c r="G388" s="2">
        <f>IFERROR(__xludf.DUMMYFUNCTION("""COMPUTED_VALUE"""),705.0)</f>
        <v/>
      </c>
      <c r="H388" s="2">
        <f>IFERROR(__xludf.DUMMYFUNCTION("""COMPUTED_VALUE"""),818.0)</f>
        <v/>
      </c>
      <c r="I388" s="2">
        <f>IFERROR(__xludf.DUMMYFUNCTION("""COMPUTED_VALUE"""),940.0)</f>
        <v/>
      </c>
      <c r="J388" s="2">
        <f>IFERROR(__xludf.DUMMYFUNCTION("""COMPUTED_VALUE"""),470.0)</f>
        <v/>
      </c>
      <c r="K388" s="2">
        <f>IFERROR(__xludf.DUMMYFUNCTION("""COMPUTED_VALUE"""),3.0)</f>
        <v/>
      </c>
      <c r="L388" s="2">
        <f>IFERROR(__xludf.DUMMYFUNCTION("""COMPUTED_VALUE"""),"Светильники светодиодные серии ELEGANT IN HOME")</f>
        <v/>
      </c>
      <c r="M388" s="2">
        <f>IFERROR(__xludf.DUMMYFUNCTION("""COMPUTED_VALUE"""),"Накладные, Декоративные, LED Светильники")</f>
        <v/>
      </c>
    </row>
    <row r="389">
      <c r="A389" s="5">
        <f>IFERROR(__xludf.DUMMYFUNCTION("""COMPUTED_VALUE"""),"4690612030777-10")</f>
        <v/>
      </c>
      <c r="B389" s="5">
        <f>IFERROR(__xludf.DUMMYFUNCTION("""COMPUTED_VALUE"""),"10 шт. Лампа LED-GX53-VC 6Вт 230В 3000К 570Лм IN HOME (Комплект 10 шт)")</f>
        <v/>
      </c>
      <c r="C389" s="2">
        <f>IFERROR(__xludf.DUMMYFUNCTION("""COMPUTED_VALUE"""),0.03)</f>
        <v/>
      </c>
      <c r="D389" s="2">
        <f>IFERROR(__xludf.DUMMYFUNCTION("""COMPUTED_VALUE"""),0.0021)</f>
        <v/>
      </c>
      <c r="E389" s="2">
        <f>IFERROR(__xludf.DUMMYFUNCTION("""COMPUTED_VALUE"""),449.5)</f>
        <v/>
      </c>
      <c r="F389" s="2">
        <f>IFERROR(__xludf.DUMMYFUNCTION("""COMPUTED_VALUE"""),493.0)</f>
        <v/>
      </c>
      <c r="G389" s="2">
        <f>IFERROR(__xludf.DUMMYFUNCTION("""COMPUTED_VALUE"""),575.0)</f>
        <v/>
      </c>
      <c r="H389" s="2">
        <f>IFERROR(__xludf.DUMMYFUNCTION("""COMPUTED_VALUE"""),647.0)</f>
        <v/>
      </c>
      <c r="I389" s="2">
        <f>IFERROR(__xludf.DUMMYFUNCTION("""COMPUTED_VALUE"""),719.0)</f>
        <v/>
      </c>
      <c r="J389" s="2">
        <f>IFERROR(__xludf.DUMMYFUNCTION("""COMPUTED_VALUE"""),360.0)</f>
        <v/>
      </c>
      <c r="K389" s="2">
        <f>IFERROR(__xludf.DUMMYFUNCTION("""COMPUTED_VALUE"""),11.0)</f>
        <v/>
      </c>
      <c r="L389" s="2">
        <f>IFERROR(__xludf.DUMMYFUNCTION("""COMPUTED_VALUE"""),"Лампы производство, упаковка")</f>
        <v/>
      </c>
      <c r="M389" s="2">
        <f>IFERROR(__xludf.DUMMYFUNCTION("""COMPUTED_VALUE"""),"Лампы")</f>
        <v/>
      </c>
    </row>
    <row r="390">
      <c r="A390" s="5">
        <f>IFERROR(__xludf.DUMMYFUNCTION("""COMPUTED_VALUE"""),"14690612057276")</f>
        <v/>
      </c>
      <c r="B390" s="5">
        <f>IFERROR(__xludf.DUMMYFUNCTION("""COMPUTED_VALUE"""),"ДВО-PRO 4040-ОПАЛ 40Вт 4000К 120лм/Вт CRI80 IP40 595х595х30мм NEOX (4 шт в упак.)")</f>
        <v/>
      </c>
      <c r="C390" s="2">
        <f>IFERROR(__xludf.DUMMYFUNCTION("""COMPUTED_VALUE"""),0.0)</f>
        <v/>
      </c>
      <c r="D390" s="2">
        <f>IFERROR(__xludf.DUMMYFUNCTION("""COMPUTED_VALUE"""),0.0)</f>
        <v/>
      </c>
      <c r="E390" s="2">
        <f>IFERROR(__xludf.DUMMYFUNCTION("""COMPUTED_VALUE"""),2832.0)</f>
        <v/>
      </c>
      <c r="F390" s="2">
        <f>IFERROR(__xludf.DUMMYFUNCTION("""COMPUTED_VALUE"""),3107.0)</f>
        <v/>
      </c>
      <c r="G390" s="2">
        <f>IFERROR(__xludf.DUMMYFUNCTION("""COMPUTED_VALUE"""),3625.0)</f>
        <v/>
      </c>
      <c r="H390" s="2">
        <f>IFERROR(__xludf.DUMMYFUNCTION("""COMPUTED_VALUE"""),4078.0)</f>
        <v/>
      </c>
      <c r="I390" s="2">
        <f>IFERROR(__xludf.DUMMYFUNCTION("""COMPUTED_VALUE"""),4531.0)</f>
        <v/>
      </c>
      <c r="J390" s="2">
        <f>IFERROR(__xludf.DUMMYFUNCTION("""COMPUTED_VALUE"""),2266.0)</f>
        <v/>
      </c>
      <c r="K390" s="2">
        <f>IFERROR(__xludf.DUMMYFUNCTION("""COMPUTED_VALUE"""),4.0)</f>
        <v/>
      </c>
      <c r="L390" s="2">
        <f>IFERROR(__xludf.DUMMYFUNCTION("""COMPUTED_VALUE"""),"NEOX Светильники LED ДВО-PRO производство, упаковка")</f>
        <v/>
      </c>
      <c r="M390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391">
      <c r="A391" s="5">
        <f>IFERROR(__xludf.DUMMYFUNCTION("""COMPUTED_VALUE"""),"13-3021")</f>
        <v/>
      </c>
      <c r="B391" s="5">
        <f>IFERROR(__xludf.DUMMYFUNCTION("""COMPUTED_VALUE"""),"Универсальный мультиметр MAS830L (DT850L) PROconnect")</f>
        <v/>
      </c>
      <c r="C391" s="2">
        <f>IFERROR(__xludf.DUMMYFUNCTION("""COMPUTED_VALUE"""),0.0)</f>
        <v/>
      </c>
      <c r="D391" s="2">
        <f>IFERROR(__xludf.DUMMYFUNCTION("""COMPUTED_VALUE"""),0.0)</f>
        <v/>
      </c>
      <c r="E391" s="2">
        <f>IFERROR(__xludf.DUMMYFUNCTION("""COMPUTED_VALUE"""),1.0)</f>
        <v/>
      </c>
      <c r="F391" s="2">
        <f>IFERROR(__xludf.DUMMYFUNCTION("""COMPUTED_VALUE"""),962.0)</f>
        <v/>
      </c>
      <c r="G391" s="2">
        <f>IFERROR(__xludf.DUMMYFUNCTION("""COMPUTED_VALUE"""),1026.0)</f>
        <v/>
      </c>
      <c r="H391" s="2">
        <f>IFERROR(__xludf.DUMMYFUNCTION("""COMPUTED_VALUE"""),1155.0)</f>
        <v/>
      </c>
      <c r="I391" s="2">
        <f>IFERROR(__xludf.DUMMYFUNCTION("""COMPUTED_VALUE"""),1282.99)</f>
        <v/>
      </c>
      <c r="J391" s="2">
        <f>IFERROR(__xludf.DUMMYFUNCTION("""COMPUTED_VALUE"""),641.0)</f>
        <v/>
      </c>
      <c r="K391" s="2">
        <f>IFERROR(__xludf.DUMMYFUNCTION("""COMPUTED_VALUE"""),2.0)</f>
        <v/>
      </c>
      <c r="L391" s="2">
        <f>IFERROR(__xludf.DUMMYFUNCTION("""COMPUTED_VALUE"""),"Rexant")</f>
        <v/>
      </c>
      <c r="M391" s="2">
        <f>IFERROR(__xludf.DUMMYFUNCTION("""COMPUTED_VALUE"""),"Прочие товары")</f>
        <v/>
      </c>
    </row>
    <row r="392">
      <c r="A392" s="5">
        <f>IFERROR(__xludf.DUMMYFUNCTION("""COMPUTED_VALUE"""),"ves2208")</f>
        <v/>
      </c>
      <c r="B392" s="5">
        <f>IFERROR(__xludf.DUMMYFUNCTION("""COMPUTED_VALUE"""),"Светильник светодиодный AM-PL-35W")</f>
        <v/>
      </c>
      <c r="C392" s="2">
        <f>IFERROR(__xludf.DUMMYFUNCTION("""COMPUTED_VALUE"""),0.0)</f>
        <v/>
      </c>
      <c r="D392" s="2">
        <f>IFERROR(__xludf.DUMMYFUNCTION("""COMPUTED_VALUE"""),0.0)</f>
        <v/>
      </c>
      <c r="E392" s="2">
        <f>IFERROR(__xludf.DUMMYFUNCTION("""COMPUTED_VALUE"""),1400.0)</f>
        <v/>
      </c>
      <c r="F392" s="2">
        <f>IFERROR(__xludf.DUMMYFUNCTION("""COMPUTED_VALUE"""),1953.0)</f>
        <v/>
      </c>
      <c r="G392" s="2">
        <f>IFERROR(__xludf.DUMMYFUNCTION("""COMPUTED_VALUE"""),2084.0)</f>
        <v/>
      </c>
      <c r="H392" s="2">
        <f>IFERROR(__xludf.DUMMYFUNCTION("""COMPUTED_VALUE"""),2344.0)</f>
        <v/>
      </c>
      <c r="I392" s="2">
        <f>IFERROR(__xludf.DUMMYFUNCTION("""COMPUTED_VALUE"""),2604.56)</f>
        <v/>
      </c>
      <c r="J392" s="2">
        <f>IFERROR(__xludf.DUMMYFUNCTION("""COMPUTED_VALUE"""),1302.0)</f>
        <v/>
      </c>
      <c r="K392" s="2">
        <f>IFERROR(__xludf.DUMMYFUNCTION("""COMPUTED_VALUE"""),2.0)</f>
        <v/>
      </c>
      <c r="L392" s="2">
        <f>IFERROR(__xludf.DUMMYFUNCTION("""COMPUTED_VALUE"""),"ves2 (тендер)")</f>
        <v/>
      </c>
      <c r="M392" s="2">
        <f>IFERROR(__xludf.DUMMYFUNCTION("""COMPUTED_VALUE"""),"Прочие товары")</f>
        <v/>
      </c>
    </row>
    <row r="393">
      <c r="A393" s="5">
        <f>IFERROR(__xludf.DUMMYFUNCTION("""COMPUTED_VALUE"""),"4690612033839")</f>
        <v/>
      </c>
      <c r="B393" s="5">
        <f>IFERROR(__xludf.DUMMYFUNCTION("""COMPUTED_VALUE"""),"ДД 008 1200Вт 180 гр.12м IP44 белый IN HOME")</f>
        <v/>
      </c>
      <c r="C393" s="2">
        <f>IFERROR(__xludf.DUMMYFUNCTION("""COMPUTED_VALUE"""),0.226)</f>
        <v/>
      </c>
      <c r="D393" s="2">
        <f>IFERROR(__xludf.DUMMYFUNCTION("""COMPUTED_VALUE"""),0.0014)</f>
        <v/>
      </c>
      <c r="E393" s="2">
        <f>IFERROR(__xludf.DUMMYFUNCTION("""COMPUTED_VALUE"""),314.47)</f>
        <v/>
      </c>
      <c r="F393" s="2">
        <f>IFERROR(__xludf.DUMMYFUNCTION("""COMPUTED_VALUE"""),437.0)</f>
        <v/>
      </c>
      <c r="G393" s="2">
        <f>IFERROR(__xludf.DUMMYFUNCTION("""COMPUTED_VALUE"""),492.0)</f>
        <v/>
      </c>
      <c r="H393" s="2">
        <f>IFERROR(__xludf.DUMMYFUNCTION("""COMPUTED_VALUE"""),571.0)</f>
        <v/>
      </c>
      <c r="I393" s="2">
        <f>IFERROR(__xludf.DUMMYFUNCTION("""COMPUTED_VALUE"""),656.0)</f>
        <v/>
      </c>
      <c r="J393" s="2">
        <f>IFERROR(__xludf.DUMMYFUNCTION("""COMPUTED_VALUE"""),437.0)</f>
        <v/>
      </c>
      <c r="K393" s="2">
        <f>IFERROR(__xludf.DUMMYFUNCTION("""COMPUTED_VALUE"""),10.0)</f>
        <v/>
      </c>
      <c r="L393" s="2">
        <f>IFERROR(__xludf.DUMMYFUNCTION("""COMPUTED_VALUE"""),"ASD Комплектующие")</f>
        <v/>
      </c>
      <c r="M393" s="2">
        <f>IFERROR(__xludf.DUMMYFUNCTION("""COMPUTED_VALUE"""),"Прочие товары")</f>
        <v/>
      </c>
    </row>
    <row r="394">
      <c r="A394" s="5">
        <f>IFERROR(__xludf.DUMMYFUNCTION("""COMPUTED_VALUE"""),"V1013")</f>
        <v/>
      </c>
      <c r="B394" s="5">
        <f>IFERROR(__xludf.DUMMYFUNCTION("""COMPUTED_VALUE"""),"VRN-UN-62-G50K67-U, 62Вт, Универсальный")</f>
        <v/>
      </c>
      <c r="C394" s="2">
        <f>IFERROR(__xludf.DUMMYFUNCTION("""COMPUTED_VALUE"""),1.4)</f>
        <v/>
      </c>
      <c r="D394" s="2">
        <f>IFERROR(__xludf.DUMMYFUNCTION("""COMPUTED_VALUE"""),0.00564)</f>
        <v/>
      </c>
      <c r="E394" s="2">
        <f>IFERROR(__xludf.DUMMYFUNCTION("""COMPUTED_VALUE"""),2676.62)</f>
        <v/>
      </c>
      <c r="F394" s="2">
        <f>IFERROR(__xludf.DUMMYFUNCTION("""COMPUTED_VALUE"""),3065.0)</f>
        <v/>
      </c>
      <c r="G394" s="2">
        <f>IFERROR(__xludf.DUMMYFUNCTION("""COMPUTED_VALUE"""),3985.0)</f>
        <v/>
      </c>
      <c r="H394" s="2">
        <f>IFERROR(__xludf.DUMMYFUNCTION("""COMPUTED_VALUE"""),4184.0)</f>
        <v/>
      </c>
      <c r="I394" s="2">
        <f>IFERROR(__xludf.DUMMYFUNCTION("""COMPUTED_VALUE"""),4383.0)</f>
        <v/>
      </c>
      <c r="J394" s="2">
        <f>IFERROR(__xludf.DUMMYFUNCTION("""COMPUTED_VALUE"""),4383.0)</f>
        <v/>
      </c>
      <c r="K394" s="2">
        <f>IFERROR(__xludf.DUMMYFUNCTION("""COMPUTED_VALUE"""),62.0)</f>
        <v/>
      </c>
      <c r="L394" s="2">
        <f>IFERROR(__xludf.DUMMYFUNCTION("""COMPUTED_VALUE"""),"Универсал")</f>
        <v/>
      </c>
      <c r="M394" s="2">
        <f>IFERROR(__xludf.DUMMYFUNCTION("""COMPUTED_VALUE"""),"Для обычных дорог, Модульные, LED Светильники")</f>
        <v/>
      </c>
    </row>
    <row r="395">
      <c r="A395" s="5">
        <f>IFERROR(__xludf.DUMMYFUNCTION("""COMPUTED_VALUE"""),"4690612053196")</f>
        <v/>
      </c>
      <c r="B395" s="5">
        <f>IFERROR(__xludf.DUMMYFUNCTION("""COMPUTED_VALUE"""),"ДПО-110 ОПАЛ 36Вт 4000К 1200мм IP40 NEOX")</f>
        <v/>
      </c>
      <c r="C395" s="2">
        <f>IFERROR(__xludf.DUMMYFUNCTION("""COMPUTED_VALUE"""),0.285)</f>
        <v/>
      </c>
      <c r="D395" s="2">
        <f>IFERROR(__xludf.DUMMYFUNCTION("""COMPUTED_VALUE"""),0.00204)</f>
        <v/>
      </c>
      <c r="E395" s="2">
        <f>IFERROR(__xludf.DUMMYFUNCTION("""COMPUTED_VALUE"""),285.0)</f>
        <v/>
      </c>
      <c r="F395" s="2">
        <f>IFERROR(__xludf.DUMMYFUNCTION("""COMPUTED_VALUE"""),369.0)</f>
        <v/>
      </c>
      <c r="G395" s="2">
        <f>IFERROR(__xludf.DUMMYFUNCTION("""COMPUTED_VALUE"""),416.0)</f>
        <v/>
      </c>
      <c r="H395" s="2">
        <f>IFERROR(__xludf.DUMMYFUNCTION("""COMPUTED_VALUE"""),482.0)</f>
        <v/>
      </c>
      <c r="I395" s="2">
        <f>IFERROR(__xludf.DUMMYFUNCTION("""COMPUTED_VALUE"""),554.0)</f>
        <v/>
      </c>
      <c r="J395" s="2">
        <f>IFERROR(__xludf.DUMMYFUNCTION("""COMPUTED_VALUE"""),416.0)</f>
        <v/>
      </c>
      <c r="K395" s="2">
        <f>IFERROR(__xludf.DUMMYFUNCTION("""COMPUTED_VALUE"""),48.0)</f>
        <v/>
      </c>
      <c r="L395" s="2">
        <f>IFERROR(__xludf.DUMMYFUNCTION("""COMPUTED_VALUE"""),"NEOX Светильники LED ДПО")</f>
        <v/>
      </c>
      <c r="M395" s="2">
        <f>IFERROR(__xludf.DUMMYFUNCTION("""COMPUTED_VALUE"""),"Пластиковые (линейные), Накладные, С равномерной засветкой, Для ЖКХ, дома, дачи, Линейные (проходные), LED Светильники")</f>
        <v/>
      </c>
    </row>
    <row r="396">
      <c r="A396" s="5">
        <f>IFERROR(__xludf.DUMMYFUNCTION("""COMPUTED_VALUE"""),"4690612014838")</f>
        <v/>
      </c>
      <c r="B396" s="5">
        <f>IFERROR(__xludf.DUMMYFUNCTION("""COMPUTED_VALUE"""),"ССП-158-Д 16Вт 6500К с датчиком движения IP65")</f>
        <v/>
      </c>
      <c r="C396" s="2">
        <f>IFERROR(__xludf.DUMMYFUNCTION("""COMPUTED_VALUE"""),0.325)</f>
        <v/>
      </c>
      <c r="D396" s="2">
        <f>IFERROR(__xludf.DUMMYFUNCTION("""COMPUTED_VALUE"""),0.00285)</f>
        <v/>
      </c>
      <c r="E396" s="2">
        <f>IFERROR(__xludf.DUMMYFUNCTION("""COMPUTED_VALUE"""),465.65)</f>
        <v/>
      </c>
      <c r="F396" s="2">
        <f>IFERROR(__xludf.DUMMYFUNCTION("""COMPUTED_VALUE"""),463.0)</f>
        <v/>
      </c>
      <c r="G396" s="2">
        <f>IFERROR(__xludf.DUMMYFUNCTION("""COMPUTED_VALUE"""),521.0)</f>
        <v/>
      </c>
      <c r="H396" s="2">
        <f>IFERROR(__xludf.DUMMYFUNCTION("""COMPUTED_VALUE"""),605.0)</f>
        <v/>
      </c>
      <c r="I396" s="2">
        <f>IFERROR(__xludf.DUMMYFUNCTION("""COMPUTED_VALUE"""),695.0)</f>
        <v/>
      </c>
      <c r="J396" s="2">
        <f>IFERROR(__xludf.DUMMYFUNCTION("""COMPUTED_VALUE"""),348.0)</f>
        <v/>
      </c>
      <c r="K396" s="2">
        <f>IFERROR(__xludf.DUMMYFUNCTION("""COMPUTED_VALUE"""),1.0)</f>
        <v/>
      </c>
      <c r="L396" s="2">
        <f>IFERROR(__xludf.DUMMYFUNCTION("""COMPUTED_VALUE"""),"Светильники светодиодные ССП")</f>
        <v/>
      </c>
      <c r="M396" s="2">
        <f>IFERROR(__xludf.DUMMYFUNCTION("""COMPUTED_VALUE"""),"Пластиковые (линейные), LED Светильники")</f>
        <v/>
      </c>
    </row>
    <row r="397">
      <c r="A397" s="5">
        <f>IFERROR(__xludf.DUMMYFUNCTION("""COMPUTED_VALUE"""),"4690612020518")</f>
        <v/>
      </c>
      <c r="B397" s="5">
        <f>IFERROR(__xludf.DUMMYFUNCTION("""COMPUTED_VALUE"""),"LED-ШАР-VC 6Вт 230В Е14 4000К 570Лм IN HOME")</f>
        <v/>
      </c>
      <c r="C397" s="2">
        <f>IFERROR(__xludf.DUMMYFUNCTION("""COMPUTED_VALUE"""),0.031)</f>
        <v/>
      </c>
      <c r="D397" s="2">
        <f>IFERROR(__xludf.DUMMYFUNCTION("""COMPUTED_VALUE"""),2.3E-4)</f>
        <v/>
      </c>
      <c r="E397" s="2">
        <f>IFERROR(__xludf.DUMMYFUNCTION("""COMPUTED_VALUE"""),38.4)</f>
        <v/>
      </c>
      <c r="F397" s="2">
        <f>IFERROR(__xludf.DUMMYFUNCTION("""COMPUTED_VALUE"""),44.0)</f>
        <v/>
      </c>
      <c r="G397" s="2">
        <f>IFERROR(__xludf.DUMMYFUNCTION("""COMPUTED_VALUE"""),50.0)</f>
        <v/>
      </c>
      <c r="H397" s="2">
        <f>IFERROR(__xludf.DUMMYFUNCTION("""COMPUTED_VALUE"""),57.0)</f>
        <v/>
      </c>
      <c r="I397" s="2">
        <f>IFERROR(__xludf.DUMMYFUNCTION("""COMPUTED_VALUE"""),66.5)</f>
        <v/>
      </c>
      <c r="J397" s="2">
        <f>IFERROR(__xludf.DUMMYFUNCTION("""COMPUTED_VALUE"""),33.0)</f>
        <v/>
      </c>
      <c r="K397" s="2">
        <f>IFERROR(__xludf.DUMMYFUNCTION("""COMPUTED_VALUE"""),30.0)</f>
        <v/>
      </c>
      <c r="L397" s="2">
        <f>IFERROR(__xludf.DUMMYFUNCTION("""COMPUTED_VALUE"""),"Лампа светодиодная LED-ШАР-standard")</f>
        <v/>
      </c>
      <c r="M397" s="2">
        <f>IFERROR(__xludf.DUMMYFUNCTION("""COMPUTED_VALUE"""),"Лампы")</f>
        <v/>
      </c>
    </row>
    <row r="398">
      <c r="A398" s="5">
        <f>IFERROR(__xludf.DUMMYFUNCTION("""COMPUTED_VALUE"""),"4690612010236-5")</f>
        <v/>
      </c>
      <c r="B398" s="5">
        <f>IFERROR(__xludf.DUMMYFUNCTION("""COMPUTED_VALUE"""),"(5 штук) Вилка прямая с заземлением каучук 16А IP44 черная Комплект 5 штук IN HOME")</f>
        <v/>
      </c>
      <c r="C398" s="2">
        <f>IFERROR(__xludf.DUMMYFUNCTION("""COMPUTED_VALUE"""),0.051)</f>
        <v/>
      </c>
      <c r="D398" s="2">
        <f>IFERROR(__xludf.DUMMYFUNCTION("""COMPUTED_VALUE"""),2.0E-4)</f>
        <v/>
      </c>
      <c r="E398" s="2">
        <f>IFERROR(__xludf.DUMMYFUNCTION("""COMPUTED_VALUE"""),293.55)</f>
        <v/>
      </c>
      <c r="F398" s="2">
        <f>IFERROR(__xludf.DUMMYFUNCTION("""COMPUTED_VALUE"""),322.0)</f>
        <v/>
      </c>
      <c r="G398" s="2">
        <f>IFERROR(__xludf.DUMMYFUNCTION("""COMPUTED_VALUE"""),376.0)</f>
        <v/>
      </c>
      <c r="H398" s="2">
        <f>IFERROR(__xludf.DUMMYFUNCTION("""COMPUTED_VALUE"""),423.0)</f>
        <v/>
      </c>
      <c r="I398" s="2">
        <f>IFERROR(__xludf.DUMMYFUNCTION("""COMPUTED_VALUE"""),470.0)</f>
        <v/>
      </c>
      <c r="J398" s="2">
        <f>IFERROR(__xludf.DUMMYFUNCTION("""COMPUTED_VALUE"""),235.0)</f>
        <v/>
      </c>
      <c r="K398" s="2">
        <f>IFERROR(__xludf.DUMMYFUNCTION("""COMPUTED_VALUE"""),3.0)</f>
        <v/>
      </c>
      <c r="L398" s="2">
        <f>IFERROR(__xludf.DUMMYFUNCTION("""COMPUTED_VALUE"""),"Розетки, вилки производство, упаковка")</f>
        <v/>
      </c>
      <c r="M398" s="2">
        <f>IFERROR(__xludf.DUMMYFUNCTION("""COMPUTED_VALUE"""),"Прочие товары")</f>
        <v/>
      </c>
    </row>
    <row r="399">
      <c r="A399" s="5">
        <f>IFERROR(__xludf.DUMMYFUNCTION("""COMPUTED_VALUE"""),"4690612035772")</f>
        <v/>
      </c>
      <c r="B399" s="5">
        <f>IFERROR(__xludf.DUMMYFUNCTION("""COMPUTED_VALUE"""),"GEO SUN 120Вт 230В 3000-6500К 8400Лм 500x50мм с пультом ДУ IN HOME")</f>
        <v/>
      </c>
      <c r="C399" s="2">
        <f>IFERROR(__xludf.DUMMYFUNCTION("""COMPUTED_VALUE"""),3.14)</f>
        <v/>
      </c>
      <c r="D399" s="2">
        <f>IFERROR(__xludf.DUMMYFUNCTION("""COMPUTED_VALUE"""),0.024)</f>
        <v/>
      </c>
      <c r="E399" s="2">
        <f>IFERROR(__xludf.DUMMYFUNCTION("""COMPUTED_VALUE"""),2174.0)</f>
        <v/>
      </c>
      <c r="F399" s="2">
        <f>IFERROR(__xludf.DUMMYFUNCTION("""COMPUTED_VALUE"""),3317.0)</f>
        <v/>
      </c>
      <c r="G399" s="2">
        <f>IFERROR(__xludf.DUMMYFUNCTION("""COMPUTED_VALUE"""),3731.0)</f>
        <v/>
      </c>
      <c r="H399" s="2">
        <f>IFERROR(__xludf.DUMMYFUNCTION("""COMPUTED_VALUE"""),4328.0)</f>
        <v/>
      </c>
      <c r="I399" s="2">
        <f>IFERROR(__xludf.DUMMYFUNCTION("""COMPUTED_VALUE"""),4975.0)</f>
        <v/>
      </c>
      <c r="J399" s="2">
        <f>IFERROR(__xludf.DUMMYFUNCTION("""COMPUTED_VALUE"""),2174.0)</f>
        <v/>
      </c>
      <c r="K399" s="2">
        <f>IFERROR(__xludf.DUMMYFUNCTION("""COMPUTED_VALUE"""),1.0)</f>
        <v/>
      </c>
      <c r="L399" s="2">
        <f>IFERROR(__xludf.DUMMYFUNCTION("""COMPUTED_VALUE"""),"Светильники светодиодные GEO")</f>
        <v/>
      </c>
      <c r="M399" s="2">
        <f>IFERROR(__xludf.DUMMYFUNCTION("""COMPUTED_VALUE"""),"Накладные, Декоративные, LED Светильники")</f>
        <v/>
      </c>
    </row>
    <row r="400">
      <c r="A400" s="5">
        <f>IFERROR(__xludf.DUMMYFUNCTION("""COMPUTED_VALUE"""),"GL8150")</f>
        <v/>
      </c>
      <c r="B400" s="5">
        <f>IFERROR(__xludf.DUMMYFUNCTION("""COMPUTED_VALUE"""),"GLERIO Office Special 48 Вт 4000К 82P-48D-4V-M")</f>
        <v/>
      </c>
      <c r="C400" s="2">
        <f>IFERROR(__xludf.DUMMYFUNCTION("""COMPUTED_VALUE"""),1.14)</f>
        <v/>
      </c>
      <c r="D400" s="2">
        <f>IFERROR(__xludf.DUMMYFUNCTION("""COMPUTED_VALUE"""),0.008190000000000001)</f>
        <v/>
      </c>
      <c r="E400" s="2">
        <f>IFERROR(__xludf.DUMMYFUNCTION("""COMPUTED_VALUE"""),2095.2)</f>
        <v/>
      </c>
      <c r="F400" s="2">
        <f>IFERROR(__xludf.DUMMYFUNCTION("""COMPUTED_VALUE"""),2660.0)</f>
        <v/>
      </c>
      <c r="G400" s="2">
        <f>IFERROR(__xludf.DUMMYFUNCTION("""COMPUTED_VALUE"""),3349.0)</f>
        <v/>
      </c>
      <c r="H400" s="2">
        <f>IFERROR(__xludf.DUMMYFUNCTION("""COMPUTED_VALUE"""),3761.0)</f>
        <v/>
      </c>
      <c r="I400" s="2">
        <f>IFERROR(__xludf.DUMMYFUNCTION("""COMPUTED_VALUE"""),4173.0)</f>
        <v/>
      </c>
      <c r="J400" s="2">
        <f>IFERROR(__xludf.DUMMYFUNCTION("""COMPUTED_VALUE"""),2087.0)</f>
        <v/>
      </c>
      <c r="K400" s="2">
        <f>IFERROR(__xludf.DUMMYFUNCTION("""COMPUTED_VALUE"""),3.0)</f>
        <v/>
      </c>
      <c r="L400" s="2">
        <f>IFERROR(__xludf.DUMMYFUNCTION("""COMPUTED_VALUE"""),"Office Special (Офис Премиум) до 10.2025")</f>
        <v/>
      </c>
      <c r="M400" s="2">
        <f>IFERROR(__xludf.DUMMYFUNCTION("""COMPUTED_VALUE"""),"Встраиваемые, Накладные, LED Светильники")</f>
        <v/>
      </c>
    </row>
    <row r="401">
      <c r="A401" s="5">
        <f>IFERROR(__xludf.DUMMYFUNCTION("""COMPUTED_VALUE"""),"4690612042589")</f>
        <v/>
      </c>
      <c r="B401" s="5">
        <f>IFERROR(__xludf.DUMMYFUNCTION("""COMPUTED_VALUE"""),"ДСП-153Н 36Вт 230В 4000К 4500Лм 125лм/Вт 1200мм IP65 NEOX")</f>
        <v/>
      </c>
      <c r="C401" s="2">
        <f>IFERROR(__xludf.DUMMYFUNCTION("""COMPUTED_VALUE"""),0.285)</f>
        <v/>
      </c>
      <c r="D401" s="2">
        <f>IFERROR(__xludf.DUMMYFUNCTION("""COMPUTED_VALUE"""),0.0)</f>
        <v/>
      </c>
      <c r="E401" s="2">
        <f>IFERROR(__xludf.DUMMYFUNCTION("""COMPUTED_VALUE"""),596.28)</f>
        <v/>
      </c>
      <c r="F401" s="2">
        <f>IFERROR(__xludf.DUMMYFUNCTION("""COMPUTED_VALUE"""),463.0)</f>
        <v/>
      </c>
      <c r="G401" s="2">
        <f>IFERROR(__xludf.DUMMYFUNCTION("""COMPUTED_VALUE"""),521.0)</f>
        <v/>
      </c>
      <c r="H401" s="2">
        <f>IFERROR(__xludf.DUMMYFUNCTION("""COMPUTED_VALUE"""),605.0)</f>
        <v/>
      </c>
      <c r="I401" s="2">
        <f>IFERROR(__xludf.DUMMYFUNCTION("""COMPUTED_VALUE"""),695.0)</f>
        <v/>
      </c>
      <c r="J401" s="2">
        <f>IFERROR(__xludf.DUMMYFUNCTION("""COMPUTED_VALUE"""),348.0)</f>
        <v/>
      </c>
      <c r="K401" s="2">
        <f>IFERROR(__xludf.DUMMYFUNCTION("""COMPUTED_VALUE"""),1.0)</f>
        <v/>
      </c>
      <c r="L401" s="2">
        <f>IFERROR(__xludf.DUMMYFUNCTION("""COMPUTED_VALUE"""),"NEOX Светильники LED ДСП")</f>
        <v/>
      </c>
      <c r="M401" s="2">
        <f>IFERROR(__xludf.DUMMYFUNCTION("""COMPUTED_VALUE"""),"Пластиковые (линейные), LED Светильники")</f>
        <v/>
      </c>
    </row>
    <row r="402">
      <c r="A402" s="5">
        <f>IFERROR(__xludf.DUMMYFUNCTION("""COMPUTED_VALUE"""),"4690612030081")</f>
        <v/>
      </c>
      <c r="B402" s="5">
        <f>IFERROR(__xludf.DUMMYFUNCTION("""COMPUTED_VALUE"""),"СДО-8 200Вт 230В 6500К 17000Лм IP65 IN HOME")</f>
        <v/>
      </c>
      <c r="C402" s="2">
        <f>IFERROR(__xludf.DUMMYFUNCTION("""COMPUTED_VALUE"""),2.42)</f>
        <v/>
      </c>
      <c r="D402" s="2">
        <f>IFERROR(__xludf.DUMMYFUNCTION("""COMPUTED_VALUE"""),0.005600000000000001)</f>
        <v/>
      </c>
      <c r="E402" s="2">
        <f>IFERROR(__xludf.DUMMYFUNCTION("""COMPUTED_VALUE"""),2686.41)</f>
        <v/>
      </c>
      <c r="F402" s="2">
        <f>IFERROR(__xludf.DUMMYFUNCTION("""COMPUTED_VALUE"""),2128.0)</f>
        <v/>
      </c>
      <c r="G402" s="2">
        <f>IFERROR(__xludf.DUMMYFUNCTION("""COMPUTED_VALUE"""),2394.0)</f>
        <v/>
      </c>
      <c r="H402" s="2">
        <f>IFERROR(__xludf.DUMMYFUNCTION("""COMPUTED_VALUE"""),2777.0)</f>
        <v/>
      </c>
      <c r="I402" s="2">
        <f>IFERROR(__xludf.DUMMYFUNCTION("""COMPUTED_VALUE"""),3192.0)</f>
        <v/>
      </c>
      <c r="J402" s="2">
        <f>IFERROR(__xludf.DUMMYFUNCTION("""COMPUTED_VALUE"""),1596.0)</f>
        <v/>
      </c>
      <c r="K402" s="2">
        <f>IFERROR(__xludf.DUMMYFUNCTION("""COMPUTED_VALUE"""),1.0)</f>
        <v/>
      </c>
      <c r="L402" s="2">
        <f>IFERROR(__xludf.DUMMYFUNCTION("""COMPUTED_VALUE"""),"Прожекторы светодиодные СДО-8")</f>
        <v/>
      </c>
      <c r="M402" s="2">
        <f>IFERROR(__xludf.DUMMYFUNCTION("""COMPUTED_VALUE"""),"Без датчиков, LED Светильники")</f>
        <v/>
      </c>
    </row>
    <row r="403">
      <c r="A403" s="5">
        <f>IFERROR(__xludf.DUMMYFUNCTION("""COMPUTED_VALUE"""),"GL8250")</f>
        <v/>
      </c>
      <c r="B403" s="5">
        <f>IFERROR(__xludf.DUMMYFUNCTION("""COMPUTED_VALUE"""),"GLERIO Line Shell 36 Вт 4000К 92P-36D-4P-M")</f>
        <v/>
      </c>
      <c r="C403" s="2">
        <f>IFERROR(__xludf.DUMMYFUNCTION("""COMPUTED_VALUE"""),1.575)</f>
        <v/>
      </c>
      <c r="D403" s="2">
        <f>IFERROR(__xludf.DUMMYFUNCTION("""COMPUTED_VALUE"""),0.00495)</f>
        <v/>
      </c>
      <c r="E403" s="2">
        <f>IFERROR(__xludf.DUMMYFUNCTION("""COMPUTED_VALUE"""),2590.04)</f>
        <v/>
      </c>
      <c r="F403" s="2">
        <f>IFERROR(__xludf.DUMMYFUNCTION("""COMPUTED_VALUE"""),3040.0)</f>
        <v/>
      </c>
      <c r="G403" s="2">
        <f>IFERROR(__xludf.DUMMYFUNCTION("""COMPUTED_VALUE"""),3827.0)</f>
        <v/>
      </c>
      <c r="H403" s="2">
        <f>IFERROR(__xludf.DUMMYFUNCTION("""COMPUTED_VALUE"""),4298.0)</f>
        <v/>
      </c>
      <c r="I403" s="2">
        <f>IFERROR(__xludf.DUMMYFUNCTION("""COMPUTED_VALUE"""),4769.0)</f>
        <v/>
      </c>
      <c r="J403" s="2">
        <f>IFERROR(__xludf.DUMMYFUNCTION("""COMPUTED_VALUE"""),2385.0)</f>
        <v/>
      </c>
      <c r="K403" s="2">
        <f>IFERROR(__xludf.DUMMYFUNCTION("""COMPUTED_VALUE"""),18.0)</f>
        <v/>
      </c>
      <c r="L403" s="2">
        <f>IFERROR(__xludf.DUMMYFUNCTION("""COMPUTED_VALUE"""),"Line Shell, Free (Retail) до 10.2025")</f>
        <v/>
      </c>
      <c r="M403" s="2">
        <f>IFERROR(__xludf.DUMMYFUNCTION("""COMPUTED_VALUE"""),"Металлические (линейные), LED Светильники")</f>
        <v/>
      </c>
    </row>
    <row r="404">
      <c r="A404" s="5">
        <f>IFERROR(__xludf.DUMMYFUNCTION("""COMPUTED_VALUE"""),"ms2070")</f>
        <v/>
      </c>
      <c r="B404" s="5">
        <f>IFERROR(__xludf.DUMMYFUNCTION("""COMPUTED_VALUE"""),"Рассеиватель для светильника НСП02-200-021")</f>
        <v/>
      </c>
      <c r="C404" s="2">
        <f>IFERROR(__xludf.DUMMYFUNCTION("""COMPUTED_VALUE"""),0.0)</f>
        <v/>
      </c>
      <c r="D404" s="2">
        <f>IFERROR(__xludf.DUMMYFUNCTION("""COMPUTED_VALUE"""),0.0)</f>
        <v/>
      </c>
      <c r="E404" s="2">
        <f>IFERROR(__xludf.DUMMYFUNCTION("""COMPUTED_VALUE"""),514.75)</f>
        <v/>
      </c>
      <c r="F404" s="2">
        <f>IFERROR(__xludf.DUMMYFUNCTION("""COMPUTED_VALUE"""),161.0)</f>
        <v/>
      </c>
      <c r="G404" s="2">
        <f>IFERROR(__xludf.DUMMYFUNCTION("""COMPUTED_VALUE"""),172.0)</f>
        <v/>
      </c>
      <c r="H404" s="2">
        <f>IFERROR(__xludf.DUMMYFUNCTION("""COMPUTED_VALUE"""),194.0)</f>
        <v/>
      </c>
      <c r="I404" s="2">
        <f>IFERROR(__xludf.DUMMYFUNCTION("""COMPUTED_VALUE"""),215.31)</f>
        <v/>
      </c>
      <c r="J404" s="2">
        <f>IFERROR(__xludf.DUMMYFUNCTION("""COMPUTED_VALUE"""),108.0)</f>
        <v/>
      </c>
      <c r="K404" s="2">
        <f>IFERROR(__xludf.DUMMYFUNCTION("""COMPUTED_VALUE"""),3.0)</f>
        <v/>
      </c>
      <c r="L404" s="2">
        <f>IFERROR(__xludf.DUMMYFUNCTION("""COMPUTED_VALUE"""),"ms2 (тендер)")</f>
        <v/>
      </c>
      <c r="M404" s="2">
        <f>IFERROR(__xludf.DUMMYFUNCTION("""COMPUTED_VALUE"""),"LED Светильники")</f>
        <v/>
      </c>
    </row>
    <row r="405">
      <c r="A405" s="5">
        <f>IFERROR(__xludf.DUMMYFUNCTION("""COMPUTED_VALUE"""),"4690612020600")</f>
        <v/>
      </c>
      <c r="B405" s="5">
        <f>IFERROR(__xludf.DUMMYFUNCTION("""COMPUTED_VALUE"""),"LED-ШАР-VC 11Вт 230В Е27 3000К 1050Лм IN HOME")</f>
        <v/>
      </c>
      <c r="C405" s="2">
        <f>IFERROR(__xludf.DUMMYFUNCTION("""COMPUTED_VALUE"""),0.036)</f>
        <v/>
      </c>
      <c r="D405" s="2">
        <f>IFERROR(__xludf.DUMMYFUNCTION("""COMPUTED_VALUE"""),2.4E-4)</f>
        <v/>
      </c>
      <c r="E405" s="2">
        <f>IFERROR(__xludf.DUMMYFUNCTION("""COMPUTED_VALUE"""),40.2)</f>
        <v/>
      </c>
      <c r="F405" s="2">
        <f>IFERROR(__xludf.DUMMYFUNCTION("""COMPUTED_VALUE"""),46.0)</f>
        <v/>
      </c>
      <c r="G405" s="2">
        <f>IFERROR(__xludf.DUMMYFUNCTION("""COMPUTED_VALUE"""),52.0)</f>
        <v/>
      </c>
      <c r="H405" s="2">
        <f>IFERROR(__xludf.DUMMYFUNCTION("""COMPUTED_VALUE"""),60.0)</f>
        <v/>
      </c>
      <c r="I405" s="2">
        <f>IFERROR(__xludf.DUMMYFUNCTION("""COMPUTED_VALUE"""),69.8)</f>
        <v/>
      </c>
      <c r="J405" s="2">
        <f>IFERROR(__xludf.DUMMYFUNCTION("""COMPUTED_VALUE"""),35.0)</f>
        <v/>
      </c>
      <c r="K405" s="2">
        <f>IFERROR(__xludf.DUMMYFUNCTION("""COMPUTED_VALUE"""),80.0)</f>
        <v/>
      </c>
      <c r="L405" s="2">
        <f>IFERROR(__xludf.DUMMYFUNCTION("""COMPUTED_VALUE"""),"Лампа светодиодная LED-ШАР-standard")</f>
        <v/>
      </c>
      <c r="M405" s="2">
        <f>IFERROR(__xludf.DUMMYFUNCTION("""COMPUTED_VALUE"""),"Лампы")</f>
        <v/>
      </c>
    </row>
    <row r="406">
      <c r="A406" s="5">
        <f>IFERROR(__xludf.DUMMYFUNCTION("""COMPUTED_VALUE"""),"4690612021843")</f>
        <v/>
      </c>
      <c r="B406" s="5">
        <f>IFERROR(__xludf.DUMMYFUNCTION("""COMPUTED_VALUE"""),"DECO СОЗВЕЗДИЕ 24Вт 230В 4000К 2160Лм 330х55мм IN HOME")</f>
        <v/>
      </c>
      <c r="C406" s="2">
        <f>IFERROR(__xludf.DUMMYFUNCTION("""COMPUTED_VALUE"""),0.4400000000000001)</f>
        <v/>
      </c>
      <c r="D406" s="2">
        <f>IFERROR(__xludf.DUMMYFUNCTION("""COMPUTED_VALUE"""),0.00725)</f>
        <v/>
      </c>
      <c r="E406" s="2">
        <f>IFERROR(__xludf.DUMMYFUNCTION("""COMPUTED_VALUE"""),410.89)</f>
        <v/>
      </c>
      <c r="F406" s="2">
        <f>IFERROR(__xludf.DUMMYFUNCTION("""COMPUTED_VALUE"""),473.0)</f>
        <v/>
      </c>
      <c r="G406" s="2">
        <f>IFERROR(__xludf.DUMMYFUNCTION("""COMPUTED_VALUE"""),533.0)</f>
        <v/>
      </c>
      <c r="H406" s="2">
        <f>IFERROR(__xludf.DUMMYFUNCTION("""COMPUTED_VALUE"""),618.0)</f>
        <v/>
      </c>
      <c r="I406" s="2">
        <f>IFERROR(__xludf.DUMMYFUNCTION("""COMPUTED_VALUE"""),710.0)</f>
        <v/>
      </c>
      <c r="J406" s="2">
        <f>IFERROR(__xludf.DUMMYFUNCTION("""COMPUTED_VALUE"""),355.0)</f>
        <v/>
      </c>
      <c r="K406" s="2">
        <f>IFERROR(__xludf.DUMMYFUNCTION("""COMPUTED_VALUE"""),7.0)</f>
        <v/>
      </c>
      <c r="L406" s="2">
        <f>IFERROR(__xludf.DUMMYFUNCTION("""COMPUTED_VALUE"""),"Светильник светодиодный серии DECO")</f>
        <v/>
      </c>
      <c r="M406" s="2">
        <f>IFERROR(__xludf.DUMMYFUNCTION("""COMPUTED_VALUE"""),"Накладные, Декоративные, LED Светильники")</f>
        <v/>
      </c>
    </row>
    <row r="407">
      <c r="A407" s="5">
        <f>IFERROR(__xludf.DUMMYFUNCTION("""COMPUTED_VALUE"""),"G33226")</f>
        <v/>
      </c>
      <c r="B407" s="5">
        <f>IFERROR(__xludf.DUMMYFUNCTION("""COMPUTED_VALUE"""),"Elementary Candle 6W E27 4100K 1/10/50")</f>
        <v/>
      </c>
      <c r="C407" s="2">
        <f>IFERROR(__xludf.DUMMYFUNCTION("""COMPUTED_VALUE"""),0.0)</f>
        <v/>
      </c>
      <c r="D407" s="2">
        <f>IFERROR(__xludf.DUMMYFUNCTION("""COMPUTED_VALUE"""),0.0)</f>
        <v/>
      </c>
      <c r="E407" s="2">
        <f>IFERROR(__xludf.DUMMYFUNCTION("""COMPUTED_VALUE"""),53.17)</f>
        <v/>
      </c>
      <c r="F407" s="2">
        <f>IFERROR(__xludf.DUMMYFUNCTION("""COMPUTED_VALUE"""),57.0)</f>
        <v/>
      </c>
      <c r="G407" s="2">
        <f>IFERROR(__xludf.DUMMYFUNCTION("""COMPUTED_VALUE"""),63.0)</f>
        <v/>
      </c>
      <c r="H407" s="2">
        <f>IFERROR(__xludf.DUMMYFUNCTION("""COMPUTED_VALUE"""),74.0)</f>
        <v/>
      </c>
      <c r="I407" s="2">
        <f>IFERROR(__xludf.DUMMYFUNCTION("""COMPUTED_VALUE"""),93.0)</f>
        <v/>
      </c>
      <c r="J407" s="2">
        <f>IFERROR(__xludf.DUMMYFUNCTION("""COMPUTED_VALUE"""),47.0)</f>
        <v/>
      </c>
      <c r="K407" s="2">
        <f>IFERROR(__xludf.DUMMYFUNCTION("""COMPUTED_VALUE"""),12.0)</f>
        <v/>
      </c>
      <c r="L407" s="2">
        <f>IFERROR(__xludf.DUMMYFUNCTION("""COMPUTED_VALUE"""),"Свечи")</f>
        <v/>
      </c>
      <c r="M407" s="2">
        <f>IFERROR(__xludf.DUMMYFUNCTION("""COMPUTED_VALUE"""),"Лампы")</f>
        <v/>
      </c>
    </row>
    <row r="408">
      <c r="A408" s="5">
        <f>IFERROR(__xludf.DUMMYFUNCTION("""COMPUTED_VALUE"""),"4690612038032")</f>
        <v/>
      </c>
      <c r="B408" s="5">
        <f>IFERROR(__xludf.DUMMYFUNCTION("""COMPUTED_VALUE"""),"LED-MO-PRO 10Вт 12-48В Е27 4000К 900Лм IN HOME")</f>
        <v/>
      </c>
      <c r="C408" s="2">
        <f>IFERROR(__xludf.DUMMYFUNCTION("""COMPUTED_VALUE"""),0.036)</f>
        <v/>
      </c>
      <c r="D408" s="2">
        <f>IFERROR(__xludf.DUMMYFUNCTION("""COMPUTED_VALUE"""),4.0E-4)</f>
        <v/>
      </c>
      <c r="E408" s="2">
        <f>IFERROR(__xludf.DUMMYFUNCTION("""COMPUTED_VALUE"""),99.60000000000001)</f>
        <v/>
      </c>
      <c r="F408" s="2">
        <f>IFERROR(__xludf.DUMMYFUNCTION("""COMPUTED_VALUE"""),128.0)</f>
        <v/>
      </c>
      <c r="G408" s="2">
        <f>IFERROR(__xludf.DUMMYFUNCTION("""COMPUTED_VALUE"""),144.0)</f>
        <v/>
      </c>
      <c r="H408" s="2">
        <f>IFERROR(__xludf.DUMMYFUNCTION("""COMPUTED_VALUE"""),167.0)</f>
        <v/>
      </c>
      <c r="I408" s="2">
        <f>IFERROR(__xludf.DUMMYFUNCTION("""COMPUTED_VALUE"""),191.9)</f>
        <v/>
      </c>
      <c r="J408" s="2">
        <f>IFERROR(__xludf.DUMMYFUNCTION("""COMPUTED_VALUE"""),96.0)</f>
        <v/>
      </c>
      <c r="K408" s="2">
        <f>IFERROR(__xludf.DUMMYFUNCTION("""COMPUTED_VALUE"""),7.0)</f>
        <v/>
      </c>
      <c r="L408" s="2">
        <f>IFERROR(__xludf.DUMMYFUNCTION("""COMPUTED_VALUE"""),"Лампа светодиодная HP MO")</f>
        <v/>
      </c>
      <c r="M408" s="2">
        <f>IFERROR(__xludf.DUMMYFUNCTION("""COMPUTED_VALUE"""),"Лампы")</f>
        <v/>
      </c>
    </row>
    <row r="409">
      <c r="A409" s="5">
        <f>IFERROR(__xludf.DUMMYFUNCTION("""COMPUTED_VALUE"""),"12-0150")</f>
        <v/>
      </c>
      <c r="B409" s="5">
        <f>IFERROR(__xludf.DUMMYFUNCTION("""COMPUTED_VALUE"""),"Паяльная станция (160-520 град.) цифровой дисплей 220 V/48 Вт REXANT")</f>
        <v/>
      </c>
      <c r="C409" s="2">
        <f>IFERROR(__xludf.DUMMYFUNCTION("""COMPUTED_VALUE"""),0.0)</f>
        <v/>
      </c>
      <c r="D409" s="2">
        <f>IFERROR(__xludf.DUMMYFUNCTION("""COMPUTED_VALUE"""),0.0)</f>
        <v/>
      </c>
      <c r="E409" s="2">
        <f>IFERROR(__xludf.DUMMYFUNCTION("""COMPUTED_VALUE"""),1.0)</f>
        <v/>
      </c>
      <c r="F409" s="2">
        <f>IFERROR(__xludf.DUMMYFUNCTION("""COMPUTED_VALUE"""),4056.0)</f>
        <v/>
      </c>
      <c r="G409" s="2">
        <f>IFERROR(__xludf.DUMMYFUNCTION("""COMPUTED_VALUE"""),4326.0)</f>
        <v/>
      </c>
      <c r="H409" s="2">
        <f>IFERROR(__xludf.DUMMYFUNCTION("""COMPUTED_VALUE"""),4867.0)</f>
        <v/>
      </c>
      <c r="I409" s="2">
        <f>IFERROR(__xludf.DUMMYFUNCTION("""COMPUTED_VALUE"""),5407.38)</f>
        <v/>
      </c>
      <c r="J409" s="2">
        <f>IFERROR(__xludf.DUMMYFUNCTION("""COMPUTED_VALUE"""),2704.0)</f>
        <v/>
      </c>
      <c r="K409" s="2">
        <f>IFERROR(__xludf.DUMMYFUNCTION("""COMPUTED_VALUE"""),5.0)</f>
        <v/>
      </c>
      <c r="L409" s="2">
        <f>IFERROR(__xludf.DUMMYFUNCTION("""COMPUTED_VALUE"""),"Rexant")</f>
        <v/>
      </c>
      <c r="M409" s="2">
        <f>IFERROR(__xludf.DUMMYFUNCTION("""COMPUTED_VALUE"""),"Прочие товары")</f>
        <v/>
      </c>
    </row>
    <row r="410">
      <c r="A410" s="5">
        <f>IFERROR(__xludf.DUMMYFUNCTION("""COMPUTED_VALUE"""),"12-0151")</f>
        <v/>
      </c>
      <c r="B410" s="5">
        <f>IFERROR(__xludf.DUMMYFUNCTION("""COMPUTED_VALUE"""),"Паяльная станция (160-500 град.) 220 V/48 Вт REXANT")</f>
        <v/>
      </c>
      <c r="C410" s="2">
        <f>IFERROR(__xludf.DUMMYFUNCTION("""COMPUTED_VALUE"""),0.0)</f>
        <v/>
      </c>
      <c r="D410" s="2">
        <f>IFERROR(__xludf.DUMMYFUNCTION("""COMPUTED_VALUE"""),0.0)</f>
        <v/>
      </c>
      <c r="E410" s="2">
        <f>IFERROR(__xludf.DUMMYFUNCTION("""COMPUTED_VALUE"""),1.0)</f>
        <v/>
      </c>
      <c r="F410" s="2">
        <f>IFERROR(__xludf.DUMMYFUNCTION("""COMPUTED_VALUE"""),2062.0)</f>
        <v/>
      </c>
      <c r="G410" s="2">
        <f>IFERROR(__xludf.DUMMYFUNCTION("""COMPUTED_VALUE"""),2200.0)</f>
        <v/>
      </c>
      <c r="H410" s="2">
        <f>IFERROR(__xludf.DUMMYFUNCTION("""COMPUTED_VALUE"""),2475.0)</f>
        <v/>
      </c>
      <c r="I410" s="2">
        <f>IFERROR(__xludf.DUMMYFUNCTION("""COMPUTED_VALUE"""),2749.5)</f>
        <v/>
      </c>
      <c r="J410" s="2">
        <f>IFERROR(__xludf.DUMMYFUNCTION("""COMPUTED_VALUE"""),1375.0)</f>
        <v/>
      </c>
      <c r="K410" s="2">
        <f>IFERROR(__xludf.DUMMYFUNCTION("""COMPUTED_VALUE"""),3.0)</f>
        <v/>
      </c>
      <c r="L410" s="2">
        <f>IFERROR(__xludf.DUMMYFUNCTION("""COMPUTED_VALUE"""),"Rexant")</f>
        <v/>
      </c>
      <c r="M410" s="2">
        <f>IFERROR(__xludf.DUMMYFUNCTION("""COMPUTED_VALUE"""),"Прочие товары")</f>
        <v/>
      </c>
    </row>
    <row r="411">
      <c r="A411" s="5">
        <f>IFERROR(__xludf.DUMMYFUNCTION("""COMPUTED_VALUE"""),"4690612036540")</f>
        <v/>
      </c>
      <c r="B411" s="5">
        <f>IFERROR(__xludf.DUMMYFUNCTION("""COMPUTED_VALUE"""),"ССО 07Ч 12Вт 3000-6500К 600Лм сенсор-диммер, с адаптером ЧЕРНЫЙ IN HOME")</f>
        <v/>
      </c>
      <c r="C411" s="2">
        <f>IFERROR(__xludf.DUMMYFUNCTION("""COMPUTED_VALUE"""),0.7300000000000001)</f>
        <v/>
      </c>
      <c r="D411" s="2">
        <f>IFERROR(__xludf.DUMMYFUNCTION("""COMPUTED_VALUE"""),0.004330000000000001)</f>
        <v/>
      </c>
      <c r="E411" s="2">
        <f>IFERROR(__xludf.DUMMYFUNCTION("""COMPUTED_VALUE"""),950.49)</f>
        <v/>
      </c>
      <c r="F411" s="2">
        <f>IFERROR(__xludf.DUMMYFUNCTION("""COMPUTED_VALUE"""),1089.0)</f>
        <v/>
      </c>
      <c r="G411" s="2">
        <f>IFERROR(__xludf.DUMMYFUNCTION("""COMPUTED_VALUE"""),1225.0)</f>
        <v/>
      </c>
      <c r="H411" s="2">
        <f>IFERROR(__xludf.DUMMYFUNCTION("""COMPUTED_VALUE"""),1421.0)</f>
        <v/>
      </c>
      <c r="I411" s="2">
        <f>IFERROR(__xludf.DUMMYFUNCTION("""COMPUTED_VALUE"""),1634.0)</f>
        <v/>
      </c>
      <c r="J411" s="2">
        <f>IFERROR(__xludf.DUMMYFUNCTION("""COMPUTED_VALUE"""),817.0)</f>
        <v/>
      </c>
      <c r="K411" s="2">
        <f>IFERROR(__xludf.DUMMYFUNCTION("""COMPUTED_VALUE"""),13.0)</f>
        <v/>
      </c>
      <c r="L411" s="2">
        <f>IFERROR(__xludf.DUMMYFUNCTION("""COMPUTED_VALUE"""),"Светильники настольные светодиодные")</f>
        <v/>
      </c>
      <c r="M411" s="2">
        <f>IFERROR(__xludf.DUMMYFUNCTION("""COMPUTED_VALUE"""),"Светильники общего назначения (LED), Декоративные, LED Светильники")</f>
        <v/>
      </c>
    </row>
    <row r="412">
      <c r="A412" s="5">
        <f>IFERROR(__xludf.DUMMYFUNCTION("""COMPUTED_VALUE"""),"4690612038117")</f>
        <v/>
      </c>
      <c r="B412" s="5">
        <f>IFERROR(__xludf.DUMMYFUNCTION("""COMPUTED_VALUE"""),"ДСП-155 36Вт 230В 4000К 4500Лм 125Лм/Вт 1200мм линкаб. IP65 NEOX")</f>
        <v/>
      </c>
      <c r="C412" s="2">
        <f>IFERROR(__xludf.DUMMYFUNCTION("""COMPUTED_VALUE"""),0.325)</f>
        <v/>
      </c>
      <c r="D412" s="2">
        <f>IFERROR(__xludf.DUMMYFUNCTION("""COMPUTED_VALUE"""),0.0035)</f>
        <v/>
      </c>
      <c r="E412" s="2">
        <f>IFERROR(__xludf.DUMMYFUNCTION("""COMPUTED_VALUE"""),621.87)</f>
        <v/>
      </c>
      <c r="F412" s="2">
        <f>IFERROR(__xludf.DUMMYFUNCTION("""COMPUTED_VALUE"""),765.0)</f>
        <v/>
      </c>
      <c r="G412" s="2">
        <f>IFERROR(__xludf.DUMMYFUNCTION("""COMPUTED_VALUE"""),860.0)</f>
        <v/>
      </c>
      <c r="H412" s="2">
        <f>IFERROR(__xludf.DUMMYFUNCTION("""COMPUTED_VALUE"""),998.0)</f>
        <v/>
      </c>
      <c r="I412" s="2">
        <f>IFERROR(__xludf.DUMMYFUNCTION("""COMPUTED_VALUE"""),1147.0)</f>
        <v/>
      </c>
      <c r="J412" s="2">
        <f>IFERROR(__xludf.DUMMYFUNCTION("""COMPUTED_VALUE"""),574.0)</f>
        <v/>
      </c>
      <c r="K412" s="2">
        <f>IFERROR(__xludf.DUMMYFUNCTION("""COMPUTED_VALUE"""),5.0)</f>
        <v/>
      </c>
      <c r="L412" s="2">
        <f>IFERROR(__xludf.DUMMYFUNCTION("""COMPUTED_VALUE"""),"NEOX Светильники LED ДСП")</f>
        <v/>
      </c>
      <c r="M412" s="2">
        <f>IFERROR(__xludf.DUMMYFUNCTION("""COMPUTED_VALUE"""),"Пластиковые (линейные), LED Светильники")</f>
        <v/>
      </c>
    </row>
    <row r="413">
      <c r="A413" s="5">
        <f>IFERROR(__xludf.DUMMYFUNCTION("""COMPUTED_VALUE"""),"GL8280-BAP")</f>
        <v/>
      </c>
      <c r="B413" s="5">
        <f>IFERROR(__xludf.DUMMYFUNCTION("""COMPUTED_VALUE"""),"GLERIO Line Ultra 36 Вт 94P-36D-4N-M с БАП")</f>
        <v/>
      </c>
      <c r="C413" s="2">
        <f>IFERROR(__xludf.DUMMYFUNCTION("""COMPUTED_VALUE"""),0.7200000000000001)</f>
        <v/>
      </c>
      <c r="D413" s="2">
        <f>IFERROR(__xludf.DUMMYFUNCTION("""COMPUTED_VALUE"""),0.0048)</f>
        <v/>
      </c>
      <c r="E413" s="2">
        <f>IFERROR(__xludf.DUMMYFUNCTION("""COMPUTED_VALUE"""),5114.6)</f>
        <v/>
      </c>
      <c r="F413" s="2">
        <f>IFERROR(__xludf.DUMMYFUNCTION("""COMPUTED_VALUE"""),5530.0)</f>
        <v/>
      </c>
      <c r="G413" s="2">
        <f>IFERROR(__xludf.DUMMYFUNCTION("""COMPUTED_VALUE"""),6962.0)</f>
        <v/>
      </c>
      <c r="H413" s="2">
        <f>IFERROR(__xludf.DUMMYFUNCTION("""COMPUTED_VALUE"""),7819.0)</f>
        <v/>
      </c>
      <c r="I413" s="2">
        <f>IFERROR(__xludf.DUMMYFUNCTION("""COMPUTED_VALUE"""),8675.0)</f>
        <v/>
      </c>
      <c r="J413" s="2">
        <f>IFERROR(__xludf.DUMMYFUNCTION("""COMPUTED_VALUE"""),4338.0)</f>
        <v/>
      </c>
      <c r="K413" s="2">
        <f>IFERROR(__xludf.DUMMYFUNCTION("""COMPUTED_VALUE"""),1.0)</f>
        <v/>
      </c>
      <c r="L413" s="2">
        <f>IFERROR(__xludf.DUMMYFUNCTION("""COMPUTED_VALUE"""),"Line Ultra (Сеть) до 10.2025")</f>
        <v/>
      </c>
      <c r="M413" s="2">
        <f>IFERROR(__xludf.DUMMYFUNCTION("""COMPUTED_VALUE"""),"Пластиковые (линейные), LED Светильники")</f>
        <v/>
      </c>
    </row>
    <row r="414">
      <c r="A414" s="5">
        <f>IFERROR(__xludf.DUMMYFUNCTION("""COMPUTED_VALUE"""),"13-0003")</f>
        <v/>
      </c>
      <c r="B414" s="5">
        <f>IFERROR(__xludf.DUMMYFUNCTION("""COMPUTED_VALUE"""),"Токовые клещи UNI-T UT205")</f>
        <v/>
      </c>
      <c r="C414" s="2">
        <f>IFERROR(__xludf.DUMMYFUNCTION("""COMPUTED_VALUE"""),0.0)</f>
        <v/>
      </c>
      <c r="D414" s="2">
        <f>IFERROR(__xludf.DUMMYFUNCTION("""COMPUTED_VALUE"""),0.0)</f>
        <v/>
      </c>
      <c r="E414" s="2">
        <f>IFERROR(__xludf.DUMMYFUNCTION("""COMPUTED_VALUE"""),1.0)</f>
        <v/>
      </c>
      <c r="F414" s="2">
        <f>IFERROR(__xludf.DUMMYFUNCTION("""COMPUTED_VALUE"""),7602.0)</f>
        <v/>
      </c>
      <c r="G414" s="2">
        <f>IFERROR(__xludf.DUMMYFUNCTION("""COMPUTED_VALUE"""),8109.0)</f>
        <v/>
      </c>
      <c r="H414" s="2">
        <f>IFERROR(__xludf.DUMMYFUNCTION("""COMPUTED_VALUE"""),9123.0)</f>
        <v/>
      </c>
      <c r="I414" s="2">
        <f>IFERROR(__xludf.DUMMYFUNCTION("""COMPUTED_VALUE"""),10136.34)</f>
        <v/>
      </c>
      <c r="J414" s="2">
        <f>IFERROR(__xludf.DUMMYFUNCTION("""COMPUTED_VALUE"""),5068.0)</f>
        <v/>
      </c>
      <c r="K414" s="2">
        <f>IFERROR(__xludf.DUMMYFUNCTION("""COMPUTED_VALUE"""),1.0)</f>
        <v/>
      </c>
      <c r="L414" s="2">
        <f>IFERROR(__xludf.DUMMYFUNCTION("""COMPUTED_VALUE"""),"Rexant")</f>
        <v/>
      </c>
      <c r="M414" s="2">
        <f>IFERROR(__xludf.DUMMYFUNCTION("""COMPUTED_VALUE"""),"Прочие товары")</f>
        <v/>
      </c>
    </row>
    <row r="415">
      <c r="A415" s="5">
        <f>IFERROR(__xludf.DUMMYFUNCTION("""COMPUTED_VALUE"""),"R100317")</f>
        <v/>
      </c>
      <c r="B415" s="5">
        <f>IFERROR(__xludf.DUMMYFUNCTION("""COMPUTED_VALUE"""),"RSV-SPP-20W-4000K-IP65")</f>
        <v/>
      </c>
      <c r="C415" s="2">
        <f>IFERROR(__xludf.DUMMYFUNCTION("""COMPUTED_VALUE"""),0.405)</f>
        <v/>
      </c>
      <c r="D415" s="2">
        <f>IFERROR(__xludf.DUMMYFUNCTION("""COMPUTED_VALUE"""),0.00608)</f>
        <v/>
      </c>
      <c r="E415" s="2">
        <f>IFERROR(__xludf.DUMMYFUNCTION("""COMPUTED_VALUE"""),242.68)</f>
        <v/>
      </c>
      <c r="F415" s="2">
        <f>IFERROR(__xludf.DUMMYFUNCTION("""COMPUTED_VALUE"""),232.0)</f>
        <v/>
      </c>
      <c r="G415" s="2">
        <f>IFERROR(__xludf.DUMMYFUNCTION("""COMPUTED_VALUE"""),273.0)</f>
        <v/>
      </c>
      <c r="H415" s="2">
        <f>IFERROR(__xludf.DUMMYFUNCTION("""COMPUTED_VALUE"""),281.0)</f>
        <v/>
      </c>
      <c r="I415" s="2">
        <f>IFERROR(__xludf.DUMMYFUNCTION("""COMPUTED_VALUE"""),324.0)</f>
        <v/>
      </c>
      <c r="J415" s="2">
        <f>IFERROR(__xludf.DUMMYFUNCTION("""COMPUTED_VALUE"""),162.0)</f>
        <v/>
      </c>
      <c r="K415" s="2">
        <f>IFERROR(__xludf.DUMMYFUNCTION("""COMPUTED_VALUE"""),6.0)</f>
        <v/>
      </c>
      <c r="L415" s="2">
        <f>IFERROR(__xludf.DUMMYFUNCTION("""COMPUTED_VALUE"""),"ЖКХ светильники RSV")</f>
        <v/>
      </c>
      <c r="M415" s="2">
        <f>IFERROR(__xludf.DUMMYFUNCTION("""COMPUTED_VALUE"""),"Без датчиков, LED Светильники")</f>
        <v/>
      </c>
    </row>
    <row r="416">
      <c r="A416" s="5">
        <f>IFERROR(__xludf.DUMMYFUNCTION("""COMPUTED_VALUE"""),"12-4901-2")</f>
        <v/>
      </c>
      <c r="B416" s="5">
        <f>IFERROR(__xludf.DUMMYFUNCTION("""COMPUTED_VALUE"""),"Мультитул 12 в 1 Rexant")</f>
        <v/>
      </c>
      <c r="C416" s="2">
        <f>IFERROR(__xludf.DUMMYFUNCTION("""COMPUTED_VALUE"""),0.0)</f>
        <v/>
      </c>
      <c r="D416" s="2">
        <f>IFERROR(__xludf.DUMMYFUNCTION("""COMPUTED_VALUE"""),0.0)</f>
        <v/>
      </c>
      <c r="E416" s="2">
        <f>IFERROR(__xludf.DUMMYFUNCTION("""COMPUTED_VALUE"""),1.0)</f>
        <v/>
      </c>
      <c r="F416" s="2">
        <f>IFERROR(__xludf.DUMMYFUNCTION("""COMPUTED_VALUE"""),1126.0)</f>
        <v/>
      </c>
      <c r="G416" s="2">
        <f>IFERROR(__xludf.DUMMYFUNCTION("""COMPUTED_VALUE"""),1201.0)</f>
        <v/>
      </c>
      <c r="H416" s="2">
        <f>IFERROR(__xludf.DUMMYFUNCTION("""COMPUTED_VALUE"""),1351.0)</f>
        <v/>
      </c>
      <c r="I416" s="2">
        <f>IFERROR(__xludf.DUMMYFUNCTION("""COMPUTED_VALUE"""),1500.84)</f>
        <v/>
      </c>
      <c r="J416" s="2">
        <f>IFERROR(__xludf.DUMMYFUNCTION("""COMPUTED_VALUE"""),750.0)</f>
        <v/>
      </c>
      <c r="K416" s="2">
        <f>IFERROR(__xludf.DUMMYFUNCTION("""COMPUTED_VALUE"""),3.0)</f>
        <v/>
      </c>
      <c r="L416" s="2">
        <f>IFERROR(__xludf.DUMMYFUNCTION("""COMPUTED_VALUE"""),"Rexant")</f>
        <v/>
      </c>
      <c r="M416" s="2">
        <f>IFERROR(__xludf.DUMMYFUNCTION("""COMPUTED_VALUE"""),"Прочие товары")</f>
        <v/>
      </c>
    </row>
    <row r="417">
      <c r="A417" s="5">
        <f>IFERROR(__xludf.DUMMYFUNCTION("""COMPUTED_VALUE"""),"4690612052991")</f>
        <v/>
      </c>
      <c r="B417" s="5">
        <f>IFERROR(__xludf.DUMMYFUNCTION("""COMPUTED_VALUE"""),"ДВО-01 4565-ПРИЗМА 45Вт 6500К 180х1195х19 NEOX")</f>
        <v/>
      </c>
      <c r="C417" s="2">
        <f>IFERROR(__xludf.DUMMYFUNCTION("""COMPUTED_VALUE"""),1.21)</f>
        <v/>
      </c>
      <c r="D417" s="2">
        <f>IFERROR(__xludf.DUMMYFUNCTION("""COMPUTED_VALUE"""),0.00525)</f>
        <v/>
      </c>
      <c r="E417" s="2">
        <f>IFERROR(__xludf.DUMMYFUNCTION("""COMPUTED_VALUE"""),654.26)</f>
        <v/>
      </c>
      <c r="F417" s="2">
        <f>IFERROR(__xludf.DUMMYFUNCTION("""COMPUTED_VALUE"""),696.0)</f>
        <v/>
      </c>
      <c r="G417" s="2">
        <f>IFERROR(__xludf.DUMMYFUNCTION("""COMPUTED_VALUE"""),783.0)</f>
        <v/>
      </c>
      <c r="H417" s="2">
        <f>IFERROR(__xludf.DUMMYFUNCTION("""COMPUTED_VALUE"""),908.0)</f>
        <v/>
      </c>
      <c r="I417" s="2">
        <f>IFERROR(__xludf.DUMMYFUNCTION("""COMPUTED_VALUE"""),1044.0)</f>
        <v/>
      </c>
      <c r="J417" s="2">
        <f>IFERROR(__xludf.DUMMYFUNCTION("""COMPUTED_VALUE"""),522.0)</f>
        <v/>
      </c>
      <c r="K417" s="2">
        <f>IFERROR(__xludf.DUMMYFUNCTION("""COMPUTED_VALUE"""),7.0)</f>
        <v/>
      </c>
      <c r="L417" s="2">
        <f>IFERROR(__xludf.DUMMYFUNCTION("""COMPUTED_VALUE"""),"NEOX Светильники LED ДВО")</f>
        <v/>
      </c>
      <c r="M417" s="2">
        <f>IFERROR(__xludf.DUMMYFUNCTION("""COMPUTED_VALUE"""),"Светильники общего назначения (LED), Встраиваемые, Накладные, Встраиваемые, LED Светильники")</f>
        <v/>
      </c>
    </row>
    <row r="418">
      <c r="A418" s="5">
        <f>IFERROR(__xludf.DUMMYFUNCTION("""COMPUTED_VALUE"""),"4690612053066-1")</f>
        <v/>
      </c>
      <c r="B418" s="5">
        <f>IFERROR(__xludf.DUMMYFUNCTION("""COMPUTED_VALUE"""),"ДВО-02 5065-ОПАЛ 50Вт 6500К 595х595х25 NEOX (в индивид. упак.)")</f>
        <v/>
      </c>
      <c r="C418" s="2">
        <f>IFERROR(__xludf.DUMMYFUNCTION("""COMPUTED_VALUE"""),0.0)</f>
        <v/>
      </c>
      <c r="D418" s="2">
        <f>IFERROR(__xludf.DUMMYFUNCTION("""COMPUTED_VALUE"""),0.0)</f>
        <v/>
      </c>
      <c r="E418" s="2">
        <f>IFERROR(__xludf.DUMMYFUNCTION("""COMPUTED_VALUE"""),1551.92)</f>
        <v/>
      </c>
      <c r="F418" s="2">
        <f>IFERROR(__xludf.DUMMYFUNCTION("""COMPUTED_VALUE"""),1703.0)</f>
        <v/>
      </c>
      <c r="G418" s="2">
        <f>IFERROR(__xludf.DUMMYFUNCTION("""COMPUTED_VALUE"""),1986.0)</f>
        <v/>
      </c>
      <c r="H418" s="2">
        <f>IFERROR(__xludf.DUMMYFUNCTION("""COMPUTED_VALUE"""),2235.0)</f>
        <v/>
      </c>
      <c r="I418" s="2">
        <f>IFERROR(__xludf.DUMMYFUNCTION("""COMPUTED_VALUE"""),2483.0)</f>
        <v/>
      </c>
      <c r="J418" s="2">
        <f>IFERROR(__xludf.DUMMYFUNCTION("""COMPUTED_VALUE"""),1242.0)</f>
        <v/>
      </c>
      <c r="K418" s="2">
        <f>IFERROR(__xludf.DUMMYFUNCTION("""COMPUTED_VALUE"""),2.0)</f>
        <v/>
      </c>
      <c r="L418" s="2">
        <f>IFERROR(__xludf.DUMMYFUNCTION("""COMPUTED_VALUE"""),"NEOX Светильники LED ДВО - Опал производство, упаковка")</f>
        <v/>
      </c>
      <c r="M418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/>
      </c>
    </row>
    <row r="419">
      <c r="A419" s="5">
        <f>IFERROR(__xludf.DUMMYFUNCTION("""COMPUTED_VALUE"""),"GL8440")</f>
        <v/>
      </c>
      <c r="B419" s="5">
        <f>IFERROR(__xludf.DUMMYFUNCTION("""COMPUTED_VALUE"""),"GLERIO Indoor 8 Вт 4000К 10P-8D-4N-M-S-PS")</f>
        <v/>
      </c>
      <c r="C419" s="2">
        <f>IFERROR(__xludf.DUMMYFUNCTION("""COMPUTED_VALUE"""),0.15)</f>
        <v/>
      </c>
      <c r="D419" s="2">
        <f>IFERROR(__xludf.DUMMYFUNCTION("""COMPUTED_VALUE"""),6.600000000000001E-4)</f>
        <v/>
      </c>
      <c r="E419" s="2">
        <f>IFERROR(__xludf.DUMMYFUNCTION("""COMPUTED_VALUE"""),620.8000000000001)</f>
        <v/>
      </c>
      <c r="F419" s="2">
        <f>IFERROR(__xludf.DUMMYFUNCTION("""COMPUTED_VALUE"""),730.0)</f>
        <v/>
      </c>
      <c r="G419" s="2">
        <f>IFERROR(__xludf.DUMMYFUNCTION("""COMPUTED_VALUE"""),919.0)</f>
        <v/>
      </c>
      <c r="H419" s="2">
        <f>IFERROR(__xludf.DUMMYFUNCTION("""COMPUTED_VALUE"""),1032.0)</f>
        <v/>
      </c>
      <c r="I419" s="2">
        <f>IFERROR(__xludf.DUMMYFUNCTION("""COMPUTED_VALUE"""),1145.0)</f>
        <v/>
      </c>
      <c r="J419" s="2">
        <f>IFERROR(__xludf.DUMMYFUNCTION("""COMPUTED_VALUE"""),573.0)</f>
        <v/>
      </c>
      <c r="K419" s="2">
        <f>IFERROR(__xludf.DUMMYFUNCTION("""COMPUTED_VALUE"""),8.0)</f>
        <v/>
      </c>
      <c r="L419" s="2">
        <f>IFERROR(__xludf.DUMMYFUNCTION("""COMPUTED_VALUE"""),"Indoor GLERIO (ЖКХ) до 10.2025")</f>
        <v/>
      </c>
      <c r="M419" s="2">
        <f>IFERROR(__xludf.DUMMYFUNCTION("""COMPUTED_VALUE"""),"С датчиками, LED Светильники")</f>
        <v/>
      </c>
    </row>
    <row r="420">
      <c r="A420" s="5">
        <f>IFERROR(__xludf.DUMMYFUNCTION("""COMPUTED_VALUE"""),"4690612053134")</f>
        <v/>
      </c>
      <c r="B420" s="5">
        <f>IFERROR(__xludf.DUMMYFUNCTION("""COMPUTED_VALUE"""),"ДПО-110 ПРИЗМА 18Вт 6500К 600мм IP40 NEOX")</f>
        <v/>
      </c>
      <c r="C420" s="2">
        <f>IFERROR(__xludf.DUMMYFUNCTION("""COMPUTED_VALUE"""),0.17)</f>
        <v/>
      </c>
      <c r="D420" s="2">
        <f>IFERROR(__xludf.DUMMYFUNCTION("""COMPUTED_VALUE"""),0.00104)</f>
        <v/>
      </c>
      <c r="E420" s="2">
        <f>IFERROR(__xludf.DUMMYFUNCTION("""COMPUTED_VALUE"""),165.0)</f>
        <v/>
      </c>
      <c r="F420" s="2">
        <f>IFERROR(__xludf.DUMMYFUNCTION("""COMPUTED_VALUE"""),244.0)</f>
        <v/>
      </c>
      <c r="G420" s="2">
        <f>IFERROR(__xludf.DUMMYFUNCTION("""COMPUTED_VALUE"""),275.0)</f>
        <v/>
      </c>
      <c r="H420" s="2">
        <f>IFERROR(__xludf.DUMMYFUNCTION("""COMPUTED_VALUE"""),318.0)</f>
        <v/>
      </c>
      <c r="I420" s="2">
        <f>IFERROR(__xludf.DUMMYFUNCTION("""COMPUTED_VALUE"""),366.0)</f>
        <v/>
      </c>
      <c r="J420" s="2">
        <f>IFERROR(__xludf.DUMMYFUNCTION("""COMPUTED_VALUE"""),183.0)</f>
        <v/>
      </c>
      <c r="K420" s="2">
        <f>IFERROR(__xludf.DUMMYFUNCTION("""COMPUTED_VALUE"""),1.0)</f>
        <v/>
      </c>
      <c r="L420" s="2">
        <f>IFERROR(__xludf.DUMMYFUNCTION("""COMPUTED_VALUE"""),"NEOX Светильники LED ДПО")</f>
        <v/>
      </c>
      <c r="M420" s="2">
        <f>IFERROR(__xludf.DUMMYFUNCTION("""COMPUTED_VALUE"""),"Пластиковые (линейные), Накладные, Без датчиков, Линейные (проходные), LED Светильники")</f>
        <v/>
      </c>
    </row>
    <row r="421">
      <c r="A421" s="5">
        <f>IFERROR(__xludf.DUMMYFUNCTION("""COMPUTED_VALUE"""),"4690612016580")</f>
        <v/>
      </c>
      <c r="B421" s="5">
        <f>IFERROR(__xludf.DUMMYFUNCTION("""COMPUTED_VALUE"""),"Е27-П-deco подвесной Черный IN HOME")</f>
        <v/>
      </c>
      <c r="C421" s="2">
        <f>IFERROR(__xludf.DUMMYFUNCTION("""COMPUTED_VALUE"""),0.112)</f>
        <v/>
      </c>
      <c r="D421" s="2">
        <f>IFERROR(__xludf.DUMMYFUNCTION("""COMPUTED_VALUE"""),2.8E-4)</f>
        <v/>
      </c>
      <c r="E421" s="2">
        <f>IFERROR(__xludf.DUMMYFUNCTION("""COMPUTED_VALUE"""),144.05)</f>
        <v/>
      </c>
      <c r="F421" s="2">
        <f>IFERROR(__xludf.DUMMYFUNCTION("""COMPUTED_VALUE"""),143.0)</f>
        <v/>
      </c>
      <c r="G421" s="2">
        <f>IFERROR(__xludf.DUMMYFUNCTION("""COMPUTED_VALUE"""),161.0)</f>
        <v/>
      </c>
      <c r="H421" s="2">
        <f>IFERROR(__xludf.DUMMYFUNCTION("""COMPUTED_VALUE"""),187.0)</f>
        <v/>
      </c>
      <c r="I421" s="2">
        <f>IFERROR(__xludf.DUMMYFUNCTION("""COMPUTED_VALUE"""),215.0)</f>
        <v/>
      </c>
      <c r="J421" s="2">
        <f>IFERROR(__xludf.DUMMYFUNCTION("""COMPUTED_VALUE"""),108.0)</f>
        <v/>
      </c>
      <c r="K421" s="2">
        <f>IFERROR(__xludf.DUMMYFUNCTION("""COMPUTED_VALUE"""),1.0)</f>
        <v/>
      </c>
      <c r="L421" s="2">
        <f>IFERROR(__xludf.DUMMYFUNCTION("""COMPUTED_VALUE"""),"ASD электромонтажные изделия")</f>
        <v/>
      </c>
      <c r="M421" s="2">
        <f>IFERROR(__xludf.DUMMYFUNCTION("""COMPUTED_VALUE"""),"Прочие товары")</f>
        <v/>
      </c>
    </row>
    <row r="422">
      <c r="A422" s="5">
        <f>IFERROR(__xludf.DUMMYFUNCTION("""COMPUTED_VALUE"""),"4690612035444")</f>
        <v/>
      </c>
      <c r="B422" s="5">
        <f>IFERROR(__xludf.DUMMYFUNCTION("""COMPUTED_VALUE"""),"ELEGANT BLISS-W 90Вт 230В 3000-6500K 7000Лм 610х400х130мм c пультом ДУ белый IN HOME")</f>
        <v/>
      </c>
      <c r="C422" s="2">
        <f>IFERROR(__xludf.DUMMYFUNCTION("""COMPUTED_VALUE"""),1.4)</f>
        <v/>
      </c>
      <c r="D422" s="2">
        <f>IFERROR(__xludf.DUMMYFUNCTION("""COMPUTED_VALUE"""),0.008)</f>
        <v/>
      </c>
      <c r="E422" s="2">
        <f>IFERROR(__xludf.DUMMYFUNCTION("""COMPUTED_VALUE"""),2744.77)</f>
        <v/>
      </c>
      <c r="F422" s="2">
        <f>IFERROR(__xludf.DUMMYFUNCTION("""COMPUTED_VALUE"""),2032.0)</f>
        <v/>
      </c>
      <c r="G422" s="2">
        <f>IFERROR(__xludf.DUMMYFUNCTION("""COMPUTED_VALUE"""),2286.0)</f>
        <v/>
      </c>
      <c r="H422" s="2">
        <f>IFERROR(__xludf.DUMMYFUNCTION("""COMPUTED_VALUE"""),2652.0)</f>
        <v/>
      </c>
      <c r="I422" s="2">
        <f>IFERROR(__xludf.DUMMYFUNCTION("""COMPUTED_VALUE"""),3048.0)</f>
        <v/>
      </c>
      <c r="J422" s="2">
        <f>IFERROR(__xludf.DUMMYFUNCTION("""COMPUTED_VALUE"""),1524.0)</f>
        <v/>
      </c>
      <c r="K422" s="2">
        <f>IFERROR(__xludf.DUMMYFUNCTION("""COMPUTED_VALUE"""),4.0)</f>
        <v/>
      </c>
      <c r="L422" s="2">
        <f>IFERROR(__xludf.DUMMYFUNCTION("""COMPUTED_VALUE"""),"Светильники светодиодные серии ELEGANT IN HOME")</f>
        <v/>
      </c>
      <c r="M422" s="2">
        <f>IFERROR(__xludf.DUMMYFUNCTION("""COMPUTED_VALUE"""),"Накладные, Декоративные, LED Светильники")</f>
        <v/>
      </c>
    </row>
    <row r="423">
      <c r="A423" s="5">
        <f>IFERROR(__xludf.DUMMYFUNCTION("""COMPUTED_VALUE"""),"Fefco/0203-2")</f>
        <v/>
      </c>
      <c r="B423" s="5">
        <f>IFERROR(__xludf.DUMMYFUNCTION("""COMPUTED_VALUE"""),"Короб Fefco/0203 605х65х605 (картон Т-24 ""В"" бурый)")</f>
        <v/>
      </c>
      <c r="C423" s="2">
        <f>IFERROR(__xludf.DUMMYFUNCTION("""COMPUTED_VALUE"""),0.4)</f>
        <v/>
      </c>
      <c r="D423" s="2">
        <f>IFERROR(__xludf.DUMMYFUNCTION("""COMPUTED_VALUE"""),0.004)</f>
        <v/>
      </c>
      <c r="E423" s="2">
        <f>IFERROR(__xludf.DUMMYFUNCTION("""COMPUTED_VALUE"""),69.9)</f>
        <v/>
      </c>
      <c r="F423" s="2">
        <f>IFERROR(__xludf.DUMMYFUNCTION("""COMPUTED_VALUE"""),1.0)</f>
        <v/>
      </c>
      <c r="G423" s="2">
        <f>IFERROR(__xludf.DUMMYFUNCTION("""COMPUTED_VALUE"""),1.0)</f>
        <v/>
      </c>
      <c r="H423" s="2">
        <f>IFERROR(__xludf.DUMMYFUNCTION("""COMPUTED_VALUE"""),1.0)</f>
        <v/>
      </c>
      <c r="I423" s="2">
        <f>IFERROR(__xludf.DUMMYFUNCTION("""COMPUTED_VALUE"""),1.5)</f>
        <v/>
      </c>
      <c r="J423" s="2">
        <f>IFERROR(__xludf.DUMMYFUNCTION("""COMPUTED_VALUE"""),1.5)</f>
        <v/>
      </c>
      <c r="K423" s="2">
        <f>IFERROR(__xludf.DUMMYFUNCTION("""COMPUTED_VALUE"""),-400.0)</f>
        <v/>
      </c>
      <c r="L423" s="2">
        <f>IFERROR(__xludf.DUMMYFUNCTION("""COMPUTED_VALUE"""),"Упаковка")</f>
        <v/>
      </c>
      <c r="M423" s="2">
        <f>IFERROR(__xludf.DUMMYFUNCTION("""COMPUTED_VALUE"""),"Прочие товары")</f>
        <v/>
      </c>
    </row>
    <row r="424">
      <c r="A424" s="5">
        <f>IFERROR(__xludf.DUMMYFUNCTION("""COMPUTED_VALUE"""),"GL8131")</f>
        <v/>
      </c>
      <c r="B424" s="5">
        <f>IFERROR(__xludf.DUMMYFUNCTION("""COMPUTED_VALUE"""),"GLERIO Office Casual 48 Вт 4000К 81P-48D-4V-P")</f>
        <v/>
      </c>
      <c r="C424" s="2">
        <f>IFERROR(__xludf.DUMMYFUNCTION("""COMPUTED_VALUE"""),1.14)</f>
        <v/>
      </c>
      <c r="D424" s="2">
        <f>IFERROR(__xludf.DUMMYFUNCTION("""COMPUTED_VALUE"""),0.008190000000000001)</f>
        <v/>
      </c>
      <c r="E424" s="2">
        <f>IFERROR(__xludf.DUMMYFUNCTION("""COMPUTED_VALUE"""),2142.07)</f>
        <v/>
      </c>
      <c r="F424" s="2">
        <f>IFERROR(__xludf.DUMMYFUNCTION("""COMPUTED_VALUE"""),2660.0)</f>
        <v/>
      </c>
      <c r="G424" s="2">
        <f>IFERROR(__xludf.DUMMYFUNCTION("""COMPUTED_VALUE"""),3349.0)</f>
        <v/>
      </c>
      <c r="H424" s="2">
        <f>IFERROR(__xludf.DUMMYFUNCTION("""COMPUTED_VALUE"""),3761.0)</f>
        <v/>
      </c>
      <c r="I424" s="2">
        <f>IFERROR(__xludf.DUMMYFUNCTION("""COMPUTED_VALUE"""),4173.0)</f>
        <v/>
      </c>
      <c r="J424" s="2">
        <f>IFERROR(__xludf.DUMMYFUNCTION("""COMPUTED_VALUE"""),2087.0)</f>
        <v/>
      </c>
      <c r="K424" s="2">
        <f>IFERROR(__xludf.DUMMYFUNCTION("""COMPUTED_VALUE"""),2.0)</f>
        <v/>
      </c>
      <c r="L424" s="2">
        <f>IFERROR(__xludf.DUMMYFUNCTION("""COMPUTED_VALUE"""),"Office Casual (Офис) до 10.2025")</f>
        <v/>
      </c>
      <c r="M424" s="2">
        <f>IFERROR(__xludf.DUMMYFUNCTION("""COMPUTED_VALUE"""),"Встраиваемые, Накладные, LED Светильники")</f>
        <v/>
      </c>
    </row>
    <row r="425">
      <c r="A425" s="5">
        <f>IFERROR(__xludf.DUMMYFUNCTION("""COMPUTED_VALUE"""),"12-4002")</f>
        <v/>
      </c>
      <c r="B425" s="5">
        <f>IFERROR(__xludf.DUMMYFUNCTION("""COMPUTED_VALUE"""),"Инструмент для зачистки кабеля 0.5 - 2.0 мм2 (ht-369 А) REXANT")</f>
        <v/>
      </c>
      <c r="C425" s="2">
        <f>IFERROR(__xludf.DUMMYFUNCTION("""COMPUTED_VALUE"""),0.0)</f>
        <v/>
      </c>
      <c r="D425" s="2">
        <f>IFERROR(__xludf.DUMMYFUNCTION("""COMPUTED_VALUE"""),0.0)</f>
        <v/>
      </c>
      <c r="E425" s="2">
        <f>IFERROR(__xludf.DUMMYFUNCTION("""COMPUTED_VALUE"""),1.0)</f>
        <v/>
      </c>
      <c r="F425" s="2">
        <f>IFERROR(__xludf.DUMMYFUNCTION("""COMPUTED_VALUE"""),742.0)</f>
        <v/>
      </c>
      <c r="G425" s="2">
        <f>IFERROR(__xludf.DUMMYFUNCTION("""COMPUTED_VALUE"""),792.0)</f>
        <v/>
      </c>
      <c r="H425" s="2">
        <f>IFERROR(__xludf.DUMMYFUNCTION("""COMPUTED_VALUE"""),891.0)</f>
        <v/>
      </c>
      <c r="I425" s="2">
        <f>IFERROR(__xludf.DUMMYFUNCTION("""COMPUTED_VALUE"""),989.5)</f>
        <v/>
      </c>
      <c r="J425" s="2">
        <f>IFERROR(__xludf.DUMMYFUNCTION("""COMPUTED_VALUE"""),495.0)</f>
        <v/>
      </c>
      <c r="K425" s="2">
        <f>IFERROR(__xludf.DUMMYFUNCTION("""COMPUTED_VALUE"""),2.0)</f>
        <v/>
      </c>
      <c r="L425" s="2">
        <f>IFERROR(__xludf.DUMMYFUNCTION("""COMPUTED_VALUE"""),"Rexant")</f>
        <v/>
      </c>
      <c r="M425" s="2">
        <f>IFERROR(__xludf.DUMMYFUNCTION("""COMPUTED_VALUE"""),"Прочие товары")</f>
        <v/>
      </c>
    </row>
    <row r="426">
      <c r="A426" s="5">
        <f>IFERROR(__xludf.DUMMYFUNCTION("""COMPUTED_VALUE"""),"4690612001456")</f>
        <v/>
      </c>
      <c r="B426" s="5">
        <f>IFERROR(__xludf.DUMMYFUNCTION("""COMPUTED_VALUE"""),"LED-JCDR-standard 7.5Вт 160-260В GU5.3 4000К 600Лм ASD")</f>
        <v/>
      </c>
      <c r="C426" s="2">
        <f>IFERROR(__xludf.DUMMYFUNCTION("""COMPUTED_VALUE"""),0.042)</f>
        <v/>
      </c>
      <c r="D426" s="2">
        <f>IFERROR(__xludf.DUMMYFUNCTION("""COMPUTED_VALUE"""),1.9E-4)</f>
        <v/>
      </c>
      <c r="E426" s="2">
        <f>IFERROR(__xludf.DUMMYFUNCTION("""COMPUTED_VALUE"""),34.84)</f>
        <v/>
      </c>
      <c r="F426" s="2">
        <f>IFERROR(__xludf.DUMMYFUNCTION("""COMPUTED_VALUE"""),33.0)</f>
        <v/>
      </c>
      <c r="G426" s="2">
        <f>IFERROR(__xludf.DUMMYFUNCTION("""COMPUTED_VALUE"""),37.0)</f>
        <v/>
      </c>
      <c r="H426" s="2">
        <f>IFERROR(__xludf.DUMMYFUNCTION("""COMPUTED_VALUE"""),43.0)</f>
        <v/>
      </c>
      <c r="I426" s="2">
        <f>IFERROR(__xludf.DUMMYFUNCTION("""COMPUTED_VALUE"""),49.5)</f>
        <v/>
      </c>
      <c r="J426" s="2">
        <f>IFERROR(__xludf.DUMMYFUNCTION("""COMPUTED_VALUE"""),25.0)</f>
        <v/>
      </c>
      <c r="K426" s="2">
        <f>IFERROR(__xludf.DUMMYFUNCTION("""COMPUTED_VALUE"""),4.0)</f>
        <v/>
      </c>
      <c r="L426" s="2">
        <f>IFERROR(__xludf.DUMMYFUNCTION("""COMPUTED_VALUE"""),"Лампа светодиодная LED-JCDR-standard")</f>
        <v/>
      </c>
      <c r="M426" s="2">
        <f>IFERROR(__xludf.DUMMYFUNCTION("""COMPUTED_VALUE"""),"Лампы")</f>
        <v/>
      </c>
    </row>
    <row r="427">
      <c r="A427" s="5">
        <f>IFERROR(__xludf.DUMMYFUNCTION("""COMPUTED_VALUE"""),"4260652193260")</f>
        <v/>
      </c>
      <c r="B427" s="5">
        <f>IFERROR(__xludf.DUMMYFUNCTION("""COMPUTED_VALUE"""),"LCL04-8W-R11-4K-SOA")</f>
        <v/>
      </c>
      <c r="C427" s="2">
        <f>IFERROR(__xludf.DUMMYFUNCTION("""COMPUTED_VALUE"""),0.09000000000000001)</f>
        <v/>
      </c>
      <c r="D427" s="2">
        <f>IFERROR(__xludf.DUMMYFUNCTION("""COMPUTED_VALUE"""),0.035)</f>
        <v/>
      </c>
      <c r="E427" s="2">
        <f>IFERROR(__xludf.DUMMYFUNCTION("""COMPUTED_VALUE"""),300.77)</f>
        <v/>
      </c>
      <c r="F427" s="2">
        <f>IFERROR(__xludf.DUMMYFUNCTION("""COMPUTED_VALUE"""),291.0)</f>
        <v/>
      </c>
      <c r="G427" s="2">
        <f>IFERROR(__xludf.DUMMYFUNCTION("""COMPUTED_VALUE"""),301.0)</f>
        <v/>
      </c>
      <c r="H427" s="2">
        <f>IFERROR(__xludf.DUMMYFUNCTION("""COMPUTED_VALUE"""),394.0)</f>
        <v/>
      </c>
      <c r="I427" s="2">
        <f>IFERROR(__xludf.DUMMYFUNCTION("""COMPUTED_VALUE"""),493.0)</f>
        <v/>
      </c>
      <c r="J427" s="2">
        <f>IFERROR(__xludf.DUMMYFUNCTION("""COMPUTED_VALUE"""),247.0)</f>
        <v/>
      </c>
      <c r="K427" s="2">
        <f>IFERROR(__xludf.DUMMYFUNCTION("""COMPUTED_VALUE"""),37.0)</f>
        <v/>
      </c>
      <c r="L427" s="2">
        <f>IFERROR(__xludf.DUMMYFUNCTION("""COMPUTED_VALUE"""),"Wolta ЖКХ")</f>
        <v/>
      </c>
      <c r="M427" s="2">
        <f>IFERROR(__xludf.DUMMYFUNCTION("""COMPUTED_VALUE"""),"Для ЖКХ, дома, дачи, LED Светильники")</f>
        <v/>
      </c>
    </row>
    <row r="428">
      <c r="A428" s="5">
        <f>IFERROR(__xludf.DUMMYFUNCTION("""COMPUTED_VALUE"""),"4690612025049")</f>
        <v/>
      </c>
      <c r="B428" s="5">
        <f>IFERROR(__xludf.DUMMYFUNCTION("""COMPUTED_VALUE"""),"DECO 36Вт 230В 4000К 2340Лм 350х55мм БАМБУК IN HOME")</f>
        <v/>
      </c>
      <c r="C428" s="2">
        <f>IFERROR(__xludf.DUMMYFUNCTION("""COMPUTED_VALUE"""),0.5800000000000001)</f>
        <v/>
      </c>
      <c r="D428" s="2">
        <f>IFERROR(__xludf.DUMMYFUNCTION("""COMPUTED_VALUE"""),0.009000000000000001)</f>
        <v/>
      </c>
      <c r="E428" s="2">
        <f>IFERROR(__xludf.DUMMYFUNCTION("""COMPUTED_VALUE"""),493.19)</f>
        <v/>
      </c>
      <c r="F428" s="2">
        <f>IFERROR(__xludf.DUMMYFUNCTION("""COMPUTED_VALUE"""),600.0)</f>
        <v/>
      </c>
      <c r="G428" s="2">
        <f>IFERROR(__xludf.DUMMYFUNCTION("""COMPUTED_VALUE"""),675.0)</f>
        <v/>
      </c>
      <c r="H428" s="2">
        <f>IFERROR(__xludf.DUMMYFUNCTION("""COMPUTED_VALUE"""),783.0)</f>
        <v/>
      </c>
      <c r="I428" s="2">
        <f>IFERROR(__xludf.DUMMYFUNCTION("""COMPUTED_VALUE"""),900.0)</f>
        <v/>
      </c>
      <c r="J428" s="2">
        <f>IFERROR(__xludf.DUMMYFUNCTION("""COMPUTED_VALUE"""),450.0)</f>
        <v/>
      </c>
      <c r="K428" s="2">
        <f>IFERROR(__xludf.DUMMYFUNCTION("""COMPUTED_VALUE"""),28.0)</f>
        <v/>
      </c>
      <c r="L428" s="2">
        <f>IFERROR(__xludf.DUMMYFUNCTION("""COMPUTED_VALUE"""),"Светильник светодиодный серии DECO")</f>
        <v/>
      </c>
      <c r="M428" s="2">
        <f>IFERROR(__xludf.DUMMYFUNCTION("""COMPUTED_VALUE"""),"Накладные, Декоративные, LED Светильники")</f>
        <v/>
      </c>
    </row>
    <row r="429">
      <c r="A429" s="5">
        <f>IFERROR(__xludf.DUMMYFUNCTION("""COMPUTED_VALUE"""),"4690612010199")</f>
        <v/>
      </c>
      <c r="B429" s="5">
        <f>IFERROR(__xludf.DUMMYFUNCTION("""COMPUTED_VALUE"""),"РШ/ВШ карболитовый 32А 250В черный 9114 IN HOME")</f>
        <v/>
      </c>
      <c r="C429" s="2">
        <f>IFERROR(__xludf.DUMMYFUNCTION("""COMPUTED_VALUE"""),0.18611)</f>
        <v/>
      </c>
      <c r="D429" s="2">
        <f>IFERROR(__xludf.DUMMYFUNCTION("""COMPUTED_VALUE"""),5.1E-4)</f>
        <v/>
      </c>
      <c r="E429" s="2">
        <f>IFERROR(__xludf.DUMMYFUNCTION("""COMPUTED_VALUE"""),132.7)</f>
        <v/>
      </c>
      <c r="F429" s="2">
        <f>IFERROR(__xludf.DUMMYFUNCTION("""COMPUTED_VALUE"""),164.0)</f>
        <v/>
      </c>
      <c r="G429" s="2">
        <f>IFERROR(__xludf.DUMMYFUNCTION("""COMPUTED_VALUE"""),185.0)</f>
        <v/>
      </c>
      <c r="H429" s="2">
        <f>IFERROR(__xludf.DUMMYFUNCTION("""COMPUTED_VALUE"""),214.0)</f>
        <v/>
      </c>
      <c r="I429" s="2">
        <f>IFERROR(__xludf.DUMMYFUNCTION("""COMPUTED_VALUE"""),246.0)</f>
        <v/>
      </c>
      <c r="J429" s="2">
        <f>IFERROR(__xludf.DUMMYFUNCTION("""COMPUTED_VALUE"""),123.0)</f>
        <v/>
      </c>
      <c r="K429" s="2">
        <f>IFERROR(__xludf.DUMMYFUNCTION("""COMPUTED_VALUE"""),4.0)</f>
        <v/>
      </c>
      <c r="L429" s="2">
        <f>IFERROR(__xludf.DUMMYFUNCTION("""COMPUTED_VALUE"""),"Розетки, вилки и колодки")</f>
        <v/>
      </c>
      <c r="M429" s="2">
        <f>IFERROR(__xludf.DUMMYFUNCTION("""COMPUTED_VALUE"""),"Прочие товары")</f>
        <v/>
      </c>
    </row>
    <row r="430">
      <c r="A430" s="5">
        <f>IFERROR(__xludf.DUMMYFUNCTION("""COMPUTED_VALUE"""),"4690612023427")</f>
        <v/>
      </c>
      <c r="B430" s="5">
        <f>IFERROR(__xludf.DUMMYFUNCTION("""COMPUTED_VALUE"""),"LED-JCDRC-VC 8Вт 230В GU10 3000К 720Лм IN HOME")</f>
        <v/>
      </c>
      <c r="C430" s="2">
        <f>IFERROR(__xludf.DUMMYFUNCTION("""COMPUTED_VALUE"""),0.035)</f>
        <v/>
      </c>
      <c r="D430" s="2">
        <f>IFERROR(__xludf.DUMMYFUNCTION("""COMPUTED_VALUE"""),2.1E-4)</f>
        <v/>
      </c>
      <c r="E430" s="2">
        <f>IFERROR(__xludf.DUMMYFUNCTION("""COMPUTED_VALUE"""),31.34)</f>
        <v/>
      </c>
      <c r="F430" s="2">
        <f>IFERROR(__xludf.DUMMYFUNCTION("""COMPUTED_VALUE"""),45.0)</f>
        <v/>
      </c>
      <c r="G430" s="2">
        <f>IFERROR(__xludf.DUMMYFUNCTION("""COMPUTED_VALUE"""),51.0)</f>
        <v/>
      </c>
      <c r="H430" s="2">
        <f>IFERROR(__xludf.DUMMYFUNCTION("""COMPUTED_VALUE"""),59.0)</f>
        <v/>
      </c>
      <c r="I430" s="2">
        <f>IFERROR(__xludf.DUMMYFUNCTION("""COMPUTED_VALUE"""),68.7)</f>
        <v/>
      </c>
      <c r="J430" s="2">
        <f>IFERROR(__xludf.DUMMYFUNCTION("""COMPUTED_VALUE"""),34.0)</f>
        <v/>
      </c>
      <c r="K430" s="2">
        <f>IFERROR(__xludf.DUMMYFUNCTION("""COMPUTED_VALUE"""),14.0)</f>
        <v/>
      </c>
      <c r="L430" s="2">
        <f>IFERROR(__xludf.DUMMYFUNCTION("""COMPUTED_VALUE"""),"Лампа светодиодная LED-JCDR-standard")</f>
        <v/>
      </c>
      <c r="M430" s="2">
        <f>IFERROR(__xludf.DUMMYFUNCTION("""COMPUTED_VALUE"""),"Лампы")</f>
        <v/>
      </c>
    </row>
    <row r="431">
      <c r="A431" s="5">
        <f>IFERROR(__xludf.DUMMYFUNCTION("""COMPUTED_VALUE"""),"4690626076143")</f>
        <v/>
      </c>
      <c r="B431" s="5">
        <f>IFERROR(__xludf.DUMMYFUNCTION("""COMPUTED_VALUE"""),"Кабельный коннектор I-образный (клеммник 3PIN) IP68 0,5-2,0 мм2 (SBE-ccl2-3)")</f>
        <v/>
      </c>
      <c r="C431" s="2">
        <f>IFERROR(__xludf.DUMMYFUNCTION("""COMPUTED_VALUE"""),0.0)</f>
        <v/>
      </c>
      <c r="D431" s="2">
        <f>IFERROR(__xludf.DUMMYFUNCTION("""COMPUTED_VALUE"""),0.0)</f>
        <v/>
      </c>
      <c r="E431" s="2">
        <f>IFERROR(__xludf.DUMMYFUNCTION("""COMPUTED_VALUE"""),78.54)</f>
        <v/>
      </c>
      <c r="F431" s="2">
        <f>IFERROR(__xludf.DUMMYFUNCTION("""COMPUTED_VALUE"""),81.0)</f>
        <v/>
      </c>
      <c r="G431" s="2">
        <f>IFERROR(__xludf.DUMMYFUNCTION("""COMPUTED_VALUE"""),89.0)</f>
        <v/>
      </c>
      <c r="H431" s="2">
        <f>IFERROR(__xludf.DUMMYFUNCTION("""COMPUTED_VALUE"""),99.0)</f>
        <v/>
      </c>
      <c r="I431" s="2">
        <f>IFERROR(__xludf.DUMMYFUNCTION("""COMPUTED_VALUE"""),109.0)</f>
        <v/>
      </c>
      <c r="J431" s="2">
        <f>IFERROR(__xludf.DUMMYFUNCTION("""COMPUTED_VALUE"""),55.0)</f>
        <v/>
      </c>
      <c r="K431" s="2">
        <f>IFERROR(__xludf.DUMMYFUNCTION("""COMPUTED_VALUE"""),10.0)</f>
        <v/>
      </c>
      <c r="L431" s="2">
        <f>IFERROR(__xludf.DUMMYFUNCTION("""COMPUTED_VALUE"""),"Smartbuy")</f>
        <v/>
      </c>
      <c r="M431" s="2">
        <f>IFERROR(__xludf.DUMMYFUNCTION("""COMPUTED_VALUE"""),"Прочие товары")</f>
        <v/>
      </c>
    </row>
    <row r="432">
      <c r="A432" s="5">
        <f>IFERROR(__xludf.DUMMYFUNCTION("""COMPUTED_VALUE"""),"4680005959938")</f>
        <v/>
      </c>
      <c r="B432" s="5">
        <f>IFERROR(__xludf.DUMMYFUNCTION("""COMPUTED_VALUE"""),"CLASSICO Рамка белая 2302H IN HOME")</f>
        <v/>
      </c>
      <c r="C432" s="2">
        <f>IFERROR(__xludf.DUMMYFUNCTION("""COMPUTED_VALUE"""),0.025)</f>
        <v/>
      </c>
      <c r="D432" s="2">
        <f>IFERROR(__xludf.DUMMYFUNCTION("""COMPUTED_VALUE"""),2.0E-4)</f>
        <v/>
      </c>
      <c r="E432" s="2">
        <f>IFERROR(__xludf.DUMMYFUNCTION("""COMPUTED_VALUE"""),20.62)</f>
        <v/>
      </c>
      <c r="F432" s="2">
        <f>IFERROR(__xludf.DUMMYFUNCTION("""COMPUTED_VALUE"""),34.0)</f>
        <v/>
      </c>
      <c r="G432" s="2">
        <f>IFERROR(__xludf.DUMMYFUNCTION("""COMPUTED_VALUE"""),39.0)</f>
        <v/>
      </c>
      <c r="H432" s="2">
        <f>IFERROR(__xludf.DUMMYFUNCTION("""COMPUTED_VALUE"""),45.0)</f>
        <v/>
      </c>
      <c r="I432" s="2">
        <f>IFERROR(__xludf.DUMMYFUNCTION("""COMPUTED_VALUE"""),52.0)</f>
        <v/>
      </c>
      <c r="J432" s="2">
        <f>IFERROR(__xludf.DUMMYFUNCTION("""COMPUTED_VALUE"""),26.0)</f>
        <v/>
      </c>
      <c r="K432" s="2">
        <f>IFERROR(__xludf.DUMMYFUNCTION("""COMPUTED_VALUE"""),48.0)</f>
        <v/>
      </c>
      <c r="L432" s="2">
        <f>IFERROR(__xludf.DUMMYFUNCTION("""COMPUTED_VALUE"""),"Розетки, вилки и колодки")</f>
        <v/>
      </c>
      <c r="M432" s="2">
        <f>IFERROR(__xludf.DUMMYFUNCTION("""COMPUTED_VALUE"""),"Прочие товары")</f>
        <v/>
      </c>
    </row>
    <row r="433">
      <c r="A433" s="5">
        <f>IFERROR(__xludf.DUMMYFUNCTION("""COMPUTED_VALUE"""),"4690612035062")</f>
        <v/>
      </c>
      <c r="B433" s="5">
        <f>IFERROR(__xludf.DUMMYFUNCTION("""COMPUTED_VALUE"""),"COMFORT GALAXY 55Вт 230В 3000-6500K 4400Лм 450x70мм с пультом ДУ IN HOME")</f>
        <v/>
      </c>
      <c r="C433" s="2">
        <f>IFERROR(__xludf.DUMMYFUNCTION("""COMPUTED_VALUE"""),1.32)</f>
        <v/>
      </c>
      <c r="D433" s="2">
        <f>IFERROR(__xludf.DUMMYFUNCTION("""COMPUTED_VALUE"""),0.0202)</f>
        <v/>
      </c>
      <c r="E433" s="2">
        <f>IFERROR(__xludf.DUMMYFUNCTION("""COMPUTED_VALUE"""),1164.79)</f>
        <v/>
      </c>
      <c r="F433" s="2">
        <f>IFERROR(__xludf.DUMMYFUNCTION("""COMPUTED_VALUE"""),1473.0)</f>
        <v/>
      </c>
      <c r="G433" s="2">
        <f>IFERROR(__xludf.DUMMYFUNCTION("""COMPUTED_VALUE"""),1658.0)</f>
        <v/>
      </c>
      <c r="H433" s="2">
        <f>IFERROR(__xludf.DUMMYFUNCTION("""COMPUTED_VALUE"""),1923.0)</f>
        <v/>
      </c>
      <c r="I433" s="2">
        <f>IFERROR(__xludf.DUMMYFUNCTION("""COMPUTED_VALUE"""),2210.0)</f>
        <v/>
      </c>
      <c r="J433" s="2">
        <f>IFERROR(__xludf.DUMMYFUNCTION("""COMPUTED_VALUE"""),1105.0)</f>
        <v/>
      </c>
      <c r="K433" s="2">
        <f>IFERROR(__xludf.DUMMYFUNCTION("""COMPUTED_VALUE"""),5.0)</f>
        <v/>
      </c>
      <c r="L433" s="2">
        <f>IFERROR(__xludf.DUMMYFUNCTION("""COMPUTED_VALUE"""),"Светильники светодиодные COMFORT")</f>
        <v/>
      </c>
      <c r="M433" s="2">
        <f>IFERROR(__xludf.DUMMYFUNCTION("""COMPUTED_VALUE"""),"Накладные, Декоративные, LED Светильники")</f>
        <v/>
      </c>
    </row>
    <row r="434">
      <c r="A434" s="5">
        <f>IFERROR(__xludf.DUMMYFUNCTION("""COMPUTED_VALUE"""),"4630015264881")</f>
        <v/>
      </c>
      <c r="B434" s="5">
        <f>IFERROR(__xludf.DUMMYFUNCTION("""COMPUTED_VALUE"""),"MOD03WH-DL50GU5.3")</f>
        <v/>
      </c>
      <c r="C434" s="2">
        <f>IFERROR(__xludf.DUMMYFUNCTION("""COMPUTED_VALUE"""),0.0)</f>
        <v/>
      </c>
      <c r="D434" s="2">
        <f>IFERROR(__xludf.DUMMYFUNCTION("""COMPUTED_VALUE"""),0.0)</f>
        <v/>
      </c>
      <c r="E434" s="2">
        <f>IFERROR(__xludf.DUMMYFUNCTION("""COMPUTED_VALUE"""),20.03)</f>
        <v/>
      </c>
      <c r="F434" s="2">
        <f>IFERROR(__xludf.DUMMYFUNCTION("""COMPUTED_VALUE"""),148.0)</f>
        <v/>
      </c>
      <c r="G434" s="2">
        <f>IFERROR(__xludf.DUMMYFUNCTION("""COMPUTED_VALUE"""),153.0)</f>
        <v/>
      </c>
      <c r="H434" s="2">
        <f>IFERROR(__xludf.DUMMYFUNCTION("""COMPUTED_VALUE"""),200.0)</f>
        <v/>
      </c>
      <c r="I434" s="2">
        <f>IFERROR(__xludf.DUMMYFUNCTION("""COMPUTED_VALUE"""),250.0)</f>
        <v/>
      </c>
      <c r="J434" s="2">
        <f>IFERROR(__xludf.DUMMYFUNCTION("""COMPUTED_VALUE"""),125.0)</f>
        <v/>
      </c>
      <c r="K434" s="2">
        <f>IFERROR(__xludf.DUMMYFUNCTION("""COMPUTED_VALUE"""),19.0)</f>
        <v/>
      </c>
      <c r="L434" s="2">
        <f>IFERROR(__xludf.DUMMYFUNCTION("""COMPUTED_VALUE"""),"Wolta декоративные")</f>
        <v/>
      </c>
      <c r="M434" s="2">
        <f>IFERROR(__xludf.DUMMYFUNCTION("""COMPUTED_VALUE"""),"Светильники общего назначения (LED), Встраиваемые, Декоративные, LED Светильники")</f>
        <v/>
      </c>
    </row>
    <row r="435">
      <c r="A435" s="5">
        <f>IFERROR(__xludf.DUMMYFUNCTION("""COMPUTED_VALUE"""),"Fefco/0201-5")</f>
        <v/>
      </c>
      <c r="B435" s="5">
        <f>IFERROR(__xludf.DUMMYFUNCTION("""COMPUTED_VALUE"""),"Короб 1275х380х175 (картон Т-24 ""В"" бурый)")</f>
        <v/>
      </c>
      <c r="C435" s="2">
        <f>IFERROR(__xludf.DUMMYFUNCTION("""COMPUTED_VALUE"""),0.0)</f>
        <v/>
      </c>
      <c r="D435" s="2">
        <f>IFERROR(__xludf.DUMMYFUNCTION("""COMPUTED_VALUE"""),0.0)</f>
        <v/>
      </c>
      <c r="E435" s="2">
        <f>IFERROR(__xludf.DUMMYFUNCTION("""COMPUTED_VALUE"""),169.0)</f>
        <v/>
      </c>
      <c r="F435" s="2">
        <f>IFERROR(__xludf.DUMMYFUNCTION("""COMPUTED_VALUE"""),1.0)</f>
        <v/>
      </c>
      <c r="G435" s="2">
        <f>IFERROR(__xludf.DUMMYFUNCTION("""COMPUTED_VALUE"""),1.0)</f>
        <v/>
      </c>
      <c r="H435" s="2">
        <f>IFERROR(__xludf.DUMMYFUNCTION("""COMPUTED_VALUE"""),1.0)</f>
        <v/>
      </c>
      <c r="I435" s="2">
        <f>IFERROR(__xludf.DUMMYFUNCTION("""COMPUTED_VALUE"""),1.5)</f>
        <v/>
      </c>
      <c r="J435" s="2">
        <f>IFERROR(__xludf.DUMMYFUNCTION("""COMPUTED_VALUE"""),1.5)</f>
        <v/>
      </c>
      <c r="K435" s="2">
        <f>IFERROR(__xludf.DUMMYFUNCTION("""COMPUTED_VALUE"""),10.0)</f>
        <v/>
      </c>
      <c r="L435" s="2">
        <f>IFERROR(__xludf.DUMMYFUNCTION("""COMPUTED_VALUE"""),"Упаковка")</f>
        <v/>
      </c>
      <c r="M435" s="2">
        <f>IFERROR(__xludf.DUMMYFUNCTION("""COMPUTED_VALUE"""),"Прочие товары")</f>
        <v/>
      </c>
    </row>
    <row r="436">
      <c r="A436" s="5">
        <f>IFERROR(__xludf.DUMMYFUNCTION("""COMPUTED_VALUE"""),"ves2013")</f>
        <v/>
      </c>
      <c r="B436" s="5">
        <f>IFERROR(__xludf.DUMMYFUNCTION("""COMPUTED_VALUE"""),"Вилка переносная 015 3Р+РЕ+N 16А 380В IP44")</f>
        <v/>
      </c>
      <c r="C436" s="2">
        <f>IFERROR(__xludf.DUMMYFUNCTION("""COMPUTED_VALUE"""),0.0)</f>
        <v/>
      </c>
      <c r="D436" s="2">
        <f>IFERROR(__xludf.DUMMYFUNCTION("""COMPUTED_VALUE"""),0.0)</f>
        <v/>
      </c>
      <c r="E436" s="2">
        <f>IFERROR(__xludf.DUMMYFUNCTION("""COMPUTED_VALUE"""),161.46)</f>
        <v/>
      </c>
      <c r="F436" s="2">
        <f>IFERROR(__xludf.DUMMYFUNCTION("""COMPUTED_VALUE"""),253.0)</f>
        <v/>
      </c>
      <c r="G436" s="2">
        <f>IFERROR(__xludf.DUMMYFUNCTION("""COMPUTED_VALUE"""),270.0)</f>
        <v/>
      </c>
      <c r="H436" s="2">
        <f>IFERROR(__xludf.DUMMYFUNCTION("""COMPUTED_VALUE"""),304.0)</f>
        <v/>
      </c>
      <c r="I436" s="2">
        <f>IFERROR(__xludf.DUMMYFUNCTION("""COMPUTED_VALUE"""),337.45)</f>
        <v/>
      </c>
      <c r="J436" s="2">
        <f>IFERROR(__xludf.DUMMYFUNCTION("""COMPUTED_VALUE"""),161.0)</f>
        <v/>
      </c>
      <c r="K436" s="2">
        <f>IFERROR(__xludf.DUMMYFUNCTION("""COMPUTED_VALUE"""),4.0)</f>
        <v/>
      </c>
      <c r="L436" s="2">
        <f>IFERROR(__xludf.DUMMYFUNCTION("""COMPUTED_VALUE"""),"ves2 (тендер)")</f>
        <v/>
      </c>
      <c r="M436" s="2">
        <f>IFERROR(__xludf.DUMMYFUNCTION("""COMPUTED_VALUE"""),"Прочие товары")</f>
        <v/>
      </c>
    </row>
    <row r="437">
      <c r="A437" s="5">
        <f>IFERROR(__xludf.DUMMYFUNCTION("""COMPUTED_VALUE"""),"GL814191")</f>
        <v/>
      </c>
      <c r="B437" s="5">
        <f>IFERROR(__xludf.DUMMYFUNCTION("""COMPUTED_VALUE"""),"GLERIO Office Special 20 Вт 4000K 82P-20D-4G-P")</f>
        <v/>
      </c>
      <c r="C437" s="2">
        <f>IFERROR(__xludf.DUMMYFUNCTION("""COMPUTED_VALUE"""),1.04)</f>
        <v/>
      </c>
      <c r="D437" s="2">
        <f>IFERROR(__xludf.DUMMYFUNCTION("""COMPUTED_VALUE"""),0.008190000000000001)</f>
        <v/>
      </c>
      <c r="E437" s="2">
        <f>IFERROR(__xludf.DUMMYFUNCTION("""COMPUTED_VALUE"""),1522.9)</f>
        <v/>
      </c>
      <c r="F437" s="2">
        <f>IFERROR(__xludf.DUMMYFUNCTION("""COMPUTED_VALUE"""),1760.0)</f>
        <v/>
      </c>
      <c r="G437" s="2">
        <f>IFERROR(__xludf.DUMMYFUNCTION("""COMPUTED_VALUE"""),2216.0)</f>
        <v/>
      </c>
      <c r="H437" s="2">
        <f>IFERROR(__xludf.DUMMYFUNCTION("""COMPUTED_VALUE"""),2488.0)</f>
        <v/>
      </c>
      <c r="I437" s="2">
        <f>IFERROR(__xludf.DUMMYFUNCTION("""COMPUTED_VALUE"""),2761.0)</f>
        <v/>
      </c>
      <c r="J437" s="2">
        <f>IFERROR(__xludf.DUMMYFUNCTION("""COMPUTED_VALUE"""),1381.0)</f>
        <v/>
      </c>
      <c r="K437" s="2">
        <f>IFERROR(__xludf.DUMMYFUNCTION("""COMPUTED_VALUE"""),30.0)</f>
        <v/>
      </c>
      <c r="L437" s="2">
        <f>IFERROR(__xludf.DUMMYFUNCTION("""COMPUTED_VALUE"""),"Office Special+ GLERIO (Офис Премиум)")</f>
        <v/>
      </c>
      <c r="M437" s="2">
        <f>IFERROR(__xludf.DUMMYFUNCTION("""COMPUTED_VALUE"""),"С равномерной засветкой, LED Светильники")</f>
        <v/>
      </c>
    </row>
    <row r="438">
      <c r="A438" s="5">
        <f>IFERROR(__xludf.DUMMYFUNCTION("""COMPUTED_VALUE"""),"4690626033047")</f>
        <v/>
      </c>
      <c r="B438" s="5">
        <f>IFERROR(__xludf.DUMMYFUNCTION("""COMPUTED_VALUE"""),"Аккумуляторный фонарь-прожектор 2 в 1 1W+18 SMD, черный (SBF-303-K)")</f>
        <v/>
      </c>
      <c r="C438" s="2">
        <f>IFERROR(__xludf.DUMMYFUNCTION("""COMPUTED_VALUE"""),0.0)</f>
        <v/>
      </c>
      <c r="D438" s="2">
        <f>IFERROR(__xludf.DUMMYFUNCTION("""COMPUTED_VALUE"""),0.0)</f>
        <v/>
      </c>
      <c r="E438" s="2">
        <f>IFERROR(__xludf.DUMMYFUNCTION("""COMPUTED_VALUE"""),420.0)</f>
        <v/>
      </c>
      <c r="F438" s="2">
        <f>IFERROR(__xludf.DUMMYFUNCTION("""COMPUTED_VALUE"""),459.0)</f>
        <v/>
      </c>
      <c r="G438" s="2">
        <f>IFERROR(__xludf.DUMMYFUNCTION("""COMPUTED_VALUE"""),504.0)</f>
        <v/>
      </c>
      <c r="H438" s="2">
        <f>IFERROR(__xludf.DUMMYFUNCTION("""COMPUTED_VALUE"""),560.0)</f>
        <v/>
      </c>
      <c r="I438" s="2">
        <f>IFERROR(__xludf.DUMMYFUNCTION("""COMPUTED_VALUE"""),616.0)</f>
        <v/>
      </c>
      <c r="J438" s="2">
        <f>IFERROR(__xludf.DUMMYFUNCTION("""COMPUTED_VALUE"""),308.0)</f>
        <v/>
      </c>
      <c r="K438" s="2">
        <f>IFERROR(__xludf.DUMMYFUNCTION("""COMPUTED_VALUE"""),2.0)</f>
        <v/>
      </c>
      <c r="L438" s="2">
        <f>IFERROR(__xludf.DUMMYFUNCTION("""COMPUTED_VALUE"""),"Smartbuy фонари")</f>
        <v/>
      </c>
      <c r="M438" s="2">
        <f>IFERROR(__xludf.DUMMYFUNCTION("""COMPUTED_VALUE"""),"Прочие товары")</f>
        <v/>
      </c>
    </row>
    <row r="439">
      <c r="A439" s="5">
        <f>IFERROR(__xludf.DUMMYFUNCTION("""COMPUTED_VALUE"""),"4690612029788")</f>
        <v/>
      </c>
      <c r="B439" s="5">
        <f>IFERROR(__xludf.DUMMYFUNCTION("""COMPUTED_VALUE"""),"LPU-02 100Вт ПРИЗМА 230В 4000К 8500Лм 595х595х19мм IP40 IN HOME")</f>
        <v/>
      </c>
      <c r="C439" s="2">
        <f>IFERROR(__xludf.DUMMYFUNCTION("""COMPUTED_VALUE"""),1.3)</f>
        <v/>
      </c>
      <c r="D439" s="2">
        <f>IFERROR(__xludf.DUMMYFUNCTION("""COMPUTED_VALUE"""),0.00875)</f>
        <v/>
      </c>
      <c r="E439" s="2">
        <f>IFERROR(__xludf.DUMMYFUNCTION("""COMPUTED_VALUE"""),1266.16)</f>
        <v/>
      </c>
      <c r="F439" s="2">
        <f>IFERROR(__xludf.DUMMYFUNCTION("""COMPUTED_VALUE"""),1150.0)</f>
        <v/>
      </c>
      <c r="G439" s="2">
        <f>IFERROR(__xludf.DUMMYFUNCTION("""COMPUTED_VALUE"""),1294.0)</f>
        <v/>
      </c>
      <c r="H439" s="2">
        <f>IFERROR(__xludf.DUMMYFUNCTION("""COMPUTED_VALUE"""),1501.0)</f>
        <v/>
      </c>
      <c r="I439" s="2">
        <f>IFERROR(__xludf.DUMMYFUNCTION("""COMPUTED_VALUE"""),1725.0)</f>
        <v/>
      </c>
      <c r="J439" s="2">
        <f>IFERROR(__xludf.DUMMYFUNCTION("""COMPUTED_VALUE"""),863.0)</f>
        <v/>
      </c>
      <c r="K439" s="2">
        <f>IFERROR(__xludf.DUMMYFUNCTION("""COMPUTED_VALUE"""),1.0)</f>
        <v/>
      </c>
      <c r="L439" s="2">
        <f>IFERROR(__xludf.DUMMYFUNCTION("""COMPUTED_VALUE"""),"Панели светодиодные LP серии ПРИЗМА")</f>
        <v/>
      </c>
      <c r="M439" s="2">
        <f>IFERROR(__xludf.DUMMYFUNCTION("""COMPUTED_VALUE"""),"Встраиваемые, Накладные, LED Светильники")</f>
        <v/>
      </c>
    </row>
    <row r="440">
      <c r="A440" s="5">
        <f>IFERROR(__xludf.DUMMYFUNCTION("""COMPUTED_VALUE"""),"G103101107")</f>
        <v/>
      </c>
      <c r="B440" s="5">
        <f>IFERROR(__xludf.DUMMYFUNCTION("""COMPUTED_VALUE"""),"Candle E14 6.5W 3000К 1/10/100")</f>
        <v/>
      </c>
      <c r="C440" s="2">
        <f>IFERROR(__xludf.DUMMYFUNCTION("""COMPUTED_VALUE"""),0.0)</f>
        <v/>
      </c>
      <c r="D440" s="2">
        <f>IFERROR(__xludf.DUMMYFUNCTION("""COMPUTED_VALUE"""),0.0)</f>
        <v/>
      </c>
      <c r="E440" s="2">
        <f>IFERROR(__xludf.DUMMYFUNCTION("""COMPUTED_VALUE"""),78.87)</f>
        <v/>
      </c>
      <c r="F440" s="2">
        <f>IFERROR(__xludf.DUMMYFUNCTION("""COMPUTED_VALUE"""),82.0)</f>
        <v/>
      </c>
      <c r="G440" s="2">
        <f>IFERROR(__xludf.DUMMYFUNCTION("""COMPUTED_VALUE"""),90.0)</f>
        <v/>
      </c>
      <c r="H440" s="2">
        <f>IFERROR(__xludf.DUMMYFUNCTION("""COMPUTED_VALUE"""),106.0)</f>
        <v/>
      </c>
      <c r="I440" s="2">
        <f>IFERROR(__xludf.DUMMYFUNCTION("""COMPUTED_VALUE"""),134.0)</f>
        <v/>
      </c>
      <c r="J440" s="2">
        <f>IFERROR(__xludf.DUMMYFUNCTION("""COMPUTED_VALUE"""),67.0)</f>
        <v/>
      </c>
      <c r="K440" s="2">
        <f>IFERROR(__xludf.DUMMYFUNCTION("""COMPUTED_VALUE"""),7.0)</f>
        <v/>
      </c>
      <c r="L440" s="2">
        <f>IFERROR(__xludf.DUMMYFUNCTION("""COMPUTED_VALUE"""),"Свечи")</f>
        <v/>
      </c>
      <c r="M440" s="2">
        <f>IFERROR(__xludf.DUMMYFUNCTION("""COMPUTED_VALUE"""),"Лампы")</f>
        <v/>
      </c>
    </row>
    <row r="441">
      <c r="A441" s="5">
        <f>IFERROR(__xludf.DUMMYFUNCTION("""COMPUTED_VALUE"""),"4690612031354")</f>
        <v/>
      </c>
      <c r="B441" s="5">
        <f>IFERROR(__xludf.DUMMYFUNCTION("""COMPUTED_VALUE"""),"ССП-159М 18Вт 230В 4000К 1350Лм 600мм нелинкаб. матовый IP65 IN HOME")</f>
        <v/>
      </c>
      <c r="C441" s="2">
        <f>IFERROR(__xludf.DUMMYFUNCTION("""COMPUTED_VALUE"""),0.75333)</f>
        <v/>
      </c>
      <c r="D441" s="2">
        <f>IFERROR(__xludf.DUMMYFUNCTION("""COMPUTED_VALUE"""),0.00417)</f>
        <v/>
      </c>
      <c r="E441" s="2">
        <f>IFERROR(__xludf.DUMMYFUNCTION("""COMPUTED_VALUE"""),495.7)</f>
        <v/>
      </c>
      <c r="F441" s="2">
        <f>IFERROR(__xludf.DUMMYFUNCTION("""COMPUTED_VALUE"""),600.0)</f>
        <v/>
      </c>
      <c r="G441" s="2">
        <f>IFERROR(__xludf.DUMMYFUNCTION("""COMPUTED_VALUE"""),675.0)</f>
        <v/>
      </c>
      <c r="H441" s="2">
        <f>IFERROR(__xludf.DUMMYFUNCTION("""COMPUTED_VALUE"""),783.0)</f>
        <v/>
      </c>
      <c r="I441" s="2">
        <f>IFERROR(__xludf.DUMMYFUNCTION("""COMPUTED_VALUE"""),900.0)</f>
        <v/>
      </c>
      <c r="J441" s="2">
        <f>IFERROR(__xludf.DUMMYFUNCTION("""COMPUTED_VALUE"""),450.0)</f>
        <v/>
      </c>
      <c r="K441" s="2">
        <f>IFERROR(__xludf.DUMMYFUNCTION("""COMPUTED_VALUE"""),3.0)</f>
        <v/>
      </c>
      <c r="L441" s="2">
        <f>IFERROR(__xludf.DUMMYFUNCTION("""COMPUTED_VALUE"""),"Светильники светодиодные ССП")</f>
        <v/>
      </c>
      <c r="M441" s="2">
        <f>IFERROR(__xludf.DUMMYFUNCTION("""COMPUTED_VALUE"""),"Для ЖКХ, дома, дачи, Без датчиков, LED Светильники")</f>
        <v/>
      </c>
    </row>
    <row r="442">
      <c r="A442" s="5">
        <f>IFERROR(__xludf.DUMMYFUNCTION("""COMPUTED_VALUE"""),"V11025")</f>
        <v/>
      </c>
      <c r="B442" s="5">
        <f>IFERROR(__xludf.DUMMYFUNCTION("""COMPUTED_VALUE"""),"VRN-LPE60-64-A50K67-U, 64Вт, Универсальный")</f>
        <v/>
      </c>
      <c r="C442" s="2">
        <f>IFERROR(__xludf.DUMMYFUNCTION("""COMPUTED_VALUE"""),2.0)</f>
        <v/>
      </c>
      <c r="D442" s="2">
        <f>IFERROR(__xludf.DUMMYFUNCTION("""COMPUTED_VALUE"""),0.8700000000000001)</f>
        <v/>
      </c>
      <c r="E442" s="2">
        <f>IFERROR(__xludf.DUMMYFUNCTION("""COMPUTED_VALUE"""),3250.0)</f>
        <v/>
      </c>
      <c r="F442" s="2">
        <f>IFERROR(__xludf.DUMMYFUNCTION("""COMPUTED_VALUE"""),3760.0)</f>
        <v/>
      </c>
      <c r="G442" s="2">
        <f>IFERROR(__xludf.DUMMYFUNCTION("""COMPUTED_VALUE"""),4888.0)</f>
        <v/>
      </c>
      <c r="H442" s="2">
        <f>IFERROR(__xludf.DUMMYFUNCTION("""COMPUTED_VALUE"""),5132.0)</f>
        <v/>
      </c>
      <c r="I442" s="2">
        <f>IFERROR(__xludf.DUMMYFUNCTION("""COMPUTED_VALUE"""),5377.0)</f>
        <v/>
      </c>
      <c r="J442" s="2">
        <f>IFERROR(__xludf.DUMMYFUNCTION("""COMPUTED_VALUE"""),2689.0)</f>
        <v/>
      </c>
      <c r="K442" s="2">
        <f>IFERROR(__xludf.DUMMYFUNCTION("""COMPUTED_VALUE"""),1.0)</f>
        <v/>
      </c>
      <c r="L442" s="2">
        <f>IFERROR(__xludf.DUMMYFUNCTION("""COMPUTED_VALUE"""),"Прожектор Эконом")</f>
        <v/>
      </c>
      <c r="M442" s="2">
        <f>IFERROR(__xludf.DUMMYFUNCTION("""COMPUTED_VALUE"""),"Для обычных дорог, Профессиональные, Модульные, LED Светильники")</f>
        <v/>
      </c>
    </row>
    <row r="443">
      <c r="A443" s="5">
        <f>IFERROR(__xludf.DUMMYFUNCTION("""COMPUTED_VALUE"""),"4690612010229-5")</f>
        <v/>
      </c>
      <c r="B443" s="5">
        <f>IFERROR(__xludf.DUMMYFUNCTION("""COMPUTED_VALUE"""),"(5 штук) Вилка угловая с заземлением каучук 16А IP44 черная Комплект 5 шт IN HOME")</f>
        <v/>
      </c>
      <c r="C443" s="2">
        <f>IFERROR(__xludf.DUMMYFUNCTION("""COMPUTED_VALUE"""),0.067)</f>
        <v/>
      </c>
      <c r="D443" s="2">
        <f>IFERROR(__xludf.DUMMYFUNCTION("""COMPUTED_VALUE"""),2.0E-4)</f>
        <v/>
      </c>
      <c r="E443" s="2">
        <f>IFERROR(__xludf.DUMMYFUNCTION("""COMPUTED_VALUE"""),334.75)</f>
        <v/>
      </c>
      <c r="F443" s="2">
        <f>IFERROR(__xludf.DUMMYFUNCTION("""COMPUTED_VALUE"""),367.0)</f>
        <v/>
      </c>
      <c r="G443" s="2">
        <f>IFERROR(__xludf.DUMMYFUNCTION("""COMPUTED_VALUE"""),429.0)</f>
        <v/>
      </c>
      <c r="H443" s="2">
        <f>IFERROR(__xludf.DUMMYFUNCTION("""COMPUTED_VALUE"""),482.0)</f>
        <v/>
      </c>
      <c r="I443" s="2">
        <f>IFERROR(__xludf.DUMMYFUNCTION("""COMPUTED_VALUE"""),536.0)</f>
        <v/>
      </c>
      <c r="J443" s="2">
        <f>IFERROR(__xludf.DUMMYFUNCTION("""COMPUTED_VALUE"""),268.0)</f>
        <v/>
      </c>
      <c r="K443" s="2">
        <f>IFERROR(__xludf.DUMMYFUNCTION("""COMPUTED_VALUE"""),27.0)</f>
        <v/>
      </c>
      <c r="L443" s="2">
        <f>IFERROR(__xludf.DUMMYFUNCTION("""COMPUTED_VALUE"""),"Розетки, вилки производство, упаковка")</f>
        <v/>
      </c>
      <c r="M443" s="2">
        <f>IFERROR(__xludf.DUMMYFUNCTION("""COMPUTED_VALUE"""),"Прочие товары")</f>
        <v/>
      </c>
    </row>
    <row r="444">
      <c r="A444" s="5">
        <f>IFERROR(__xludf.DUMMYFUNCTION("""COMPUTED_VALUE"""),"G106001204")</f>
        <v/>
      </c>
      <c r="B444" s="5">
        <f>IFERROR(__xludf.DUMMYFUNCTION("""COMPUTED_VALUE"""),"Reflector R39 E14 4W 4100K 1/10/100")</f>
        <v/>
      </c>
      <c r="C444" s="2">
        <f>IFERROR(__xludf.DUMMYFUNCTION("""COMPUTED_VALUE"""),0.0)</f>
        <v/>
      </c>
      <c r="D444" s="2">
        <f>IFERROR(__xludf.DUMMYFUNCTION("""COMPUTED_VALUE"""),0.0)</f>
        <v/>
      </c>
      <c r="E444" s="2">
        <f>IFERROR(__xludf.DUMMYFUNCTION("""COMPUTED_VALUE"""),109.0)</f>
        <v/>
      </c>
      <c r="F444" s="2">
        <f>IFERROR(__xludf.DUMMYFUNCTION("""COMPUTED_VALUE"""),131.0)</f>
        <v/>
      </c>
      <c r="G444" s="2">
        <f>IFERROR(__xludf.DUMMYFUNCTION("""COMPUTED_VALUE"""),144.0)</f>
        <v/>
      </c>
      <c r="H444" s="2">
        <f>IFERROR(__xludf.DUMMYFUNCTION("""COMPUTED_VALUE"""),170.0)</f>
        <v/>
      </c>
      <c r="I444" s="2">
        <f>IFERROR(__xludf.DUMMYFUNCTION("""COMPUTED_VALUE"""),215.0)</f>
        <v/>
      </c>
      <c r="J444" s="2">
        <f>IFERROR(__xludf.DUMMYFUNCTION("""COMPUTED_VALUE"""),108.0)</f>
        <v/>
      </c>
      <c r="K444" s="2">
        <f>IFERROR(__xludf.DUMMYFUNCTION("""COMPUTED_VALUE"""),2.0)</f>
        <v/>
      </c>
      <c r="L444" s="2">
        <f>IFERROR(__xludf.DUMMYFUNCTION("""COMPUTED_VALUE"""),"Зеркальные Лампы")</f>
        <v/>
      </c>
      <c r="M444" s="2">
        <f>IFERROR(__xludf.DUMMYFUNCTION("""COMPUTED_VALUE"""),"Лампы")</f>
        <v/>
      </c>
    </row>
    <row r="445">
      <c r="A445" s="5">
        <f>IFERROR(__xludf.DUMMYFUNCTION("""COMPUTED_VALUE"""),"4260529292669")</f>
        <v/>
      </c>
      <c r="B445" s="5">
        <f>IFERROR(__xludf.DUMMYFUNCTION("""COMPUTED_VALUE"""),"SPOT06-CLL5W-1")</f>
        <v/>
      </c>
      <c r="C445" s="2">
        <f>IFERROR(__xludf.DUMMYFUNCTION("""COMPUTED_VALUE"""),0.29)</f>
        <v/>
      </c>
      <c r="D445" s="2">
        <f>IFERROR(__xludf.DUMMYFUNCTION("""COMPUTED_VALUE"""),0.02356)</f>
        <v/>
      </c>
      <c r="E445" s="2">
        <f>IFERROR(__xludf.DUMMYFUNCTION("""COMPUTED_VALUE"""),396.65)</f>
        <v/>
      </c>
      <c r="F445" s="2">
        <f>IFERROR(__xludf.DUMMYFUNCTION("""COMPUTED_VALUE"""),1403.0)</f>
        <v/>
      </c>
      <c r="G445" s="2">
        <f>IFERROR(__xludf.DUMMYFUNCTION("""COMPUTED_VALUE"""),1450.0)</f>
        <v/>
      </c>
      <c r="H445" s="2">
        <f>IFERROR(__xludf.DUMMYFUNCTION("""COMPUTED_VALUE"""),1902.0)</f>
        <v/>
      </c>
      <c r="I445" s="2">
        <f>IFERROR(__xludf.DUMMYFUNCTION("""COMPUTED_VALUE"""),2377.0)</f>
        <v/>
      </c>
      <c r="J445" s="2">
        <f>IFERROR(__xludf.DUMMYFUNCTION("""COMPUTED_VALUE"""),1403.0)</f>
        <v/>
      </c>
      <c r="K445" s="2">
        <f>IFERROR(__xludf.DUMMYFUNCTION("""COMPUTED_VALUE"""),14.0)</f>
        <v/>
      </c>
      <c r="L445" s="2">
        <f>IFERROR(__xludf.DUMMYFUNCTION("""COMPUTED_VALUE"""),"Wolta декоративные")</f>
        <v/>
      </c>
      <c r="M445" s="2">
        <f>IFERROR(__xludf.DUMMYFUNCTION("""COMPUTED_VALUE"""),"Светильники общего назначения (LED), Декоративные, LED Светильники")</f>
        <v/>
      </c>
    </row>
    <row r="446">
      <c r="A446" s="5">
        <f>IFERROR(__xludf.DUMMYFUNCTION("""COMPUTED_VALUE"""),"GL8242")</f>
        <v/>
      </c>
      <c r="B446" s="5">
        <f>IFERROR(__xludf.DUMMYFUNCTION("""COMPUTED_VALUE"""),"GLERIO Line Shell 24 Вт 4000К 92P-24D-4P-MP")</f>
        <v/>
      </c>
      <c r="C446" s="2">
        <f>IFERROR(__xludf.DUMMYFUNCTION("""COMPUTED_VALUE"""),1.575)</f>
        <v/>
      </c>
      <c r="D446" s="2">
        <f>IFERROR(__xludf.DUMMYFUNCTION("""COMPUTED_VALUE"""),0.00495)</f>
        <v/>
      </c>
      <c r="E446" s="2">
        <f>IFERROR(__xludf.DUMMYFUNCTION("""COMPUTED_VALUE"""),1687.8)</f>
        <v/>
      </c>
      <c r="F446" s="2">
        <f>IFERROR(__xludf.DUMMYFUNCTION("""COMPUTED_VALUE"""),2150.0)</f>
        <v/>
      </c>
      <c r="G446" s="2">
        <f>IFERROR(__xludf.DUMMYFUNCTION("""COMPUTED_VALUE"""),2707.0)</f>
        <v/>
      </c>
      <c r="H446" s="2">
        <f>IFERROR(__xludf.DUMMYFUNCTION("""COMPUTED_VALUE"""),3040.0)</f>
        <v/>
      </c>
      <c r="I446" s="2">
        <f>IFERROR(__xludf.DUMMYFUNCTION("""COMPUTED_VALUE"""),3373.0)</f>
        <v/>
      </c>
      <c r="J446" s="2">
        <f>IFERROR(__xludf.DUMMYFUNCTION("""COMPUTED_VALUE"""),2707.0)</f>
        <v/>
      </c>
      <c r="K446" s="2">
        <f>IFERROR(__xludf.DUMMYFUNCTION("""COMPUTED_VALUE"""),2.0)</f>
        <v/>
      </c>
      <c r="L446" s="2">
        <f>IFERROR(__xludf.DUMMYFUNCTION("""COMPUTED_VALUE"""),"Line Shell, Free (Retail) до 10.2025")</f>
        <v/>
      </c>
      <c r="M446" s="2">
        <f>IFERROR(__xludf.DUMMYFUNCTION("""COMPUTED_VALUE"""),"Металлические (линейные), LED Светильники")</f>
        <v/>
      </c>
    </row>
    <row r="447">
      <c r="A447" s="5">
        <f>IFERROR(__xludf.DUMMYFUNCTION("""COMPUTED_VALUE"""),"GL8230")</f>
        <v/>
      </c>
      <c r="B447" s="5">
        <f>IFERROR(__xludf.DUMMYFUNCTION("""COMPUTED_VALUE"""),"GLERIO Line 36 Вт 4000К 91P-36D-4N-M")</f>
        <v/>
      </c>
      <c r="C447" s="2">
        <f>IFERROR(__xludf.DUMMYFUNCTION("""COMPUTED_VALUE"""),0.5)</f>
        <v/>
      </c>
      <c r="D447" s="2">
        <f>IFERROR(__xludf.DUMMYFUNCTION("""COMPUTED_VALUE"""),0.00396)</f>
        <v/>
      </c>
      <c r="E447" s="2">
        <f>IFERROR(__xludf.DUMMYFUNCTION("""COMPUTED_VALUE"""),1971.37)</f>
        <v/>
      </c>
      <c r="F447" s="2">
        <f>IFERROR(__xludf.DUMMYFUNCTION("""COMPUTED_VALUE"""),2310.0)</f>
        <v/>
      </c>
      <c r="G447" s="2">
        <f>IFERROR(__xludf.DUMMYFUNCTION("""COMPUTED_VALUE"""),2908.0)</f>
        <v/>
      </c>
      <c r="H447" s="2">
        <f>IFERROR(__xludf.DUMMYFUNCTION("""COMPUTED_VALUE"""),3266.0)</f>
        <v/>
      </c>
      <c r="I447" s="2">
        <f>IFERROR(__xludf.DUMMYFUNCTION("""COMPUTED_VALUE"""),3624.0)</f>
        <v/>
      </c>
      <c r="J447" s="2">
        <f>IFERROR(__xludf.DUMMYFUNCTION("""COMPUTED_VALUE"""),2310.0)</f>
        <v/>
      </c>
      <c r="K447" s="2">
        <f>IFERROR(__xludf.DUMMYFUNCTION("""COMPUTED_VALUE"""),17.0)</f>
        <v/>
      </c>
      <c r="L447" s="2">
        <f>IFERROR(__xludf.DUMMYFUNCTION("""COMPUTED_VALUE"""),"Line (Айсберг) до 10.2025")</f>
        <v/>
      </c>
      <c r="M447" s="2">
        <f>IFERROR(__xludf.DUMMYFUNCTION("""COMPUTED_VALUE"""),"Пластиковые (линейные), LED Светильники")</f>
        <v/>
      </c>
    </row>
    <row r="448">
      <c r="A448" s="5">
        <f>IFERROR(__xludf.DUMMYFUNCTION("""COMPUTED_VALUE"""),"4690612026121")</f>
        <v/>
      </c>
      <c r="B448" s="5">
        <f>IFERROR(__xludf.DUMMYFUNCTION("""COMPUTED_VALUE"""),"LED-A60-deco 11Вт 230В Е27 3000К 1160Лм прозрачная IN HOME")</f>
        <v/>
      </c>
      <c r="C448" s="2">
        <f>IFERROR(__xludf.DUMMYFUNCTION("""COMPUTED_VALUE"""),0.044)</f>
        <v/>
      </c>
      <c r="D448" s="2">
        <f>IFERROR(__xludf.DUMMYFUNCTION("""COMPUTED_VALUE"""),5.600000000000001E-4)</f>
        <v/>
      </c>
      <c r="E448" s="2">
        <f>IFERROR(__xludf.DUMMYFUNCTION("""COMPUTED_VALUE"""),84.29)</f>
        <v/>
      </c>
      <c r="F448" s="2">
        <f>IFERROR(__xludf.DUMMYFUNCTION("""COMPUTED_VALUE"""),98.0)</f>
        <v/>
      </c>
      <c r="G448" s="2">
        <f>IFERROR(__xludf.DUMMYFUNCTION("""COMPUTED_VALUE"""),110.0)</f>
        <v/>
      </c>
      <c r="H448" s="2">
        <f>IFERROR(__xludf.DUMMYFUNCTION("""COMPUTED_VALUE"""),128.0)</f>
        <v/>
      </c>
      <c r="I448" s="2">
        <f>IFERROR(__xludf.DUMMYFUNCTION("""COMPUTED_VALUE"""),147.5)</f>
        <v/>
      </c>
      <c r="J448" s="2">
        <f>IFERROR(__xludf.DUMMYFUNCTION("""COMPUTED_VALUE"""),74.0)</f>
        <v/>
      </c>
      <c r="K448" s="2">
        <f>IFERROR(__xludf.DUMMYFUNCTION("""COMPUTED_VALUE"""),26.0)</f>
        <v/>
      </c>
      <c r="L448" s="2">
        <f>IFERROR(__xludf.DUMMYFUNCTION("""COMPUTED_VALUE"""),"Лампа светодиодная LED-A60 DECO")</f>
        <v/>
      </c>
      <c r="M448" s="2">
        <f>IFERROR(__xludf.DUMMYFUNCTION("""COMPUTED_VALUE"""),"Лампы")</f>
        <v/>
      </c>
    </row>
    <row r="449">
      <c r="A449" s="5">
        <f>IFERROR(__xludf.DUMMYFUNCTION("""COMPUTED_VALUE"""),"4690612035383")</f>
        <v/>
      </c>
      <c r="B449" s="5">
        <f>IFERROR(__xludf.DUMMYFUNCTION("""COMPUTED_VALUE"""),"ELEGANT SANSA-W 120Вт 230В 3000-6500K 8400Лм 650х650х130мм c пультом ДУ белый IN HOME")</f>
        <v/>
      </c>
      <c r="C449" s="2">
        <f>IFERROR(__xludf.DUMMYFUNCTION("""COMPUTED_VALUE"""),2.4)</f>
        <v/>
      </c>
      <c r="D449" s="2">
        <f>IFERROR(__xludf.DUMMYFUNCTION("""COMPUTED_VALUE"""),0.018)</f>
        <v/>
      </c>
      <c r="E449" s="2">
        <f>IFERROR(__xludf.DUMMYFUNCTION("""COMPUTED_VALUE"""),5048.150000000001)</f>
        <v/>
      </c>
      <c r="F449" s="2">
        <f>IFERROR(__xludf.DUMMYFUNCTION("""COMPUTED_VALUE"""),3231.0)</f>
        <v/>
      </c>
      <c r="G449" s="2">
        <f>IFERROR(__xludf.DUMMYFUNCTION("""COMPUTED_VALUE"""),3635.0)</f>
        <v/>
      </c>
      <c r="H449" s="2">
        <f>IFERROR(__xludf.DUMMYFUNCTION("""COMPUTED_VALUE"""),4216.0)</f>
        <v/>
      </c>
      <c r="I449" s="2">
        <f>IFERROR(__xludf.DUMMYFUNCTION("""COMPUTED_VALUE"""),4846.0)</f>
        <v/>
      </c>
      <c r="J449" s="2">
        <f>IFERROR(__xludf.DUMMYFUNCTION("""COMPUTED_VALUE"""),2423.0)</f>
        <v/>
      </c>
      <c r="K449" s="2">
        <f>IFERROR(__xludf.DUMMYFUNCTION("""COMPUTED_VALUE"""),2.0)</f>
        <v/>
      </c>
      <c r="L449" s="2">
        <f>IFERROR(__xludf.DUMMYFUNCTION("""COMPUTED_VALUE"""),"Светильники светодиодные серии ELEGANT IN HOME")</f>
        <v/>
      </c>
      <c r="M449" s="2">
        <f>IFERROR(__xludf.DUMMYFUNCTION("""COMPUTED_VALUE"""),"Накладные, Декоративные, LED Светильники")</f>
        <v/>
      </c>
    </row>
    <row r="450">
      <c r="A450" s="5">
        <f>IFERROR(__xludf.DUMMYFUNCTION("""COMPUTED_VALUE"""),"4690612016399")</f>
        <v/>
      </c>
      <c r="B450" s="5">
        <f>IFERROR(__xludf.DUMMYFUNCTION("""COMPUTED_VALUE"""),"LED-СВЕЧА-deco 7Вт 230В Е27 4000К 630Лм прозрачная IN HOME")</f>
        <v/>
      </c>
      <c r="C450" s="2">
        <f>IFERROR(__xludf.DUMMYFUNCTION("""COMPUTED_VALUE"""),0.025)</f>
        <v/>
      </c>
      <c r="D450" s="2">
        <f>IFERROR(__xludf.DUMMYFUNCTION("""COMPUTED_VALUE"""),2.6E-4)</f>
        <v/>
      </c>
      <c r="E450" s="2">
        <f>IFERROR(__xludf.DUMMYFUNCTION("""COMPUTED_VALUE"""),52.0)</f>
        <v/>
      </c>
      <c r="F450" s="2">
        <f>IFERROR(__xludf.DUMMYFUNCTION("""COMPUTED_VALUE"""),53.0)</f>
        <v/>
      </c>
      <c r="G450" s="2">
        <f>IFERROR(__xludf.DUMMYFUNCTION("""COMPUTED_VALUE"""),60.0)</f>
        <v/>
      </c>
      <c r="H450" s="2">
        <f>IFERROR(__xludf.DUMMYFUNCTION("""COMPUTED_VALUE"""),70.0)</f>
        <v/>
      </c>
      <c r="I450" s="2">
        <f>IFERROR(__xludf.DUMMYFUNCTION("""COMPUTED_VALUE"""),80.5)</f>
        <v/>
      </c>
      <c r="J450" s="2">
        <f>IFERROR(__xludf.DUMMYFUNCTION("""COMPUTED_VALUE"""),40.0)</f>
        <v/>
      </c>
      <c r="K450" s="2">
        <f>IFERROR(__xludf.DUMMYFUNCTION("""COMPUTED_VALUE"""),2.0)</f>
        <v/>
      </c>
      <c r="L450" s="2">
        <f>IFERROR(__xludf.DUMMYFUNCTION("""COMPUTED_VALUE"""),"Лампа светодиодная LED-СВЕЧА-DECO")</f>
        <v/>
      </c>
      <c r="M450" s="2">
        <f>IFERROR(__xludf.DUMMYFUNCTION("""COMPUTED_VALUE"""),"Лампы")</f>
        <v/>
      </c>
    </row>
    <row r="451">
      <c r="A451" s="5">
        <f>IFERROR(__xludf.DUMMYFUNCTION("""COMPUTED_VALUE"""),"4690612018737")</f>
        <v/>
      </c>
      <c r="B451" s="5">
        <f>IFERROR(__xludf.DUMMYFUNCTION("""COMPUTED_VALUE"""),"Лампа сд LED-GX53-std 16Вт 230В 4000К 1440Лм ASD")</f>
        <v/>
      </c>
      <c r="C451" s="2">
        <f>IFERROR(__xludf.DUMMYFUNCTION("""COMPUTED_VALUE"""),0.0)</f>
        <v/>
      </c>
      <c r="D451" s="2">
        <f>IFERROR(__xludf.DUMMYFUNCTION("""COMPUTED_VALUE"""),0.0)</f>
        <v/>
      </c>
      <c r="E451" s="2">
        <f>IFERROR(__xludf.DUMMYFUNCTION("""COMPUTED_VALUE"""),90.75)</f>
        <v/>
      </c>
      <c r="F451" s="2">
        <f>IFERROR(__xludf.DUMMYFUNCTION("""COMPUTED_VALUE"""),104.0)</f>
        <v/>
      </c>
      <c r="G451" s="2">
        <f>IFERROR(__xludf.DUMMYFUNCTION("""COMPUTED_VALUE"""),117.0)</f>
        <v/>
      </c>
      <c r="H451" s="2">
        <f>IFERROR(__xludf.DUMMYFUNCTION("""COMPUTED_VALUE"""),136.0)</f>
        <v/>
      </c>
      <c r="I451" s="2">
        <f>IFERROR(__xludf.DUMMYFUNCTION("""COMPUTED_VALUE"""),156.5)</f>
        <v/>
      </c>
      <c r="J451" s="2">
        <f>IFERROR(__xludf.DUMMYFUNCTION("""COMPUTED_VALUE"""),78.0)</f>
        <v/>
      </c>
      <c r="K451" s="2">
        <f>IFERROR(__xludf.DUMMYFUNCTION("""COMPUTED_VALUE"""),5.0)</f>
        <v/>
      </c>
      <c r="L451" s="2">
        <f>IFERROR(__xludf.DUMMYFUNCTION("""COMPUTED_VALUE"""),"Лампа светодиодная LED-GX53-standard")</f>
        <v/>
      </c>
      <c r="M451" s="2">
        <f>IFERROR(__xludf.DUMMYFUNCTION("""COMPUTED_VALUE"""),"Точечные круглые Downlight, Лампы")</f>
        <v/>
      </c>
    </row>
    <row r="452">
      <c r="A452" s="5">
        <f>IFERROR(__xludf.DUMMYFUNCTION("""COMPUTED_VALUE"""),"KRAS021")</f>
        <v/>
      </c>
      <c r="B452" s="5">
        <f>IFERROR(__xludf.DUMMYFUNCTION("""COMPUTED_VALUE"""),"Светильник СДБ12Н-2101М-П/К-62")</f>
        <v/>
      </c>
      <c r="C452" s="2">
        <f>IFERROR(__xludf.DUMMYFUNCTION("""COMPUTED_VALUE"""),0.0)</f>
        <v/>
      </c>
      <c r="D452" s="2">
        <f>IFERROR(__xludf.DUMMYFUNCTION("""COMPUTED_VALUE"""),0.0)</f>
        <v/>
      </c>
      <c r="E452" s="2">
        <f>IFERROR(__xludf.DUMMYFUNCTION("""COMPUTED_VALUE"""),1127.22)</f>
        <v/>
      </c>
      <c r="F452" s="2">
        <f>IFERROR(__xludf.DUMMYFUNCTION("""COMPUTED_VALUE"""),1305.0)</f>
        <v/>
      </c>
      <c r="G452" s="2">
        <f>IFERROR(__xludf.DUMMYFUNCTION("""COMPUTED_VALUE"""),1392.0)</f>
        <v/>
      </c>
      <c r="H452" s="2">
        <f>IFERROR(__xludf.DUMMYFUNCTION("""COMPUTED_VALUE"""),1566.0)</f>
        <v/>
      </c>
      <c r="I452" s="2">
        <f>IFERROR(__xludf.DUMMYFUNCTION("""COMPUTED_VALUE"""),1740.0)</f>
        <v/>
      </c>
      <c r="J452" s="2">
        <f>IFERROR(__xludf.DUMMYFUNCTION("""COMPUTED_VALUE"""),870.0)</f>
        <v/>
      </c>
      <c r="K452" s="2">
        <f>IFERROR(__xludf.DUMMYFUNCTION("""COMPUTED_VALUE"""),2.0)</f>
        <v/>
      </c>
      <c r="L452" s="2">
        <f>IFERROR(__xludf.DUMMYFUNCTION("""COMPUTED_VALUE"""),"KRAS (тендер)")</f>
        <v/>
      </c>
      <c r="M452" s="2">
        <f>IFERROR(__xludf.DUMMYFUNCTION("""COMPUTED_VALUE"""),"LED Светильники")</f>
        <v/>
      </c>
    </row>
    <row r="453">
      <c r="A453" s="5">
        <f>IFERROR(__xludf.DUMMYFUNCTION("""COMPUTED_VALUE"""),"4262356474690")</f>
        <v/>
      </c>
      <c r="B453" s="5">
        <f>IFERROR(__xludf.DUMMYFUNCTION("""COMPUTED_VALUE"""),"WFL-30W/07")</f>
        <v/>
      </c>
      <c r="C453" s="2">
        <f>IFERROR(__xludf.DUMMYFUNCTION("""COMPUTED_VALUE"""),0.3)</f>
        <v/>
      </c>
      <c r="D453" s="2">
        <f>IFERROR(__xludf.DUMMYFUNCTION("""COMPUTED_VALUE"""),0.015)</f>
        <v/>
      </c>
      <c r="E453" s="2">
        <f>IFERROR(__xludf.DUMMYFUNCTION("""COMPUTED_VALUE"""),547.07)</f>
        <v/>
      </c>
      <c r="F453" s="2">
        <f>IFERROR(__xludf.DUMMYFUNCTION("""COMPUTED_VALUE"""),470.0)</f>
        <v/>
      </c>
      <c r="G453" s="2">
        <f>IFERROR(__xludf.DUMMYFUNCTION("""COMPUTED_VALUE"""),486.0)</f>
        <v/>
      </c>
      <c r="H453" s="2">
        <f>IFERROR(__xludf.DUMMYFUNCTION("""COMPUTED_VALUE"""),638.0)</f>
        <v/>
      </c>
      <c r="I453" s="2">
        <f>IFERROR(__xludf.DUMMYFUNCTION("""COMPUTED_VALUE"""),797.0)</f>
        <v/>
      </c>
      <c r="J453" s="2">
        <f>IFERROR(__xludf.DUMMYFUNCTION("""COMPUTED_VALUE"""),399.0)</f>
        <v/>
      </c>
      <c r="K453" s="2">
        <f>IFERROR(__xludf.DUMMYFUNCTION("""COMPUTED_VALUE"""),8.0)</f>
        <v/>
      </c>
      <c r="L453" s="2">
        <f>IFERROR(__xludf.DUMMYFUNCTION("""COMPUTED_VALUE"""),"Wolta прожекторы")</f>
        <v/>
      </c>
      <c r="M453" s="2">
        <f>IFERROR(__xludf.DUMMYFUNCTION("""COMPUTED_VALUE"""),"Прожекторы (LED), LED Светильники")</f>
        <v/>
      </c>
    </row>
    <row r="454">
      <c r="A454" s="5">
        <f>IFERROR(__xludf.DUMMYFUNCTION("""COMPUTED_VALUE"""),"14690612053025")</f>
        <v/>
      </c>
      <c r="B454" s="5">
        <f>IFERROR(__xludf.DUMMYFUNCTION("""COMPUTED_VALUE"""),"ДВО-02-EMERGENCY 3665-ПРИЗМА 36Вт 6500К 595х595х19 NEOX без БАП-10W90 (4 шт в упак.)")</f>
        <v/>
      </c>
      <c r="C454" s="2">
        <f>IFERROR(__xludf.DUMMYFUNCTION("""COMPUTED_VALUE"""),1.075)</f>
        <v/>
      </c>
      <c r="D454" s="2">
        <f>IFERROR(__xludf.DUMMYFUNCTION("""COMPUTED_VALUE"""),0.0)</f>
        <v/>
      </c>
      <c r="E454" s="2">
        <f>IFERROR(__xludf.DUMMYFUNCTION("""COMPUTED_VALUE"""),2207.64)</f>
        <v/>
      </c>
      <c r="F454" s="2">
        <f>IFERROR(__xludf.DUMMYFUNCTION("""COMPUTED_VALUE"""),2422.0)</f>
        <v/>
      </c>
      <c r="G454" s="2">
        <f>IFERROR(__xludf.DUMMYFUNCTION("""COMPUTED_VALUE"""),2826.0)</f>
        <v/>
      </c>
      <c r="H454" s="2">
        <f>IFERROR(__xludf.DUMMYFUNCTION("""COMPUTED_VALUE"""),3179.0)</f>
        <v/>
      </c>
      <c r="I454" s="2">
        <f>IFERROR(__xludf.DUMMYFUNCTION("""COMPUTED_VALUE"""),3532.0)</f>
        <v/>
      </c>
      <c r="J454" s="2">
        <f>IFERROR(__xludf.DUMMYFUNCTION("""COMPUTED_VALUE"""),1766.0)</f>
        <v/>
      </c>
      <c r="K454" s="2">
        <f>IFERROR(__xludf.DUMMYFUNCTION("""COMPUTED_VALUE"""),1.0)</f>
        <v/>
      </c>
      <c r="L454" s="2">
        <f>IFERROR(__xludf.DUMMYFUNCTION("""COMPUTED_VALUE"""),"NEOX Светильники LED ДВО - Призма производство, упаковка")</f>
        <v/>
      </c>
      <c r="M454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455">
      <c r="A455" s="5">
        <f>IFERROR(__xludf.DUMMYFUNCTION("""COMPUTED_VALUE"""),"4690612032153-10")</f>
        <v/>
      </c>
      <c r="B455" s="5">
        <f>IFERROR(__xludf.DUMMYFUNCTION("""COMPUTED_VALUE"""),"10 шт. Е27 Д-002 Патрон керамический накладной IN HOME (упаковка 10 шт.)")</f>
        <v/>
      </c>
      <c r="C455" s="2">
        <f>IFERROR(__xludf.DUMMYFUNCTION("""COMPUTED_VALUE"""),0.05)</f>
        <v/>
      </c>
      <c r="D455" s="2">
        <f>IFERROR(__xludf.DUMMYFUNCTION("""COMPUTED_VALUE"""),8.0E-5)</f>
        <v/>
      </c>
      <c r="E455" s="2">
        <f>IFERROR(__xludf.DUMMYFUNCTION("""COMPUTED_VALUE"""),101.3)</f>
        <v/>
      </c>
      <c r="F455" s="2">
        <f>IFERROR(__xludf.DUMMYFUNCTION("""COMPUTED_VALUE"""),13.0)</f>
        <v/>
      </c>
      <c r="G455" s="2">
        <f>IFERROR(__xludf.DUMMYFUNCTION("""COMPUTED_VALUE"""),14.0)</f>
        <v/>
      </c>
      <c r="H455" s="2">
        <f>IFERROR(__xludf.DUMMYFUNCTION("""COMPUTED_VALUE"""),17.0)</f>
        <v/>
      </c>
      <c r="I455" s="2">
        <f>IFERROR(__xludf.DUMMYFUNCTION("""COMPUTED_VALUE"""),19.0)</f>
        <v/>
      </c>
      <c r="J455" s="2">
        <f>IFERROR(__xludf.DUMMYFUNCTION("""COMPUTED_VALUE"""),10.0)</f>
        <v/>
      </c>
      <c r="K455" s="2">
        <f>IFERROR(__xludf.DUMMYFUNCTION("""COMPUTED_VALUE"""),29.0)</f>
        <v/>
      </c>
      <c r="L455" s="2">
        <f>IFERROR(__xludf.DUMMYFUNCTION("""COMPUTED_VALUE"""),"ASD электромонтажные изделия")</f>
        <v/>
      </c>
      <c r="M455" s="2">
        <f>IFERROR(__xludf.DUMMYFUNCTION("""COMPUTED_VALUE"""),"Прочие товары")</f>
        <v/>
      </c>
    </row>
    <row r="456">
      <c r="A456" s="5">
        <f>IFERROR(__xludf.DUMMYFUNCTION("""COMPUTED_VALUE"""),"4690612030029")</f>
        <v/>
      </c>
      <c r="B456" s="5">
        <f>IFERROR(__xludf.DUMMYFUNCTION("""COMPUTED_VALUE"""),"СДО-8 20Вт 230В 6500К 1900Лм IP65 IN HOME")</f>
        <v/>
      </c>
      <c r="C456" s="2">
        <f>IFERROR(__xludf.DUMMYFUNCTION("""COMPUTED_VALUE"""),0.28)</f>
        <v/>
      </c>
      <c r="D456" s="2">
        <f>IFERROR(__xludf.DUMMYFUNCTION("""COMPUTED_VALUE"""),7.5E-4)</f>
        <v/>
      </c>
      <c r="E456" s="2">
        <f>IFERROR(__xludf.DUMMYFUNCTION("""COMPUTED_VALUE"""),194.94)</f>
        <v/>
      </c>
      <c r="F456" s="2">
        <f>IFERROR(__xludf.DUMMYFUNCTION("""COMPUTED_VALUE"""),214.0)</f>
        <v/>
      </c>
      <c r="G456" s="2">
        <f>IFERROR(__xludf.DUMMYFUNCTION("""COMPUTED_VALUE"""),241.0)</f>
        <v/>
      </c>
      <c r="H456" s="2">
        <f>IFERROR(__xludf.DUMMYFUNCTION("""COMPUTED_VALUE"""),279.0)</f>
        <v/>
      </c>
      <c r="I456" s="2">
        <f>IFERROR(__xludf.DUMMYFUNCTION("""COMPUTED_VALUE"""),321.0)</f>
        <v/>
      </c>
      <c r="J456" s="2">
        <f>IFERROR(__xludf.DUMMYFUNCTION("""COMPUTED_VALUE"""),161.0)</f>
        <v/>
      </c>
      <c r="K456" s="2">
        <f>IFERROR(__xludf.DUMMYFUNCTION("""COMPUTED_VALUE"""),5.0)</f>
        <v/>
      </c>
      <c r="L456" s="2">
        <f>IFERROR(__xludf.DUMMYFUNCTION("""COMPUTED_VALUE"""),"Прожекторы светодиодные СДО-8")</f>
        <v/>
      </c>
      <c r="M456" s="2">
        <f>IFERROR(__xludf.DUMMYFUNCTION("""COMPUTED_VALUE"""),"Бытовые (недорогие), Без датчиков, LED Светильники")</f>
        <v/>
      </c>
    </row>
    <row r="457">
      <c r="A457" s="5">
        <f>IFERROR(__xludf.DUMMYFUNCTION("""COMPUTED_VALUE"""),"GL8291")</f>
        <v/>
      </c>
      <c r="B457" s="5">
        <f>IFERROR(__xludf.DUMMYFUNCTION("""COMPUTED_VALUE"""),"GLERIO Line Ultra 48 Вт 4000К 94P-48D-4N-P")</f>
        <v/>
      </c>
      <c r="C457" s="2">
        <f>IFERROR(__xludf.DUMMYFUNCTION("""COMPUTED_VALUE"""),0.7200000000000001)</f>
        <v/>
      </c>
      <c r="D457" s="2">
        <f>IFERROR(__xludf.DUMMYFUNCTION("""COMPUTED_VALUE"""),0.00485)</f>
        <v/>
      </c>
      <c r="E457" s="2">
        <f>IFERROR(__xludf.DUMMYFUNCTION("""COMPUTED_VALUE"""),2617.38)</f>
        <v/>
      </c>
      <c r="F457" s="2">
        <f>IFERROR(__xludf.DUMMYFUNCTION("""COMPUTED_VALUE"""),3060.0)</f>
        <v/>
      </c>
      <c r="G457" s="2">
        <f>IFERROR(__xludf.DUMMYFUNCTION("""COMPUTED_VALUE"""),3853.0)</f>
        <v/>
      </c>
      <c r="H457" s="2">
        <f>IFERROR(__xludf.DUMMYFUNCTION("""COMPUTED_VALUE"""),4327.0)</f>
        <v/>
      </c>
      <c r="I457" s="2">
        <f>IFERROR(__xludf.DUMMYFUNCTION("""COMPUTED_VALUE"""),4801.0)</f>
        <v/>
      </c>
      <c r="J457" s="2">
        <f>IFERROR(__xludf.DUMMYFUNCTION("""COMPUTED_VALUE"""),2401.0)</f>
        <v/>
      </c>
      <c r="K457" s="2">
        <f>IFERROR(__xludf.DUMMYFUNCTION("""COMPUTED_VALUE"""),2.0)</f>
        <v/>
      </c>
      <c r="L457" s="2">
        <f>IFERROR(__xludf.DUMMYFUNCTION("""COMPUTED_VALUE"""),"Line Ultra (Сеть) до 10.2025")</f>
        <v/>
      </c>
      <c r="M457" s="2">
        <f>IFERROR(__xludf.DUMMYFUNCTION("""COMPUTED_VALUE"""),"Пластиковые (линейные), LED Светильники")</f>
        <v/>
      </c>
    </row>
    <row r="458">
      <c r="A458" s="5">
        <f>IFERROR(__xludf.DUMMYFUNCTION("""COMPUTED_VALUE"""),"4690612020587")</f>
        <v/>
      </c>
      <c r="B458" s="5">
        <f>IFERROR(__xludf.DUMMYFUNCTION("""COMPUTED_VALUE"""),"LED-ШАР-VC 11Вт 230В Е14 3000К 1050Лм IN HOME")</f>
        <v/>
      </c>
      <c r="C458" s="2">
        <f>IFERROR(__xludf.DUMMYFUNCTION("""COMPUTED_VALUE"""),0.036)</f>
        <v/>
      </c>
      <c r="D458" s="2">
        <f>IFERROR(__xludf.DUMMYFUNCTION("""COMPUTED_VALUE"""),2.4E-4)</f>
        <v/>
      </c>
      <c r="E458" s="2">
        <f>IFERROR(__xludf.DUMMYFUNCTION("""COMPUTED_VALUE"""),39.23)</f>
        <v/>
      </c>
      <c r="F458" s="2">
        <f>IFERROR(__xludf.DUMMYFUNCTION("""COMPUTED_VALUE"""),46.0)</f>
        <v/>
      </c>
      <c r="G458" s="2">
        <f>IFERROR(__xludf.DUMMYFUNCTION("""COMPUTED_VALUE"""),52.0)</f>
        <v/>
      </c>
      <c r="H458" s="2">
        <f>IFERROR(__xludf.DUMMYFUNCTION("""COMPUTED_VALUE"""),60.0)</f>
        <v/>
      </c>
      <c r="I458" s="2">
        <f>IFERROR(__xludf.DUMMYFUNCTION("""COMPUTED_VALUE"""),69.8)</f>
        <v/>
      </c>
      <c r="J458" s="2">
        <f>IFERROR(__xludf.DUMMYFUNCTION("""COMPUTED_VALUE"""),35.0)</f>
        <v/>
      </c>
      <c r="K458" s="2">
        <f>IFERROR(__xludf.DUMMYFUNCTION("""COMPUTED_VALUE"""),61.0)</f>
        <v/>
      </c>
      <c r="L458" s="2">
        <f>IFERROR(__xludf.DUMMYFUNCTION("""COMPUTED_VALUE"""),"Лампа светодиодная LED-ШАР-standard")</f>
        <v/>
      </c>
      <c r="M458" s="2">
        <f>IFERROR(__xludf.DUMMYFUNCTION("""COMPUTED_VALUE"""),"Лампы")</f>
        <v/>
      </c>
    </row>
    <row r="459">
      <c r="A459" s="5">
        <f>IFERROR(__xludf.DUMMYFUNCTION("""COMPUTED_VALUE"""),"4690612057293")</f>
        <v/>
      </c>
      <c r="B459" s="5">
        <f>IFERROR(__xludf.DUMMYFUNCTION("""COMPUTED_VALUE"""),"ДВО-PRO 5040-ОПАЛ 50Вт 4000К 120лм/Вт CRI80 IP40 595х595х30мм NEOX")</f>
        <v/>
      </c>
      <c r="C459" s="2">
        <f>IFERROR(__xludf.DUMMYFUNCTION("""COMPUTED_VALUE"""),0.9750000000000001)</f>
        <v/>
      </c>
      <c r="D459" s="2">
        <f>IFERROR(__xludf.DUMMYFUNCTION("""COMPUTED_VALUE"""),0.01625)</f>
        <v/>
      </c>
      <c r="E459" s="2">
        <f>IFERROR(__xludf.DUMMYFUNCTION("""COMPUTED_VALUE"""),798.0)</f>
        <v/>
      </c>
      <c r="F459" s="2">
        <f>IFERROR(__xludf.DUMMYFUNCTION("""COMPUTED_VALUE"""),1098.0)</f>
        <v/>
      </c>
      <c r="G459" s="2">
        <f>IFERROR(__xludf.DUMMYFUNCTION("""COMPUTED_VALUE"""),1235.0)</f>
        <v/>
      </c>
      <c r="H459" s="2">
        <f>IFERROR(__xludf.DUMMYFUNCTION("""COMPUTED_VALUE"""),1433.0)</f>
        <v/>
      </c>
      <c r="I459" s="2">
        <f>IFERROR(__xludf.DUMMYFUNCTION("""COMPUTED_VALUE"""),1647.0)</f>
        <v/>
      </c>
      <c r="J459" s="2">
        <f>IFERROR(__xludf.DUMMYFUNCTION("""COMPUTED_VALUE"""),824.0)</f>
        <v/>
      </c>
      <c r="K459" s="2">
        <f>IFERROR(__xludf.DUMMYFUNCTION("""COMPUTED_VALUE"""),21.0)</f>
        <v/>
      </c>
      <c r="L459" s="2">
        <f>IFERROR(__xludf.DUMMYFUNCTION("""COMPUTED_VALUE"""),"NEOX Светильники LED ДВО")</f>
        <v/>
      </c>
      <c r="M459" s="2">
        <f>IFERROR(__xludf.DUMMYFUNCTION("""COMPUTED_VALUE"""),"Светильники общего назначения (LED), Встраиваемые, Накладные, Встраиваемые, LED Светильники")</f>
        <v/>
      </c>
    </row>
    <row r="460">
      <c r="A460" s="5">
        <f>IFERROR(__xludf.DUMMYFUNCTION("""COMPUTED_VALUE"""),"4690612029009")</f>
        <v/>
      </c>
      <c r="B460" s="5">
        <f>IFERROR(__xludf.DUMMYFUNCTION("""COMPUTED_VALUE"""),"NLA 04-TG ЧЕРЕПАШКА зелёная с выкл 230В IN HOME")</f>
        <v/>
      </c>
      <c r="C460" s="2">
        <f>IFERROR(__xludf.DUMMYFUNCTION("""COMPUTED_VALUE"""),0.084)</f>
        <v/>
      </c>
      <c r="D460" s="2">
        <f>IFERROR(__xludf.DUMMYFUNCTION("""COMPUTED_VALUE"""),0.00108)</f>
        <v/>
      </c>
      <c r="E460" s="2">
        <f>IFERROR(__xludf.DUMMYFUNCTION("""COMPUTED_VALUE"""),114.23)</f>
        <v/>
      </c>
      <c r="F460" s="2">
        <f>IFERROR(__xludf.DUMMYFUNCTION("""COMPUTED_VALUE"""),106.0)</f>
        <v/>
      </c>
      <c r="G460" s="2">
        <f>IFERROR(__xludf.DUMMYFUNCTION("""COMPUTED_VALUE"""),119.0)</f>
        <v/>
      </c>
      <c r="H460" s="2">
        <f>IFERROR(__xludf.DUMMYFUNCTION("""COMPUTED_VALUE"""),138.0)</f>
        <v/>
      </c>
      <c r="I460" s="2">
        <f>IFERROR(__xludf.DUMMYFUNCTION("""COMPUTED_VALUE"""),159.0)</f>
        <v/>
      </c>
      <c r="J460" s="2">
        <f>IFERROR(__xludf.DUMMYFUNCTION("""COMPUTED_VALUE"""),80.0)</f>
        <v/>
      </c>
      <c r="K460" s="2">
        <f>IFERROR(__xludf.DUMMYFUNCTION("""COMPUTED_VALUE"""),33.0)</f>
        <v/>
      </c>
      <c r="L460" s="2">
        <f>IFERROR(__xludf.DUMMYFUNCTION("""COMPUTED_VALUE"""),"Светильники ночники")</f>
        <v/>
      </c>
      <c r="M460" s="2">
        <f>IFERROR(__xludf.DUMMYFUNCTION("""COMPUTED_VALUE"""),"Светильники общего назначения (LED), Декоративные, LED Светильники")</f>
        <v/>
      </c>
    </row>
    <row r="461">
      <c r="A461" s="5">
        <f>IFERROR(__xludf.DUMMYFUNCTION("""COMPUTED_VALUE"""),"GL5141")</f>
        <v/>
      </c>
      <c r="B461" s="5">
        <f>IFERROR(__xludf.DUMMYFUNCTION("""COMPUTED_VALUE"""),"GLERIO Practical 96 Вт 5000K 6A-96D-5K")</f>
        <v/>
      </c>
      <c r="C461" s="2">
        <f>IFERROR(__xludf.DUMMYFUNCTION("""COMPUTED_VALUE"""),1.5)</f>
        <v/>
      </c>
      <c r="D461" s="2">
        <f>IFERROR(__xludf.DUMMYFUNCTION("""COMPUTED_VALUE"""),0.005880000000000001)</f>
        <v/>
      </c>
      <c r="E461" s="2">
        <f>IFERROR(__xludf.DUMMYFUNCTION("""COMPUTED_VALUE"""),2880.0)</f>
        <v/>
      </c>
      <c r="F461" s="2">
        <f>IFERROR(__xludf.DUMMYFUNCTION("""COMPUTED_VALUE"""),3200.0)</f>
        <v/>
      </c>
      <c r="G461" s="2">
        <f>IFERROR(__xludf.DUMMYFUNCTION("""COMPUTED_VALUE"""),4000.0)</f>
        <v/>
      </c>
      <c r="H461" s="2">
        <f>IFERROR(__xludf.DUMMYFUNCTION("""COMPUTED_VALUE"""),4500.0)</f>
        <v/>
      </c>
      <c r="I461" s="2">
        <f>IFERROR(__xludf.DUMMYFUNCTION("""COMPUTED_VALUE"""),5000.0)</f>
        <v/>
      </c>
      <c r="J461" s="2">
        <f>IFERROR(__xludf.DUMMYFUNCTION("""COMPUTED_VALUE"""),2500.0)</f>
        <v/>
      </c>
      <c r="K461" s="2">
        <f>IFERROR(__xludf.DUMMYFUNCTION("""COMPUTED_VALUE"""),1.0)</f>
        <v/>
      </c>
      <c r="L461" s="2">
        <f>IFERROR(__xludf.DUMMYFUNCTION("""COMPUTED_VALUE"""),"Practical Уличные GLERIO до 10.2025")</f>
        <v/>
      </c>
      <c r="M461" s="2">
        <f>IFERROR(__xludf.DUMMYFUNCTION("""COMPUTED_VALUE"""),"Для обычных дорог, LED Светильники")</f>
        <v/>
      </c>
    </row>
    <row r="462">
      <c r="A462" s="5">
        <f>IFERROR(__xludf.DUMMYFUNCTION("""COMPUTED_VALUE"""),"V5019")</f>
        <v/>
      </c>
      <c r="B462" s="5">
        <f>IFERROR(__xludf.DUMMYFUNCTION("""COMPUTED_VALUE"""),"VRN-LUX30-76-A50K67-U")</f>
        <v/>
      </c>
      <c r="C462" s="2">
        <f>IFERROR(__xludf.DUMMYFUNCTION("""COMPUTED_VALUE"""),2.4)</f>
        <v/>
      </c>
      <c r="D462" s="2">
        <f>IFERROR(__xludf.DUMMYFUNCTION("""COMPUTED_VALUE"""),0.0088)</f>
        <v/>
      </c>
      <c r="E462" s="2">
        <f>IFERROR(__xludf.DUMMYFUNCTION("""COMPUTED_VALUE"""),7172.5)</f>
        <v/>
      </c>
      <c r="F462" s="2">
        <f>IFERROR(__xludf.DUMMYFUNCTION("""COMPUTED_VALUE"""),7430.0)</f>
        <v/>
      </c>
      <c r="G462" s="2">
        <f>IFERROR(__xludf.DUMMYFUNCTION("""COMPUTED_VALUE"""),9659.0)</f>
        <v/>
      </c>
      <c r="H462" s="2">
        <f>IFERROR(__xludf.DUMMYFUNCTION("""COMPUTED_VALUE"""),10142.0)</f>
        <v/>
      </c>
      <c r="I462" s="2">
        <f>IFERROR(__xludf.DUMMYFUNCTION("""COMPUTED_VALUE"""),10625.0)</f>
        <v/>
      </c>
      <c r="J462" s="2">
        <f>IFERROR(__xludf.DUMMYFUNCTION("""COMPUTED_VALUE"""),5313.0)</f>
        <v/>
      </c>
      <c r="K462" s="2">
        <f>IFERROR(__xludf.DUMMYFUNCTION("""COMPUTED_VALUE"""),1.0)</f>
        <v/>
      </c>
      <c r="L462" s="2">
        <f>IFERROR(__xludf.DUMMYFUNCTION("""COMPUTED_VALUE"""),"Премиум")</f>
        <v/>
      </c>
      <c r="M462" s="2">
        <f>IFERROR(__xludf.DUMMYFUNCTION("""COMPUTED_VALUE"""),"Профессиональные, LED Светильники")</f>
        <v/>
      </c>
    </row>
    <row r="463">
      <c r="A463" s="5">
        <f>IFERROR(__xludf.DUMMYFUNCTION("""COMPUTED_VALUE"""),"4690612020549-10")</f>
        <v/>
      </c>
      <c r="B463" s="5">
        <f>IFERROR(__xludf.DUMMYFUNCTION("""COMPUTED_VALUE"""),"10 шт. Лампа LED-ШАР-VC 8Вт 230В Е14 3000К 760Лм IN HOME (Комплект 10 шт)")</f>
        <v/>
      </c>
      <c r="C463" s="2">
        <f>IFERROR(__xludf.DUMMYFUNCTION("""COMPUTED_VALUE"""),0.03)</f>
        <v/>
      </c>
      <c r="D463" s="2">
        <f>IFERROR(__xludf.DUMMYFUNCTION("""COMPUTED_VALUE"""),0.0023)</f>
        <v/>
      </c>
      <c r="E463" s="2">
        <f>IFERROR(__xludf.DUMMYFUNCTION("""COMPUTED_VALUE"""),390.0)</f>
        <v/>
      </c>
      <c r="F463" s="2">
        <f>IFERROR(__xludf.DUMMYFUNCTION("""COMPUTED_VALUE"""),428.0)</f>
        <v/>
      </c>
      <c r="G463" s="2">
        <f>IFERROR(__xludf.DUMMYFUNCTION("""COMPUTED_VALUE"""),499.0)</f>
        <v/>
      </c>
      <c r="H463" s="2">
        <f>IFERROR(__xludf.DUMMYFUNCTION("""COMPUTED_VALUE"""),562.0)</f>
        <v/>
      </c>
      <c r="I463" s="2">
        <f>IFERROR(__xludf.DUMMYFUNCTION("""COMPUTED_VALUE"""),624.0)</f>
        <v/>
      </c>
      <c r="J463" s="2">
        <f>IFERROR(__xludf.DUMMYFUNCTION("""COMPUTED_VALUE"""),312.0)</f>
        <v/>
      </c>
      <c r="K463" s="2">
        <f>IFERROR(__xludf.DUMMYFUNCTION("""COMPUTED_VALUE"""),10.0)</f>
        <v/>
      </c>
      <c r="L463" s="2">
        <f>IFERROR(__xludf.DUMMYFUNCTION("""COMPUTED_VALUE"""),"Лампы производство, упаковка")</f>
        <v/>
      </c>
      <c r="M463" s="2">
        <f>IFERROR(__xludf.DUMMYFUNCTION("""COMPUTED_VALUE"""),"Лампы")</f>
        <v/>
      </c>
    </row>
    <row r="464">
      <c r="A464" s="5">
        <f>IFERROR(__xludf.DUMMYFUNCTION("""COMPUTED_VALUE"""),"12-4703")</f>
        <v/>
      </c>
      <c r="B464" s="5">
        <f>IFERROR(__xludf.DUMMYFUNCTION("""COMPUTED_VALUE"""),"Набор отверток 7 предметов (крестовые и шлицевые) REXANT")</f>
        <v/>
      </c>
      <c r="C464" s="2">
        <f>IFERROR(__xludf.DUMMYFUNCTION("""COMPUTED_VALUE"""),0.0)</f>
        <v/>
      </c>
      <c r="D464" s="2">
        <f>IFERROR(__xludf.DUMMYFUNCTION("""COMPUTED_VALUE"""),0.0)</f>
        <v/>
      </c>
      <c r="E464" s="2">
        <f>IFERROR(__xludf.DUMMYFUNCTION("""COMPUTED_VALUE"""),1.0)</f>
        <v/>
      </c>
      <c r="F464" s="2">
        <f>IFERROR(__xludf.DUMMYFUNCTION("""COMPUTED_VALUE"""),904.0)</f>
        <v/>
      </c>
      <c r="G464" s="2">
        <f>IFERROR(__xludf.DUMMYFUNCTION("""COMPUTED_VALUE"""),965.0)</f>
        <v/>
      </c>
      <c r="H464" s="2">
        <f>IFERROR(__xludf.DUMMYFUNCTION("""COMPUTED_VALUE"""),1085.0)</f>
        <v/>
      </c>
      <c r="I464" s="2">
        <f>IFERROR(__xludf.DUMMYFUNCTION("""COMPUTED_VALUE"""),1205.77)</f>
        <v/>
      </c>
      <c r="J464" s="2">
        <f>IFERROR(__xludf.DUMMYFUNCTION("""COMPUTED_VALUE"""),603.0)</f>
        <v/>
      </c>
      <c r="K464" s="2">
        <f>IFERROR(__xludf.DUMMYFUNCTION("""COMPUTED_VALUE"""),1.0)</f>
        <v/>
      </c>
      <c r="L464" s="2">
        <f>IFERROR(__xludf.DUMMYFUNCTION("""COMPUTED_VALUE"""),"Rexant")</f>
        <v/>
      </c>
      <c r="M464" s="2">
        <f>IFERROR(__xludf.DUMMYFUNCTION("""COMPUTED_VALUE"""),"Прочие товары")</f>
        <v/>
      </c>
    </row>
    <row r="465">
      <c r="A465" s="5">
        <f>IFERROR(__xludf.DUMMYFUNCTION("""COMPUTED_VALUE"""),"4690612038803-2")</f>
        <v/>
      </c>
      <c r="B465" s="5">
        <f>IFERROR(__xludf.DUMMYFUNCTION("""COMPUTED_VALUE"""),"ДВО-02 4040-ОПАЛ 40Вт 230В 4000К 3600Лм 595х595х25 NEOX (2 шт в упак.)")</f>
        <v/>
      </c>
      <c r="C465" s="2">
        <f>IFERROR(__xludf.DUMMYFUNCTION("""COMPUTED_VALUE"""),1.35)</f>
        <v/>
      </c>
      <c r="D465" s="2">
        <f>IFERROR(__xludf.DUMMYFUNCTION("""COMPUTED_VALUE"""),0.0)</f>
        <v/>
      </c>
      <c r="E465" s="2">
        <f>IFERROR(__xludf.DUMMYFUNCTION("""COMPUTED_VALUE"""),1452.96)</f>
        <v/>
      </c>
      <c r="F465" s="2">
        <f>IFERROR(__xludf.DUMMYFUNCTION("""COMPUTED_VALUE"""),1594.0)</f>
        <v/>
      </c>
      <c r="G465" s="2">
        <f>IFERROR(__xludf.DUMMYFUNCTION("""COMPUTED_VALUE"""),1860.0)</f>
        <v/>
      </c>
      <c r="H465" s="2">
        <f>IFERROR(__xludf.DUMMYFUNCTION("""COMPUTED_VALUE"""),2093.0)</f>
        <v/>
      </c>
      <c r="I465" s="2">
        <f>IFERROR(__xludf.DUMMYFUNCTION("""COMPUTED_VALUE"""),2325.0)</f>
        <v/>
      </c>
      <c r="J465" s="2">
        <f>IFERROR(__xludf.DUMMYFUNCTION("""COMPUTED_VALUE"""),1163.0)</f>
        <v/>
      </c>
      <c r="K465" s="2">
        <f>IFERROR(__xludf.DUMMYFUNCTION("""COMPUTED_VALUE"""),6.0)</f>
        <v/>
      </c>
      <c r="L465" s="2">
        <f>IFERROR(__xludf.DUMMYFUNCTION("""COMPUTED_VALUE"""),"NEOX Светильники LED ДВО - Опал производство, упаковка")</f>
        <v/>
      </c>
      <c r="M465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/>
      </c>
    </row>
    <row r="466">
      <c r="A466" s="5">
        <f>IFERROR(__xludf.DUMMYFUNCTION("""COMPUTED_VALUE"""),"4690612057309")</f>
        <v/>
      </c>
      <c r="B466" s="5">
        <f>IFERROR(__xludf.DUMMYFUNCTION("""COMPUTED_VALUE"""),"ДВО-PRO 5065-ОПАЛ 50Вт 6500К 120лм/Вт CRI80 IP40 595х595х30мм NEOX")</f>
        <v/>
      </c>
      <c r="C466" s="2">
        <f>IFERROR(__xludf.DUMMYFUNCTION("""COMPUTED_VALUE"""),0.9750000000000001)</f>
        <v/>
      </c>
      <c r="D466" s="2">
        <f>IFERROR(__xludf.DUMMYFUNCTION("""COMPUTED_VALUE"""),0.01625)</f>
        <v/>
      </c>
      <c r="E466" s="2">
        <f>IFERROR(__xludf.DUMMYFUNCTION("""COMPUTED_VALUE"""),996.36)</f>
        <v/>
      </c>
      <c r="F466" s="2">
        <f>IFERROR(__xludf.DUMMYFUNCTION("""COMPUTED_VALUE"""),1098.0)</f>
        <v/>
      </c>
      <c r="G466" s="2">
        <f>IFERROR(__xludf.DUMMYFUNCTION("""COMPUTED_VALUE"""),1235.0)</f>
        <v/>
      </c>
      <c r="H466" s="2">
        <f>IFERROR(__xludf.DUMMYFUNCTION("""COMPUTED_VALUE"""),1433.0)</f>
        <v/>
      </c>
      <c r="I466" s="2">
        <f>IFERROR(__xludf.DUMMYFUNCTION("""COMPUTED_VALUE"""),1647.0)</f>
        <v/>
      </c>
      <c r="J466" s="2">
        <f>IFERROR(__xludf.DUMMYFUNCTION("""COMPUTED_VALUE"""),824.0)</f>
        <v/>
      </c>
      <c r="K466" s="2">
        <f>IFERROR(__xludf.DUMMYFUNCTION("""COMPUTED_VALUE"""),9.0)</f>
        <v/>
      </c>
      <c r="L466" s="2">
        <f>IFERROR(__xludf.DUMMYFUNCTION("""COMPUTED_VALUE"""),"NEOX Светильники LED ДВО")</f>
        <v/>
      </c>
      <c r="M466" s="2">
        <f>IFERROR(__xludf.DUMMYFUNCTION("""COMPUTED_VALUE"""),"С равномерной засветкой, С равномерной засветкой, LED Светильники")</f>
        <v/>
      </c>
    </row>
    <row r="467">
      <c r="A467" s="5">
        <f>IFERROR(__xludf.DUMMYFUNCTION("""COMPUTED_VALUE"""),"12021")</f>
        <v/>
      </c>
      <c r="B467" s="5">
        <f>IFERROR(__xludf.DUMMYFUNCTION("""COMPUTED_VALUE"""),"Защитная решетка для светильников TLWP06/236/228/254")</f>
        <v/>
      </c>
      <c r="C467" s="2">
        <f>IFERROR(__xludf.DUMMYFUNCTION("""COMPUTED_VALUE"""),0.9)</f>
        <v/>
      </c>
      <c r="D467" s="2">
        <f>IFERROR(__xludf.DUMMYFUNCTION("""COMPUTED_VALUE"""),0.015)</f>
        <v/>
      </c>
      <c r="E467" s="2">
        <f>IFERROR(__xludf.DUMMYFUNCTION("""COMPUTED_VALUE"""),601.66)</f>
        <v/>
      </c>
      <c r="F467" s="2">
        <f>IFERROR(__xludf.DUMMYFUNCTION("""COMPUTED_VALUE"""),1321.0)</f>
        <v/>
      </c>
      <c r="G467" s="2">
        <f>IFERROR(__xludf.DUMMYFUNCTION("""COMPUTED_VALUE"""),1491.0)</f>
        <v/>
      </c>
      <c r="H467" s="2">
        <f>IFERROR(__xludf.DUMMYFUNCTION("""COMPUTED_VALUE"""),1525.0)</f>
        <v/>
      </c>
      <c r="I467" s="2">
        <f>IFERROR(__xludf.DUMMYFUNCTION("""COMPUTED_VALUE"""),1860.0)</f>
        <v/>
      </c>
      <c r="J467" s="2">
        <f>IFERROR(__xludf.DUMMYFUNCTION("""COMPUTED_VALUE"""),930.0)</f>
        <v/>
      </c>
      <c r="K467" s="2">
        <f>IFERROR(__xludf.DUMMYFUNCTION("""COMPUTED_VALUE"""),6.0)</f>
        <v/>
      </c>
      <c r="L467" s="2">
        <f>IFERROR(__xludf.DUMMYFUNCTION("""COMPUTED_VALUE"""),"Комплектующие и аксессуары")</f>
        <v/>
      </c>
      <c r="M467" s="2">
        <f>IFERROR(__xludf.DUMMYFUNCTION("""COMPUTED_VALUE"""),"Прочие товары")</f>
        <v/>
      </c>
    </row>
    <row r="468">
      <c r="A468" s="5">
        <f>IFERROR(__xludf.DUMMYFUNCTION("""COMPUTED_VALUE"""),"4690612016337")</f>
        <v/>
      </c>
      <c r="B468" s="5">
        <f>IFERROR(__xludf.DUMMYFUNCTION("""COMPUTED_VALUE"""),"LED-ШАР-deco 7Вт 230В Е27 4000К 810Лм прозрачная IN HOME")</f>
        <v/>
      </c>
      <c r="C468" s="2">
        <f>IFERROR(__xludf.DUMMYFUNCTION("""COMPUTED_VALUE"""),0.043)</f>
        <v/>
      </c>
      <c r="D468" s="2">
        <f>IFERROR(__xludf.DUMMYFUNCTION("""COMPUTED_VALUE"""),2.4E-4)</f>
        <v/>
      </c>
      <c r="E468" s="2">
        <f>IFERROR(__xludf.DUMMYFUNCTION("""COMPUTED_VALUE"""),63.5)</f>
        <v/>
      </c>
      <c r="F468" s="2">
        <f>IFERROR(__xludf.DUMMYFUNCTION("""COMPUTED_VALUE"""),68.0)</f>
        <v/>
      </c>
      <c r="G468" s="2">
        <f>IFERROR(__xludf.DUMMYFUNCTION("""COMPUTED_VALUE"""),77.0)</f>
        <v/>
      </c>
      <c r="H468" s="2">
        <f>IFERROR(__xludf.DUMMYFUNCTION("""COMPUTED_VALUE"""),89.0)</f>
        <v/>
      </c>
      <c r="I468" s="2">
        <f>IFERROR(__xludf.DUMMYFUNCTION("""COMPUTED_VALUE"""),102.5)</f>
        <v/>
      </c>
      <c r="J468" s="2">
        <f>IFERROR(__xludf.DUMMYFUNCTION("""COMPUTED_VALUE"""),51.0)</f>
        <v/>
      </c>
      <c r="K468" s="2">
        <f>IFERROR(__xludf.DUMMYFUNCTION("""COMPUTED_VALUE"""),53.0)</f>
        <v/>
      </c>
      <c r="L468" s="2">
        <f>IFERROR(__xludf.DUMMYFUNCTION("""COMPUTED_VALUE"""),"Лампа светодиодная LED-ШАР-DECO")</f>
        <v/>
      </c>
      <c r="M468" s="2">
        <f>IFERROR(__xludf.DUMMYFUNCTION("""COMPUTED_VALUE"""),"Лампы")</f>
        <v/>
      </c>
    </row>
    <row r="469">
      <c r="A469" s="5">
        <f>IFERROR(__xludf.DUMMYFUNCTION("""COMPUTED_VALUE"""),"51-0616")</f>
        <v/>
      </c>
      <c r="B469" s="5">
        <f>IFERROR(__xludf.DUMMYFUNCTION("""COMPUTED_VALUE"""),"Греющий саморегулирующийся кабель на трубу 15MSR-PB 2M (2м/30Вт) REXANT")</f>
        <v/>
      </c>
      <c r="C469" s="2">
        <f>IFERROR(__xludf.DUMMYFUNCTION("""COMPUTED_VALUE"""),0.0)</f>
        <v/>
      </c>
      <c r="D469" s="2">
        <f>IFERROR(__xludf.DUMMYFUNCTION("""COMPUTED_VALUE"""),0.0)</f>
        <v/>
      </c>
      <c r="E469" s="2">
        <f>IFERROR(__xludf.DUMMYFUNCTION("""COMPUTED_VALUE"""),1.0)</f>
        <v/>
      </c>
      <c r="F469" s="2">
        <f>IFERROR(__xludf.DUMMYFUNCTION("""COMPUTED_VALUE"""),1551.0)</f>
        <v/>
      </c>
      <c r="G469" s="2">
        <f>IFERROR(__xludf.DUMMYFUNCTION("""COMPUTED_VALUE"""),1655.0)</f>
        <v/>
      </c>
      <c r="H469" s="2">
        <f>IFERROR(__xludf.DUMMYFUNCTION("""COMPUTED_VALUE"""),1861.0)</f>
        <v/>
      </c>
      <c r="I469" s="2">
        <f>IFERROR(__xludf.DUMMYFUNCTION("""COMPUTED_VALUE"""),2068.31)</f>
        <v/>
      </c>
      <c r="J469" s="2">
        <f>IFERROR(__xludf.DUMMYFUNCTION("""COMPUTED_VALUE"""),1034.0)</f>
        <v/>
      </c>
      <c r="K469" s="2">
        <f>IFERROR(__xludf.DUMMYFUNCTION("""COMPUTED_VALUE"""),3.0)</f>
        <v/>
      </c>
      <c r="L469" s="2">
        <f>IFERROR(__xludf.DUMMYFUNCTION("""COMPUTED_VALUE"""),"Rexant")</f>
        <v/>
      </c>
      <c r="M469" s="2">
        <f>IFERROR(__xludf.DUMMYFUNCTION("""COMPUTED_VALUE"""),"Прочие товары")</f>
        <v/>
      </c>
    </row>
    <row r="470">
      <c r="A470" s="5">
        <f>IFERROR(__xludf.DUMMYFUNCTION("""COMPUTED_VALUE"""),"4690612029627-1")</f>
        <v/>
      </c>
      <c r="B470" s="5">
        <f>IFERROR(__xludf.DUMMYFUNCTION("""COMPUTED_VALUE"""),"LPU-02 36Вт ПРИЗМА 230В 4000К 3420Лм IP40 (в индивидуальной упаковке)")</f>
        <v/>
      </c>
      <c r="C470" s="2">
        <f>IFERROR(__xludf.DUMMYFUNCTION("""COMPUTED_VALUE"""),0.9500000000000001)</f>
        <v/>
      </c>
      <c r="D470" s="2">
        <f>IFERROR(__xludf.DUMMYFUNCTION("""COMPUTED_VALUE"""),0.006730000000000001)</f>
        <v/>
      </c>
      <c r="E470" s="2">
        <f>IFERROR(__xludf.DUMMYFUNCTION("""COMPUTED_VALUE"""),540.96)</f>
        <v/>
      </c>
      <c r="F470" s="2">
        <f>IFERROR(__xludf.DUMMYFUNCTION("""COMPUTED_VALUE"""),594.0)</f>
        <v/>
      </c>
      <c r="G470" s="2">
        <f>IFERROR(__xludf.DUMMYFUNCTION("""COMPUTED_VALUE"""),693.0)</f>
        <v/>
      </c>
      <c r="H470" s="2">
        <f>IFERROR(__xludf.DUMMYFUNCTION("""COMPUTED_VALUE"""),779.0)</f>
        <v/>
      </c>
      <c r="I470" s="2">
        <f>IFERROR(__xludf.DUMMYFUNCTION("""COMPUTED_VALUE"""),866.0)</f>
        <v/>
      </c>
      <c r="J470" s="2">
        <f>IFERROR(__xludf.DUMMYFUNCTION("""COMPUTED_VALUE"""),433.0)</f>
        <v/>
      </c>
      <c r="K470" s="2">
        <f>IFERROR(__xludf.DUMMYFUNCTION("""COMPUTED_VALUE"""),1.0)</f>
        <v/>
      </c>
      <c r="L470" s="2">
        <f>IFERROR(__xludf.DUMMYFUNCTION("""COMPUTED_VALUE"""),"InHome Светильники LED LPU-02 производство, упаковка")</f>
        <v/>
      </c>
      <c r="M470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/>
      </c>
    </row>
    <row r="471">
      <c r="A471" s="5">
        <f>IFERROR(__xludf.DUMMYFUNCTION("""COMPUTED_VALUE"""),"14690612053001")</f>
        <v/>
      </c>
      <c r="B471" s="5">
        <f>IFERROR(__xludf.DUMMYFUNCTION("""COMPUTED_VALUE"""),"ДВО-01 7565-ПРИЗМА 75Вт 6500К 180х1195х19 NEOX (4 шт в упак.)")</f>
        <v/>
      </c>
      <c r="C471" s="2">
        <f>IFERROR(__xludf.DUMMYFUNCTION("""COMPUTED_VALUE"""),1.375)</f>
        <v/>
      </c>
      <c r="D471" s="2">
        <f>IFERROR(__xludf.DUMMYFUNCTION("""COMPUTED_VALUE"""),0.0)</f>
        <v/>
      </c>
      <c r="E471" s="2">
        <f>IFERROR(__xludf.DUMMYFUNCTION("""COMPUTED_VALUE"""),3020.73)</f>
        <v/>
      </c>
      <c r="F471" s="2">
        <f>IFERROR(__xludf.DUMMYFUNCTION("""COMPUTED_VALUE"""),3314.0)</f>
        <v/>
      </c>
      <c r="G471" s="2">
        <f>IFERROR(__xludf.DUMMYFUNCTION("""COMPUTED_VALUE"""),3866.0)</f>
        <v/>
      </c>
      <c r="H471" s="2">
        <f>IFERROR(__xludf.DUMMYFUNCTION("""COMPUTED_VALUE"""),4350.0)</f>
        <v/>
      </c>
      <c r="I471" s="2">
        <f>IFERROR(__xludf.DUMMYFUNCTION("""COMPUTED_VALUE"""),4833.0)</f>
        <v/>
      </c>
      <c r="J471" s="2">
        <f>IFERROR(__xludf.DUMMYFUNCTION("""COMPUTED_VALUE"""),3866.0)</f>
        <v/>
      </c>
      <c r="K471" s="2">
        <f>IFERROR(__xludf.DUMMYFUNCTION("""COMPUTED_VALUE"""),2.0)</f>
        <v/>
      </c>
      <c r="L471" s="2">
        <f>IFERROR(__xludf.DUMMYFUNCTION("""COMPUTED_VALUE"""),"NEOX Светильники LED ДВО - Призма производство, упаковка")</f>
        <v/>
      </c>
      <c r="M471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472">
      <c r="A472" s="5">
        <f>IFERROR(__xludf.DUMMYFUNCTION("""COMPUTED_VALUE"""),"4690612036526")</f>
        <v/>
      </c>
      <c r="B472" s="5">
        <f>IFERROR(__xludf.DUMMYFUNCTION("""COMPUTED_VALUE"""),"ССО 06Ч 12Вт 3000-6500К 600Лм сенсор-диммер, с подставкой под телефон, с адаптером ЧЕРНЫЙ IN HOME")</f>
        <v/>
      </c>
      <c r="C472" s="2">
        <f>IFERROR(__xludf.DUMMYFUNCTION("""COMPUTED_VALUE"""),0.6900000000000001)</f>
        <v/>
      </c>
      <c r="D472" s="2">
        <f>IFERROR(__xludf.DUMMYFUNCTION("""COMPUTED_VALUE"""),0.003)</f>
        <v/>
      </c>
      <c r="E472" s="2">
        <f>IFERROR(__xludf.DUMMYFUNCTION("""COMPUTED_VALUE"""),764.6700000000001)</f>
        <v/>
      </c>
      <c r="F472" s="2">
        <f>IFERROR(__xludf.DUMMYFUNCTION("""COMPUTED_VALUE"""),863.0)</f>
        <v/>
      </c>
      <c r="G472" s="2">
        <f>IFERROR(__xludf.DUMMYFUNCTION("""COMPUTED_VALUE"""),971.0)</f>
        <v/>
      </c>
      <c r="H472" s="2">
        <f>IFERROR(__xludf.DUMMYFUNCTION("""COMPUTED_VALUE"""),1126.0)</f>
        <v/>
      </c>
      <c r="I472" s="2">
        <f>IFERROR(__xludf.DUMMYFUNCTION("""COMPUTED_VALUE"""),1295.0)</f>
        <v/>
      </c>
      <c r="J472" s="2">
        <f>IFERROR(__xludf.DUMMYFUNCTION("""COMPUTED_VALUE"""),648.0)</f>
        <v/>
      </c>
      <c r="K472" s="2">
        <f>IFERROR(__xludf.DUMMYFUNCTION("""COMPUTED_VALUE"""),1.0)</f>
        <v/>
      </c>
      <c r="L472" s="2">
        <f>IFERROR(__xludf.DUMMYFUNCTION("""COMPUTED_VALUE"""),"Светильники настольные светодиодные")</f>
        <v/>
      </c>
      <c r="M472" s="2">
        <f>IFERROR(__xludf.DUMMYFUNCTION("""COMPUTED_VALUE"""),"Светильники общего назначения (LED), Декоративные, LED Светильники")</f>
        <v/>
      </c>
    </row>
    <row r="473">
      <c r="A473" s="5">
        <f>IFERROR(__xludf.DUMMYFUNCTION("""COMPUTED_VALUE"""),"4690612007199")</f>
        <v/>
      </c>
      <c r="B473" s="5">
        <f>IFERROR(__xludf.DUMMYFUNCTION("""COMPUTED_VALUE"""),"LED-СВЕЧА ВИТАЯ-deco 5Вт 230В Е14 3000К 450Лм золотистая IN HOME")</f>
        <v/>
      </c>
      <c r="C473" s="2">
        <f>IFERROR(__xludf.DUMMYFUNCTION("""COMPUTED_VALUE"""),0.029)</f>
        <v/>
      </c>
      <c r="D473" s="2">
        <f>IFERROR(__xludf.DUMMYFUNCTION("""COMPUTED_VALUE"""),2.4E-4)</f>
        <v/>
      </c>
      <c r="E473" s="2">
        <f>IFERROR(__xludf.DUMMYFUNCTION("""COMPUTED_VALUE"""),56.95)</f>
        <v/>
      </c>
      <c r="F473" s="2">
        <f>IFERROR(__xludf.DUMMYFUNCTION("""COMPUTED_VALUE"""),57.0)</f>
        <v/>
      </c>
      <c r="G473" s="2">
        <f>IFERROR(__xludf.DUMMYFUNCTION("""COMPUTED_VALUE"""),64.0)</f>
        <v/>
      </c>
      <c r="H473" s="2">
        <f>IFERROR(__xludf.DUMMYFUNCTION("""COMPUTED_VALUE"""),74.0)</f>
        <v/>
      </c>
      <c r="I473" s="2">
        <f>IFERROR(__xludf.DUMMYFUNCTION("""COMPUTED_VALUE"""),85.5)</f>
        <v/>
      </c>
      <c r="J473" s="2">
        <f>IFERROR(__xludf.DUMMYFUNCTION("""COMPUTED_VALUE"""),43.0)</f>
        <v/>
      </c>
      <c r="K473" s="2">
        <f>IFERROR(__xludf.DUMMYFUNCTION("""COMPUTED_VALUE"""),48.0)</f>
        <v/>
      </c>
      <c r="L473" s="2">
        <f>IFERROR(__xludf.DUMMYFUNCTION("""COMPUTED_VALUE"""),"Лампа светодиодная LED-СВЕЧА-DECO")</f>
        <v/>
      </c>
      <c r="M473" s="2">
        <f>IFERROR(__xludf.DUMMYFUNCTION("""COMPUTED_VALUE"""),"Лампы")</f>
        <v/>
      </c>
    </row>
    <row r="474">
      <c r="A474" s="5">
        <f>IFERROR(__xludf.DUMMYFUNCTION("""COMPUTED_VALUE"""),"4690612035741")</f>
        <v/>
      </c>
      <c r="B474" s="5">
        <f>IFERROR(__xludf.DUMMYFUNCTION("""COMPUTED_VALUE"""),"COMFORT AURORA 75Вт 230В 3000-6500K 6000Лм 480x80мм с пультом ДУ IN HOME")</f>
        <v/>
      </c>
      <c r="C474" s="2">
        <f>IFERROR(__xludf.DUMMYFUNCTION("""COMPUTED_VALUE"""),1.52)</f>
        <v/>
      </c>
      <c r="D474" s="2">
        <f>IFERROR(__xludf.DUMMYFUNCTION("""COMPUTED_VALUE"""),0.026)</f>
        <v/>
      </c>
      <c r="E474" s="2">
        <f>IFERROR(__xludf.DUMMYFUNCTION("""COMPUTED_VALUE"""),1427.5)</f>
        <v/>
      </c>
      <c r="F474" s="2">
        <f>IFERROR(__xludf.DUMMYFUNCTION("""COMPUTED_VALUE"""),2037.0)</f>
        <v/>
      </c>
      <c r="G474" s="2">
        <f>IFERROR(__xludf.DUMMYFUNCTION("""COMPUTED_VALUE"""),2291.0)</f>
        <v/>
      </c>
      <c r="H474" s="2">
        <f>IFERROR(__xludf.DUMMYFUNCTION("""COMPUTED_VALUE"""),2658.0)</f>
        <v/>
      </c>
      <c r="I474" s="2">
        <f>IFERROR(__xludf.DUMMYFUNCTION("""COMPUTED_VALUE"""),3055.0)</f>
        <v/>
      </c>
      <c r="J474" s="2">
        <f>IFERROR(__xludf.DUMMYFUNCTION("""COMPUTED_VALUE"""),1428.0)</f>
        <v/>
      </c>
      <c r="K474" s="2">
        <f>IFERROR(__xludf.DUMMYFUNCTION("""COMPUTED_VALUE"""),1.0)</f>
        <v/>
      </c>
      <c r="L474" s="2">
        <f>IFERROR(__xludf.DUMMYFUNCTION("""COMPUTED_VALUE"""),"Светильники светодиодные COMFORT")</f>
        <v/>
      </c>
      <c r="M474" s="2">
        <f>IFERROR(__xludf.DUMMYFUNCTION("""COMPUTED_VALUE"""),"Накладные, Декоративные, LED Светильники")</f>
        <v/>
      </c>
    </row>
    <row r="475">
      <c r="A475" s="5">
        <f>IFERROR(__xludf.DUMMYFUNCTION("""COMPUTED_VALUE"""),"4690612020280")</f>
        <v/>
      </c>
      <c r="B475" s="5">
        <f>IFERROR(__xludf.DUMMYFUNCTION("""COMPUTED_VALUE"""),"LED-A60-VC 15Вт 230В Е27 6500К 1430Лм IN HOME")</f>
        <v/>
      </c>
      <c r="C475" s="2">
        <f>IFERROR(__xludf.DUMMYFUNCTION("""COMPUTED_VALUE"""),0.05500000000000001)</f>
        <v/>
      </c>
      <c r="D475" s="2">
        <f>IFERROR(__xludf.DUMMYFUNCTION("""COMPUTED_VALUE"""),4.0E-4)</f>
        <v/>
      </c>
      <c r="E475" s="2">
        <f>IFERROR(__xludf.DUMMYFUNCTION("""COMPUTED_VALUE"""),36.6)</f>
        <v/>
      </c>
      <c r="F475" s="2">
        <f>IFERROR(__xludf.DUMMYFUNCTION("""COMPUTED_VALUE"""),54.0)</f>
        <v/>
      </c>
      <c r="G475" s="2">
        <f>IFERROR(__xludf.DUMMYFUNCTION("""COMPUTED_VALUE"""),60.0)</f>
        <v/>
      </c>
      <c r="H475" s="2">
        <f>IFERROR(__xludf.DUMMYFUNCTION("""COMPUTED_VALUE"""),70.0)</f>
        <v/>
      </c>
      <c r="I475" s="2">
        <f>IFERROR(__xludf.DUMMYFUNCTION("""COMPUTED_VALUE"""),80.8)</f>
        <v/>
      </c>
      <c r="J475" s="2">
        <f>IFERROR(__xludf.DUMMYFUNCTION("""COMPUTED_VALUE"""),40.0)</f>
        <v/>
      </c>
      <c r="K475" s="2">
        <f>IFERROR(__xludf.DUMMYFUNCTION("""COMPUTED_VALUE"""),5.0)</f>
        <v/>
      </c>
      <c r="L475" s="2">
        <f>IFERROR(__xludf.DUMMYFUNCTION("""COMPUTED_VALUE"""),"Лампа светодиодная LED-A60-standard")</f>
        <v/>
      </c>
      <c r="M475" s="2">
        <f>IFERROR(__xludf.DUMMYFUNCTION("""COMPUTED_VALUE"""),"Лампы")</f>
        <v/>
      </c>
    </row>
    <row r="476">
      <c r="A476" s="5">
        <f>IFERROR(__xludf.DUMMYFUNCTION("""COMPUTED_VALUE"""),"4690612048505")</f>
        <v/>
      </c>
      <c r="B476" s="5">
        <f>IFERROR(__xludf.DUMMYFUNCTION("""COMPUTED_VALUE"""),"НБУ ART-PT-A60-GR алюминиевый под лампу А60 Е27 600мм серый IP65 IN HOME")</f>
        <v/>
      </c>
      <c r="C476" s="2">
        <f>IFERROR(__xludf.DUMMYFUNCTION("""COMPUTED_VALUE"""),1.0)</f>
        <v/>
      </c>
      <c r="D476" s="2">
        <f>IFERROR(__xludf.DUMMYFUNCTION("""COMPUTED_VALUE"""),0.0156)</f>
        <v/>
      </c>
      <c r="E476" s="2">
        <f>IFERROR(__xludf.DUMMYFUNCTION("""COMPUTED_VALUE"""),1.0)</f>
        <v/>
      </c>
      <c r="F476" s="2">
        <f>IFERROR(__xludf.DUMMYFUNCTION("""COMPUTED_VALUE"""),1407.0)</f>
        <v/>
      </c>
      <c r="G476" s="2">
        <f>IFERROR(__xludf.DUMMYFUNCTION("""COMPUTED_VALUE"""),1583.0)</f>
        <v/>
      </c>
      <c r="H476" s="2">
        <f>IFERROR(__xludf.DUMMYFUNCTION("""COMPUTED_VALUE"""),1837.0)</f>
        <v/>
      </c>
      <c r="I476" s="2">
        <f>IFERROR(__xludf.DUMMYFUNCTION("""COMPUTED_VALUE"""),2111.0)</f>
        <v/>
      </c>
      <c r="J476" s="2">
        <f>IFERROR(__xludf.DUMMYFUNCTION("""COMPUTED_VALUE"""),1056.0)</f>
        <v/>
      </c>
      <c r="K476" s="2">
        <f>IFERROR(__xludf.DUMMYFUNCTION("""COMPUTED_VALUE"""),1.0)</f>
        <v/>
      </c>
      <c r="L476" s="2">
        <f>IFERROR(__xludf.DUMMYFUNCTION("""COMPUTED_VALUE"""),"Напольные под лампу")</f>
        <v/>
      </c>
      <c r="M476" s="2">
        <f>IFERROR(__xludf.DUMMYFUNCTION("""COMPUTED_VALUE"""),"Ламповые светильники")</f>
        <v/>
      </c>
    </row>
    <row r="477">
      <c r="A477" s="5">
        <f>IFERROR(__xludf.DUMMYFUNCTION("""COMPUTED_VALUE"""),"R100004")</f>
        <v/>
      </c>
      <c r="B477" s="5">
        <f>IFERROR(__xludf.DUMMYFUNCTION("""COMPUTED_VALUE"""),"RSV-SPP-8W-4000K-IP65")</f>
        <v/>
      </c>
      <c r="C477" s="2">
        <f>IFERROR(__xludf.DUMMYFUNCTION("""COMPUTED_VALUE"""),0.175)</f>
        <v/>
      </c>
      <c r="D477" s="2">
        <f>IFERROR(__xludf.DUMMYFUNCTION("""COMPUTED_VALUE"""),0.00111)</f>
        <v/>
      </c>
      <c r="E477" s="2">
        <f>IFERROR(__xludf.DUMMYFUNCTION("""COMPUTED_VALUE"""),158.99)</f>
        <v/>
      </c>
      <c r="F477" s="2">
        <f>IFERROR(__xludf.DUMMYFUNCTION("""COMPUTED_VALUE"""),78.0)</f>
        <v/>
      </c>
      <c r="G477" s="2">
        <f>IFERROR(__xludf.DUMMYFUNCTION("""COMPUTED_VALUE"""),92.0)</f>
        <v/>
      </c>
      <c r="H477" s="2">
        <f>IFERROR(__xludf.DUMMYFUNCTION("""COMPUTED_VALUE"""),95.0)</f>
        <v/>
      </c>
      <c r="I477" s="2">
        <f>IFERROR(__xludf.DUMMYFUNCTION("""COMPUTED_VALUE"""),109.0)</f>
        <v/>
      </c>
      <c r="J477" s="2">
        <f>IFERROR(__xludf.DUMMYFUNCTION("""COMPUTED_VALUE"""),78.0)</f>
        <v/>
      </c>
      <c r="K477" s="2">
        <f>IFERROR(__xludf.DUMMYFUNCTION("""COMPUTED_VALUE"""),18.0)</f>
        <v/>
      </c>
      <c r="L477" s="2">
        <f>IFERROR(__xludf.DUMMYFUNCTION("""COMPUTED_VALUE"""),"ЖКХ светильники RSV")</f>
        <v/>
      </c>
      <c r="M477" s="2">
        <f>IFERROR(__xludf.DUMMYFUNCTION("""COMPUTED_VALUE"""),"Без датчиков, LED Светильники")</f>
        <v/>
      </c>
    </row>
    <row r="478">
      <c r="A478" s="5">
        <f>IFERROR(__xludf.DUMMYFUNCTION("""COMPUTED_VALUE"""),"4690612029825")</f>
        <v/>
      </c>
      <c r="B478" s="5">
        <f>IFERROR(__xludf.DUMMYFUNCTION("""COMPUTED_VALUE"""),"LPU-01 50Вт ПРИЗМА 230В 4000K 4750Лм 180х1195х19мм IP40 IN HOME")</f>
        <v/>
      </c>
      <c r="C478" s="2">
        <f>IFERROR(__xludf.DUMMYFUNCTION("""COMPUTED_VALUE"""),0.925)</f>
        <v/>
      </c>
      <c r="D478" s="2">
        <f>IFERROR(__xludf.DUMMYFUNCTION("""COMPUTED_VALUE"""),0.00525)</f>
        <v/>
      </c>
      <c r="E478" s="2">
        <f>IFERROR(__xludf.DUMMYFUNCTION("""COMPUTED_VALUE"""),596.37)</f>
        <v/>
      </c>
      <c r="F478" s="2">
        <f>IFERROR(__xludf.DUMMYFUNCTION("""COMPUTED_VALUE"""),660.0)</f>
        <v/>
      </c>
      <c r="G478" s="2">
        <f>IFERROR(__xludf.DUMMYFUNCTION("""COMPUTED_VALUE"""),743.0)</f>
        <v/>
      </c>
      <c r="H478" s="2">
        <f>IFERROR(__xludf.DUMMYFUNCTION("""COMPUTED_VALUE"""),861.0)</f>
        <v/>
      </c>
      <c r="I478" s="2">
        <f>IFERROR(__xludf.DUMMYFUNCTION("""COMPUTED_VALUE"""),990.0)</f>
        <v/>
      </c>
      <c r="J478" s="2">
        <f>IFERROR(__xludf.DUMMYFUNCTION("""COMPUTED_VALUE"""),495.0)</f>
        <v/>
      </c>
      <c r="K478" s="2">
        <f>IFERROR(__xludf.DUMMYFUNCTION("""COMPUTED_VALUE"""),2.0)</f>
        <v/>
      </c>
      <c r="L478" s="2">
        <f>IFERROR(__xludf.DUMMYFUNCTION("""COMPUTED_VALUE"""),"Панели светодиодные LP серии ПРИЗМА")</f>
        <v/>
      </c>
      <c r="M478" s="2">
        <f>IFERROR(__xludf.DUMMYFUNCTION("""COMPUTED_VALUE"""),"Встраиваемые, Накладные, LED Светильники")</f>
        <v/>
      </c>
    </row>
    <row r="479">
      <c r="A479" s="5">
        <f>IFERROR(__xludf.DUMMYFUNCTION("""COMPUTED_VALUE"""),"DVO01-27-003-4K-90")</f>
        <v/>
      </c>
      <c r="B479" s="5">
        <f>IFERROR(__xludf.DUMMYFUNCTION("""COMPUTED_VALUE"""),"ДВО01-27-003-4К-90")</f>
        <v/>
      </c>
      <c r="C479" s="2">
        <f>IFERROR(__xludf.DUMMYFUNCTION("""COMPUTED_VALUE"""),2.45)</f>
        <v/>
      </c>
      <c r="D479" s="2">
        <f>IFERROR(__xludf.DUMMYFUNCTION("""COMPUTED_VALUE"""),0.01485)</f>
        <v/>
      </c>
      <c r="E479" s="2">
        <f>IFERROR(__xludf.DUMMYFUNCTION("""COMPUTED_VALUE"""),4529.52)</f>
        <v/>
      </c>
      <c r="F479" s="2">
        <f>IFERROR(__xludf.DUMMYFUNCTION("""COMPUTED_VALUE"""),5310.0)</f>
        <v/>
      </c>
      <c r="G479" s="2">
        <f>IFERROR(__xludf.DUMMYFUNCTION("""COMPUTED_VALUE"""),5490.0)</f>
        <v/>
      </c>
      <c r="H479" s="2">
        <f>IFERROR(__xludf.DUMMYFUNCTION("""COMPUTED_VALUE"""),7200.0)</f>
        <v/>
      </c>
      <c r="I479" s="2">
        <f>IFERROR(__xludf.DUMMYFUNCTION("""COMPUTED_VALUE"""),9000.0)</f>
        <v/>
      </c>
      <c r="J479" s="2">
        <f>IFERROR(__xludf.DUMMYFUNCTION("""COMPUTED_VALUE"""),4500.0)</f>
        <v/>
      </c>
      <c r="K479" s="2">
        <f>IFERROR(__xludf.DUMMYFUNCTION("""COMPUTED_VALUE"""),1.0)</f>
        <v/>
      </c>
      <c r="L479" s="2">
        <f>IFERROR(__xludf.DUMMYFUNCTION("""COMPUTED_VALUE"""),"Wolta офисные")</f>
        <v/>
      </c>
      <c r="M479" s="2">
        <f>IFERROR(__xludf.DUMMYFUNCTION("""COMPUTED_VALUE"""),"Светильники общего назначения (LED), Встраиваемые, С равномерной засветкой, Накладные, Светильники для торговых помещений (LED), LED Светильники")</f>
        <v/>
      </c>
    </row>
    <row r="480">
      <c r="A480" s="5">
        <f>IFERROR(__xludf.DUMMYFUNCTION("""COMPUTED_VALUE"""),"4690612025148")</f>
        <v/>
      </c>
      <c r="B480" s="5">
        <f>IFERROR(__xludf.DUMMYFUNCTION("""COMPUTED_VALUE"""),"DECO 24Вт 230В 6500К 1560Лм 300х55мм КАРУСЕЛЬ IN HOME")</f>
        <v/>
      </c>
      <c r="C480" s="2">
        <f>IFERROR(__xludf.DUMMYFUNCTION("""COMPUTED_VALUE"""),0.43333)</f>
        <v/>
      </c>
      <c r="D480" s="2">
        <f>IFERROR(__xludf.DUMMYFUNCTION("""COMPUTED_VALUE"""),0.006670000000000001)</f>
        <v/>
      </c>
      <c r="E480" s="2">
        <f>IFERROR(__xludf.DUMMYFUNCTION("""COMPUTED_VALUE"""),400.8)</f>
        <v/>
      </c>
      <c r="F480" s="2">
        <f>IFERROR(__xludf.DUMMYFUNCTION("""COMPUTED_VALUE"""),421.0)</f>
        <v/>
      </c>
      <c r="G480" s="2">
        <f>IFERROR(__xludf.DUMMYFUNCTION("""COMPUTED_VALUE"""),474.0)</f>
        <v/>
      </c>
      <c r="H480" s="2">
        <f>IFERROR(__xludf.DUMMYFUNCTION("""COMPUTED_VALUE"""),550.0)</f>
        <v/>
      </c>
      <c r="I480" s="2">
        <f>IFERROR(__xludf.DUMMYFUNCTION("""COMPUTED_VALUE"""),632.0)</f>
        <v/>
      </c>
      <c r="J480" s="2">
        <f>IFERROR(__xludf.DUMMYFUNCTION("""COMPUTED_VALUE"""),316.0)</f>
        <v/>
      </c>
      <c r="K480" s="2">
        <f>IFERROR(__xludf.DUMMYFUNCTION("""COMPUTED_VALUE"""),1.0)</f>
        <v/>
      </c>
      <c r="L480" s="2">
        <f>IFERROR(__xludf.DUMMYFUNCTION("""COMPUTED_VALUE"""),"Светильник светодиодный серии DECO")</f>
        <v/>
      </c>
      <c r="M480" s="2">
        <f>IFERROR(__xludf.DUMMYFUNCTION("""COMPUTED_VALUE"""),"Накладные, Декоративные, LED Светильники")</f>
        <v/>
      </c>
    </row>
    <row r="481">
      <c r="A481" s="5">
        <f>IFERROR(__xludf.DUMMYFUNCTION("""COMPUTED_VALUE"""),"4690612012728")</f>
        <v/>
      </c>
      <c r="B481" s="5">
        <f>IFERROR(__xludf.DUMMYFUNCTION("""COMPUTED_VALUE"""),"СНС 13Б 60Вт E27 230В БЕЛЫЙ (коробка) IN HOME")</f>
        <v/>
      </c>
      <c r="C481" s="2">
        <f>IFERROR(__xludf.DUMMYFUNCTION("""COMPUTED_VALUE"""),0.9)</f>
        <v/>
      </c>
      <c r="D481" s="2">
        <f>IFERROR(__xludf.DUMMYFUNCTION("""COMPUTED_VALUE"""),0.007500000000000001)</f>
        <v/>
      </c>
      <c r="E481" s="2">
        <f>IFERROR(__xludf.DUMMYFUNCTION("""COMPUTED_VALUE"""),545.58)</f>
        <v/>
      </c>
      <c r="F481" s="2">
        <f>IFERROR(__xludf.DUMMYFUNCTION("""COMPUTED_VALUE"""),932.0)</f>
        <v/>
      </c>
      <c r="G481" s="2">
        <f>IFERROR(__xludf.DUMMYFUNCTION("""COMPUTED_VALUE"""),1049.0)</f>
        <v/>
      </c>
      <c r="H481" s="2">
        <f>IFERROR(__xludf.DUMMYFUNCTION("""COMPUTED_VALUE"""),1216.0)</f>
        <v/>
      </c>
      <c r="I481" s="2">
        <f>IFERROR(__xludf.DUMMYFUNCTION("""COMPUTED_VALUE"""),1398.0)</f>
        <v/>
      </c>
      <c r="J481" s="2">
        <f>IFERROR(__xludf.DUMMYFUNCTION("""COMPUTED_VALUE"""),699.0)</f>
        <v/>
      </c>
      <c r="K481" s="2">
        <f>IFERROR(__xludf.DUMMYFUNCTION("""COMPUTED_VALUE"""),1.0)</f>
        <v/>
      </c>
      <c r="L481" s="2">
        <f>IFERROR(__xludf.DUMMYFUNCTION("""COMPUTED_VALUE"""),"Настольные под лампу")</f>
        <v/>
      </c>
      <c r="M481" s="2">
        <f>IFERROR(__xludf.DUMMYFUNCTION("""COMPUTED_VALUE"""),"Ламповые светильники")</f>
        <v/>
      </c>
    </row>
    <row r="482">
      <c r="A482" s="5">
        <f>IFERROR(__xludf.DUMMYFUNCTION("""COMPUTED_VALUE"""),"4690612045481")</f>
        <v/>
      </c>
      <c r="B482" s="5">
        <f>IFERROR(__xludf.DUMMYFUNCTION("""COMPUTED_VALUE"""),"НПБ ЦИЛИНДР-GX53-TB-WH под лампу GX53 90х90мм белый IN HOME")</f>
        <v/>
      </c>
      <c r="C482" s="2">
        <f>IFERROR(__xludf.DUMMYFUNCTION("""COMPUTED_VALUE"""),0.16)</f>
        <v/>
      </c>
      <c r="D482" s="2">
        <f>IFERROR(__xludf.DUMMYFUNCTION("""COMPUTED_VALUE"""),8.600000000000001E-4)</f>
        <v/>
      </c>
      <c r="E482" s="2">
        <f>IFERROR(__xludf.DUMMYFUNCTION("""COMPUTED_VALUE"""),202.0)</f>
        <v/>
      </c>
      <c r="F482" s="2">
        <f>IFERROR(__xludf.DUMMYFUNCTION("""COMPUTED_VALUE"""),271.0)</f>
        <v/>
      </c>
      <c r="G482" s="2">
        <f>IFERROR(__xludf.DUMMYFUNCTION("""COMPUTED_VALUE"""),305.0)</f>
        <v/>
      </c>
      <c r="H482" s="2">
        <f>IFERROR(__xludf.DUMMYFUNCTION("""COMPUTED_VALUE"""),353.0)</f>
        <v/>
      </c>
      <c r="I482" s="2">
        <f>IFERROR(__xludf.DUMMYFUNCTION("""COMPUTED_VALUE"""),406.0)</f>
        <v/>
      </c>
      <c r="J482" s="2">
        <f>IFERROR(__xludf.DUMMYFUNCTION("""COMPUTED_VALUE"""),202.0)</f>
        <v/>
      </c>
      <c r="K482" s="2">
        <f>IFERROR(__xludf.DUMMYFUNCTION("""COMPUTED_VALUE"""),1.0)</f>
        <v/>
      </c>
      <c r="L482" s="2">
        <f>IFERROR(__xludf.DUMMYFUNCTION("""COMPUTED_VALUE"""),"НБУ, НПБ под лампу")</f>
        <v/>
      </c>
      <c r="M482" s="2">
        <f>IFERROR(__xludf.DUMMYFUNCTION("""COMPUTED_VALUE"""),"Ламповые светильники")</f>
        <v/>
      </c>
    </row>
    <row r="483">
      <c r="A483" s="5">
        <f>IFERROR(__xludf.DUMMYFUNCTION("""COMPUTED_VALUE"""),"4690612020396")</f>
        <v/>
      </c>
      <c r="B483" s="5">
        <f>IFERROR(__xludf.DUMMYFUNCTION("""COMPUTED_VALUE"""),"LED-СВЕЧА-VC 6Вт 230В Е14 4000К 570Лм IN HOME")</f>
        <v/>
      </c>
      <c r="C483" s="2">
        <f>IFERROR(__xludf.DUMMYFUNCTION("""COMPUTED_VALUE"""),0.03)</f>
        <v/>
      </c>
      <c r="D483" s="2">
        <f>IFERROR(__xludf.DUMMYFUNCTION("""COMPUTED_VALUE"""),1.9E-4)</f>
        <v/>
      </c>
      <c r="E483" s="2">
        <f>IFERROR(__xludf.DUMMYFUNCTION("""COMPUTED_VALUE"""),37.2)</f>
        <v/>
      </c>
      <c r="F483" s="2">
        <f>IFERROR(__xludf.DUMMYFUNCTION("""COMPUTED_VALUE"""),44.0)</f>
        <v/>
      </c>
      <c r="G483" s="2">
        <f>IFERROR(__xludf.DUMMYFUNCTION("""COMPUTED_VALUE"""),50.0)</f>
        <v/>
      </c>
      <c r="H483" s="2">
        <f>IFERROR(__xludf.DUMMYFUNCTION("""COMPUTED_VALUE"""),57.0)</f>
        <v/>
      </c>
      <c r="I483" s="2">
        <f>IFERROR(__xludf.DUMMYFUNCTION("""COMPUTED_VALUE"""),66.5)</f>
        <v/>
      </c>
      <c r="J483" s="2">
        <f>IFERROR(__xludf.DUMMYFUNCTION("""COMPUTED_VALUE"""),33.0)</f>
        <v/>
      </c>
      <c r="K483" s="2">
        <f>IFERROR(__xludf.DUMMYFUNCTION("""COMPUTED_VALUE"""),2.0)</f>
        <v/>
      </c>
      <c r="L483" s="2">
        <f>IFERROR(__xludf.DUMMYFUNCTION("""COMPUTED_VALUE"""),"Лампа светодиодная LED-СВЕЧА-standard")</f>
        <v/>
      </c>
      <c r="M483" s="2">
        <f>IFERROR(__xludf.DUMMYFUNCTION("""COMPUTED_VALUE"""),"Лампы")</f>
        <v/>
      </c>
    </row>
    <row r="484">
      <c r="A484" s="5">
        <f>IFERROR(__xludf.DUMMYFUNCTION("""COMPUTED_VALUE"""),"R100729-2-pvh")</f>
        <v/>
      </c>
      <c r="B484" s="5">
        <f>IFERROR(__xludf.DUMMYFUNCTION("""COMPUTED_VALUE"""),"RSV-SPO-02-56W-6500К, IP40 OPL P опал (2 штуки в упаковке тубус ПВХ)")</f>
        <v/>
      </c>
      <c r="C484" s="2">
        <f>IFERROR(__xludf.DUMMYFUNCTION("""COMPUTED_VALUE"""),0.0)</f>
        <v/>
      </c>
      <c r="D484" s="2">
        <f>IFERROR(__xludf.DUMMYFUNCTION("""COMPUTED_VALUE"""),0.0)</f>
        <v/>
      </c>
      <c r="E484" s="2">
        <f>IFERROR(__xludf.DUMMYFUNCTION("""COMPUTED_VALUE"""),754.89)</f>
        <v/>
      </c>
      <c r="F484" s="2">
        <f>IFERROR(__xludf.DUMMYFUNCTION("""COMPUTED_VALUE"""),906.0)</f>
        <v/>
      </c>
      <c r="G484" s="2">
        <f>IFERROR(__xludf.DUMMYFUNCTION("""COMPUTED_VALUE"""),966.0)</f>
        <v/>
      </c>
      <c r="H484" s="2">
        <f>IFERROR(__xludf.DUMMYFUNCTION("""COMPUTED_VALUE"""),1087.0)</f>
        <v/>
      </c>
      <c r="I484" s="2">
        <f>IFERROR(__xludf.DUMMYFUNCTION("""COMPUTED_VALUE"""),1208.0)</f>
        <v/>
      </c>
      <c r="J484" s="2">
        <f>IFERROR(__xludf.DUMMYFUNCTION("""COMPUTED_VALUE"""),604.0)</f>
        <v/>
      </c>
      <c r="K484" s="2">
        <f>IFERROR(__xludf.DUMMYFUNCTION("""COMPUTED_VALUE"""),1.0)</f>
        <v/>
      </c>
      <c r="L484" s="2">
        <f>IFERROR(__xludf.DUMMYFUNCTION("""COMPUTED_VALUE"""),"RSV-SPO Светильники Производство, упаковка тубус ПВХ")</f>
        <v/>
      </c>
      <c r="M484" s="2">
        <f>IFERROR(__xludf.DUMMYFUNCTION("""COMPUTED_VALUE"""),"Пластиковые (линейные), Светильники общего назначения (LED), Накладные, Линейные (проходные), LED Светильники")</f>
        <v/>
      </c>
    </row>
    <row r="485">
      <c r="A485" s="5">
        <f>IFERROR(__xludf.DUMMYFUNCTION("""COMPUTED_VALUE"""),"4690612042329-1")</f>
        <v/>
      </c>
      <c r="B485" s="5">
        <f>IFERROR(__xludf.DUMMYFUNCTION("""COMPUTED_VALUE"""),"ДВО-01 3665-ПРИЗМА 36Вт 230В 6500K 3600Лм 180х1195х19мм NEOX (в индивидуальной упаковке)")</f>
        <v/>
      </c>
      <c r="C485" s="2">
        <f>IFERROR(__xludf.DUMMYFUNCTION("""COMPUTED_VALUE"""),0.0)</f>
        <v/>
      </c>
      <c r="D485" s="2">
        <f>IFERROR(__xludf.DUMMYFUNCTION("""COMPUTED_VALUE"""),0.0)</f>
        <v/>
      </c>
      <c r="E485" s="2">
        <f>IFERROR(__xludf.DUMMYFUNCTION("""COMPUTED_VALUE"""),553.84)</f>
        <v/>
      </c>
      <c r="F485" s="2">
        <f>IFERROR(__xludf.DUMMYFUNCTION("""COMPUTED_VALUE"""),608.0)</f>
        <v/>
      </c>
      <c r="G485" s="2">
        <f>IFERROR(__xludf.DUMMYFUNCTION("""COMPUTED_VALUE"""),709.0)</f>
        <v/>
      </c>
      <c r="H485" s="2">
        <f>IFERROR(__xludf.DUMMYFUNCTION("""COMPUTED_VALUE"""),797.0)</f>
        <v/>
      </c>
      <c r="I485" s="2">
        <f>IFERROR(__xludf.DUMMYFUNCTION("""COMPUTED_VALUE"""),886.0)</f>
        <v/>
      </c>
      <c r="J485" s="2">
        <f>IFERROR(__xludf.DUMMYFUNCTION("""COMPUTED_VALUE"""),443.0)</f>
        <v/>
      </c>
      <c r="K485" s="2">
        <f>IFERROR(__xludf.DUMMYFUNCTION("""COMPUTED_VALUE"""),15.0)</f>
        <v/>
      </c>
      <c r="L485" s="2">
        <f>IFERROR(__xludf.DUMMYFUNCTION("""COMPUTED_VALUE"""),"NEOX Светильники LED ДВО - Призма производство, упаковка")</f>
        <v/>
      </c>
      <c r="M485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486">
      <c r="A486" s="5">
        <f>IFERROR(__xludf.DUMMYFUNCTION("""COMPUTED_VALUE"""),"V90491")</f>
        <v/>
      </c>
      <c r="B486" s="5">
        <f>IFERROR(__xludf.DUMMYFUNCTION("""COMPUTED_VALUE"""),"VRN-UNE-160D-G40K67-UV, 160Вт, Галочка")</f>
        <v/>
      </c>
      <c r="C486" s="2">
        <f>IFERROR(__xludf.DUMMYFUNCTION("""COMPUTED_VALUE"""),3.5)</f>
        <v/>
      </c>
      <c r="D486" s="2">
        <f>IFERROR(__xludf.DUMMYFUNCTION("""COMPUTED_VALUE"""),0.0366)</f>
        <v/>
      </c>
      <c r="E486" s="2">
        <f>IFERROR(__xludf.DUMMYFUNCTION("""COMPUTED_VALUE"""),7000.0)</f>
        <v/>
      </c>
      <c r="F486" s="2">
        <f>IFERROR(__xludf.DUMMYFUNCTION("""COMPUTED_VALUE"""),7855.0)</f>
        <v/>
      </c>
      <c r="G486" s="2">
        <f>IFERROR(__xludf.DUMMYFUNCTION("""COMPUTED_VALUE"""),10212.0)</f>
        <v/>
      </c>
      <c r="H486" s="2">
        <f>IFERROR(__xludf.DUMMYFUNCTION("""COMPUTED_VALUE"""),10722.0)</f>
        <v/>
      </c>
      <c r="I486" s="2">
        <f>IFERROR(__xludf.DUMMYFUNCTION("""COMPUTED_VALUE"""),11233.0)</f>
        <v/>
      </c>
      <c r="J486" s="2">
        <f>IFERROR(__xludf.DUMMYFUNCTION("""COMPUTED_VALUE"""),5617.0)</f>
        <v/>
      </c>
      <c r="K486" s="2">
        <f>IFERROR(__xludf.DUMMYFUNCTION("""COMPUTED_VALUE"""),1.0)</f>
        <v/>
      </c>
      <c r="L486" s="2">
        <f>IFERROR(__xludf.DUMMYFUNCTION("""COMPUTED_VALUE"""),"Универсал Эконом")</f>
        <v/>
      </c>
      <c r="M486" s="2">
        <f>IFERROR(__xludf.DUMMYFUNCTION("""COMPUTED_VALUE"""),"Для обычных дорог, Модульные, LED Светильники")</f>
        <v/>
      </c>
    </row>
    <row r="487">
      <c r="A487" s="5">
        <f>IFERROR(__xludf.DUMMYFUNCTION("""COMPUTED_VALUE"""),"4690612051987")</f>
        <v/>
      </c>
      <c r="B487" s="5">
        <f>IFERROR(__xludf.DUMMYFUNCTION("""COMPUTED_VALUE"""),"ДБУ ROMB-1230BL 12Вт 3000К IP54 черный IN HOME")</f>
        <v/>
      </c>
      <c r="C487" s="2">
        <f>IFERROR(__xludf.DUMMYFUNCTION("""COMPUTED_VALUE"""),0.388)</f>
        <v/>
      </c>
      <c r="D487" s="2">
        <f>IFERROR(__xludf.DUMMYFUNCTION("""COMPUTED_VALUE"""),0.00233)</f>
        <v/>
      </c>
      <c r="E487" s="2">
        <f>IFERROR(__xludf.DUMMYFUNCTION("""COMPUTED_VALUE"""),754.2)</f>
        <v/>
      </c>
      <c r="F487" s="2">
        <f>IFERROR(__xludf.DUMMYFUNCTION("""COMPUTED_VALUE"""),817.0)</f>
        <v/>
      </c>
      <c r="G487" s="2">
        <f>IFERROR(__xludf.DUMMYFUNCTION("""COMPUTED_VALUE"""),920.0)</f>
        <v/>
      </c>
      <c r="H487" s="2">
        <f>IFERROR(__xludf.DUMMYFUNCTION("""COMPUTED_VALUE"""),1067.0)</f>
        <v/>
      </c>
      <c r="I487" s="2">
        <f>IFERROR(__xludf.DUMMYFUNCTION("""COMPUTED_VALUE"""),1226.0)</f>
        <v/>
      </c>
      <c r="J487" s="2">
        <f>IFERROR(__xludf.DUMMYFUNCTION("""COMPUTED_VALUE"""),613.0)</f>
        <v/>
      </c>
      <c r="K487" s="2">
        <f>IFERROR(__xludf.DUMMYFUNCTION("""COMPUTED_VALUE"""),11.0)</f>
        <v/>
      </c>
      <c r="L487" s="2">
        <f>IFERROR(__xludf.DUMMYFUNCTION("""COMPUTED_VALUE"""),"Светильники светодиодные уличные ДБУ")</f>
        <v/>
      </c>
      <c r="M487" s="2">
        <f>IFERROR(__xludf.DUMMYFUNCTION("""COMPUTED_VALUE"""),"Садово-парковые, ландшафтные, LED Светильники")</f>
        <v/>
      </c>
    </row>
    <row r="488">
      <c r="A488" s="5">
        <f>IFERROR(__xludf.DUMMYFUNCTION("""COMPUTED_VALUE"""),"4690612008431")</f>
        <v/>
      </c>
      <c r="B488" s="5">
        <f>IFERROR(__xludf.DUMMYFUNCTION("""COMPUTED_VALUE"""),"GX53R-mini RW ультратонкий металл под лампу GX53 230В белый IN HOME")</f>
        <v/>
      </c>
      <c r="C488" s="2">
        <f>IFERROR(__xludf.DUMMYFUNCTION("""COMPUTED_VALUE"""),0.05300000000000001)</f>
        <v/>
      </c>
      <c r="D488" s="2">
        <f>IFERROR(__xludf.DUMMYFUNCTION("""COMPUTED_VALUE"""),2.5E-4)</f>
        <v/>
      </c>
      <c r="E488" s="2">
        <f>IFERROR(__xludf.DUMMYFUNCTION("""COMPUTED_VALUE"""),42.73)</f>
        <v/>
      </c>
      <c r="F488" s="2">
        <f>IFERROR(__xludf.DUMMYFUNCTION("""COMPUTED_VALUE"""),47.0)</f>
        <v/>
      </c>
      <c r="G488" s="2">
        <f>IFERROR(__xludf.DUMMYFUNCTION("""COMPUTED_VALUE"""),53.0)</f>
        <v/>
      </c>
      <c r="H488" s="2">
        <f>IFERROR(__xludf.DUMMYFUNCTION("""COMPUTED_VALUE"""),62.0)</f>
        <v/>
      </c>
      <c r="I488" s="2">
        <f>IFERROR(__xludf.DUMMYFUNCTION("""COMPUTED_VALUE"""),71.0)</f>
        <v/>
      </c>
      <c r="J488" s="2">
        <f>IFERROR(__xludf.DUMMYFUNCTION("""COMPUTED_VALUE"""),36.0)</f>
        <v/>
      </c>
      <c r="K488" s="2">
        <f>IFERROR(__xludf.DUMMYFUNCTION("""COMPUTED_VALUE"""),2.0)</f>
        <v/>
      </c>
      <c r="L488" s="2">
        <f>IFERROR(__xludf.DUMMYFUNCTION("""COMPUTED_VALUE"""),"Под лампу GX53")</f>
        <v/>
      </c>
      <c r="M488" s="2">
        <f>IFERROR(__xludf.DUMMYFUNCTION("""COMPUTED_VALUE"""),"Точечные круглые Downlight, Ламповые светильники")</f>
        <v/>
      </c>
    </row>
    <row r="489">
      <c r="A489" s="5">
        <f>IFERROR(__xludf.DUMMYFUNCTION("""COMPUTED_VALUE"""),"4690612020495")</f>
        <v/>
      </c>
      <c r="B489" s="5">
        <f>IFERROR(__xludf.DUMMYFUNCTION("""COMPUTED_VALUE"""),"LED-СВЕЧА-VC 11Вт 230В Е27 4000К 1050Лм IN HOME")</f>
        <v/>
      </c>
      <c r="C489" s="2">
        <f>IFERROR(__xludf.DUMMYFUNCTION("""COMPUTED_VALUE"""),0.036)</f>
        <v/>
      </c>
      <c r="D489" s="2">
        <f>IFERROR(__xludf.DUMMYFUNCTION("""COMPUTED_VALUE"""),1.9E-4)</f>
        <v/>
      </c>
      <c r="E489" s="2">
        <f>IFERROR(__xludf.DUMMYFUNCTION("""COMPUTED_VALUE"""),40.2)</f>
        <v/>
      </c>
      <c r="F489" s="2">
        <f>IFERROR(__xludf.DUMMYFUNCTION("""COMPUTED_VALUE"""),46.0)</f>
        <v/>
      </c>
      <c r="G489" s="2">
        <f>IFERROR(__xludf.DUMMYFUNCTION("""COMPUTED_VALUE"""),52.0)</f>
        <v/>
      </c>
      <c r="H489" s="2">
        <f>IFERROR(__xludf.DUMMYFUNCTION("""COMPUTED_VALUE"""),60.0)</f>
        <v/>
      </c>
      <c r="I489" s="2">
        <f>IFERROR(__xludf.DUMMYFUNCTION("""COMPUTED_VALUE"""),69.8)</f>
        <v/>
      </c>
      <c r="J489" s="2">
        <f>IFERROR(__xludf.DUMMYFUNCTION("""COMPUTED_VALUE"""),35.0)</f>
        <v/>
      </c>
      <c r="K489" s="2">
        <f>IFERROR(__xludf.DUMMYFUNCTION("""COMPUTED_VALUE"""),12.0)</f>
        <v/>
      </c>
      <c r="L489" s="2">
        <f>IFERROR(__xludf.DUMMYFUNCTION("""COMPUTED_VALUE"""),"Лампа светодиодная LED-СВЕЧА-standard")</f>
        <v/>
      </c>
      <c r="M489" s="2">
        <f>IFERROR(__xludf.DUMMYFUNCTION("""COMPUTED_VALUE"""),"Лампы")</f>
        <v/>
      </c>
    </row>
    <row r="490">
      <c r="A490" s="5">
        <f>IFERROR(__xludf.DUMMYFUNCTION("""COMPUTED_VALUE"""),"4690612033853")</f>
        <v/>
      </c>
      <c r="B490" s="5">
        <f>IFERROR(__xludf.DUMMYFUNCTION("""COMPUTED_VALUE"""),"ДД 009 1200Вт 180 гр.12м IP44 белый IN HOME")</f>
        <v/>
      </c>
      <c r="C490" s="2">
        <f>IFERROR(__xludf.DUMMYFUNCTION("""COMPUTED_VALUE"""),0.184)</f>
        <v/>
      </c>
      <c r="D490" s="2">
        <f>IFERROR(__xludf.DUMMYFUNCTION("""COMPUTED_VALUE"""),8.0E-4)</f>
        <v/>
      </c>
      <c r="E490" s="2">
        <f>IFERROR(__xludf.DUMMYFUNCTION("""COMPUTED_VALUE"""),260.5)</f>
        <v/>
      </c>
      <c r="F490" s="2">
        <f>IFERROR(__xludf.DUMMYFUNCTION("""COMPUTED_VALUE"""),397.0)</f>
        <v/>
      </c>
      <c r="G490" s="2">
        <f>IFERROR(__xludf.DUMMYFUNCTION("""COMPUTED_VALUE"""),446.0)</f>
        <v/>
      </c>
      <c r="H490" s="2">
        <f>IFERROR(__xludf.DUMMYFUNCTION("""COMPUTED_VALUE"""),518.0)</f>
        <v/>
      </c>
      <c r="I490" s="2">
        <f>IFERROR(__xludf.DUMMYFUNCTION("""COMPUTED_VALUE"""),595.0)</f>
        <v/>
      </c>
      <c r="J490" s="2">
        <f>IFERROR(__xludf.DUMMYFUNCTION("""COMPUTED_VALUE"""),261.0)</f>
        <v/>
      </c>
      <c r="K490" s="2">
        <f>IFERROR(__xludf.DUMMYFUNCTION("""COMPUTED_VALUE"""),1.0)</f>
        <v/>
      </c>
      <c r="L490" s="2">
        <f>IFERROR(__xludf.DUMMYFUNCTION("""COMPUTED_VALUE"""),"ASD Комплектующие")</f>
        <v/>
      </c>
      <c r="M490" s="2">
        <f>IFERROR(__xludf.DUMMYFUNCTION("""COMPUTED_VALUE"""),"Прочие товары")</f>
        <v/>
      </c>
    </row>
    <row r="491">
      <c r="A491" s="5">
        <f>IFERROR(__xludf.DUMMYFUNCTION("""COMPUTED_VALUE"""),"GL8361")</f>
        <v/>
      </c>
      <c r="B491" s="5">
        <f>IFERROR(__xludf.DUMMYFUNCTION("""COMPUTED_VALUE"""),"GLERIO Line Fito+ 24 Вт 4000К 97P-24D-4P-P")</f>
        <v/>
      </c>
      <c r="C491" s="2">
        <f>IFERROR(__xludf.DUMMYFUNCTION("""COMPUTED_VALUE"""),1.575)</f>
        <v/>
      </c>
      <c r="D491" s="2">
        <f>IFERROR(__xludf.DUMMYFUNCTION("""COMPUTED_VALUE"""),0.004410000000000001)</f>
        <v/>
      </c>
      <c r="E491" s="2">
        <f>IFERROR(__xludf.DUMMYFUNCTION("""COMPUTED_VALUE"""),1940.0)</f>
        <v/>
      </c>
      <c r="F491" s="2">
        <f>IFERROR(__xludf.DUMMYFUNCTION("""COMPUTED_VALUE"""),2470.0)</f>
        <v/>
      </c>
      <c r="G491" s="2">
        <f>IFERROR(__xludf.DUMMYFUNCTION("""COMPUTED_VALUE"""),3110.0)</f>
        <v/>
      </c>
      <c r="H491" s="2">
        <f>IFERROR(__xludf.DUMMYFUNCTION("""COMPUTED_VALUE"""),3492.0)</f>
        <v/>
      </c>
      <c r="I491" s="2">
        <f>IFERROR(__xludf.DUMMYFUNCTION("""COMPUTED_VALUE"""),3875.0)</f>
        <v/>
      </c>
      <c r="J491" s="2">
        <f>IFERROR(__xludf.DUMMYFUNCTION("""COMPUTED_VALUE"""),1938.0)</f>
        <v/>
      </c>
      <c r="K491" s="2">
        <f>IFERROR(__xludf.DUMMYFUNCTION("""COMPUTED_VALUE"""),1.0)</f>
        <v/>
      </c>
      <c r="L491" s="2">
        <f>IFERROR(__xludf.DUMMYFUNCTION("""COMPUTED_VALUE"""),"Line Fito до 10.2025")</f>
        <v/>
      </c>
      <c r="M491" s="2">
        <f>IFERROR(__xludf.DUMMYFUNCTION("""COMPUTED_VALUE"""),"Фито светильники (для растений), LED Светильники")</f>
        <v/>
      </c>
    </row>
    <row r="492">
      <c r="A492" s="5">
        <f>IFERROR(__xludf.DUMMYFUNCTION("""COMPUTED_VALUE"""),"13-2060")</f>
        <v/>
      </c>
      <c r="B492" s="5">
        <f>IFERROR(__xludf.DUMMYFUNCTION("""COMPUTED_VALUE"""),"Профессиональный мультиметр MS8265 MASTECH")</f>
        <v/>
      </c>
      <c r="C492" s="2">
        <f>IFERROR(__xludf.DUMMYFUNCTION("""COMPUTED_VALUE"""),0.0)</f>
        <v/>
      </c>
      <c r="D492" s="2">
        <f>IFERROR(__xludf.DUMMYFUNCTION("""COMPUTED_VALUE"""),0.0)</f>
        <v/>
      </c>
      <c r="E492" s="2">
        <f>IFERROR(__xludf.DUMMYFUNCTION("""COMPUTED_VALUE"""),1.0)</f>
        <v/>
      </c>
      <c r="F492" s="2">
        <f>IFERROR(__xludf.DUMMYFUNCTION("""COMPUTED_VALUE"""),6300.0)</f>
        <v/>
      </c>
      <c r="G492" s="2">
        <f>IFERROR(__xludf.DUMMYFUNCTION("""COMPUTED_VALUE"""),6720.0)</f>
        <v/>
      </c>
      <c r="H492" s="2">
        <f>IFERROR(__xludf.DUMMYFUNCTION("""COMPUTED_VALUE"""),7560.0)</f>
        <v/>
      </c>
      <c r="I492" s="2">
        <f>IFERROR(__xludf.DUMMYFUNCTION("""COMPUTED_VALUE"""),8400.5)</f>
        <v/>
      </c>
      <c r="J492" s="2">
        <f>IFERROR(__xludf.DUMMYFUNCTION("""COMPUTED_VALUE"""),6720.0)</f>
        <v/>
      </c>
      <c r="K492" s="2">
        <f>IFERROR(__xludf.DUMMYFUNCTION("""COMPUTED_VALUE"""),1.0)</f>
        <v/>
      </c>
      <c r="L492" s="2">
        <f>IFERROR(__xludf.DUMMYFUNCTION("""COMPUTED_VALUE"""),"Rexant")</f>
        <v/>
      </c>
      <c r="M492" s="2">
        <f>IFERROR(__xludf.DUMMYFUNCTION("""COMPUTED_VALUE"""),"Прочие товары")</f>
        <v/>
      </c>
    </row>
    <row r="493">
      <c r="A493" s="5">
        <f>IFERROR(__xludf.DUMMYFUNCTION("""COMPUTED_VALUE"""),"14690612042708")</f>
        <v/>
      </c>
      <c r="B493" s="5">
        <f>IFERROR(__xludf.DUMMYFUNCTION("""COMPUTED_VALUE"""),"ДВО-01 3640-ПРИЗМА 36 Вт 230В 4000K 3600Лм 180х1195х19мм NEOX (4 шт в упак.)")</f>
        <v/>
      </c>
      <c r="C493" s="2">
        <f>IFERROR(__xludf.DUMMYFUNCTION("""COMPUTED_VALUE"""),1.275)</f>
        <v/>
      </c>
      <c r="D493" s="2">
        <f>IFERROR(__xludf.DUMMYFUNCTION("""COMPUTED_VALUE"""),0.0)</f>
        <v/>
      </c>
      <c r="E493" s="2">
        <f>IFERROR(__xludf.DUMMYFUNCTION("""COMPUTED_VALUE"""),2223.28)</f>
        <v/>
      </c>
      <c r="F493" s="2">
        <f>IFERROR(__xludf.DUMMYFUNCTION("""COMPUTED_VALUE"""),2439.0)</f>
        <v/>
      </c>
      <c r="G493" s="2">
        <f>IFERROR(__xludf.DUMMYFUNCTION("""COMPUTED_VALUE"""),2846.0)</f>
        <v/>
      </c>
      <c r="H493" s="2">
        <f>IFERROR(__xludf.DUMMYFUNCTION("""COMPUTED_VALUE"""),3201.0)</f>
        <v/>
      </c>
      <c r="I493" s="2">
        <f>IFERROR(__xludf.DUMMYFUNCTION("""COMPUTED_VALUE"""),3557.0)</f>
        <v/>
      </c>
      <c r="J493" s="2">
        <f>IFERROR(__xludf.DUMMYFUNCTION("""COMPUTED_VALUE"""),1779.0)</f>
        <v/>
      </c>
      <c r="K493" s="2">
        <f>IFERROR(__xludf.DUMMYFUNCTION("""COMPUTED_VALUE"""),8.0)</f>
        <v/>
      </c>
      <c r="L493" s="2">
        <f>IFERROR(__xludf.DUMMYFUNCTION("""COMPUTED_VALUE"""),"NEOX Светильники LED ДВО - Призма производство, упаковка")</f>
        <v/>
      </c>
      <c r="M493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494">
      <c r="A494" s="5">
        <f>IFERROR(__xludf.DUMMYFUNCTION("""COMPUTED_VALUE"""),"GL8271")</f>
        <v/>
      </c>
      <c r="B494" s="5">
        <f>IFERROR(__xludf.DUMMYFUNCTION("""COMPUTED_VALUE"""),"GLERIO Line Free 36 Вт 4000К 93P-36D-4P-P")</f>
        <v/>
      </c>
      <c r="C494" s="2">
        <f>IFERROR(__xludf.DUMMYFUNCTION("""COMPUTED_VALUE"""),0.5)</f>
        <v/>
      </c>
      <c r="D494" s="2">
        <f>IFERROR(__xludf.DUMMYFUNCTION("""COMPUTED_VALUE"""),0.00396)</f>
        <v/>
      </c>
      <c r="E494" s="2">
        <f>IFERROR(__xludf.DUMMYFUNCTION("""COMPUTED_VALUE"""),1687.8)</f>
        <v/>
      </c>
      <c r="F494" s="2">
        <f>IFERROR(__xludf.DUMMYFUNCTION("""COMPUTED_VALUE"""),2150.0)</f>
        <v/>
      </c>
      <c r="G494" s="2">
        <f>IFERROR(__xludf.DUMMYFUNCTION("""COMPUTED_VALUE"""),2707.0)</f>
        <v/>
      </c>
      <c r="H494" s="2">
        <f>IFERROR(__xludf.DUMMYFUNCTION("""COMPUTED_VALUE"""),3040.0)</f>
        <v/>
      </c>
      <c r="I494" s="2">
        <f>IFERROR(__xludf.DUMMYFUNCTION("""COMPUTED_VALUE"""),3373.0)</f>
        <v/>
      </c>
      <c r="J494" s="2">
        <f>IFERROR(__xludf.DUMMYFUNCTION("""COMPUTED_VALUE"""),1687.0)</f>
        <v/>
      </c>
      <c r="K494" s="2">
        <f>IFERROR(__xludf.DUMMYFUNCTION("""COMPUTED_VALUE"""),1.0)</f>
        <v/>
      </c>
      <c r="L494" s="2">
        <f>IFERROR(__xludf.DUMMYFUNCTION("""COMPUTED_VALUE"""),"Line Shell, Free (Retail) до 10.2025")</f>
        <v/>
      </c>
      <c r="M494" s="2">
        <f>IFERROR(__xludf.DUMMYFUNCTION("""COMPUTED_VALUE"""),"Пластиковые (линейные), LED Светильники")</f>
        <v/>
      </c>
    </row>
    <row r="495">
      <c r="A495" s="5">
        <f>IFERROR(__xludf.DUMMYFUNCTION("""COMPUTED_VALUE"""),"V9047")</f>
        <v/>
      </c>
      <c r="B495" s="5">
        <f>IFERROR(__xludf.DUMMYFUNCTION("""COMPUTED_VALUE"""),"VRN-UNE-64D-G40K67-UV, 64Вт, Галочка")</f>
        <v/>
      </c>
      <c r="C495" s="2">
        <f>IFERROR(__xludf.DUMMYFUNCTION("""COMPUTED_VALUE"""),2.0)</f>
        <v/>
      </c>
      <c r="D495" s="2">
        <f>IFERROR(__xludf.DUMMYFUNCTION("""COMPUTED_VALUE"""),0.00842)</f>
        <v/>
      </c>
      <c r="E495" s="2">
        <f>IFERROR(__xludf.DUMMYFUNCTION("""COMPUTED_VALUE"""),3683.0)</f>
        <v/>
      </c>
      <c r="F495" s="2">
        <f>IFERROR(__xludf.DUMMYFUNCTION("""COMPUTED_VALUE"""),4050.0)</f>
        <v/>
      </c>
      <c r="G495" s="2">
        <f>IFERROR(__xludf.DUMMYFUNCTION("""COMPUTED_VALUE"""),5265.0)</f>
        <v/>
      </c>
      <c r="H495" s="2">
        <f>IFERROR(__xludf.DUMMYFUNCTION("""COMPUTED_VALUE"""),5528.0)</f>
        <v/>
      </c>
      <c r="I495" s="2">
        <f>IFERROR(__xludf.DUMMYFUNCTION("""COMPUTED_VALUE"""),5792.0)</f>
        <v/>
      </c>
      <c r="J495" s="2">
        <f>IFERROR(__xludf.DUMMYFUNCTION("""COMPUTED_VALUE"""),5792.0)</f>
        <v/>
      </c>
      <c r="K495" s="2">
        <f>IFERROR(__xludf.DUMMYFUNCTION("""COMPUTED_VALUE"""),1.0)</f>
        <v/>
      </c>
      <c r="L495" s="2">
        <f>IFERROR(__xludf.DUMMYFUNCTION("""COMPUTED_VALUE"""),"Универсал Эконом")</f>
        <v/>
      </c>
      <c r="M495" s="2">
        <f>IFERROR(__xludf.DUMMYFUNCTION("""COMPUTED_VALUE"""),"Для обычных дорог, Модульные, LED Светильники")</f>
        <v/>
      </c>
    </row>
    <row r="496">
      <c r="A496" s="5">
        <f>IFERROR(__xludf.DUMMYFUNCTION("""COMPUTED_VALUE"""),"4690626002869")</f>
        <v/>
      </c>
      <c r="B496" s="5">
        <f>IFERROR(__xludf.DUMMYFUNCTION("""COMPUTED_VALUE"""),"SBL-UFO-18-4K-E27")</f>
        <v/>
      </c>
      <c r="C496" s="2">
        <f>IFERROR(__xludf.DUMMYFUNCTION("""COMPUTED_VALUE"""),0.2)</f>
        <v/>
      </c>
      <c r="D496" s="2">
        <f>IFERROR(__xludf.DUMMYFUNCTION("""COMPUTED_VALUE"""),0.00211)</f>
        <v/>
      </c>
      <c r="E496" s="2">
        <f>IFERROR(__xludf.DUMMYFUNCTION("""COMPUTED_VALUE"""),176.98)</f>
        <v/>
      </c>
      <c r="F496" s="2">
        <f>IFERROR(__xludf.DUMMYFUNCTION("""COMPUTED_VALUE"""),203.0)</f>
        <v/>
      </c>
      <c r="G496" s="2">
        <f>IFERROR(__xludf.DUMMYFUNCTION("""COMPUTED_VALUE"""),223.0)</f>
        <v/>
      </c>
      <c r="H496" s="2">
        <f>IFERROR(__xludf.DUMMYFUNCTION("""COMPUTED_VALUE"""),248.0)</f>
        <v/>
      </c>
      <c r="I496" s="2">
        <f>IFERROR(__xludf.DUMMYFUNCTION("""COMPUTED_VALUE"""),273.0)</f>
        <v/>
      </c>
      <c r="J496" s="2">
        <f>IFERROR(__xludf.DUMMYFUNCTION("""COMPUTED_VALUE"""),137.0)</f>
        <v/>
      </c>
      <c r="K496" s="2">
        <f>IFERROR(__xludf.DUMMYFUNCTION("""COMPUTED_VALUE"""),7.0)</f>
        <v/>
      </c>
      <c r="L496" s="2">
        <f>IFERROR(__xludf.DUMMYFUNCTION("""COMPUTED_VALUE"""),"Smartbuy лампы LED")</f>
        <v/>
      </c>
      <c r="M496" s="2">
        <f>IFERROR(__xludf.DUMMYFUNCTION("""COMPUTED_VALUE"""),"Лампы")</f>
        <v/>
      </c>
    </row>
    <row r="497">
      <c r="A497" s="5">
        <f>IFERROR(__xludf.DUMMYFUNCTION("""COMPUTED_VALUE"""),"4690612035406")</f>
        <v/>
      </c>
      <c r="B497" s="5">
        <f>IFERROR(__xludf.DUMMYFUNCTION("""COMPUTED_VALUE"""),"ELEGANT ARIS-W 90Вт 230В 3000-6500K 7000Лм 590х590х130мм c пультом ДУ белый IN HOME")</f>
        <v/>
      </c>
      <c r="C497" s="2">
        <f>IFERROR(__xludf.DUMMYFUNCTION("""COMPUTED_VALUE"""),2.24)</f>
        <v/>
      </c>
      <c r="D497" s="2">
        <f>IFERROR(__xludf.DUMMYFUNCTION("""COMPUTED_VALUE"""),0.012)</f>
        <v/>
      </c>
      <c r="E497" s="2">
        <f>IFERROR(__xludf.DUMMYFUNCTION("""COMPUTED_VALUE"""),3856.6)</f>
        <v/>
      </c>
      <c r="F497" s="2">
        <f>IFERROR(__xludf.DUMMYFUNCTION("""COMPUTED_VALUE"""),2482.0)</f>
        <v/>
      </c>
      <c r="G497" s="2">
        <f>IFERROR(__xludf.DUMMYFUNCTION("""COMPUTED_VALUE"""),2792.0)</f>
        <v/>
      </c>
      <c r="H497" s="2">
        <f>IFERROR(__xludf.DUMMYFUNCTION("""COMPUTED_VALUE"""),3239.0)</f>
        <v/>
      </c>
      <c r="I497" s="2">
        <f>IFERROR(__xludf.DUMMYFUNCTION("""COMPUTED_VALUE"""),3723.0)</f>
        <v/>
      </c>
      <c r="J497" s="2">
        <f>IFERROR(__xludf.DUMMYFUNCTION("""COMPUTED_VALUE"""),1862.0)</f>
        <v/>
      </c>
      <c r="K497" s="2">
        <f>IFERROR(__xludf.DUMMYFUNCTION("""COMPUTED_VALUE"""),5.0)</f>
        <v/>
      </c>
      <c r="L497" s="2">
        <f>IFERROR(__xludf.DUMMYFUNCTION("""COMPUTED_VALUE"""),"Светильники светодиодные серии ELEGANT IN HOME")</f>
        <v/>
      </c>
      <c r="M497" s="2">
        <f>IFERROR(__xludf.DUMMYFUNCTION("""COMPUTED_VALUE"""),"Накладные, Декоративные, LED Светильники")</f>
        <v/>
      </c>
    </row>
    <row r="498">
      <c r="A498" s="5">
        <f>IFERROR(__xludf.DUMMYFUNCTION("""COMPUTED_VALUE"""),"ves018")</f>
        <v/>
      </c>
      <c r="B498" s="5">
        <f>IFERROR(__xludf.DUMMYFUNCTION("""COMPUTED_VALUE"""),"Фонарь светодиодный аккумуляторный NPT-CP15-ACCU")</f>
        <v/>
      </c>
      <c r="C498" s="2">
        <f>IFERROR(__xludf.DUMMYFUNCTION("""COMPUTED_VALUE"""),0.0)</f>
        <v/>
      </c>
      <c r="D498" s="2">
        <f>IFERROR(__xludf.DUMMYFUNCTION("""COMPUTED_VALUE"""),0.0)</f>
        <v/>
      </c>
      <c r="E498" s="2">
        <f>IFERROR(__xludf.DUMMYFUNCTION("""COMPUTED_VALUE"""),207.97)</f>
        <v/>
      </c>
      <c r="F498" s="2">
        <f>IFERROR(__xludf.DUMMYFUNCTION("""COMPUTED_VALUE"""),218.0)</f>
        <v/>
      </c>
      <c r="G498" s="2">
        <f>IFERROR(__xludf.DUMMYFUNCTION("""COMPUTED_VALUE"""),232.0)</f>
        <v/>
      </c>
      <c r="H498" s="2">
        <f>IFERROR(__xludf.DUMMYFUNCTION("""COMPUTED_VALUE"""),261.0)</f>
        <v/>
      </c>
      <c r="I498" s="2">
        <f>IFERROR(__xludf.DUMMYFUNCTION("""COMPUTED_VALUE"""),290.0)</f>
        <v/>
      </c>
      <c r="J498" s="2">
        <f>IFERROR(__xludf.DUMMYFUNCTION("""COMPUTED_VALUE"""),145.0)</f>
        <v/>
      </c>
      <c r="K498" s="2">
        <f>IFERROR(__xludf.DUMMYFUNCTION("""COMPUTED_VALUE"""),2.0)</f>
        <v/>
      </c>
      <c r="L498" s="2">
        <f>IFERROR(__xludf.DUMMYFUNCTION("""COMPUTED_VALUE"""),"ves")</f>
        <v/>
      </c>
      <c r="M498" s="2">
        <f>IFERROR(__xludf.DUMMYFUNCTION("""COMPUTED_VALUE"""),"LED Светильники")</f>
        <v/>
      </c>
    </row>
    <row r="499">
      <c r="A499" s="5">
        <f>IFERROR(__xludf.DUMMYFUNCTION("""COMPUTED_VALUE"""),"4690612056135")</f>
        <v/>
      </c>
      <c r="B499" s="5">
        <f>IFERROR(__xludf.DUMMYFUNCTION("""COMPUTED_VALUE"""),"ДБУ HALO-S1530BL 15Вт 3000К IP54 150x50мм квадратный черный IN HOME")</f>
        <v/>
      </c>
      <c r="C499" s="2">
        <f>IFERROR(__xludf.DUMMYFUNCTION("""COMPUTED_VALUE"""),0.62)</f>
        <v/>
      </c>
      <c r="D499" s="2">
        <f>IFERROR(__xludf.DUMMYFUNCTION("""COMPUTED_VALUE"""),0.00174)</f>
        <v/>
      </c>
      <c r="E499" s="2">
        <f>IFERROR(__xludf.DUMMYFUNCTION("""COMPUTED_VALUE"""),1.0)</f>
        <v/>
      </c>
      <c r="F499" s="2">
        <f>IFERROR(__xludf.DUMMYFUNCTION("""COMPUTED_VALUE"""),1041.0)</f>
        <v/>
      </c>
      <c r="G499" s="2">
        <f>IFERROR(__xludf.DUMMYFUNCTION("""COMPUTED_VALUE"""),1171.0)</f>
        <v/>
      </c>
      <c r="H499" s="2">
        <f>IFERROR(__xludf.DUMMYFUNCTION("""COMPUTED_VALUE"""),1358.0)</f>
        <v/>
      </c>
      <c r="I499" s="2">
        <f>IFERROR(__xludf.DUMMYFUNCTION("""COMPUTED_VALUE"""),1561.0)</f>
        <v/>
      </c>
      <c r="J499" s="2">
        <f>IFERROR(__xludf.DUMMYFUNCTION("""COMPUTED_VALUE"""),781.0)</f>
        <v/>
      </c>
      <c r="K499" s="2">
        <f>IFERROR(__xludf.DUMMYFUNCTION("""COMPUTED_VALUE"""),1.0)</f>
        <v/>
      </c>
      <c r="L499" s="2">
        <f>IFERROR(__xludf.DUMMYFUNCTION("""COMPUTED_VALUE"""),"Светильники светодиодные уличные ДБУ")</f>
        <v/>
      </c>
      <c r="M499" s="2">
        <f>IFERROR(__xludf.DUMMYFUNCTION("""COMPUTED_VALUE"""),"Садово-парковые, ландшафтные, LED Светильники")</f>
        <v/>
      </c>
    </row>
    <row r="500">
      <c r="A500" s="5">
        <f>IFERROR(__xludf.DUMMYFUNCTION("""COMPUTED_VALUE"""),"4690612022239")</f>
        <v/>
      </c>
      <c r="B500" s="5">
        <f>IFERROR(__xludf.DUMMYFUNCTION("""COMPUTED_VALUE"""),"DECO 18Вт 230В 6500К 1170Лм 230х55мм СОЗВЕЗДИЕ IN HOME")</f>
        <v/>
      </c>
      <c r="C500" s="2">
        <f>IFERROR(__xludf.DUMMYFUNCTION("""COMPUTED_VALUE"""),0.30833)</f>
        <v/>
      </c>
      <c r="D500" s="2">
        <f>IFERROR(__xludf.DUMMYFUNCTION("""COMPUTED_VALUE"""),0.00417)</f>
        <v/>
      </c>
      <c r="E500" s="2">
        <f>IFERROR(__xludf.DUMMYFUNCTION("""COMPUTED_VALUE"""),296.21)</f>
        <v/>
      </c>
      <c r="F500" s="2">
        <f>IFERROR(__xludf.DUMMYFUNCTION("""COMPUTED_VALUE"""),365.0)</f>
        <v/>
      </c>
      <c r="G500" s="2">
        <f>IFERROR(__xludf.DUMMYFUNCTION("""COMPUTED_VALUE"""),411.0)</f>
        <v/>
      </c>
      <c r="H500" s="2">
        <f>IFERROR(__xludf.DUMMYFUNCTION("""COMPUTED_VALUE"""),477.0)</f>
        <v/>
      </c>
      <c r="I500" s="2">
        <f>IFERROR(__xludf.DUMMYFUNCTION("""COMPUTED_VALUE"""),548.0)</f>
        <v/>
      </c>
      <c r="J500" s="2">
        <f>IFERROR(__xludf.DUMMYFUNCTION("""COMPUTED_VALUE"""),274.0)</f>
        <v/>
      </c>
      <c r="K500" s="2">
        <f>IFERROR(__xludf.DUMMYFUNCTION("""COMPUTED_VALUE"""),11.0)</f>
        <v/>
      </c>
      <c r="L500" s="2">
        <f>IFERROR(__xludf.DUMMYFUNCTION("""COMPUTED_VALUE"""),"Светильник светодиодный серии DECO")</f>
        <v/>
      </c>
      <c r="M500" s="2">
        <f>IFERROR(__xludf.DUMMYFUNCTION("""COMPUTED_VALUE"""),"Накладные, Декоративные, LED Светильники")</f>
        <v/>
      </c>
    </row>
    <row r="501">
      <c r="A501" s="5">
        <f>IFERROR(__xludf.DUMMYFUNCTION("""COMPUTED_VALUE"""),"4260652195332")</f>
        <v/>
      </c>
      <c r="B501" s="5">
        <f>IFERROR(__xludf.DUMMYFUNCTION("""COMPUTED_VALUE"""),"WTL-PI/02W")</f>
        <v/>
      </c>
      <c r="C501" s="2">
        <f>IFERROR(__xludf.DUMMYFUNCTION("""COMPUTED_VALUE"""),0.056)</f>
        <v/>
      </c>
      <c r="D501" s="2">
        <f>IFERROR(__xludf.DUMMYFUNCTION("""COMPUTED_VALUE"""),2.5E-4)</f>
        <v/>
      </c>
      <c r="E501" s="2">
        <f>IFERROR(__xludf.DUMMYFUNCTION("""COMPUTED_VALUE"""),91.3)</f>
        <v/>
      </c>
      <c r="F501" s="2">
        <f>IFERROR(__xludf.DUMMYFUNCTION("""COMPUTED_VALUE"""),113.0)</f>
        <v/>
      </c>
      <c r="G501" s="2">
        <f>IFERROR(__xludf.DUMMYFUNCTION("""COMPUTED_VALUE"""),117.0)</f>
        <v/>
      </c>
      <c r="H501" s="2">
        <f>IFERROR(__xludf.DUMMYFUNCTION("""COMPUTED_VALUE"""),154.0)</f>
        <v/>
      </c>
      <c r="I501" s="2">
        <f>IFERROR(__xludf.DUMMYFUNCTION("""COMPUTED_VALUE"""),192.0)</f>
        <v/>
      </c>
      <c r="J501" s="2">
        <f>IFERROR(__xludf.DUMMYFUNCTION("""COMPUTED_VALUE"""),96.0)</f>
        <v/>
      </c>
      <c r="K501" s="2">
        <f>IFERROR(__xludf.DUMMYFUNCTION("""COMPUTED_VALUE"""),4.0)</f>
        <v/>
      </c>
      <c r="L501" s="2">
        <f>IFERROR(__xludf.DUMMYFUNCTION("""COMPUTED_VALUE"""),"Wolta трековые")</f>
        <v/>
      </c>
      <c r="M501" s="2">
        <f>IFERROR(__xludf.DUMMYFUNCTION("""COMPUTED_VALUE"""),"Трековые, LED Светильники")</f>
        <v/>
      </c>
    </row>
    <row r="502">
      <c r="A502" s="5">
        <f>IFERROR(__xludf.DUMMYFUNCTION("""COMPUTED_VALUE"""),"GL8270")</f>
        <v/>
      </c>
      <c r="B502" s="5">
        <f>IFERROR(__xludf.DUMMYFUNCTION("""COMPUTED_VALUE"""),"GLERIO Line Free 36 Вт 4000К 93P-36D-4P-M")</f>
        <v/>
      </c>
      <c r="C502" s="2">
        <f>IFERROR(__xludf.DUMMYFUNCTION("""COMPUTED_VALUE"""),0.5)</f>
        <v/>
      </c>
      <c r="D502" s="2">
        <f>IFERROR(__xludf.DUMMYFUNCTION("""COMPUTED_VALUE"""),0.00396)</f>
        <v/>
      </c>
      <c r="E502" s="2">
        <f>IFERROR(__xludf.DUMMYFUNCTION("""COMPUTED_VALUE"""),1687.8)</f>
        <v/>
      </c>
      <c r="F502" s="2">
        <f>IFERROR(__xludf.DUMMYFUNCTION("""COMPUTED_VALUE"""),2150.0)</f>
        <v/>
      </c>
      <c r="G502" s="2">
        <f>IFERROR(__xludf.DUMMYFUNCTION("""COMPUTED_VALUE"""),2707.0)</f>
        <v/>
      </c>
      <c r="H502" s="2">
        <f>IFERROR(__xludf.DUMMYFUNCTION("""COMPUTED_VALUE"""),3040.0)</f>
        <v/>
      </c>
      <c r="I502" s="2">
        <f>IFERROR(__xludf.DUMMYFUNCTION("""COMPUTED_VALUE"""),3373.0)</f>
        <v/>
      </c>
      <c r="J502" s="2">
        <f>IFERROR(__xludf.DUMMYFUNCTION("""COMPUTED_VALUE"""),1687.0)</f>
        <v/>
      </c>
      <c r="K502" s="2">
        <f>IFERROR(__xludf.DUMMYFUNCTION("""COMPUTED_VALUE"""),2.0)</f>
        <v/>
      </c>
      <c r="L502" s="2">
        <f>IFERROR(__xludf.DUMMYFUNCTION("""COMPUTED_VALUE"""),"Line Shell, Free (Retail) до 10.2025")</f>
        <v/>
      </c>
      <c r="M502" s="2">
        <f>IFERROR(__xludf.DUMMYFUNCTION("""COMPUTED_VALUE"""),"Пластиковые (линейные), LED Светильники")</f>
        <v/>
      </c>
    </row>
    <row r="503">
      <c r="A503" s="5">
        <f>IFERROR(__xludf.DUMMYFUNCTION("""COMPUTED_VALUE"""),"4690612031002")</f>
        <v/>
      </c>
      <c r="B503" s="5">
        <f>IFERROR(__xludf.DUMMYFUNCTION("""COMPUTED_VALUE"""),"LED-T8-П-PRO 20Вт 230В G13 6500К 2000Лм 1200мм прозрачная IN HOME")</f>
        <v/>
      </c>
      <c r="C503" s="2">
        <f>IFERROR(__xludf.DUMMYFUNCTION("""COMPUTED_VALUE"""),0.188)</f>
        <v/>
      </c>
      <c r="D503" s="2">
        <f>IFERROR(__xludf.DUMMYFUNCTION("""COMPUTED_VALUE"""),0.00144)</f>
        <v/>
      </c>
      <c r="E503" s="2">
        <f>IFERROR(__xludf.DUMMYFUNCTION("""COMPUTED_VALUE"""),84.0)</f>
        <v/>
      </c>
      <c r="F503" s="2">
        <f>IFERROR(__xludf.DUMMYFUNCTION("""COMPUTED_VALUE"""),109.0)</f>
        <v/>
      </c>
      <c r="G503" s="2">
        <f>IFERROR(__xludf.DUMMYFUNCTION("""COMPUTED_VALUE"""),123.0)</f>
        <v/>
      </c>
      <c r="H503" s="2">
        <f>IFERROR(__xludf.DUMMYFUNCTION("""COMPUTED_VALUE"""),143.0)</f>
        <v/>
      </c>
      <c r="I503" s="2">
        <f>IFERROR(__xludf.DUMMYFUNCTION("""COMPUTED_VALUE"""),164.4)</f>
        <v/>
      </c>
      <c r="J503" s="2">
        <f>IFERROR(__xludf.DUMMYFUNCTION("""COMPUTED_VALUE"""),82.0)</f>
        <v/>
      </c>
      <c r="K503" s="2">
        <f>IFERROR(__xludf.DUMMYFUNCTION("""COMPUTED_VALUE"""),25.0)</f>
        <v/>
      </c>
      <c r="L503" s="2">
        <f>IFERROR(__xludf.DUMMYFUNCTION("""COMPUTED_VALUE"""),"Лампа светодиодная LED-T8")</f>
        <v/>
      </c>
      <c r="M503" s="2">
        <f>IFERROR(__xludf.DUMMYFUNCTION("""COMPUTED_VALUE"""),"Лампы")</f>
        <v/>
      </c>
    </row>
    <row r="504">
      <c r="A504" s="5">
        <f>IFERROR(__xludf.DUMMYFUNCTION("""COMPUTED_VALUE"""),"4690612027227")</f>
        <v/>
      </c>
      <c r="B504" s="5">
        <f>IFERROR(__xludf.DUMMYFUNCTION("""COMPUTED_VALUE"""),"СМК 222-412 (25шт./упак.) IN HOME")</f>
        <v/>
      </c>
      <c r="C504" s="2">
        <f>IFERROR(__xludf.DUMMYFUNCTION("""COMPUTED_VALUE"""),0.09300000000000001)</f>
        <v/>
      </c>
      <c r="D504" s="2">
        <f>IFERROR(__xludf.DUMMYFUNCTION("""COMPUTED_VALUE"""),2.5E-4)</f>
        <v/>
      </c>
      <c r="E504" s="2">
        <f>IFERROR(__xludf.DUMMYFUNCTION("""COMPUTED_VALUE"""),161.69)</f>
        <v/>
      </c>
      <c r="F504" s="2">
        <f>IFERROR(__xludf.DUMMYFUNCTION("""COMPUTED_VALUE"""),194.0)</f>
        <v/>
      </c>
      <c r="G504" s="2">
        <f>IFERROR(__xludf.DUMMYFUNCTION("""COMPUTED_VALUE"""),218.0)</f>
        <v/>
      </c>
      <c r="H504" s="2">
        <f>IFERROR(__xludf.DUMMYFUNCTION("""COMPUTED_VALUE"""),253.0)</f>
        <v/>
      </c>
      <c r="I504" s="2">
        <f>IFERROR(__xludf.DUMMYFUNCTION("""COMPUTED_VALUE"""),290.0)</f>
        <v/>
      </c>
      <c r="J504" s="2">
        <f>IFERROR(__xludf.DUMMYFUNCTION("""COMPUTED_VALUE"""),218.0)</f>
        <v/>
      </c>
      <c r="K504" s="2">
        <f>IFERROR(__xludf.DUMMYFUNCTION("""COMPUTED_VALUE"""),24.0)</f>
        <v/>
      </c>
      <c r="L504" s="2">
        <f>IFERROR(__xludf.DUMMYFUNCTION("""COMPUTED_VALUE"""),"ASD электромонтажные изделия")</f>
        <v/>
      </c>
      <c r="M504" s="2">
        <f>IFERROR(__xludf.DUMMYFUNCTION("""COMPUTED_VALUE"""),"Прочие товары")</f>
        <v/>
      </c>
    </row>
    <row r="505">
      <c r="A505" s="5">
        <f>IFERROR(__xludf.DUMMYFUNCTION("""COMPUTED_VALUE"""),"12-4832")</f>
        <v/>
      </c>
      <c r="B505" s="5">
        <f>IFERROR(__xludf.DUMMYFUNCTION("""COMPUTED_VALUE"""),"Магнитный угольник-держатель для сварки на 6 углов усилие 22,6 кг REXANT")</f>
        <v/>
      </c>
      <c r="C505" s="2">
        <f>IFERROR(__xludf.DUMMYFUNCTION("""COMPUTED_VALUE"""),0.0)</f>
        <v/>
      </c>
      <c r="D505" s="2">
        <f>IFERROR(__xludf.DUMMYFUNCTION("""COMPUTED_VALUE"""),0.0)</f>
        <v/>
      </c>
      <c r="E505" s="2">
        <f>IFERROR(__xludf.DUMMYFUNCTION("""COMPUTED_VALUE"""),1.0)</f>
        <v/>
      </c>
      <c r="F505" s="2">
        <f>IFERROR(__xludf.DUMMYFUNCTION("""COMPUTED_VALUE"""),568.0)</f>
        <v/>
      </c>
      <c r="G505" s="2">
        <f>IFERROR(__xludf.DUMMYFUNCTION("""COMPUTED_VALUE"""),605.0)</f>
        <v/>
      </c>
      <c r="H505" s="2">
        <f>IFERROR(__xludf.DUMMYFUNCTION("""COMPUTED_VALUE"""),681.0)</f>
        <v/>
      </c>
      <c r="I505" s="2">
        <f>IFERROR(__xludf.DUMMYFUNCTION("""COMPUTED_VALUE"""),756.71)</f>
        <v/>
      </c>
      <c r="J505" s="2">
        <f>IFERROR(__xludf.DUMMYFUNCTION("""COMPUTED_VALUE"""),568.0)</f>
        <v/>
      </c>
      <c r="K505" s="2">
        <f>IFERROR(__xludf.DUMMYFUNCTION("""COMPUTED_VALUE"""),6.0)</f>
        <v/>
      </c>
      <c r="L505" s="2">
        <f>IFERROR(__xludf.DUMMYFUNCTION("""COMPUTED_VALUE"""),"Rexant")</f>
        <v/>
      </c>
      <c r="M505" s="2">
        <f>IFERROR(__xludf.DUMMYFUNCTION("""COMPUTED_VALUE"""),"Прочие товары")</f>
        <v/>
      </c>
    </row>
    <row r="506">
      <c r="A506" s="5">
        <f>IFERROR(__xludf.DUMMYFUNCTION("""COMPUTED_VALUE"""),"14690612052998")</f>
        <v/>
      </c>
      <c r="B506" s="5">
        <f>IFERROR(__xludf.DUMMYFUNCTION("""COMPUTED_VALUE"""),"ДВО-01 4565-ПРИЗМА 45Вт 6500К 180х1195х19 NEOX (4 шт в упак.)")</f>
        <v/>
      </c>
      <c r="C506" s="2">
        <f>IFERROR(__xludf.DUMMYFUNCTION("""COMPUTED_VALUE"""),1.275)</f>
        <v/>
      </c>
      <c r="D506" s="2">
        <f>IFERROR(__xludf.DUMMYFUNCTION("""COMPUTED_VALUE"""),0.0)</f>
        <v/>
      </c>
      <c r="E506" s="2">
        <f>IFERROR(__xludf.DUMMYFUNCTION("""COMPUTED_VALUE"""),2568.52)</f>
        <v/>
      </c>
      <c r="F506" s="2">
        <f>IFERROR(__xludf.DUMMYFUNCTION("""COMPUTED_VALUE"""),2818.0)</f>
        <v/>
      </c>
      <c r="G506" s="2">
        <f>IFERROR(__xludf.DUMMYFUNCTION("""COMPUTED_VALUE"""),3288.0)</f>
        <v/>
      </c>
      <c r="H506" s="2">
        <f>IFERROR(__xludf.DUMMYFUNCTION("""COMPUTED_VALUE"""),3699.0)</f>
        <v/>
      </c>
      <c r="I506" s="2">
        <f>IFERROR(__xludf.DUMMYFUNCTION("""COMPUTED_VALUE"""),4110.0)</f>
        <v/>
      </c>
      <c r="J506" s="2">
        <f>IFERROR(__xludf.DUMMYFUNCTION("""COMPUTED_VALUE"""),2055.0)</f>
        <v/>
      </c>
      <c r="K506" s="2">
        <f>IFERROR(__xludf.DUMMYFUNCTION("""COMPUTED_VALUE"""),5.0)</f>
        <v/>
      </c>
      <c r="L506" s="2">
        <f>IFERROR(__xludf.DUMMYFUNCTION("""COMPUTED_VALUE"""),"NEOX Светильники LED ДВО - Призма производство, упаковка")</f>
        <v/>
      </c>
      <c r="M506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507">
      <c r="A507" s="5">
        <f>IFERROR(__xludf.DUMMYFUNCTION("""COMPUTED_VALUE"""),"Fefco/0201-2")</f>
        <v/>
      </c>
      <c r="B507" s="5">
        <f>IFERROR(__xludf.DUMMYFUNCTION("""COMPUTED_VALUE"""),"Короб 1220х80х60 (картон Т-24 бурый 3мм)")</f>
        <v/>
      </c>
      <c r="C507" s="2">
        <f>IFERROR(__xludf.DUMMYFUNCTION("""COMPUTED_VALUE"""),0.0)</f>
        <v/>
      </c>
      <c r="D507" s="2">
        <f>IFERROR(__xludf.DUMMYFUNCTION("""COMPUTED_VALUE"""),0.0)</f>
        <v/>
      </c>
      <c r="E507" s="2">
        <f>IFERROR(__xludf.DUMMYFUNCTION("""COMPUTED_VALUE"""),44.3)</f>
        <v/>
      </c>
      <c r="F507" s="2">
        <f>IFERROR(__xludf.DUMMYFUNCTION("""COMPUTED_VALUE"""),1.0)</f>
        <v/>
      </c>
      <c r="G507" s="2">
        <f>IFERROR(__xludf.DUMMYFUNCTION("""COMPUTED_VALUE"""),1.0)</f>
        <v/>
      </c>
      <c r="H507" s="2">
        <f>IFERROR(__xludf.DUMMYFUNCTION("""COMPUTED_VALUE"""),1.0)</f>
        <v/>
      </c>
      <c r="I507" s="2">
        <f>IFERROR(__xludf.DUMMYFUNCTION("""COMPUTED_VALUE"""),1.5)</f>
        <v/>
      </c>
      <c r="J507" s="2">
        <f>IFERROR(__xludf.DUMMYFUNCTION("""COMPUTED_VALUE"""),1.5)</f>
        <v/>
      </c>
      <c r="K507" s="2">
        <f>IFERROR(__xludf.DUMMYFUNCTION("""COMPUTED_VALUE"""),110.0)</f>
        <v/>
      </c>
      <c r="L507" s="2">
        <f>IFERROR(__xludf.DUMMYFUNCTION("""COMPUTED_VALUE"""),"Упаковка")</f>
        <v/>
      </c>
      <c r="M507" s="2">
        <f>IFERROR(__xludf.DUMMYFUNCTION("""COMPUTED_VALUE"""),"Прочие товары")</f>
        <v/>
      </c>
    </row>
    <row r="508">
      <c r="A508" s="5">
        <f>IFERROR(__xludf.DUMMYFUNCTION("""COMPUTED_VALUE"""),"4690612020525")</f>
        <v/>
      </c>
      <c r="B508" s="5">
        <f>IFERROR(__xludf.DUMMYFUNCTION("""COMPUTED_VALUE"""),"LED-ШАР-VC 6Вт 230В Е27 3000К 570Лм IN HOME")</f>
        <v/>
      </c>
      <c r="C508" s="2">
        <f>IFERROR(__xludf.DUMMYFUNCTION("""COMPUTED_VALUE"""),0.031)</f>
        <v/>
      </c>
      <c r="D508" s="2">
        <f>IFERROR(__xludf.DUMMYFUNCTION("""COMPUTED_VALUE"""),2.3E-4)</f>
        <v/>
      </c>
      <c r="E508" s="2">
        <f>IFERROR(__xludf.DUMMYFUNCTION("""COMPUTED_VALUE"""),38.4)</f>
        <v/>
      </c>
      <c r="F508" s="2">
        <f>IFERROR(__xludf.DUMMYFUNCTION("""COMPUTED_VALUE"""),44.0)</f>
        <v/>
      </c>
      <c r="G508" s="2">
        <f>IFERROR(__xludf.DUMMYFUNCTION("""COMPUTED_VALUE"""),50.0)</f>
        <v/>
      </c>
      <c r="H508" s="2">
        <f>IFERROR(__xludf.DUMMYFUNCTION("""COMPUTED_VALUE"""),57.0)</f>
        <v/>
      </c>
      <c r="I508" s="2">
        <f>IFERROR(__xludf.DUMMYFUNCTION("""COMPUTED_VALUE"""),66.5)</f>
        <v/>
      </c>
      <c r="J508" s="2">
        <f>IFERROR(__xludf.DUMMYFUNCTION("""COMPUTED_VALUE"""),33.0)</f>
        <v/>
      </c>
      <c r="K508" s="2">
        <f>IFERROR(__xludf.DUMMYFUNCTION("""COMPUTED_VALUE"""),7.0)</f>
        <v/>
      </c>
      <c r="L508" s="2">
        <f>IFERROR(__xludf.DUMMYFUNCTION("""COMPUTED_VALUE"""),"Лампа светодиодная LED-ШАР-standard")</f>
        <v/>
      </c>
      <c r="M508" s="2">
        <f>IFERROR(__xludf.DUMMYFUNCTION("""COMPUTED_VALUE"""),"Лампы")</f>
        <v/>
      </c>
    </row>
    <row r="509">
      <c r="A509" s="5">
        <f>IFERROR(__xludf.DUMMYFUNCTION("""COMPUTED_VALUE"""),"4690612035130")</f>
        <v/>
      </c>
      <c r="B509" s="5">
        <f>IFERROR(__xludf.DUMMYFUNCTION("""COMPUTED_VALUE"""),"COMFORT MIRAGE 75Вт 230В 3000-6500K 6000Лм 500x105мм с пультом ДУ IN HOME")</f>
        <v/>
      </c>
      <c r="C509" s="2">
        <f>IFERROR(__xludf.DUMMYFUNCTION("""COMPUTED_VALUE"""),1.5)</f>
        <v/>
      </c>
      <c r="D509" s="2">
        <f>IFERROR(__xludf.DUMMYFUNCTION("""COMPUTED_VALUE"""),0.03)</f>
        <v/>
      </c>
      <c r="E509" s="2">
        <f>IFERROR(__xludf.DUMMYFUNCTION("""COMPUTED_VALUE"""),1355.5)</f>
        <v/>
      </c>
      <c r="F509" s="2">
        <f>IFERROR(__xludf.DUMMYFUNCTION("""COMPUTED_VALUE"""),1844.0)</f>
        <v/>
      </c>
      <c r="G509" s="2">
        <f>IFERROR(__xludf.DUMMYFUNCTION("""COMPUTED_VALUE"""),2075.0)</f>
        <v/>
      </c>
      <c r="H509" s="2">
        <f>IFERROR(__xludf.DUMMYFUNCTION("""COMPUTED_VALUE"""),2406.0)</f>
        <v/>
      </c>
      <c r="I509" s="2">
        <f>IFERROR(__xludf.DUMMYFUNCTION("""COMPUTED_VALUE"""),2766.0)</f>
        <v/>
      </c>
      <c r="J509" s="2">
        <f>IFERROR(__xludf.DUMMYFUNCTION("""COMPUTED_VALUE"""),1356.0)</f>
        <v/>
      </c>
      <c r="K509" s="2">
        <f>IFERROR(__xludf.DUMMYFUNCTION("""COMPUTED_VALUE"""),1.0)</f>
        <v/>
      </c>
      <c r="L509" s="2">
        <f>IFERROR(__xludf.DUMMYFUNCTION("""COMPUTED_VALUE"""),"Светильники светодиодные COMFORT")</f>
        <v/>
      </c>
      <c r="M509" s="2">
        <f>IFERROR(__xludf.DUMMYFUNCTION("""COMPUTED_VALUE"""),"Накладные, Декоративные, LED Светильники")</f>
        <v/>
      </c>
    </row>
    <row r="510">
      <c r="A510" s="5">
        <f>IFERROR(__xludf.DUMMYFUNCTION("""COMPUTED_VALUE"""),"Fefco/0203-3")</f>
        <v/>
      </c>
      <c r="B510" s="5">
        <f>IFERROR(__xludf.DUMMYFUNCTION("""COMPUTED_VALUE"""),"Короб Fefco/0203 1205х40х185 Короб (картон Т-24 ""В"" бурый)")</f>
        <v/>
      </c>
      <c r="C510" s="2">
        <f>IFERROR(__xludf.DUMMYFUNCTION("""COMPUTED_VALUE"""),0.28)</f>
        <v/>
      </c>
      <c r="D510" s="2">
        <f>IFERROR(__xludf.DUMMYFUNCTION("""COMPUTED_VALUE"""),0.002)</f>
        <v/>
      </c>
      <c r="E510" s="2">
        <f>IFERROR(__xludf.DUMMYFUNCTION("""COMPUTED_VALUE"""),48.41)</f>
        <v/>
      </c>
      <c r="F510" s="2">
        <f>IFERROR(__xludf.DUMMYFUNCTION("""COMPUTED_VALUE"""),1.0)</f>
        <v/>
      </c>
      <c r="G510" s="2">
        <f>IFERROR(__xludf.DUMMYFUNCTION("""COMPUTED_VALUE"""),1.0)</f>
        <v/>
      </c>
      <c r="H510" s="2">
        <f>IFERROR(__xludf.DUMMYFUNCTION("""COMPUTED_VALUE"""),1.0)</f>
        <v/>
      </c>
      <c r="I510" s="2">
        <f>IFERROR(__xludf.DUMMYFUNCTION("""COMPUTED_VALUE"""),1.5)</f>
        <v/>
      </c>
      <c r="J510" s="2">
        <f>IFERROR(__xludf.DUMMYFUNCTION("""COMPUTED_VALUE"""),1.5)</f>
        <v/>
      </c>
      <c r="K510" s="2">
        <f>IFERROR(__xludf.DUMMYFUNCTION("""COMPUTED_VALUE"""),-41.0)</f>
        <v/>
      </c>
      <c r="L510" s="2">
        <f>IFERROR(__xludf.DUMMYFUNCTION("""COMPUTED_VALUE"""),"Упаковка")</f>
        <v/>
      </c>
      <c r="M510" s="2">
        <f>IFERROR(__xludf.DUMMYFUNCTION("""COMPUTED_VALUE"""),"Прочие товары")</f>
        <v/>
      </c>
    </row>
    <row r="511">
      <c r="A511" s="5">
        <f>IFERROR(__xludf.DUMMYFUNCTION("""COMPUTED_VALUE"""),"4690612005089")</f>
        <v/>
      </c>
      <c r="B511" s="5">
        <f>IFERROR(__xludf.DUMMYFUNCTION("""COMPUTED_VALUE"""),"LED-GX53-standard 6Вт 160-260В 4000К 480Лм ASD")</f>
        <v/>
      </c>
      <c r="C511" s="2">
        <f>IFERROR(__xludf.DUMMYFUNCTION("""COMPUTED_VALUE"""),0.03700000000000001)</f>
        <v/>
      </c>
      <c r="D511" s="2">
        <f>IFERROR(__xludf.DUMMYFUNCTION("""COMPUTED_VALUE"""),1.8E-4)</f>
        <v/>
      </c>
      <c r="E511" s="2">
        <f>IFERROR(__xludf.DUMMYFUNCTION("""COMPUTED_VALUE"""),37.52)</f>
        <v/>
      </c>
      <c r="F511" s="2">
        <f>IFERROR(__xludf.DUMMYFUNCTION("""COMPUTED_VALUE"""),27.0)</f>
        <v/>
      </c>
      <c r="G511" s="2">
        <f>IFERROR(__xludf.DUMMYFUNCTION("""COMPUTED_VALUE"""),31.0)</f>
        <v/>
      </c>
      <c r="H511" s="2">
        <f>IFERROR(__xludf.DUMMYFUNCTION("""COMPUTED_VALUE"""),36.0)</f>
        <v/>
      </c>
      <c r="I511" s="2">
        <f>IFERROR(__xludf.DUMMYFUNCTION("""COMPUTED_VALUE"""),41.35)</f>
        <v/>
      </c>
      <c r="J511" s="2">
        <f>IFERROR(__xludf.DUMMYFUNCTION("""COMPUTED_VALUE"""),21.0)</f>
        <v/>
      </c>
      <c r="K511" s="2">
        <f>IFERROR(__xludf.DUMMYFUNCTION("""COMPUTED_VALUE"""),1.0)</f>
        <v/>
      </c>
      <c r="L511" s="2">
        <f>IFERROR(__xludf.DUMMYFUNCTION("""COMPUTED_VALUE"""),"Лампа светодиодная LED-GX53-standard")</f>
        <v/>
      </c>
      <c r="M511" s="2">
        <f>IFERROR(__xludf.DUMMYFUNCTION("""COMPUTED_VALUE"""),"Лампы")</f>
        <v/>
      </c>
    </row>
    <row r="512">
      <c r="A512" s="5">
        <f>IFERROR(__xludf.DUMMYFUNCTION("""COMPUTED_VALUE"""),"14690612057283")</f>
        <v/>
      </c>
      <c r="B512" s="5">
        <f>IFERROR(__xludf.DUMMYFUNCTION("""COMPUTED_VALUE"""),"ДВО-PRO 4065-ОПАЛ 40Вт 6500К 120лм/Вт CRI80 IP40 595х595х30мм NEOX (4 шт в упак.)")</f>
        <v/>
      </c>
      <c r="C512" s="2">
        <f>IFERROR(__xludf.DUMMYFUNCTION("""COMPUTED_VALUE"""),0.0)</f>
        <v/>
      </c>
      <c r="D512" s="2">
        <f>IFERROR(__xludf.DUMMYFUNCTION("""COMPUTED_VALUE"""),0.0)</f>
        <v/>
      </c>
      <c r="E512" s="2">
        <f>IFERROR(__xludf.DUMMYFUNCTION("""COMPUTED_VALUE"""),3300.66)</f>
        <v/>
      </c>
      <c r="F512" s="2">
        <f>IFERROR(__xludf.DUMMYFUNCTION("""COMPUTED_VALUE"""),3621.0)</f>
        <v/>
      </c>
      <c r="G512" s="2">
        <f>IFERROR(__xludf.DUMMYFUNCTION("""COMPUTED_VALUE"""),4225.0)</f>
        <v/>
      </c>
      <c r="H512" s="2">
        <f>IFERROR(__xludf.DUMMYFUNCTION("""COMPUTED_VALUE"""),4753.0)</f>
        <v/>
      </c>
      <c r="I512" s="2">
        <f>IFERROR(__xludf.DUMMYFUNCTION("""COMPUTED_VALUE"""),5281.0)</f>
        <v/>
      </c>
      <c r="J512" s="2">
        <f>IFERROR(__xludf.DUMMYFUNCTION("""COMPUTED_VALUE"""),2641.0)</f>
        <v/>
      </c>
      <c r="K512" s="2">
        <f>IFERROR(__xludf.DUMMYFUNCTION("""COMPUTED_VALUE"""),5.0)</f>
        <v/>
      </c>
      <c r="L512" s="2">
        <f>IFERROR(__xludf.DUMMYFUNCTION("""COMPUTED_VALUE"""),"NEOX Светильники LED ДВО-PRO производство, упаковка")</f>
        <v/>
      </c>
      <c r="M512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513">
      <c r="A513" s="5">
        <f>IFERROR(__xludf.DUMMYFUNCTION("""COMPUTED_VALUE"""),"4690612021546")</f>
        <v/>
      </c>
      <c r="B513" s="5">
        <f>IFERROR(__xludf.DUMMYFUNCTION("""COMPUTED_VALUE"""),"LED-GX70-VC 16Вт 230В 4000К 1520Лм IN HOME")</f>
        <v/>
      </c>
      <c r="C513" s="2">
        <f>IFERROR(__xludf.DUMMYFUNCTION("""COMPUTED_VALUE"""),0.15)</f>
        <v/>
      </c>
      <c r="D513" s="2">
        <f>IFERROR(__xludf.DUMMYFUNCTION("""COMPUTED_VALUE"""),7.000000000000001E-4)</f>
        <v/>
      </c>
      <c r="E513" s="2">
        <f>IFERROR(__xludf.DUMMYFUNCTION("""COMPUTED_VALUE"""),167.0)</f>
        <v/>
      </c>
      <c r="F513" s="2">
        <f>IFERROR(__xludf.DUMMYFUNCTION("""COMPUTED_VALUE"""),147.0)</f>
        <v/>
      </c>
      <c r="G513" s="2">
        <f>IFERROR(__xludf.DUMMYFUNCTION("""COMPUTED_VALUE"""),166.0)</f>
        <v/>
      </c>
      <c r="H513" s="2">
        <f>IFERROR(__xludf.DUMMYFUNCTION("""COMPUTED_VALUE"""),192.0)</f>
        <v/>
      </c>
      <c r="I513" s="2">
        <f>IFERROR(__xludf.DUMMYFUNCTION("""COMPUTED_VALUE"""),221.5)</f>
        <v/>
      </c>
      <c r="J513" s="2">
        <f>IFERROR(__xludf.DUMMYFUNCTION("""COMPUTED_VALUE"""),111.0)</f>
        <v/>
      </c>
      <c r="K513" s="2">
        <f>IFERROR(__xludf.DUMMYFUNCTION("""COMPUTED_VALUE"""),4.0)</f>
        <v/>
      </c>
      <c r="L513" s="2">
        <f>IFERROR(__xludf.DUMMYFUNCTION("""COMPUTED_VALUE"""),"ASD лампы LED")</f>
        <v/>
      </c>
      <c r="M513" s="2">
        <f>IFERROR(__xludf.DUMMYFUNCTION("""COMPUTED_VALUE"""),"Лампы")</f>
        <v/>
      </c>
    </row>
    <row r="514">
      <c r="A514" s="5">
        <f>IFERROR(__xludf.DUMMYFUNCTION("""COMPUTED_VALUE"""),"4690612053332")</f>
        <v/>
      </c>
      <c r="B514" s="5">
        <f>IFERROR(__xludf.DUMMYFUNCTION("""COMPUTED_VALUE"""),"ДД 08Ч 1200Вт 180 гр.12м IP44 черный")</f>
        <v/>
      </c>
      <c r="C514" s="2">
        <f>IFERROR(__xludf.DUMMYFUNCTION("""COMPUTED_VALUE"""),0.0)</f>
        <v/>
      </c>
      <c r="D514" s="2">
        <f>IFERROR(__xludf.DUMMYFUNCTION("""COMPUTED_VALUE"""),0.0)</f>
        <v/>
      </c>
      <c r="E514" s="2">
        <f>IFERROR(__xludf.DUMMYFUNCTION("""COMPUTED_VALUE"""),420.6)</f>
        <v/>
      </c>
      <c r="F514" s="2">
        <f>IFERROR(__xludf.DUMMYFUNCTION("""COMPUTED_VALUE"""),475.0)</f>
        <v/>
      </c>
      <c r="G514" s="2">
        <f>IFERROR(__xludf.DUMMYFUNCTION("""COMPUTED_VALUE"""),535.0)</f>
        <v/>
      </c>
      <c r="H514" s="2">
        <f>IFERROR(__xludf.DUMMYFUNCTION("""COMPUTED_VALUE"""),620.0)</f>
        <v/>
      </c>
      <c r="I514" s="2">
        <f>IFERROR(__xludf.DUMMYFUNCTION("""COMPUTED_VALUE"""),713.0)</f>
        <v/>
      </c>
      <c r="J514" s="2">
        <f>IFERROR(__xludf.DUMMYFUNCTION("""COMPUTED_VALUE"""),357.0)</f>
        <v/>
      </c>
      <c r="K514" s="2">
        <f>IFERROR(__xludf.DUMMYFUNCTION("""COMPUTED_VALUE"""),1.0)</f>
        <v/>
      </c>
      <c r="L514" s="2">
        <f>IFERROR(__xludf.DUMMYFUNCTION("""COMPUTED_VALUE"""),"ASD электромонтажные изделия")</f>
        <v/>
      </c>
      <c r="M514" s="2">
        <f>IFERROR(__xludf.DUMMYFUNCTION("""COMPUTED_VALUE"""),"Прочие товары")</f>
        <v/>
      </c>
    </row>
    <row r="515">
      <c r="A515" s="5">
        <f>IFERROR(__xludf.DUMMYFUNCTION("""COMPUTED_VALUE"""),"4690612010205")</f>
        <v/>
      </c>
      <c r="B515" s="5">
        <f>IFERROR(__xludf.DUMMYFUNCTION("""COMPUTED_VALUE"""),"РШ/ВШ 32А 250В пластиковый накладной белый 9123 IN HOME")</f>
        <v/>
      </c>
      <c r="C515" s="2">
        <f>IFERROR(__xludf.DUMMYFUNCTION("""COMPUTED_VALUE"""),0.13903)</f>
        <v/>
      </c>
      <c r="D515" s="2">
        <f>IFERROR(__xludf.DUMMYFUNCTION("""COMPUTED_VALUE"""),4.900000000000001E-4)</f>
        <v/>
      </c>
      <c r="E515" s="2">
        <f>IFERROR(__xludf.DUMMYFUNCTION("""COMPUTED_VALUE"""),107.63)</f>
        <v/>
      </c>
      <c r="F515" s="2">
        <f>IFERROR(__xludf.DUMMYFUNCTION("""COMPUTED_VALUE"""),158.0)</f>
        <v/>
      </c>
      <c r="G515" s="2">
        <f>IFERROR(__xludf.DUMMYFUNCTION("""COMPUTED_VALUE"""),178.0)</f>
        <v/>
      </c>
      <c r="H515" s="2">
        <f>IFERROR(__xludf.DUMMYFUNCTION("""COMPUTED_VALUE"""),206.0)</f>
        <v/>
      </c>
      <c r="I515" s="2">
        <f>IFERROR(__xludf.DUMMYFUNCTION("""COMPUTED_VALUE"""),237.0)</f>
        <v/>
      </c>
      <c r="J515" s="2">
        <f>IFERROR(__xludf.DUMMYFUNCTION("""COMPUTED_VALUE"""),119.0)</f>
        <v/>
      </c>
      <c r="K515" s="2">
        <f>IFERROR(__xludf.DUMMYFUNCTION("""COMPUTED_VALUE"""),4.0)</f>
        <v/>
      </c>
      <c r="L515" s="2">
        <f>IFERROR(__xludf.DUMMYFUNCTION("""COMPUTED_VALUE"""),"Розетки, вилки и колодки")</f>
        <v/>
      </c>
      <c r="M515" s="2">
        <f>IFERROR(__xludf.DUMMYFUNCTION("""COMPUTED_VALUE"""),"Прочие товары")</f>
        <v/>
      </c>
    </row>
    <row r="516">
      <c r="A516" s="5">
        <f>IFERROR(__xludf.DUMMYFUNCTION("""COMPUTED_VALUE"""),"ves013")</f>
        <v/>
      </c>
      <c r="B516" s="5">
        <f>IFERROR(__xludf.DUMMYFUNCTION("""COMPUTED_VALUE"""),"Фонарь налобный NPT-H04-3AAA")</f>
        <v/>
      </c>
      <c r="C516" s="2">
        <f>IFERROR(__xludf.DUMMYFUNCTION("""COMPUTED_VALUE"""),0.0)</f>
        <v/>
      </c>
      <c r="D516" s="2">
        <f>IFERROR(__xludf.DUMMYFUNCTION("""COMPUTED_VALUE"""),0.0)</f>
        <v/>
      </c>
      <c r="E516" s="2">
        <f>IFERROR(__xludf.DUMMYFUNCTION("""COMPUTED_VALUE"""),203.8)</f>
        <v/>
      </c>
      <c r="F516" s="2">
        <f>IFERROR(__xludf.DUMMYFUNCTION("""COMPUTED_VALUE"""),203.0)</f>
        <v/>
      </c>
      <c r="G516" s="2">
        <f>IFERROR(__xludf.DUMMYFUNCTION("""COMPUTED_VALUE"""),216.0)</f>
        <v/>
      </c>
      <c r="H516" s="2">
        <f>IFERROR(__xludf.DUMMYFUNCTION("""COMPUTED_VALUE"""),243.0)</f>
        <v/>
      </c>
      <c r="I516" s="2">
        <f>IFERROR(__xludf.DUMMYFUNCTION("""COMPUTED_VALUE"""),270.0)</f>
        <v/>
      </c>
      <c r="J516" s="2">
        <f>IFERROR(__xludf.DUMMYFUNCTION("""COMPUTED_VALUE"""),135.0)</f>
        <v/>
      </c>
      <c r="K516" s="2">
        <f>IFERROR(__xludf.DUMMYFUNCTION("""COMPUTED_VALUE"""),4.0)</f>
        <v/>
      </c>
      <c r="L516" s="2">
        <f>IFERROR(__xludf.DUMMYFUNCTION("""COMPUTED_VALUE"""),"ves")</f>
        <v/>
      </c>
      <c r="M516" s="2">
        <f>IFERROR(__xludf.DUMMYFUNCTION("""COMPUTED_VALUE"""),"LED Светильники")</f>
        <v/>
      </c>
    </row>
    <row r="517">
      <c r="A517" s="5">
        <f>IFERROR(__xludf.DUMMYFUNCTION("""COMPUTED_VALUE"""),"GL81509")</f>
        <v/>
      </c>
      <c r="B517" s="5">
        <f>IFERROR(__xludf.DUMMYFUNCTION("""COMPUTED_VALUE"""),"GLERIO Office Special 48 Вт 4000К 82P-48D-4G-M")</f>
        <v/>
      </c>
      <c r="C517" s="2">
        <f>IFERROR(__xludf.DUMMYFUNCTION("""COMPUTED_VALUE"""),1.14)</f>
        <v/>
      </c>
      <c r="D517" s="2">
        <f>IFERROR(__xludf.DUMMYFUNCTION("""COMPUTED_VALUE"""),0.008190000000000001)</f>
        <v/>
      </c>
      <c r="E517" s="2">
        <f>IFERROR(__xludf.DUMMYFUNCTION("""COMPUTED_VALUE"""),2366.8)</f>
        <v/>
      </c>
      <c r="F517" s="2">
        <f>IFERROR(__xludf.DUMMYFUNCTION("""COMPUTED_VALUE"""),2730.0)</f>
        <v/>
      </c>
      <c r="G517" s="2">
        <f>IFERROR(__xludf.DUMMYFUNCTION("""COMPUTED_VALUE"""),3437.0)</f>
        <v/>
      </c>
      <c r="H517" s="2">
        <f>IFERROR(__xludf.DUMMYFUNCTION("""COMPUTED_VALUE"""),3860.0)</f>
        <v/>
      </c>
      <c r="I517" s="2">
        <f>IFERROR(__xludf.DUMMYFUNCTION("""COMPUTED_VALUE"""),4283.0)</f>
        <v/>
      </c>
      <c r="J517" s="2">
        <f>IFERROR(__xludf.DUMMYFUNCTION("""COMPUTED_VALUE"""),4283.0)</f>
        <v/>
      </c>
      <c r="K517" s="2">
        <f>IFERROR(__xludf.DUMMYFUNCTION("""COMPUTED_VALUE"""),2.0)</f>
        <v/>
      </c>
      <c r="L517" s="2">
        <f>IFERROR(__xludf.DUMMYFUNCTION("""COMPUTED_VALUE"""),"Office Special (Офис Премиум) до 10.2025")</f>
        <v/>
      </c>
      <c r="M517" s="2">
        <f>IFERROR(__xludf.DUMMYFUNCTION("""COMPUTED_VALUE"""),"Встраиваемые, Накладные, LED Светильники")</f>
        <v/>
      </c>
    </row>
    <row r="518">
      <c r="A518" s="5">
        <f>IFERROR(__xludf.DUMMYFUNCTION("""COMPUTED_VALUE"""),"sra059")</f>
        <v/>
      </c>
      <c r="B518" s="5">
        <f>IFERROR(__xludf.DUMMYFUNCTION("""COMPUTED_VALUE"""),"Лампасветодиодная ЛСО")</f>
        <v/>
      </c>
      <c r="C518" s="2">
        <f>IFERROR(__xludf.DUMMYFUNCTION("""COMPUTED_VALUE"""),0.0)</f>
        <v/>
      </c>
      <c r="D518" s="2">
        <f>IFERROR(__xludf.DUMMYFUNCTION("""COMPUTED_VALUE"""),0.0)</f>
        <v/>
      </c>
      <c r="E518" s="2">
        <f>IFERROR(__xludf.DUMMYFUNCTION("""COMPUTED_VALUE"""),293.71)</f>
        <v/>
      </c>
      <c r="F518" s="2">
        <f>IFERROR(__xludf.DUMMYFUNCTION("""COMPUTED_VALUE"""),91.0)</f>
        <v/>
      </c>
      <c r="G518" s="2">
        <f>IFERROR(__xludf.DUMMYFUNCTION("""COMPUTED_VALUE"""),97.0)</f>
        <v/>
      </c>
      <c r="H518" s="2">
        <f>IFERROR(__xludf.DUMMYFUNCTION("""COMPUTED_VALUE"""),109.0)</f>
        <v/>
      </c>
      <c r="I518" s="2">
        <f>IFERROR(__xludf.DUMMYFUNCTION("""COMPUTED_VALUE"""),121.2)</f>
        <v/>
      </c>
      <c r="J518" s="2">
        <f>IFERROR(__xludf.DUMMYFUNCTION("""COMPUTED_VALUE"""),61.0)</f>
        <v/>
      </c>
      <c r="K518" s="2">
        <f>IFERROR(__xludf.DUMMYFUNCTION("""COMPUTED_VALUE"""),15.0)</f>
        <v/>
      </c>
      <c r="L518" s="2">
        <f>IFERROR(__xludf.DUMMYFUNCTION("""COMPUTED_VALUE"""),"SRA")</f>
        <v/>
      </c>
      <c r="M518" s="2">
        <f>IFERROR(__xludf.DUMMYFUNCTION("""COMPUTED_VALUE"""),"LED Светильники")</f>
        <v/>
      </c>
    </row>
    <row r="519">
      <c r="A519" s="5">
        <f>IFERROR(__xludf.DUMMYFUNCTION("""COMPUTED_VALUE"""),"4690612008073")</f>
        <v/>
      </c>
      <c r="B519" s="5">
        <f>IFERROR(__xludf.DUMMYFUNCTION("""COMPUTED_VALUE"""),"LED-A60-deco 9Вт 230В Е27 4000К 1040Лм прозрачная IN HOME")</f>
        <v/>
      </c>
      <c r="C519" s="2">
        <f>IFERROR(__xludf.DUMMYFUNCTION("""COMPUTED_VALUE"""),0.044)</f>
        <v/>
      </c>
      <c r="D519" s="2">
        <f>IFERROR(__xludf.DUMMYFUNCTION("""COMPUTED_VALUE"""),5.600000000000001E-4)</f>
        <v/>
      </c>
      <c r="E519" s="2">
        <f>IFERROR(__xludf.DUMMYFUNCTION("""COMPUTED_VALUE"""),79.2)</f>
        <v/>
      </c>
      <c r="F519" s="2">
        <f>IFERROR(__xludf.DUMMYFUNCTION("""COMPUTED_VALUE"""),77.0)</f>
        <v/>
      </c>
      <c r="G519" s="2">
        <f>IFERROR(__xludf.DUMMYFUNCTION("""COMPUTED_VALUE"""),87.0)</f>
        <v/>
      </c>
      <c r="H519" s="2">
        <f>IFERROR(__xludf.DUMMYFUNCTION("""COMPUTED_VALUE"""),100.0)</f>
        <v/>
      </c>
      <c r="I519" s="2">
        <f>IFERROR(__xludf.DUMMYFUNCTION("""COMPUTED_VALUE"""),116.0)</f>
        <v/>
      </c>
      <c r="J519" s="2">
        <f>IFERROR(__xludf.DUMMYFUNCTION("""COMPUTED_VALUE"""),58.0)</f>
        <v/>
      </c>
      <c r="K519" s="2">
        <f>IFERROR(__xludf.DUMMYFUNCTION("""COMPUTED_VALUE"""),6.0)</f>
        <v/>
      </c>
      <c r="L519" s="2">
        <f>IFERROR(__xludf.DUMMYFUNCTION("""COMPUTED_VALUE"""),"Лампа светодиодная LED-A60 DECO")</f>
        <v/>
      </c>
      <c r="M519" s="2">
        <f>IFERROR(__xludf.DUMMYFUNCTION("""COMPUTED_VALUE"""),"Лампы")</f>
        <v/>
      </c>
    </row>
    <row r="520">
      <c r="A520" s="5">
        <f>IFERROR(__xludf.DUMMYFUNCTION("""COMPUTED_VALUE"""),"GL5131")</f>
        <v/>
      </c>
      <c r="B520" s="5">
        <f>IFERROR(__xludf.DUMMYFUNCTION("""COMPUTED_VALUE"""),"GLERIO Practical 64 Вт 5000K 6A-64D-5K")</f>
        <v/>
      </c>
      <c r="C520" s="2">
        <f>IFERROR(__xludf.DUMMYFUNCTION("""COMPUTED_VALUE"""),1.2)</f>
        <v/>
      </c>
      <c r="D520" s="2">
        <f>IFERROR(__xludf.DUMMYFUNCTION("""COMPUTED_VALUE"""),0.004200000000000001)</f>
        <v/>
      </c>
      <c r="E520" s="2">
        <f>IFERROR(__xludf.DUMMYFUNCTION("""COMPUTED_VALUE"""),2160.0)</f>
        <v/>
      </c>
      <c r="F520" s="2">
        <f>IFERROR(__xludf.DUMMYFUNCTION("""COMPUTED_VALUE"""),2400.0)</f>
        <v/>
      </c>
      <c r="G520" s="2">
        <f>IFERROR(__xludf.DUMMYFUNCTION("""COMPUTED_VALUE"""),3000.0)</f>
        <v/>
      </c>
      <c r="H520" s="2">
        <f>IFERROR(__xludf.DUMMYFUNCTION("""COMPUTED_VALUE"""),3375.0)</f>
        <v/>
      </c>
      <c r="I520" s="2">
        <f>IFERROR(__xludf.DUMMYFUNCTION("""COMPUTED_VALUE"""),3750.0)</f>
        <v/>
      </c>
      <c r="J520" s="2">
        <f>IFERROR(__xludf.DUMMYFUNCTION("""COMPUTED_VALUE"""),1875.0)</f>
        <v/>
      </c>
      <c r="K520" s="2">
        <f>IFERROR(__xludf.DUMMYFUNCTION("""COMPUTED_VALUE"""),1.0)</f>
        <v/>
      </c>
      <c r="L520" s="2">
        <f>IFERROR(__xludf.DUMMYFUNCTION("""COMPUTED_VALUE"""),"Practical Уличные GLERIO до 10.2025")</f>
        <v/>
      </c>
      <c r="M520" s="2">
        <f>IFERROR(__xludf.DUMMYFUNCTION("""COMPUTED_VALUE"""),"Для обычных дорог, LED Светильники")</f>
        <v/>
      </c>
    </row>
    <row r="521">
      <c r="A521" s="5">
        <f>IFERROR(__xludf.DUMMYFUNCTION("""COMPUTED_VALUE"""),"4690612042336-1")</f>
        <v/>
      </c>
      <c r="B521" s="5">
        <f>IFERROR(__xludf.DUMMYFUNCTION("""COMPUTED_VALUE"""),"ДВО-01 4065-ОПАЛ 40Вт 230В 6500К 3600Лм 180х1195х25мм NEOX (в индивидуальной упаковке)")</f>
        <v/>
      </c>
      <c r="C521" s="2">
        <f>IFERROR(__xludf.DUMMYFUNCTION("""COMPUTED_VALUE"""),0.0)</f>
        <v/>
      </c>
      <c r="D521" s="2">
        <f>IFERROR(__xludf.DUMMYFUNCTION("""COMPUTED_VALUE"""),0.0)</f>
        <v/>
      </c>
      <c r="E521" s="2">
        <f>IFERROR(__xludf.DUMMYFUNCTION("""COMPUTED_VALUE"""),809.97)</f>
        <v/>
      </c>
      <c r="F521" s="2">
        <f>IFERROR(__xludf.DUMMYFUNCTION("""COMPUTED_VALUE"""),889.0)</f>
        <v/>
      </c>
      <c r="G521" s="2">
        <f>IFERROR(__xludf.DUMMYFUNCTION("""COMPUTED_VALUE"""),1037.0)</f>
        <v/>
      </c>
      <c r="H521" s="2">
        <f>IFERROR(__xludf.DUMMYFUNCTION("""COMPUTED_VALUE"""),1166.0)</f>
        <v/>
      </c>
      <c r="I521" s="2">
        <f>IFERROR(__xludf.DUMMYFUNCTION("""COMPUTED_VALUE"""),1296.0)</f>
        <v/>
      </c>
      <c r="J521" s="2">
        <f>IFERROR(__xludf.DUMMYFUNCTION("""COMPUTED_VALUE"""),648.0)</f>
        <v/>
      </c>
      <c r="K521" s="2">
        <f>IFERROR(__xludf.DUMMYFUNCTION("""COMPUTED_VALUE"""),27.0)</f>
        <v/>
      </c>
      <c r="L521" s="2">
        <f>IFERROR(__xludf.DUMMYFUNCTION("""COMPUTED_VALUE"""),"NEOX Светильники LED ДВО - Опал производство, упаковка")</f>
        <v/>
      </c>
      <c r="M521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/>
      </c>
    </row>
    <row r="522">
      <c r="A522" s="5">
        <f>IFERROR(__xludf.DUMMYFUNCTION("""COMPUTED_VALUE"""),"4690612052984-2")</f>
        <v/>
      </c>
      <c r="B522" s="5">
        <f>IFERROR(__xludf.DUMMYFUNCTION("""COMPUTED_VALUE"""),"ДВО-02 7565-ПРИЗМА 75Вт 6500К 595х595х19 NEOX (2 шт в упак.)")</f>
        <v/>
      </c>
      <c r="C522" s="2">
        <f>IFERROR(__xludf.DUMMYFUNCTION("""COMPUTED_VALUE"""),1.35)</f>
        <v/>
      </c>
      <c r="D522" s="2">
        <f>IFERROR(__xludf.DUMMYFUNCTION("""COMPUTED_VALUE"""),0.0)</f>
        <v/>
      </c>
      <c r="E522" s="2">
        <f>IFERROR(__xludf.DUMMYFUNCTION("""COMPUTED_VALUE"""),1611.58)</f>
        <v/>
      </c>
      <c r="F522" s="2">
        <f>IFERROR(__xludf.DUMMYFUNCTION("""COMPUTED_VALUE"""),1768.0)</f>
        <v/>
      </c>
      <c r="G522" s="2">
        <f>IFERROR(__xludf.DUMMYFUNCTION("""COMPUTED_VALUE"""),2063.0)</f>
        <v/>
      </c>
      <c r="H522" s="2">
        <f>IFERROR(__xludf.DUMMYFUNCTION("""COMPUTED_VALUE"""),2321.0)</f>
        <v/>
      </c>
      <c r="I522" s="2">
        <f>IFERROR(__xludf.DUMMYFUNCTION("""COMPUTED_VALUE"""),2579.0)</f>
        <v/>
      </c>
      <c r="J522" s="2">
        <f>IFERROR(__xludf.DUMMYFUNCTION("""COMPUTED_VALUE"""),1290.0)</f>
        <v/>
      </c>
      <c r="K522" s="2">
        <f>IFERROR(__xludf.DUMMYFUNCTION("""COMPUTED_VALUE"""),1.0)</f>
        <v/>
      </c>
      <c r="L522" s="2">
        <f>IFERROR(__xludf.DUMMYFUNCTION("""COMPUTED_VALUE"""),"NEOX Светильники LED ДВО - Призма производство, упаковка")</f>
        <v/>
      </c>
      <c r="M522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523">
      <c r="A523" s="5">
        <f>IFERROR(__xludf.DUMMYFUNCTION("""COMPUTED_VALUE"""),"4690626040342")</f>
        <v/>
      </c>
      <c r="B523" s="5">
        <f>IFERROR(__xludf.DUMMYFUNCTION("""COMPUTED_VALUE"""),"SBF-500S")</f>
        <v/>
      </c>
      <c r="C523" s="2">
        <f>IFERROR(__xludf.DUMMYFUNCTION("""COMPUTED_VALUE"""),0.525)</f>
        <v/>
      </c>
      <c r="D523" s="2">
        <f>IFERROR(__xludf.DUMMYFUNCTION("""COMPUTED_VALUE"""),2.0E-5)</f>
        <v/>
      </c>
      <c r="E523" s="2">
        <f>IFERROR(__xludf.DUMMYFUNCTION("""COMPUTED_VALUE"""),282.87)</f>
        <v/>
      </c>
      <c r="F523" s="2">
        <f>IFERROR(__xludf.DUMMYFUNCTION("""COMPUTED_VALUE"""),296.0)</f>
        <v/>
      </c>
      <c r="G523" s="2">
        <f>IFERROR(__xludf.DUMMYFUNCTION("""COMPUTED_VALUE"""),325.0)</f>
        <v/>
      </c>
      <c r="H523" s="2">
        <f>IFERROR(__xludf.DUMMYFUNCTION("""COMPUTED_VALUE"""),361.0)</f>
        <v/>
      </c>
      <c r="I523" s="2">
        <f>IFERROR(__xludf.DUMMYFUNCTION("""COMPUTED_VALUE"""),397.0)</f>
        <v/>
      </c>
      <c r="J523" s="2">
        <f>IFERROR(__xludf.DUMMYFUNCTION("""COMPUTED_VALUE"""),199.0)</f>
        <v/>
      </c>
      <c r="K523" s="2">
        <f>IFERROR(__xludf.DUMMYFUNCTION("""COMPUTED_VALUE"""),1.0)</f>
        <v/>
      </c>
      <c r="L523" s="2">
        <f>IFERROR(__xludf.DUMMYFUNCTION("""COMPUTED_VALUE"""),"Smartbuy фонари")</f>
        <v/>
      </c>
      <c r="M523" s="2">
        <f>IFERROR(__xludf.DUMMYFUNCTION("""COMPUTED_VALUE"""),"Прочие товары")</f>
        <v/>
      </c>
    </row>
    <row r="524">
      <c r="A524" s="5">
        <f>IFERROR(__xludf.DUMMYFUNCTION("""COMPUTED_VALUE"""),"4690612031224")</f>
        <v/>
      </c>
      <c r="B524" s="5">
        <f>IFERROR(__xludf.DUMMYFUNCTION("""COMPUTED_VALUE"""),"ЭПРА-36-SLIM 36Вт ЕМС")</f>
        <v/>
      </c>
      <c r="C524" s="2">
        <f>IFERROR(__xludf.DUMMYFUNCTION("""COMPUTED_VALUE"""),0.084)</f>
        <v/>
      </c>
      <c r="D524" s="2">
        <f>IFERROR(__xludf.DUMMYFUNCTION("""COMPUTED_VALUE"""),3.8E-4)</f>
        <v/>
      </c>
      <c r="E524" s="2">
        <f>IFERROR(__xludf.DUMMYFUNCTION("""COMPUTED_VALUE"""),202.76)</f>
        <v/>
      </c>
      <c r="F524" s="2">
        <f>IFERROR(__xludf.DUMMYFUNCTION("""COMPUTED_VALUE"""),233.0)</f>
        <v/>
      </c>
      <c r="G524" s="2">
        <f>IFERROR(__xludf.DUMMYFUNCTION("""COMPUTED_VALUE"""),263.0)</f>
        <v/>
      </c>
      <c r="H524" s="2">
        <f>IFERROR(__xludf.DUMMYFUNCTION("""COMPUTED_VALUE"""),305.0)</f>
        <v/>
      </c>
      <c r="I524" s="2">
        <f>IFERROR(__xludf.DUMMYFUNCTION("""COMPUTED_VALUE"""),350.0)</f>
        <v/>
      </c>
      <c r="J524" s="2">
        <f>IFERROR(__xludf.DUMMYFUNCTION("""COMPUTED_VALUE"""),175.0)</f>
        <v/>
      </c>
      <c r="K524" s="2">
        <f>IFERROR(__xludf.DUMMYFUNCTION("""COMPUTED_VALUE"""),21.0)</f>
        <v/>
      </c>
      <c r="L524" s="2">
        <f>IFERROR(__xludf.DUMMYFUNCTION("""COMPUTED_VALUE"""),"ASD ЭПРА")</f>
        <v/>
      </c>
      <c r="M524" s="2">
        <f>IFERROR(__xludf.DUMMYFUNCTION("""COMPUTED_VALUE"""),"Прочие товары")</f>
        <v/>
      </c>
    </row>
    <row r="525">
      <c r="A525" s="5">
        <f>IFERROR(__xludf.DUMMYFUNCTION("""COMPUTED_VALUE"""),"4690612033693")</f>
        <v/>
      </c>
      <c r="B525" s="5">
        <f>IFERROR(__xludf.DUMMYFUNCTION("""COMPUTED_VALUE"""),"DECO 24Вт 230В 6500К 1560Лм 300х55мм ДАЙМОНД IN HOME")</f>
        <v/>
      </c>
      <c r="C525" s="2">
        <f>IFERROR(__xludf.DUMMYFUNCTION("""COMPUTED_VALUE"""),0.4400000000000001)</f>
        <v/>
      </c>
      <c r="D525" s="2">
        <f>IFERROR(__xludf.DUMMYFUNCTION("""COMPUTED_VALUE"""),0.007)</f>
        <v/>
      </c>
      <c r="E525" s="2">
        <f>IFERROR(__xludf.DUMMYFUNCTION("""COMPUTED_VALUE"""),382.03)</f>
        <v/>
      </c>
      <c r="F525" s="2">
        <f>IFERROR(__xludf.DUMMYFUNCTION("""COMPUTED_VALUE"""),473.0)</f>
        <v/>
      </c>
      <c r="G525" s="2">
        <f>IFERROR(__xludf.DUMMYFUNCTION("""COMPUTED_VALUE"""),533.0)</f>
        <v/>
      </c>
      <c r="H525" s="2">
        <f>IFERROR(__xludf.DUMMYFUNCTION("""COMPUTED_VALUE"""),618.0)</f>
        <v/>
      </c>
      <c r="I525" s="2">
        <f>IFERROR(__xludf.DUMMYFUNCTION("""COMPUTED_VALUE"""),710.0)</f>
        <v/>
      </c>
      <c r="J525" s="2">
        <f>IFERROR(__xludf.DUMMYFUNCTION("""COMPUTED_VALUE"""),355.0)</f>
        <v/>
      </c>
      <c r="K525" s="2">
        <f>IFERROR(__xludf.DUMMYFUNCTION("""COMPUTED_VALUE"""),32.0)</f>
        <v/>
      </c>
      <c r="L525" s="2">
        <f>IFERROR(__xludf.DUMMYFUNCTION("""COMPUTED_VALUE"""),"Светильник светодиодный серии DECO")</f>
        <v/>
      </c>
      <c r="M525" s="2">
        <f>IFERROR(__xludf.DUMMYFUNCTION("""COMPUTED_VALUE"""),"Накладные, Декоративные, LED Светильники")</f>
        <v/>
      </c>
    </row>
    <row r="526">
      <c r="A526" s="5">
        <f>IFERROR(__xludf.DUMMYFUNCTION("""COMPUTED_VALUE"""),"Fefco/0201-7")</f>
        <v/>
      </c>
      <c r="B526" s="5">
        <f>IFERROR(__xludf.DUMMYFUNCTION("""COMPUTED_VALUE"""),"Короб 1220х540х330 (картон Т-24 ""В"" бурый)")</f>
        <v/>
      </c>
      <c r="C526" s="2">
        <f>IFERROR(__xludf.DUMMYFUNCTION("""COMPUTED_VALUE"""),0.0)</f>
        <v/>
      </c>
      <c r="D526" s="2">
        <f>IFERROR(__xludf.DUMMYFUNCTION("""COMPUTED_VALUE"""),0.0)</f>
        <v/>
      </c>
      <c r="E526" s="2">
        <f>IFERROR(__xludf.DUMMYFUNCTION("""COMPUTED_VALUE"""),307.8)</f>
        <v/>
      </c>
      <c r="F526" s="2">
        <f>IFERROR(__xludf.DUMMYFUNCTION("""COMPUTED_VALUE"""),1.0)</f>
        <v/>
      </c>
      <c r="G526" s="2">
        <f>IFERROR(__xludf.DUMMYFUNCTION("""COMPUTED_VALUE"""),1.0)</f>
        <v/>
      </c>
      <c r="H526" s="2">
        <f>IFERROR(__xludf.DUMMYFUNCTION("""COMPUTED_VALUE"""),1.0)</f>
        <v/>
      </c>
      <c r="I526" s="2">
        <f>IFERROR(__xludf.DUMMYFUNCTION("""COMPUTED_VALUE"""),1.5)</f>
        <v/>
      </c>
      <c r="J526" s="2">
        <f>IFERROR(__xludf.DUMMYFUNCTION("""COMPUTED_VALUE"""),1.5)</f>
        <v/>
      </c>
      <c r="K526" s="2">
        <f>IFERROR(__xludf.DUMMYFUNCTION("""COMPUTED_VALUE"""),1.0)</f>
        <v/>
      </c>
      <c r="L526" s="2">
        <f>IFERROR(__xludf.DUMMYFUNCTION("""COMPUTED_VALUE"""),"Упаковка")</f>
        <v/>
      </c>
      <c r="M526" s="2">
        <f>IFERROR(__xludf.DUMMYFUNCTION("""COMPUTED_VALUE"""),"Прочие товары")</f>
        <v/>
      </c>
    </row>
    <row r="527">
      <c r="A527" s="5">
        <f>IFERROR(__xludf.DUMMYFUNCTION("""COMPUTED_VALUE"""),"GL51201")</f>
        <v/>
      </c>
      <c r="B527" s="5">
        <f>IFERROR(__xludf.DUMMYFUNCTION("""COMPUTED_VALUE"""),"GLERIO Practical 48 Вт 5000К 6A-48D-5U+")</f>
        <v/>
      </c>
      <c r="C527" s="2">
        <f>IFERROR(__xludf.DUMMYFUNCTION("""COMPUTED_VALUE"""),1.0)</f>
        <v/>
      </c>
      <c r="D527" s="2">
        <f>IFERROR(__xludf.DUMMYFUNCTION("""COMPUTED_VALUE"""),0.00281)</f>
        <v/>
      </c>
      <c r="E527" s="2">
        <f>IFERROR(__xludf.DUMMYFUNCTION("""COMPUTED_VALUE"""),1746.0)</f>
        <v/>
      </c>
      <c r="F527" s="2">
        <f>IFERROR(__xludf.DUMMYFUNCTION("""COMPUTED_VALUE"""),2000.0)</f>
        <v/>
      </c>
      <c r="G527" s="2">
        <f>IFERROR(__xludf.DUMMYFUNCTION("""COMPUTED_VALUE"""),2500.0)</f>
        <v/>
      </c>
      <c r="H527" s="2">
        <f>IFERROR(__xludf.DUMMYFUNCTION("""COMPUTED_VALUE"""),2813.0)</f>
        <v/>
      </c>
      <c r="I527" s="2">
        <f>IFERROR(__xludf.DUMMYFUNCTION("""COMPUTED_VALUE"""),3125.0)</f>
        <v/>
      </c>
      <c r="J527" s="2">
        <f>IFERROR(__xludf.DUMMYFUNCTION("""COMPUTED_VALUE"""),3125.0)</f>
        <v/>
      </c>
      <c r="K527" s="2">
        <f>IFERROR(__xludf.DUMMYFUNCTION("""COMPUTED_VALUE"""),18.0)</f>
        <v/>
      </c>
      <c r="L527" s="2">
        <f>IFERROR(__xludf.DUMMYFUNCTION("""COMPUTED_VALUE"""),"Practical+ Уличные GLERIO")</f>
        <v/>
      </c>
      <c r="M527" s="2">
        <f>IFERROR(__xludf.DUMMYFUNCTION("""COMPUTED_VALUE"""),"Для обычных дорог, LED Светильники")</f>
        <v/>
      </c>
    </row>
    <row r="528">
      <c r="A528" s="5">
        <f>IFERROR(__xludf.DUMMYFUNCTION("""COMPUTED_VALUE"""),"03697")</f>
        <v/>
      </c>
      <c r="B528" s="5">
        <f>IFERROR(__xludf.DUMMYFUNCTION("""COMPUTED_VALUE"""),"TLPL236 ECP")</f>
        <v/>
      </c>
      <c r="C528" s="2">
        <f>IFERROR(__xludf.DUMMYFUNCTION("""COMPUTED_VALUE"""),2.1)</f>
        <v/>
      </c>
      <c r="D528" s="2">
        <f>IFERROR(__xludf.DUMMYFUNCTION("""COMPUTED_VALUE"""),0.01384)</f>
        <v/>
      </c>
      <c r="E528" s="2">
        <f>IFERROR(__xludf.DUMMYFUNCTION("""COMPUTED_VALUE"""),411.02)</f>
        <v/>
      </c>
      <c r="F528" s="2">
        <f>IFERROR(__xludf.DUMMYFUNCTION("""COMPUTED_VALUE"""),561.0)</f>
        <v/>
      </c>
      <c r="G528" s="2">
        <f>IFERROR(__xludf.DUMMYFUNCTION("""COMPUTED_VALUE"""),633.0)</f>
        <v/>
      </c>
      <c r="H528" s="2">
        <f>IFERROR(__xludf.DUMMYFUNCTION("""COMPUTED_VALUE"""),648.0)</f>
        <v/>
      </c>
      <c r="I528" s="2">
        <f>IFERROR(__xludf.DUMMYFUNCTION("""COMPUTED_VALUE"""),790.0)</f>
        <v/>
      </c>
      <c r="J528" s="2">
        <f>IFERROR(__xludf.DUMMYFUNCTION("""COMPUTED_VALUE"""),395.0)</f>
        <v/>
      </c>
      <c r="K528" s="2">
        <f>IFERROR(__xludf.DUMMYFUNCTION("""COMPUTED_VALUE"""),4.0)</f>
        <v/>
      </c>
      <c r="L528" s="2">
        <f>IFERROR(__xludf.DUMMYFUNCTION("""COMPUTED_VALUE"""),"Технолюкс Ламповые TLPL (IP20)")</f>
        <v/>
      </c>
      <c r="M528" s="2">
        <f>IFERROR(__xludf.DUMMYFUNCTION("""COMPUTED_VALUE"""),"Ламповые светильники")</f>
        <v/>
      </c>
    </row>
    <row r="529">
      <c r="A529" s="5">
        <f>IFERROR(__xludf.DUMMYFUNCTION("""COMPUTED_VALUE"""),"ves2014")</f>
        <v/>
      </c>
      <c r="B529" s="5">
        <f>IFERROR(__xludf.DUMMYFUNCTION("""COMPUTED_VALUE"""),"Вилка переносная 024 3Р+РЕ 32А 380В IP44")</f>
        <v/>
      </c>
      <c r="C529" s="2">
        <f>IFERROR(__xludf.DUMMYFUNCTION("""COMPUTED_VALUE"""),0.0)</f>
        <v/>
      </c>
      <c r="D529" s="2">
        <f>IFERROR(__xludf.DUMMYFUNCTION("""COMPUTED_VALUE"""),0.0)</f>
        <v/>
      </c>
      <c r="E529" s="2">
        <f>IFERROR(__xludf.DUMMYFUNCTION("""COMPUTED_VALUE"""),197.74)</f>
        <v/>
      </c>
      <c r="F529" s="2">
        <f>IFERROR(__xludf.DUMMYFUNCTION("""COMPUTED_VALUE"""),271.0)</f>
        <v/>
      </c>
      <c r="G529" s="2">
        <f>IFERROR(__xludf.DUMMYFUNCTION("""COMPUTED_VALUE"""),289.0)</f>
        <v/>
      </c>
      <c r="H529" s="2">
        <f>IFERROR(__xludf.DUMMYFUNCTION("""COMPUTED_VALUE"""),325.0)</f>
        <v/>
      </c>
      <c r="I529" s="2">
        <f>IFERROR(__xludf.DUMMYFUNCTION("""COMPUTED_VALUE"""),361.25)</f>
        <v/>
      </c>
      <c r="J529" s="2">
        <f>IFERROR(__xludf.DUMMYFUNCTION("""COMPUTED_VALUE"""),181.0)</f>
        <v/>
      </c>
      <c r="K529" s="2">
        <f>IFERROR(__xludf.DUMMYFUNCTION("""COMPUTED_VALUE"""),4.0)</f>
        <v/>
      </c>
      <c r="L529" s="2">
        <f>IFERROR(__xludf.DUMMYFUNCTION("""COMPUTED_VALUE"""),"ves2 (тендер)")</f>
        <v/>
      </c>
      <c r="M529" s="2">
        <f>IFERROR(__xludf.DUMMYFUNCTION("""COMPUTED_VALUE"""),"Прочие товары")</f>
        <v/>
      </c>
    </row>
    <row r="530">
      <c r="A530" s="5">
        <f>IFERROR(__xludf.DUMMYFUNCTION("""COMPUTED_VALUE"""),"19938")</f>
        <v/>
      </c>
      <c r="B530" s="5">
        <f>IFERROR(__xludf.DUMMYFUNCTION("""COMPUTED_VALUE"""),"TLGR03 CL")</f>
        <v/>
      </c>
      <c r="C530" s="2">
        <f>IFERROR(__xludf.DUMMYFUNCTION("""COMPUTED_VALUE"""),3.15)</f>
        <v/>
      </c>
      <c r="D530" s="2">
        <f>IFERROR(__xludf.DUMMYFUNCTION("""COMPUTED_VALUE"""),0.03488)</f>
        <v/>
      </c>
      <c r="E530" s="2">
        <f>IFERROR(__xludf.DUMMYFUNCTION("""COMPUTED_VALUE"""),1400.0)</f>
        <v/>
      </c>
      <c r="F530" s="2">
        <f>IFERROR(__xludf.DUMMYFUNCTION("""COMPUTED_VALUE"""),1910.0)</f>
        <v/>
      </c>
      <c r="G530" s="2">
        <f>IFERROR(__xludf.DUMMYFUNCTION("""COMPUTED_VALUE"""),2157.0)</f>
        <v/>
      </c>
      <c r="H530" s="2">
        <f>IFERROR(__xludf.DUMMYFUNCTION("""COMPUTED_VALUE"""),2206.0)</f>
        <v/>
      </c>
      <c r="I530" s="2">
        <f>IFERROR(__xludf.DUMMYFUNCTION("""COMPUTED_VALUE"""),2690.0)</f>
        <v/>
      </c>
      <c r="J530" s="2">
        <f>IFERROR(__xludf.DUMMYFUNCTION("""COMPUTED_VALUE"""),1345.0)</f>
        <v/>
      </c>
      <c r="K530" s="2">
        <f>IFERROR(__xludf.DUMMYFUNCTION("""COMPUTED_VALUE"""),1.0)</f>
        <v/>
      </c>
      <c r="L530" s="2">
        <f>IFERROR(__xludf.DUMMYFUNCTION("""COMPUTED_VALUE"""),"Технолюкс Светильники LED TLGR для Грильято и гипсокартона")</f>
        <v/>
      </c>
      <c r="M530" s="2">
        <f>IFERROR(__xludf.DUMMYFUNCTION("""COMPUTED_VALUE"""),"Встраиваемые, LED Светильники")</f>
        <v/>
      </c>
    </row>
    <row r="531">
      <c r="A531" s="5">
        <f>IFERROR(__xludf.DUMMYFUNCTION("""COMPUTED_VALUE"""),"4690612025087")</f>
        <v/>
      </c>
      <c r="B531" s="5">
        <f>IFERROR(__xludf.DUMMYFUNCTION("""COMPUTED_VALUE"""),"DECO 36Вт 230В 6500К 2340Лм 350х55мм ОРИОН IN HOME")</f>
        <v/>
      </c>
      <c r="C531" s="2">
        <f>IFERROR(__xludf.DUMMYFUNCTION("""COMPUTED_VALUE"""),0.5800000000000001)</f>
        <v/>
      </c>
      <c r="D531" s="2">
        <f>IFERROR(__xludf.DUMMYFUNCTION("""COMPUTED_VALUE"""),0.009000000000000001)</f>
        <v/>
      </c>
      <c r="E531" s="2">
        <f>IFERROR(__xludf.DUMMYFUNCTION("""COMPUTED_VALUE"""),572.85)</f>
        <v/>
      </c>
      <c r="F531" s="2">
        <f>IFERROR(__xludf.DUMMYFUNCTION("""COMPUTED_VALUE"""),600.0)</f>
        <v/>
      </c>
      <c r="G531" s="2">
        <f>IFERROR(__xludf.DUMMYFUNCTION("""COMPUTED_VALUE"""),675.0)</f>
        <v/>
      </c>
      <c r="H531" s="2">
        <f>IFERROR(__xludf.DUMMYFUNCTION("""COMPUTED_VALUE"""),783.0)</f>
        <v/>
      </c>
      <c r="I531" s="2">
        <f>IFERROR(__xludf.DUMMYFUNCTION("""COMPUTED_VALUE"""),900.0)</f>
        <v/>
      </c>
      <c r="J531" s="2">
        <f>IFERROR(__xludf.DUMMYFUNCTION("""COMPUTED_VALUE"""),450.0)</f>
        <v/>
      </c>
      <c r="K531" s="2">
        <f>IFERROR(__xludf.DUMMYFUNCTION("""COMPUTED_VALUE"""),1.0)</f>
        <v/>
      </c>
      <c r="L531" s="2">
        <f>IFERROR(__xludf.DUMMYFUNCTION("""COMPUTED_VALUE"""),"Светильник светодиодный серии DECO")</f>
        <v/>
      </c>
      <c r="M531" s="2">
        <f>IFERROR(__xludf.DUMMYFUNCTION("""COMPUTED_VALUE"""),"Накладные, Декоративные, LED Светильники")</f>
        <v/>
      </c>
    </row>
    <row r="532">
      <c r="A532" s="5">
        <f>IFERROR(__xludf.DUMMYFUNCTION("""COMPUTED_VALUE"""),"4690612016573")</f>
        <v/>
      </c>
      <c r="B532" s="5">
        <f>IFERROR(__xludf.DUMMYFUNCTION("""COMPUTED_VALUE"""),"Е27-П-deco подвесной Медь IN HOME")</f>
        <v/>
      </c>
      <c r="C532" s="2">
        <f>IFERROR(__xludf.DUMMYFUNCTION("""COMPUTED_VALUE"""),0.112)</f>
        <v/>
      </c>
      <c r="D532" s="2">
        <f>IFERROR(__xludf.DUMMYFUNCTION("""COMPUTED_VALUE"""),2.8E-4)</f>
        <v/>
      </c>
      <c r="E532" s="2">
        <f>IFERROR(__xludf.DUMMYFUNCTION("""COMPUTED_VALUE"""),144.05)</f>
        <v/>
      </c>
      <c r="F532" s="2">
        <f>IFERROR(__xludf.DUMMYFUNCTION("""COMPUTED_VALUE"""),165.0)</f>
        <v/>
      </c>
      <c r="G532" s="2">
        <f>IFERROR(__xludf.DUMMYFUNCTION("""COMPUTED_VALUE"""),186.0)</f>
        <v/>
      </c>
      <c r="H532" s="2">
        <f>IFERROR(__xludf.DUMMYFUNCTION("""COMPUTED_VALUE"""),216.0)</f>
        <v/>
      </c>
      <c r="I532" s="2">
        <f>IFERROR(__xludf.DUMMYFUNCTION("""COMPUTED_VALUE"""),248.0)</f>
        <v/>
      </c>
      <c r="J532" s="2">
        <f>IFERROR(__xludf.DUMMYFUNCTION("""COMPUTED_VALUE"""),124.0)</f>
        <v/>
      </c>
      <c r="K532" s="2">
        <f>IFERROR(__xludf.DUMMYFUNCTION("""COMPUTED_VALUE"""),2.0)</f>
        <v/>
      </c>
      <c r="L532" s="2">
        <f>IFERROR(__xludf.DUMMYFUNCTION("""COMPUTED_VALUE"""),"ASD электромонтажные изделия")</f>
        <v/>
      </c>
      <c r="M532" s="2">
        <f>IFERROR(__xludf.DUMMYFUNCTION("""COMPUTED_VALUE"""),"Прочие товары")</f>
        <v/>
      </c>
    </row>
    <row r="533">
      <c r="A533" s="5">
        <f>IFERROR(__xludf.DUMMYFUNCTION("""COMPUTED_VALUE"""),"4690612020433")</f>
        <v/>
      </c>
      <c r="B533" s="5">
        <f>IFERROR(__xludf.DUMMYFUNCTION("""COMPUTED_VALUE"""),"LED-СВЕЧА-VC 8Вт 230В Е14 4000К 760Лм IN HOME")</f>
        <v/>
      </c>
      <c r="C533" s="2">
        <f>IFERROR(__xludf.DUMMYFUNCTION("""COMPUTED_VALUE"""),0.028)</f>
        <v/>
      </c>
      <c r="D533" s="2">
        <f>IFERROR(__xludf.DUMMYFUNCTION("""COMPUTED_VALUE"""),1.9E-4)</f>
        <v/>
      </c>
      <c r="E533" s="2">
        <f>IFERROR(__xludf.DUMMYFUNCTION("""COMPUTED_VALUE"""),39.0)</f>
        <v/>
      </c>
      <c r="F533" s="2">
        <f>IFERROR(__xludf.DUMMYFUNCTION("""COMPUTED_VALUE"""),45.0)</f>
        <v/>
      </c>
      <c r="G533" s="2">
        <f>IFERROR(__xludf.DUMMYFUNCTION("""COMPUTED_VALUE"""),50.0)</f>
        <v/>
      </c>
      <c r="H533" s="2">
        <f>IFERROR(__xludf.DUMMYFUNCTION("""COMPUTED_VALUE"""),58.0)</f>
        <v/>
      </c>
      <c r="I533" s="2">
        <f>IFERROR(__xludf.DUMMYFUNCTION("""COMPUTED_VALUE"""),67.6)</f>
        <v/>
      </c>
      <c r="J533" s="2">
        <f>IFERROR(__xludf.DUMMYFUNCTION("""COMPUTED_VALUE"""),34.0)</f>
        <v/>
      </c>
      <c r="K533" s="2">
        <f>IFERROR(__xludf.DUMMYFUNCTION("""COMPUTED_VALUE"""),28.0)</f>
        <v/>
      </c>
      <c r="L533" s="2">
        <f>IFERROR(__xludf.DUMMYFUNCTION("""COMPUTED_VALUE"""),"Лампа светодиодная LED-СВЕЧА-standard")</f>
        <v/>
      </c>
      <c r="M533" s="2">
        <f>IFERROR(__xludf.DUMMYFUNCTION("""COMPUTED_VALUE"""),"Лампы")</f>
        <v/>
      </c>
    </row>
    <row r="534">
      <c r="A534" s="5">
        <f>IFERROR(__xludf.DUMMYFUNCTION("""COMPUTED_VALUE"""),"4690612035727")</f>
        <v/>
      </c>
      <c r="B534" s="5">
        <f>IFERROR(__xludf.DUMMYFUNCTION("""COMPUTED_VALUE"""),"COMFORT ASTERA 75Вт 230В 3000-6500K 6000Лм 500x90мм с пультом ДУ IN HOME")</f>
        <v/>
      </c>
      <c r="C534" s="2">
        <f>IFERROR(__xludf.DUMMYFUNCTION("""COMPUTED_VALUE"""),1.54)</f>
        <v/>
      </c>
      <c r="D534" s="2">
        <f>IFERROR(__xludf.DUMMYFUNCTION("""COMPUTED_VALUE"""),0.03)</f>
        <v/>
      </c>
      <c r="E534" s="2">
        <f>IFERROR(__xludf.DUMMYFUNCTION("""COMPUTED_VALUE"""),2431.0)</f>
        <v/>
      </c>
      <c r="F534" s="2">
        <f>IFERROR(__xludf.DUMMYFUNCTION("""COMPUTED_VALUE"""),2431.0)</f>
        <v/>
      </c>
      <c r="G534" s="2">
        <f>IFERROR(__xludf.DUMMYFUNCTION("""COMPUTED_VALUE"""),2735.0)</f>
        <v/>
      </c>
      <c r="H534" s="2">
        <f>IFERROR(__xludf.DUMMYFUNCTION("""COMPUTED_VALUE"""),3173.0)</f>
        <v/>
      </c>
      <c r="I534" s="2">
        <f>IFERROR(__xludf.DUMMYFUNCTION("""COMPUTED_VALUE"""),3647.0)</f>
        <v/>
      </c>
      <c r="J534" s="2">
        <f>IFERROR(__xludf.DUMMYFUNCTION("""COMPUTED_VALUE"""),1824.0)</f>
        <v/>
      </c>
      <c r="K534" s="2">
        <f>IFERROR(__xludf.DUMMYFUNCTION("""COMPUTED_VALUE"""),3.0)</f>
        <v/>
      </c>
      <c r="L534" s="2">
        <f>IFERROR(__xludf.DUMMYFUNCTION("""COMPUTED_VALUE"""),"Светильники светодиодные COMFORT")</f>
        <v/>
      </c>
      <c r="M534" s="2">
        <f>IFERROR(__xludf.DUMMYFUNCTION("""COMPUTED_VALUE"""),"Накладные, Декоративные, LED Светильники")</f>
        <v/>
      </c>
    </row>
    <row r="535">
      <c r="A535" s="5">
        <f>IFERROR(__xludf.DUMMYFUNCTION("""COMPUTED_VALUE"""),"4690612004310")</f>
        <v/>
      </c>
      <c r="B535" s="5">
        <f>IFERROR(__xludf.DUMMYFUNCTION("""COMPUTED_VALUE"""),"RLP-eco 8Вт 230В 4000К 560Лм 120/105мм белая IP40 LLT")</f>
        <v/>
      </c>
      <c r="C535" s="2">
        <f>IFERROR(__xludf.DUMMYFUNCTION("""COMPUTED_VALUE"""),0.103)</f>
        <v/>
      </c>
      <c r="D535" s="2">
        <f>IFERROR(__xludf.DUMMYFUNCTION("""COMPUTED_VALUE"""),8.200000000000001E-4)</f>
        <v/>
      </c>
      <c r="E535" s="2">
        <f>IFERROR(__xludf.DUMMYFUNCTION("""COMPUTED_VALUE"""),110.71)</f>
        <v/>
      </c>
      <c r="F535" s="2">
        <f>IFERROR(__xludf.DUMMYFUNCTION("""COMPUTED_VALUE"""),1.0)</f>
        <v/>
      </c>
      <c r="G535" s="2">
        <f>IFERROR(__xludf.DUMMYFUNCTION("""COMPUTED_VALUE"""),1.0)</f>
        <v/>
      </c>
      <c r="H535" s="2">
        <f>IFERROR(__xludf.DUMMYFUNCTION("""COMPUTED_VALUE"""),1.0)</f>
        <v/>
      </c>
      <c r="I535" s="2">
        <f>IFERROR(__xludf.DUMMYFUNCTION("""COMPUTED_VALUE"""),1.0)</f>
        <v/>
      </c>
      <c r="J535" s="2">
        <f>IFERROR(__xludf.DUMMYFUNCTION("""COMPUTED_VALUE"""),1.0)</f>
        <v/>
      </c>
      <c r="K535" s="2">
        <f>IFERROR(__xludf.DUMMYFUNCTION("""COMPUTED_VALUE"""),1.0)</f>
        <v/>
      </c>
      <c r="L535" s="2">
        <f>IFERROR(__xludf.DUMMYFUNCTION("""COMPUTED_VALUE"""),"Панели светодиодные круглые встраиваемые RLP")</f>
        <v/>
      </c>
      <c r="M535" s="2">
        <f>IFERROR(__xludf.DUMMYFUNCTION("""COMPUTED_VALUE"""),"Точечные круглые Downlight, LED Светильники")</f>
        <v/>
      </c>
    </row>
    <row r="536">
      <c r="A536" s="5">
        <f>IFERROR(__xludf.DUMMYFUNCTION("""COMPUTED_VALUE"""),"12-3212")</f>
        <v/>
      </c>
      <c r="B536" s="5">
        <f>IFERROR(__xludf.DUMMYFUNCTION("""COMPUTED_VALUE"""),"Кримпер для обжима F и BNC разъёмов RG-59, RG-58, RG-62 (ht-301 A) REXANT")</f>
        <v/>
      </c>
      <c r="C536" s="2">
        <f>IFERROR(__xludf.DUMMYFUNCTION("""COMPUTED_VALUE"""),0.0)</f>
        <v/>
      </c>
      <c r="D536" s="2">
        <f>IFERROR(__xludf.DUMMYFUNCTION("""COMPUTED_VALUE"""),0.0)</f>
        <v/>
      </c>
      <c r="E536" s="2">
        <f>IFERROR(__xludf.DUMMYFUNCTION("""COMPUTED_VALUE"""),1.0)</f>
        <v/>
      </c>
      <c r="F536" s="2">
        <f>IFERROR(__xludf.DUMMYFUNCTION("""COMPUTED_VALUE"""),1645.0)</f>
        <v/>
      </c>
      <c r="G536" s="2">
        <f>IFERROR(__xludf.DUMMYFUNCTION("""COMPUTED_VALUE"""),1755.0)</f>
        <v/>
      </c>
      <c r="H536" s="2">
        <f>IFERROR(__xludf.DUMMYFUNCTION("""COMPUTED_VALUE"""),1974.0)</f>
        <v/>
      </c>
      <c r="I536" s="2">
        <f>IFERROR(__xludf.DUMMYFUNCTION("""COMPUTED_VALUE"""),2193.68)</f>
        <v/>
      </c>
      <c r="J536" s="2">
        <f>IFERROR(__xludf.DUMMYFUNCTION("""COMPUTED_VALUE"""),1097.0)</f>
        <v/>
      </c>
      <c r="K536" s="2">
        <f>IFERROR(__xludf.DUMMYFUNCTION("""COMPUTED_VALUE"""),2.0)</f>
        <v/>
      </c>
      <c r="L536" s="2">
        <f>IFERROR(__xludf.DUMMYFUNCTION("""COMPUTED_VALUE"""),"Rexant")</f>
        <v/>
      </c>
      <c r="M536" s="2">
        <f>IFERROR(__xludf.DUMMYFUNCTION("""COMPUTED_VALUE"""),"Прочие товары")</f>
        <v/>
      </c>
    </row>
    <row r="537">
      <c r="A537" s="5">
        <f>IFERROR(__xludf.DUMMYFUNCTION("""COMPUTED_VALUE"""),"4260652193369")</f>
        <v/>
      </c>
      <c r="B537" s="5">
        <f>IFERROR(__xludf.DUMMYFUNCTION("""COMPUTED_VALUE"""),"LCL04-12W-R21-6K-SM")</f>
        <v/>
      </c>
      <c r="C537" s="2">
        <f>IFERROR(__xludf.DUMMYFUNCTION("""COMPUTED_VALUE"""),0.11)</f>
        <v/>
      </c>
      <c r="D537" s="2">
        <f>IFERROR(__xludf.DUMMYFUNCTION("""COMPUTED_VALUE"""),0.0)</f>
        <v/>
      </c>
      <c r="E537" s="2">
        <f>IFERROR(__xludf.DUMMYFUNCTION("""COMPUTED_VALUE"""),322.94)</f>
        <v/>
      </c>
      <c r="F537" s="2">
        <f>IFERROR(__xludf.DUMMYFUNCTION("""COMPUTED_VALUE"""),465.0)</f>
        <v/>
      </c>
      <c r="G537" s="2">
        <f>IFERROR(__xludf.DUMMYFUNCTION("""COMPUTED_VALUE"""),481.0)</f>
        <v/>
      </c>
      <c r="H537" s="2">
        <f>IFERROR(__xludf.DUMMYFUNCTION("""COMPUTED_VALUE"""),630.0)</f>
        <v/>
      </c>
      <c r="I537" s="2">
        <f>IFERROR(__xludf.DUMMYFUNCTION("""COMPUTED_VALUE"""),788.0)</f>
        <v/>
      </c>
      <c r="J537" s="2">
        <f>IFERROR(__xludf.DUMMYFUNCTION("""COMPUTED_VALUE"""),465.0)</f>
        <v/>
      </c>
      <c r="K537" s="2">
        <f>IFERROR(__xludf.DUMMYFUNCTION("""COMPUTED_VALUE"""),38.0)</f>
        <v/>
      </c>
      <c r="L537" s="2">
        <f>IFERROR(__xludf.DUMMYFUNCTION("""COMPUTED_VALUE"""),"Wolta ЖКХ")</f>
        <v/>
      </c>
      <c r="M537" s="2">
        <f>IFERROR(__xludf.DUMMYFUNCTION("""COMPUTED_VALUE"""),"Для ЖКХ, дома, дачи, LED Светильники")</f>
        <v/>
      </c>
    </row>
    <row r="538">
      <c r="A538" s="5">
        <f>IFERROR(__xludf.DUMMYFUNCTION("""COMPUTED_VALUE"""),"4690612031019")</f>
        <v/>
      </c>
      <c r="B538" s="5">
        <f>IFERROR(__xludf.DUMMYFUNCTION("""COMPUTED_VALUE"""),"LED-T8-М-PRO 30Вт 230В G13 4000К 3000Лм 1200мм матовая IN HOME")</f>
        <v/>
      </c>
      <c r="C538" s="2">
        <f>IFERROR(__xludf.DUMMYFUNCTION("""COMPUTED_VALUE"""),0.2)</f>
        <v/>
      </c>
      <c r="D538" s="2">
        <f>IFERROR(__xludf.DUMMYFUNCTION("""COMPUTED_VALUE"""),0.00144)</f>
        <v/>
      </c>
      <c r="E538" s="2">
        <f>IFERROR(__xludf.DUMMYFUNCTION("""COMPUTED_VALUE"""),105.0)</f>
        <v/>
      </c>
      <c r="F538" s="2">
        <f>IFERROR(__xludf.DUMMYFUNCTION("""COMPUTED_VALUE"""),132.0)</f>
        <v/>
      </c>
      <c r="G538" s="2">
        <f>IFERROR(__xludf.DUMMYFUNCTION("""COMPUTED_VALUE"""),149.0)</f>
        <v/>
      </c>
      <c r="H538" s="2">
        <f>IFERROR(__xludf.DUMMYFUNCTION("""COMPUTED_VALUE"""),172.0)</f>
        <v/>
      </c>
      <c r="I538" s="2">
        <f>IFERROR(__xludf.DUMMYFUNCTION("""COMPUTED_VALUE"""),198.5)</f>
        <v/>
      </c>
      <c r="J538" s="2">
        <f>IFERROR(__xludf.DUMMYFUNCTION("""COMPUTED_VALUE"""),99.0)</f>
        <v/>
      </c>
      <c r="K538" s="2">
        <f>IFERROR(__xludf.DUMMYFUNCTION("""COMPUTED_VALUE"""),21.0)</f>
        <v/>
      </c>
      <c r="L538" s="2">
        <f>IFERROR(__xludf.DUMMYFUNCTION("""COMPUTED_VALUE"""),"Лампа светодиодная LED-T8")</f>
        <v/>
      </c>
      <c r="M538" s="2">
        <f>IFERROR(__xludf.DUMMYFUNCTION("""COMPUTED_VALUE"""),"Лампы")</f>
        <v/>
      </c>
    </row>
    <row r="539">
      <c r="A539" s="5">
        <f>IFERROR(__xludf.DUMMYFUNCTION("""COMPUTED_VALUE"""),"V12012")</f>
        <v/>
      </c>
      <c r="B539" s="5">
        <f>IFERROR(__xludf.DUMMYFUNCTION("""COMPUTED_VALUE"""),"VRN-LME136X78-89-A50K67-K, 89Вт, Консольный")</f>
        <v/>
      </c>
      <c r="C539" s="2">
        <f>IFERROR(__xludf.DUMMYFUNCTION("""COMPUTED_VALUE"""),2.65)</f>
        <v/>
      </c>
      <c r="D539" s="2">
        <f>IFERROR(__xludf.DUMMYFUNCTION("""COMPUTED_VALUE"""),0.0115)</f>
        <v/>
      </c>
      <c r="E539" s="2">
        <f>IFERROR(__xludf.DUMMYFUNCTION("""COMPUTED_VALUE"""),5100.0)</f>
        <v/>
      </c>
      <c r="F539" s="2">
        <f>IFERROR(__xludf.DUMMYFUNCTION("""COMPUTED_VALUE"""),5720.0)</f>
        <v/>
      </c>
      <c r="G539" s="2">
        <f>IFERROR(__xludf.DUMMYFUNCTION("""COMPUTED_VALUE"""),7436.0)</f>
        <v/>
      </c>
      <c r="H539" s="2">
        <f>IFERROR(__xludf.DUMMYFUNCTION("""COMPUTED_VALUE"""),7808.0)</f>
        <v/>
      </c>
      <c r="I539" s="2">
        <f>IFERROR(__xludf.DUMMYFUNCTION("""COMPUTED_VALUE"""),8180.0)</f>
        <v/>
      </c>
      <c r="J539" s="2">
        <f>IFERROR(__xludf.DUMMYFUNCTION("""COMPUTED_VALUE"""),4090.0)</f>
        <v/>
      </c>
      <c r="K539" s="2">
        <f>IFERROR(__xludf.DUMMYFUNCTION("""COMPUTED_VALUE"""),1.0)</f>
        <v/>
      </c>
      <c r="L539" s="2">
        <f>IFERROR(__xludf.DUMMYFUNCTION("""COMPUTED_VALUE"""),"Магистраль Эконом")</f>
        <v/>
      </c>
      <c r="M539" s="2">
        <f>IFERROR(__xludf.DUMMYFUNCTION("""COMPUTED_VALUE"""),"Для автомагистралей, LED Светильники")</f>
        <v/>
      </c>
    </row>
    <row r="540">
      <c r="A540" s="5">
        <f>IFERROR(__xludf.DUMMYFUNCTION("""COMPUTED_VALUE"""),"sra058")</f>
        <v/>
      </c>
      <c r="B540" s="5">
        <f>IFERROR(__xludf.DUMMYFUNCTION("""COMPUTED_VALUE"""),"Лампасветодиодная ЛСО")</f>
        <v/>
      </c>
      <c r="C540" s="2">
        <f>IFERROR(__xludf.DUMMYFUNCTION("""COMPUTED_VALUE"""),0.0)</f>
        <v/>
      </c>
      <c r="D540" s="2">
        <f>IFERROR(__xludf.DUMMYFUNCTION("""COMPUTED_VALUE"""),0.0)</f>
        <v/>
      </c>
      <c r="E540" s="2">
        <f>IFERROR(__xludf.DUMMYFUNCTION("""COMPUTED_VALUE"""),293.71)</f>
        <v/>
      </c>
      <c r="F540" s="2">
        <f>IFERROR(__xludf.DUMMYFUNCTION("""COMPUTED_VALUE"""),91.0)</f>
        <v/>
      </c>
      <c r="G540" s="2">
        <f>IFERROR(__xludf.DUMMYFUNCTION("""COMPUTED_VALUE"""),97.0)</f>
        <v/>
      </c>
      <c r="H540" s="2">
        <f>IFERROR(__xludf.DUMMYFUNCTION("""COMPUTED_VALUE"""),109.0)</f>
        <v/>
      </c>
      <c r="I540" s="2">
        <f>IFERROR(__xludf.DUMMYFUNCTION("""COMPUTED_VALUE"""),121.2)</f>
        <v/>
      </c>
      <c r="J540" s="2">
        <f>IFERROR(__xludf.DUMMYFUNCTION("""COMPUTED_VALUE"""),61.0)</f>
        <v/>
      </c>
      <c r="K540" s="2">
        <f>IFERROR(__xludf.DUMMYFUNCTION("""COMPUTED_VALUE"""),15.0)</f>
        <v/>
      </c>
      <c r="L540" s="2">
        <f>IFERROR(__xludf.DUMMYFUNCTION("""COMPUTED_VALUE"""),"SRA")</f>
        <v/>
      </c>
      <c r="M540" s="2">
        <f>IFERROR(__xludf.DUMMYFUNCTION("""COMPUTED_VALUE"""),"LED Светильники")</f>
        <v/>
      </c>
    </row>
    <row r="541">
      <c r="A541" s="5">
        <f>IFERROR(__xludf.DUMMYFUNCTION("""COMPUTED_VALUE"""),"4690612002309")</f>
        <v/>
      </c>
      <c r="B541" s="5">
        <f>IFERROR(__xludf.DUMMYFUNCTION("""COMPUTED_VALUE"""),"Лампа светодиодная LED-JCDRC-standard 5.5Вт 160-260В GU10 4000К ASD")</f>
        <v/>
      </c>
      <c r="C541" s="2">
        <f>IFERROR(__xludf.DUMMYFUNCTION("""COMPUTED_VALUE"""),0.044)</f>
        <v/>
      </c>
      <c r="D541" s="2">
        <f>IFERROR(__xludf.DUMMYFUNCTION("""COMPUTED_VALUE"""),2.2E-4)</f>
        <v/>
      </c>
      <c r="E541" s="2">
        <f>IFERROR(__xludf.DUMMYFUNCTION("""COMPUTED_VALUE"""),32.83)</f>
        <v/>
      </c>
      <c r="F541" s="2">
        <f>IFERROR(__xludf.DUMMYFUNCTION("""COMPUTED_VALUE"""),33.0)</f>
        <v/>
      </c>
      <c r="G541" s="2">
        <f>IFERROR(__xludf.DUMMYFUNCTION("""COMPUTED_VALUE"""),38.0)</f>
        <v/>
      </c>
      <c r="H541" s="2">
        <f>IFERROR(__xludf.DUMMYFUNCTION("""COMPUTED_VALUE"""),44.0)</f>
        <v/>
      </c>
      <c r="I541" s="2">
        <f>IFERROR(__xludf.DUMMYFUNCTION("""COMPUTED_VALUE"""),50.5)</f>
        <v/>
      </c>
      <c r="J541" s="2">
        <f>IFERROR(__xludf.DUMMYFUNCTION("""COMPUTED_VALUE"""),25.0)</f>
        <v/>
      </c>
      <c r="K541" s="2">
        <f>IFERROR(__xludf.DUMMYFUNCTION("""COMPUTED_VALUE"""),1.0)</f>
        <v/>
      </c>
      <c r="L541" s="2">
        <f>IFERROR(__xludf.DUMMYFUNCTION("""COMPUTED_VALUE"""),"Лампа светодиодная LED-JCDRC-standard")</f>
        <v/>
      </c>
      <c r="M541" s="2">
        <f>IFERROR(__xludf.DUMMYFUNCTION("""COMPUTED_VALUE"""),"Лампы")</f>
        <v/>
      </c>
    </row>
    <row r="542">
      <c r="A542" s="5">
        <f>IFERROR(__xludf.DUMMYFUNCTION("""COMPUTED_VALUE"""),"4690626045989")</f>
        <v/>
      </c>
      <c r="B542" s="5">
        <f>IFERROR(__xludf.DUMMYFUNCTION("""COMPUTED_VALUE"""),"Инфракрасный датчик движения для цоколя E27, 1200Вт, до 6м, IP44 (sbl-ms-010)")</f>
        <v/>
      </c>
      <c r="C542" s="2">
        <f>IFERROR(__xludf.DUMMYFUNCTION("""COMPUTED_VALUE"""),0.0)</f>
        <v/>
      </c>
      <c r="D542" s="2">
        <f>IFERROR(__xludf.DUMMYFUNCTION("""COMPUTED_VALUE"""),0.0)</f>
        <v/>
      </c>
      <c r="E542" s="2">
        <f>IFERROR(__xludf.DUMMYFUNCTION("""COMPUTED_VALUE"""),434.63)</f>
        <v/>
      </c>
      <c r="F542" s="2">
        <f>IFERROR(__xludf.DUMMYFUNCTION("""COMPUTED_VALUE"""),475.0)</f>
        <v/>
      </c>
      <c r="G542" s="2">
        <f>IFERROR(__xludf.DUMMYFUNCTION("""COMPUTED_VALUE"""),522.0)</f>
        <v/>
      </c>
      <c r="H542" s="2">
        <f>IFERROR(__xludf.DUMMYFUNCTION("""COMPUTED_VALUE"""),580.0)</f>
        <v/>
      </c>
      <c r="I542" s="2">
        <f>IFERROR(__xludf.DUMMYFUNCTION("""COMPUTED_VALUE"""),637.0)</f>
        <v/>
      </c>
      <c r="J542" s="2">
        <f>IFERROR(__xludf.DUMMYFUNCTION("""COMPUTED_VALUE"""),319.0)</f>
        <v/>
      </c>
      <c r="K542" s="2">
        <f>IFERROR(__xludf.DUMMYFUNCTION("""COMPUTED_VALUE"""),4.0)</f>
        <v/>
      </c>
      <c r="L542" s="2">
        <f>IFERROR(__xludf.DUMMYFUNCTION("""COMPUTED_VALUE"""),"Smartbuy")</f>
        <v/>
      </c>
      <c r="M542" s="2">
        <f>IFERROR(__xludf.DUMMYFUNCTION("""COMPUTED_VALUE"""),"Прочие товары")</f>
        <v/>
      </c>
    </row>
    <row r="543">
      <c r="A543" s="5">
        <f>IFERROR(__xludf.DUMMYFUNCTION("""COMPUTED_VALUE"""),"14690612057290")</f>
        <v/>
      </c>
      <c r="B543" s="5">
        <f>IFERROR(__xludf.DUMMYFUNCTION("""COMPUTED_VALUE"""),"ДВО-PRO 5040-ОПАЛ 50Вт 4000К 120лм/Вт CRI80 IP40 595х595х30мм NEOX (4 шт в упак.)")</f>
        <v/>
      </c>
      <c r="C543" s="2">
        <f>IFERROR(__xludf.DUMMYFUNCTION("""COMPUTED_VALUE"""),0.0)</f>
        <v/>
      </c>
      <c r="D543" s="2">
        <f>IFERROR(__xludf.DUMMYFUNCTION("""COMPUTED_VALUE"""),0.0)</f>
        <v/>
      </c>
      <c r="E543" s="2">
        <f>IFERROR(__xludf.DUMMYFUNCTION("""COMPUTED_VALUE"""),3192.0)</f>
        <v/>
      </c>
      <c r="F543" s="2">
        <f>IFERROR(__xludf.DUMMYFUNCTION("""COMPUTED_VALUE"""),3502.0)</f>
        <v/>
      </c>
      <c r="G543" s="2">
        <f>IFERROR(__xludf.DUMMYFUNCTION("""COMPUTED_VALUE"""),4086.0)</f>
        <v/>
      </c>
      <c r="H543" s="2">
        <f>IFERROR(__xludf.DUMMYFUNCTION("""COMPUTED_VALUE"""),4596.0)</f>
        <v/>
      </c>
      <c r="I543" s="2">
        <f>IFERROR(__xludf.DUMMYFUNCTION("""COMPUTED_VALUE"""),5107.0)</f>
        <v/>
      </c>
      <c r="J543" s="2">
        <f>IFERROR(__xludf.DUMMYFUNCTION("""COMPUTED_VALUE"""),2554.0)</f>
        <v/>
      </c>
      <c r="K543" s="2">
        <f>IFERROR(__xludf.DUMMYFUNCTION("""COMPUTED_VALUE"""),2.0)</f>
        <v/>
      </c>
      <c r="L543" s="2">
        <f>IFERROR(__xludf.DUMMYFUNCTION("""COMPUTED_VALUE"""),"NEOX Светильники LED ДВО-PRO производство, упаковка")</f>
        <v/>
      </c>
      <c r="M543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544">
      <c r="A544" s="5">
        <f>IFERROR(__xludf.DUMMYFUNCTION("""COMPUTED_VALUE"""),"4690612027142")</f>
        <v/>
      </c>
      <c r="B544" s="5">
        <f>IFERROR(__xludf.DUMMYFUNCTION("""COMPUTED_VALUE"""),"СКУ-02 PRO 125Вт 230В 5000К IP65 LLT")</f>
        <v/>
      </c>
      <c r="C544" s="2">
        <f>IFERROR(__xludf.DUMMYFUNCTION("""COMPUTED_VALUE"""),2.35)</f>
        <v/>
      </c>
      <c r="D544" s="2">
        <f>IFERROR(__xludf.DUMMYFUNCTION("""COMPUTED_VALUE"""),0.013)</f>
        <v/>
      </c>
      <c r="E544" s="2">
        <f>IFERROR(__xludf.DUMMYFUNCTION("""COMPUTED_VALUE"""),2224.4)</f>
        <v/>
      </c>
      <c r="F544" s="2">
        <f>IFERROR(__xludf.DUMMYFUNCTION("""COMPUTED_VALUE"""),2167.0)</f>
        <v/>
      </c>
      <c r="G544" s="2">
        <f>IFERROR(__xludf.DUMMYFUNCTION("""COMPUTED_VALUE"""),2438.0)</f>
        <v/>
      </c>
      <c r="H544" s="2">
        <f>IFERROR(__xludf.DUMMYFUNCTION("""COMPUTED_VALUE"""),2828.0)</f>
        <v/>
      </c>
      <c r="I544" s="2">
        <f>IFERROR(__xludf.DUMMYFUNCTION("""COMPUTED_VALUE"""),3250.0)</f>
        <v/>
      </c>
      <c r="J544" s="2">
        <f>IFERROR(__xludf.DUMMYFUNCTION("""COMPUTED_VALUE"""),1625.0)</f>
        <v/>
      </c>
      <c r="K544" s="2">
        <f>IFERROR(__xludf.DUMMYFUNCTION("""COMPUTED_VALUE"""),1.0)</f>
        <v/>
      </c>
      <c r="L544" s="2">
        <f>IFERROR(__xludf.DUMMYFUNCTION("""COMPUTED_VALUE"""),"Светильники светодиодные уличные СКУ")</f>
        <v/>
      </c>
      <c r="M544" s="2">
        <f>IFERROR(__xludf.DUMMYFUNCTION("""COMPUTED_VALUE"""),"Для обычных дорог, LED Светильники")</f>
        <v/>
      </c>
    </row>
    <row r="545">
      <c r="A545" s="5">
        <f>IFERROR(__xludf.DUMMYFUNCTION("""COMPUTED_VALUE"""),"GL8220")</f>
        <v/>
      </c>
      <c r="B545" s="5">
        <f>IFERROR(__xludf.DUMMYFUNCTION("""COMPUTED_VALUE"""),"GLERIO Line 24 Вт 4000К 91P-24D-4N-M")</f>
        <v/>
      </c>
      <c r="C545" s="2">
        <f>IFERROR(__xludf.DUMMYFUNCTION("""COMPUTED_VALUE"""),0.5)</f>
        <v/>
      </c>
      <c r="D545" s="2">
        <f>IFERROR(__xludf.DUMMYFUNCTION("""COMPUTED_VALUE"""),0.00396)</f>
        <v/>
      </c>
      <c r="E545" s="2">
        <f>IFERROR(__xludf.DUMMYFUNCTION("""COMPUTED_VALUE"""),1406.0)</f>
        <v/>
      </c>
      <c r="F545" s="2">
        <f>IFERROR(__xludf.DUMMYFUNCTION("""COMPUTED_VALUE"""),1660.0)</f>
        <v/>
      </c>
      <c r="G545" s="2">
        <f>IFERROR(__xludf.DUMMYFUNCTION("""COMPUTED_VALUE"""),2090.0)</f>
        <v/>
      </c>
      <c r="H545" s="2">
        <f>IFERROR(__xludf.DUMMYFUNCTION("""COMPUTED_VALUE"""),2347.0)</f>
        <v/>
      </c>
      <c r="I545" s="2">
        <f>IFERROR(__xludf.DUMMYFUNCTION("""COMPUTED_VALUE"""),2604.0)</f>
        <v/>
      </c>
      <c r="J545" s="2">
        <f>IFERROR(__xludf.DUMMYFUNCTION("""COMPUTED_VALUE"""),2090.0)</f>
        <v/>
      </c>
      <c r="K545" s="2">
        <f>IFERROR(__xludf.DUMMYFUNCTION("""COMPUTED_VALUE"""),45.0)</f>
        <v/>
      </c>
      <c r="L545" s="2">
        <f>IFERROR(__xludf.DUMMYFUNCTION("""COMPUTED_VALUE"""),"Line (Айсберг) до 10.2025")</f>
        <v/>
      </c>
      <c r="M545" s="2">
        <f>IFERROR(__xludf.DUMMYFUNCTION("""COMPUTED_VALUE"""),"Пластиковые (линейные), LED Светильники")</f>
        <v/>
      </c>
    </row>
    <row r="546">
      <c r="A546" s="5">
        <f>IFERROR(__xludf.DUMMYFUNCTION("""COMPUTED_VALUE"""),"4690612020471")</f>
        <v/>
      </c>
      <c r="B546" s="5">
        <f>IFERROR(__xludf.DUMMYFUNCTION("""COMPUTED_VALUE"""),"LED-СВЕЧА-VC 11Вт 230В Е14 4000К 1050Лм IN HOME")</f>
        <v/>
      </c>
      <c r="C546" s="2">
        <f>IFERROR(__xludf.DUMMYFUNCTION("""COMPUTED_VALUE"""),0.035)</f>
        <v/>
      </c>
      <c r="D546" s="2">
        <f>IFERROR(__xludf.DUMMYFUNCTION("""COMPUTED_VALUE"""),1.9E-4)</f>
        <v/>
      </c>
      <c r="E546" s="2">
        <f>IFERROR(__xludf.DUMMYFUNCTION("""COMPUTED_VALUE"""),40.2)</f>
        <v/>
      </c>
      <c r="F546" s="2">
        <f>IFERROR(__xludf.DUMMYFUNCTION("""COMPUTED_VALUE"""),46.0)</f>
        <v/>
      </c>
      <c r="G546" s="2">
        <f>IFERROR(__xludf.DUMMYFUNCTION("""COMPUTED_VALUE"""),52.0)</f>
        <v/>
      </c>
      <c r="H546" s="2">
        <f>IFERROR(__xludf.DUMMYFUNCTION("""COMPUTED_VALUE"""),60.0)</f>
        <v/>
      </c>
      <c r="I546" s="2">
        <f>IFERROR(__xludf.DUMMYFUNCTION("""COMPUTED_VALUE"""),69.8)</f>
        <v/>
      </c>
      <c r="J546" s="2">
        <f>IFERROR(__xludf.DUMMYFUNCTION("""COMPUTED_VALUE"""),35.0)</f>
        <v/>
      </c>
      <c r="K546" s="2">
        <f>IFERROR(__xludf.DUMMYFUNCTION("""COMPUTED_VALUE"""),32.0)</f>
        <v/>
      </c>
      <c r="L546" s="2">
        <f>IFERROR(__xludf.DUMMYFUNCTION("""COMPUTED_VALUE"""),"Лампа светодиодная LED-СВЕЧА-standard")</f>
        <v/>
      </c>
      <c r="M546" s="2">
        <f>IFERROR(__xludf.DUMMYFUNCTION("""COMPUTED_VALUE"""),"Лампы")</f>
        <v/>
      </c>
    </row>
    <row r="547">
      <c r="A547" s="5">
        <f>IFERROR(__xludf.DUMMYFUNCTION("""COMPUTED_VALUE"""),"4690612019765")</f>
        <v/>
      </c>
      <c r="B547" s="5">
        <f>IFERROR(__xludf.DUMMYFUNCTION("""COMPUTED_VALUE"""),"LED-JC-VC 1.5Вт 12В G4 6500К 135Лм IN HOME")</f>
        <v/>
      </c>
      <c r="C547" s="2">
        <f>IFERROR(__xludf.DUMMYFUNCTION("""COMPUTED_VALUE"""),0.004)</f>
        <v/>
      </c>
      <c r="D547" s="2">
        <f>IFERROR(__xludf.DUMMYFUNCTION("""COMPUTED_VALUE"""),3.0E-5)</f>
        <v/>
      </c>
      <c r="E547" s="2">
        <f>IFERROR(__xludf.DUMMYFUNCTION("""COMPUTED_VALUE"""),45.42)</f>
        <v/>
      </c>
      <c r="F547" s="2">
        <f>IFERROR(__xludf.DUMMYFUNCTION("""COMPUTED_VALUE"""),37.0)</f>
        <v/>
      </c>
      <c r="G547" s="2">
        <f>IFERROR(__xludf.DUMMYFUNCTION("""COMPUTED_VALUE"""),42.0)</f>
        <v/>
      </c>
      <c r="H547" s="2">
        <f>IFERROR(__xludf.DUMMYFUNCTION("""COMPUTED_VALUE"""),49.0)</f>
        <v/>
      </c>
      <c r="I547" s="2">
        <f>IFERROR(__xludf.DUMMYFUNCTION("""COMPUTED_VALUE"""),56.5)</f>
        <v/>
      </c>
      <c r="J547" s="2">
        <f>IFERROR(__xludf.DUMMYFUNCTION("""COMPUTED_VALUE"""),28.0)</f>
        <v/>
      </c>
      <c r="K547" s="2">
        <f>IFERROR(__xludf.DUMMYFUNCTION("""COMPUTED_VALUE"""),1.0)</f>
        <v/>
      </c>
      <c r="L547" s="2">
        <f>IFERROR(__xludf.DUMMYFUNCTION("""COMPUTED_VALUE"""),"Лампа светодиодная LED-JC-standard")</f>
        <v/>
      </c>
      <c r="M547" s="2">
        <f>IFERROR(__xludf.DUMMYFUNCTION("""COMPUTED_VALUE"""),"Лампы")</f>
        <v/>
      </c>
    </row>
    <row r="548">
      <c r="A548" s="5">
        <f>IFERROR(__xludf.DUMMYFUNCTION("""COMPUTED_VALUE"""),"4690626031845")</f>
        <v/>
      </c>
      <c r="B548" s="5">
        <f>IFERROR(__xludf.DUMMYFUNCTION("""COMPUTED_VALUE"""),"SBL-FLSen-30-65K")</f>
        <v/>
      </c>
      <c r="C548" s="2">
        <f>IFERROR(__xludf.DUMMYFUNCTION("""COMPUTED_VALUE"""),0.68)</f>
        <v/>
      </c>
      <c r="D548" s="2">
        <f>IFERROR(__xludf.DUMMYFUNCTION("""COMPUTED_VALUE"""),0.0024)</f>
        <v/>
      </c>
      <c r="E548" s="2">
        <f>IFERROR(__xludf.DUMMYFUNCTION("""COMPUTED_VALUE"""),707.9)</f>
        <v/>
      </c>
      <c r="F548" s="2">
        <f>IFERROR(__xludf.DUMMYFUNCTION("""COMPUTED_VALUE"""),723.0)</f>
        <v/>
      </c>
      <c r="G548" s="2">
        <f>IFERROR(__xludf.DUMMYFUNCTION("""COMPUTED_VALUE"""),794.0)</f>
        <v/>
      </c>
      <c r="H548" s="2">
        <f>IFERROR(__xludf.DUMMYFUNCTION("""COMPUTED_VALUE"""),882.0)</f>
        <v/>
      </c>
      <c r="I548" s="2">
        <f>IFERROR(__xludf.DUMMYFUNCTION("""COMPUTED_VALUE"""),970.0)</f>
        <v/>
      </c>
      <c r="J548" s="2">
        <f>IFERROR(__xludf.DUMMYFUNCTION("""COMPUTED_VALUE"""),794.0)</f>
        <v/>
      </c>
      <c r="K548" s="2">
        <f>IFERROR(__xludf.DUMMYFUNCTION("""COMPUTED_VALUE"""),4.0)</f>
        <v/>
      </c>
      <c r="L548" s="2">
        <f>IFERROR(__xludf.DUMMYFUNCTION("""COMPUTED_VALUE"""),"Smartbuy LED светильники")</f>
        <v/>
      </c>
      <c r="M548" s="2">
        <f>IFERROR(__xludf.DUMMYFUNCTION("""COMPUTED_VALUE"""),"Бытовые (недорогие), С датчиками, LED Светильники")</f>
        <v/>
      </c>
    </row>
    <row r="549">
      <c r="A549" s="5">
        <f>IFERROR(__xludf.DUMMYFUNCTION("""COMPUTED_VALUE"""),"G13619")</f>
        <v/>
      </c>
      <c r="B549" s="5">
        <f>IFERROR(__xludf.DUMMYFUNCTION("""COMPUTED_VALUE"""),"Лампа Gauss LED Elementary MR16 GU10 9W 640lm 3000К 1/10/100")</f>
        <v/>
      </c>
      <c r="C549" s="2">
        <f>IFERROR(__xludf.DUMMYFUNCTION("""COMPUTED_VALUE"""),0.0)</f>
        <v/>
      </c>
      <c r="D549" s="2">
        <f>IFERROR(__xludf.DUMMYFUNCTION("""COMPUTED_VALUE"""),0.0)</f>
        <v/>
      </c>
      <c r="E549" s="2">
        <f>IFERROR(__xludf.DUMMYFUNCTION("""COMPUTED_VALUE"""),122.02)</f>
        <v/>
      </c>
      <c r="F549" s="2">
        <f>IFERROR(__xludf.DUMMYFUNCTION("""COMPUTED_VALUE"""),0.0)</f>
        <v/>
      </c>
      <c r="G549" s="2">
        <f>IFERROR(__xludf.DUMMYFUNCTION("""COMPUTED_VALUE"""),0.0)</f>
        <v/>
      </c>
      <c r="H549" s="2">
        <f>IFERROR(__xludf.DUMMYFUNCTION("""COMPUTED_VALUE"""),0.0)</f>
        <v/>
      </c>
      <c r="I549" s="2">
        <f>IFERROR(__xludf.DUMMYFUNCTION("""COMPUTED_VALUE"""),0.0)</f>
        <v/>
      </c>
      <c r="J549" s="2">
        <f>IFERROR(__xludf.DUMMYFUNCTION("""COMPUTED_VALUE"""),0.0)</f>
        <v/>
      </c>
      <c r="K549" s="2">
        <f>IFERROR(__xludf.DUMMYFUNCTION("""COMPUTED_VALUE"""),11.0)</f>
        <v/>
      </c>
      <c r="L549" s="2">
        <f>IFERROR(__xludf.DUMMYFUNCTION("""COMPUTED_VALUE"""),"GAUSS лампы LED")</f>
        <v/>
      </c>
      <c r="M549" s="2">
        <f>IFERROR(__xludf.DUMMYFUNCTION("""COMPUTED_VALUE"""),"Лампы")</f>
        <v/>
      </c>
    </row>
    <row r="550">
      <c r="A550" s="5">
        <f>IFERROR(__xludf.DUMMYFUNCTION("""COMPUTED_VALUE"""),"P00037")</f>
        <v/>
      </c>
      <c r="B550" s="5">
        <f>IFERROR(__xludf.DUMMYFUNCTION("""COMPUTED_VALUE"""),"КР-5 300*350 D=45 мм кронштейн с двумя хомутами")</f>
        <v/>
      </c>
      <c r="C550" s="2">
        <f>IFERROR(__xludf.DUMMYFUNCTION("""COMPUTED_VALUE"""),2.9)</f>
        <v/>
      </c>
      <c r="D550" s="2">
        <f>IFERROR(__xludf.DUMMYFUNCTION("""COMPUTED_VALUE"""),0.0048)</f>
        <v/>
      </c>
      <c r="E550" s="2">
        <f>IFERROR(__xludf.DUMMYFUNCTION("""COMPUTED_VALUE"""),1086.73)</f>
        <v/>
      </c>
      <c r="F550" s="2">
        <f>IFERROR(__xludf.DUMMYFUNCTION("""COMPUTED_VALUE"""),1261.0)</f>
        <v/>
      </c>
      <c r="G550" s="2">
        <f>IFERROR(__xludf.DUMMYFUNCTION("""COMPUTED_VALUE"""),1380.0)</f>
        <v/>
      </c>
      <c r="H550" s="2">
        <f>IFERROR(__xludf.DUMMYFUNCTION("""COMPUTED_VALUE"""),1467.0)</f>
        <v/>
      </c>
      <c r="I550" s="2">
        <f>IFERROR(__xludf.DUMMYFUNCTION("""COMPUTED_VALUE"""),1630.0)</f>
        <v/>
      </c>
      <c r="J550" s="2">
        <f>IFERROR(__xludf.DUMMYFUNCTION("""COMPUTED_VALUE"""),1630.0)</f>
        <v/>
      </c>
      <c r="K550" s="2">
        <f>IFERROR(__xludf.DUMMYFUNCTION("""COMPUTED_VALUE"""),6.0)</f>
        <v/>
      </c>
      <c r="L550" s="2">
        <f>IFERROR(__xludf.DUMMYFUNCTION("""COMPUTED_VALUE"""),"Приставные, настенные, регулируемые")</f>
        <v/>
      </c>
      <c r="M550" s="2">
        <f>IFERROR(__xludf.DUMMYFUNCTION("""COMPUTED_VALUE"""),"Настенные, Прочие товары")</f>
        <v/>
      </c>
    </row>
    <row r="551">
      <c r="A551" s="5">
        <f>IFERROR(__xludf.DUMMYFUNCTION("""COMPUTED_VALUE"""),"4690612008073-10")</f>
        <v/>
      </c>
      <c r="B551" s="5">
        <f>IFERROR(__xludf.DUMMYFUNCTION("""COMPUTED_VALUE"""),"10 шт. Лампа LED-A60-deco 9Вт 230В Е27 4000К 1040Лм прозрачная IN HOME (Комплект 10 шт)")</f>
        <v/>
      </c>
      <c r="C551" s="2">
        <f>IFERROR(__xludf.DUMMYFUNCTION("""COMPUTED_VALUE"""),0.04)</f>
        <v/>
      </c>
      <c r="D551" s="2">
        <f>IFERROR(__xludf.DUMMYFUNCTION("""COMPUTED_VALUE"""),0.0028)</f>
        <v/>
      </c>
      <c r="E551" s="2">
        <f>IFERROR(__xludf.DUMMYFUNCTION("""COMPUTED_VALUE"""),792.0)</f>
        <v/>
      </c>
      <c r="F551" s="2">
        <f>IFERROR(__xludf.DUMMYFUNCTION("""COMPUTED_VALUE"""),869.0)</f>
        <v/>
      </c>
      <c r="G551" s="2">
        <f>IFERROR(__xludf.DUMMYFUNCTION("""COMPUTED_VALUE"""),1014.0)</f>
        <v/>
      </c>
      <c r="H551" s="2">
        <f>IFERROR(__xludf.DUMMYFUNCTION("""COMPUTED_VALUE"""),1140.0)</f>
        <v/>
      </c>
      <c r="I551" s="2">
        <f>IFERROR(__xludf.DUMMYFUNCTION("""COMPUTED_VALUE"""),1267.0)</f>
        <v/>
      </c>
      <c r="J551" s="2">
        <f>IFERROR(__xludf.DUMMYFUNCTION("""COMPUTED_VALUE"""),634.0)</f>
        <v/>
      </c>
      <c r="K551" s="2">
        <f>IFERROR(__xludf.DUMMYFUNCTION("""COMPUTED_VALUE"""),11.0)</f>
        <v/>
      </c>
      <c r="L551" s="2">
        <f>IFERROR(__xludf.DUMMYFUNCTION("""COMPUTED_VALUE"""),"Лампы производство, упаковка")</f>
        <v/>
      </c>
      <c r="M551" s="2">
        <f>IFERROR(__xludf.DUMMYFUNCTION("""COMPUTED_VALUE"""),"Лампы")</f>
        <v/>
      </c>
    </row>
    <row r="552">
      <c r="A552" s="5">
        <f>IFERROR(__xludf.DUMMYFUNCTION("""COMPUTED_VALUE"""),"4260375484195")</f>
        <v/>
      </c>
      <c r="B552" s="5">
        <f>IFERROR(__xludf.DUMMYFUNCTION("""COMPUTED_VALUE"""),"LLFW36W02")</f>
        <v/>
      </c>
      <c r="C552" s="2">
        <f>IFERROR(__xludf.DUMMYFUNCTION("""COMPUTED_VALUE"""),0.184)</f>
        <v/>
      </c>
      <c r="D552" s="2">
        <f>IFERROR(__xludf.DUMMYFUNCTION("""COMPUTED_VALUE"""),0.05760000000000001)</f>
        <v/>
      </c>
      <c r="E552" s="2">
        <f>IFERROR(__xludf.DUMMYFUNCTION("""COMPUTED_VALUE"""),180.0)</f>
        <v/>
      </c>
      <c r="F552" s="2">
        <f>IFERROR(__xludf.DUMMYFUNCTION("""COMPUTED_VALUE"""),385.0)</f>
        <v/>
      </c>
      <c r="G552" s="2">
        <f>IFERROR(__xludf.DUMMYFUNCTION("""COMPUTED_VALUE"""),398.0)</f>
        <v/>
      </c>
      <c r="H552" s="2">
        <f>IFERROR(__xludf.DUMMYFUNCTION("""COMPUTED_VALUE"""),521.0)</f>
        <v/>
      </c>
      <c r="I552" s="2">
        <f>IFERROR(__xludf.DUMMYFUNCTION("""COMPUTED_VALUE"""),652.0)</f>
        <v/>
      </c>
      <c r="J552" s="2">
        <f>IFERROR(__xludf.DUMMYFUNCTION("""COMPUTED_VALUE"""),385.0)</f>
        <v/>
      </c>
      <c r="K552" s="2">
        <f>IFERROR(__xludf.DUMMYFUNCTION("""COMPUTED_VALUE"""),3.0)</f>
        <v/>
      </c>
      <c r="L552" s="2">
        <f>IFERROR(__xludf.DUMMYFUNCTION("""COMPUTED_VALUE"""),"Wolta офисные")</f>
        <v/>
      </c>
      <c r="M552" s="2">
        <f>IFERROR(__xludf.DUMMYFUNCTION("""COMPUTED_VALUE"""),"Накладные, Линейные (проходные), LED Светильники")</f>
        <v/>
      </c>
    </row>
    <row r="553">
      <c r="A553" s="5">
        <f>IFERROR(__xludf.DUMMYFUNCTION("""COMPUTED_VALUE"""),"4690612023403")</f>
        <v/>
      </c>
      <c r="B553" s="5">
        <f>IFERROR(__xludf.DUMMYFUNCTION("""COMPUTED_VALUE"""),"LED-JCDRC-VC 6Вт 230В GU10 4000К 530Лм IN HOME")</f>
        <v/>
      </c>
      <c r="C553" s="2">
        <f>IFERROR(__xludf.DUMMYFUNCTION("""COMPUTED_VALUE"""),0.035)</f>
        <v/>
      </c>
      <c r="D553" s="2">
        <f>IFERROR(__xludf.DUMMYFUNCTION("""COMPUTED_VALUE"""),2.1E-4)</f>
        <v/>
      </c>
      <c r="E553" s="2">
        <f>IFERROR(__xludf.DUMMYFUNCTION("""COMPUTED_VALUE"""),30.19)</f>
        <v/>
      </c>
      <c r="F553" s="2">
        <f>IFERROR(__xludf.DUMMYFUNCTION("""COMPUTED_VALUE"""),35.0)</f>
        <v/>
      </c>
      <c r="G553" s="2">
        <f>IFERROR(__xludf.DUMMYFUNCTION("""COMPUTED_VALUE"""),40.0)</f>
        <v/>
      </c>
      <c r="H553" s="2">
        <f>IFERROR(__xludf.DUMMYFUNCTION("""COMPUTED_VALUE"""),46.0)</f>
        <v/>
      </c>
      <c r="I553" s="2">
        <f>IFERROR(__xludf.DUMMYFUNCTION("""COMPUTED_VALUE"""),53.5)</f>
        <v/>
      </c>
      <c r="J553" s="2">
        <f>IFERROR(__xludf.DUMMYFUNCTION("""COMPUTED_VALUE"""),27.0)</f>
        <v/>
      </c>
      <c r="K553" s="2">
        <f>IFERROR(__xludf.DUMMYFUNCTION("""COMPUTED_VALUE"""),60.0)</f>
        <v/>
      </c>
      <c r="L553" s="2">
        <f>IFERROR(__xludf.DUMMYFUNCTION("""COMPUTED_VALUE"""),"Лампа светодиодная LED-JCDR-standard")</f>
        <v/>
      </c>
      <c r="M553" s="2">
        <f>IFERROR(__xludf.DUMMYFUNCTION("""COMPUTED_VALUE"""),"Лампы")</f>
        <v/>
      </c>
    </row>
    <row r="554">
      <c r="A554" s="5">
        <f>IFERROR(__xludf.DUMMYFUNCTION("""COMPUTED_VALUE"""),"4690612013336")</f>
        <v/>
      </c>
      <c r="B554" s="5">
        <f>IFERROR(__xludf.DUMMYFUNCTION("""COMPUTED_VALUE"""),"ЗБН-5 32 мелодии 120м с цифр. кодир. с двумя кнопками IP44 БЕЛО-СЕРЫЙ IN HOME")</f>
        <v/>
      </c>
      <c r="C554" s="2">
        <f>IFERROR(__xludf.DUMMYFUNCTION("""COMPUTED_VALUE"""),0.17)</f>
        <v/>
      </c>
      <c r="D554" s="2">
        <f>IFERROR(__xludf.DUMMYFUNCTION("""COMPUTED_VALUE"""),8.300000000000001E-4)</f>
        <v/>
      </c>
      <c r="E554" s="2">
        <f>IFERROR(__xludf.DUMMYFUNCTION("""COMPUTED_VALUE"""),436.93)</f>
        <v/>
      </c>
      <c r="F554" s="2">
        <f>IFERROR(__xludf.DUMMYFUNCTION("""COMPUTED_VALUE"""),751.0)</f>
        <v/>
      </c>
      <c r="G554" s="2">
        <f>IFERROR(__xludf.DUMMYFUNCTION("""COMPUTED_VALUE"""),845.0)</f>
        <v/>
      </c>
      <c r="H554" s="2">
        <f>IFERROR(__xludf.DUMMYFUNCTION("""COMPUTED_VALUE"""),980.0)</f>
        <v/>
      </c>
      <c r="I554" s="2">
        <f>IFERROR(__xludf.DUMMYFUNCTION("""COMPUTED_VALUE"""),1126.0)</f>
        <v/>
      </c>
      <c r="J554" s="2">
        <f>IFERROR(__xludf.DUMMYFUNCTION("""COMPUTED_VALUE"""),563.0)</f>
        <v/>
      </c>
      <c r="K554" s="2">
        <f>IFERROR(__xludf.DUMMYFUNCTION("""COMPUTED_VALUE"""),1.0)</f>
        <v/>
      </c>
      <c r="L554" s="2">
        <f>IFERROR(__xludf.DUMMYFUNCTION("""COMPUTED_VALUE"""),"Звонки")</f>
        <v/>
      </c>
      <c r="M554" s="2">
        <f>IFERROR(__xludf.DUMMYFUNCTION("""COMPUTED_VALUE"""),"Прочие товары")</f>
        <v/>
      </c>
    </row>
    <row r="555">
      <c r="A555" s="5">
        <f>IFERROR(__xludf.DUMMYFUNCTION("""COMPUTED_VALUE"""),"V5037")</f>
        <v/>
      </c>
      <c r="B555" s="5">
        <f>IFERROR(__xludf.DUMMYFUNCTION("""COMPUTED_VALUE"""),"VRN-LUX60-76-A50K67-U")</f>
        <v/>
      </c>
      <c r="C555" s="2">
        <f>IFERROR(__xludf.DUMMYFUNCTION("""COMPUTED_VALUE"""),2.4)</f>
        <v/>
      </c>
      <c r="D555" s="2">
        <f>IFERROR(__xludf.DUMMYFUNCTION("""COMPUTED_VALUE"""),0.0088)</f>
        <v/>
      </c>
      <c r="E555" s="2">
        <f>IFERROR(__xludf.DUMMYFUNCTION("""COMPUTED_VALUE"""),7172.5)</f>
        <v/>
      </c>
      <c r="F555" s="2">
        <f>IFERROR(__xludf.DUMMYFUNCTION("""COMPUTED_VALUE"""),7430.0)</f>
        <v/>
      </c>
      <c r="G555" s="2">
        <f>IFERROR(__xludf.DUMMYFUNCTION("""COMPUTED_VALUE"""),9659.0)</f>
        <v/>
      </c>
      <c r="H555" s="2">
        <f>IFERROR(__xludf.DUMMYFUNCTION("""COMPUTED_VALUE"""),10142.0)</f>
        <v/>
      </c>
      <c r="I555" s="2">
        <f>IFERROR(__xludf.DUMMYFUNCTION("""COMPUTED_VALUE"""),10625.0)</f>
        <v/>
      </c>
      <c r="J555" s="2">
        <f>IFERROR(__xludf.DUMMYFUNCTION("""COMPUTED_VALUE"""),5313.0)</f>
        <v/>
      </c>
      <c r="K555" s="2">
        <f>IFERROR(__xludf.DUMMYFUNCTION("""COMPUTED_VALUE"""),1.0)</f>
        <v/>
      </c>
      <c r="L555" s="2">
        <f>IFERROR(__xludf.DUMMYFUNCTION("""COMPUTED_VALUE"""),"Премиум")</f>
        <v/>
      </c>
      <c r="M555" s="2">
        <f>IFERROR(__xludf.DUMMYFUNCTION("""COMPUTED_VALUE"""),"Профессиональные, LED Светильники")</f>
        <v/>
      </c>
    </row>
    <row r="556">
      <c r="A556" s="5">
        <f>IFERROR(__xludf.DUMMYFUNCTION("""COMPUTED_VALUE"""),"4690612051925")</f>
        <v/>
      </c>
      <c r="B556" s="5">
        <f>IFERROR(__xludf.DUMMYFUNCTION("""COMPUTED_VALUE"""),"ДБУ RING-630BL 6Вт 3000К IP54 черный IN HOME")</f>
        <v/>
      </c>
      <c r="C556" s="2">
        <f>IFERROR(__xludf.DUMMYFUNCTION("""COMPUTED_VALUE"""),0.355)</f>
        <v/>
      </c>
      <c r="D556" s="2">
        <f>IFERROR(__xludf.DUMMYFUNCTION("""COMPUTED_VALUE"""),8.8E-4)</f>
        <v/>
      </c>
      <c r="E556" s="2">
        <f>IFERROR(__xludf.DUMMYFUNCTION("""COMPUTED_VALUE"""),694.8000000000001)</f>
        <v/>
      </c>
      <c r="F556" s="2">
        <f>IFERROR(__xludf.DUMMYFUNCTION("""COMPUTED_VALUE"""),709.0)</f>
        <v/>
      </c>
      <c r="G556" s="2">
        <f>IFERROR(__xludf.DUMMYFUNCTION("""COMPUTED_VALUE"""),797.0)</f>
        <v/>
      </c>
      <c r="H556" s="2">
        <f>IFERROR(__xludf.DUMMYFUNCTION("""COMPUTED_VALUE"""),925.0)</f>
        <v/>
      </c>
      <c r="I556" s="2">
        <f>IFERROR(__xludf.DUMMYFUNCTION("""COMPUTED_VALUE"""),1063.0)</f>
        <v/>
      </c>
      <c r="J556" s="2">
        <f>IFERROR(__xludf.DUMMYFUNCTION("""COMPUTED_VALUE"""),532.0)</f>
        <v/>
      </c>
      <c r="K556" s="2">
        <f>IFERROR(__xludf.DUMMYFUNCTION("""COMPUTED_VALUE"""),9.0)</f>
        <v/>
      </c>
      <c r="L556" s="2">
        <f>IFERROR(__xludf.DUMMYFUNCTION("""COMPUTED_VALUE"""),"Светильники светодиодные уличные ДБУ")</f>
        <v/>
      </c>
      <c r="M556" s="2">
        <f>IFERROR(__xludf.DUMMYFUNCTION("""COMPUTED_VALUE"""),"Садово-парковые, ландшафтные, LED Светильники")</f>
        <v/>
      </c>
    </row>
    <row r="557">
      <c r="A557" s="5">
        <f>IFERROR(__xludf.DUMMYFUNCTION("""COMPUTED_VALUE"""),"4260375487554")</f>
        <v/>
      </c>
      <c r="B557" s="5">
        <f>IFERROR(__xludf.DUMMYFUNCTION("""COMPUTED_VALUE"""),"WFL-200W/06")</f>
        <v/>
      </c>
      <c r="C557" s="2">
        <f>IFERROR(__xludf.DUMMYFUNCTION("""COMPUTED_VALUE"""),2.06)</f>
        <v/>
      </c>
      <c r="D557" s="2">
        <f>IFERROR(__xludf.DUMMYFUNCTION("""COMPUTED_VALUE"""),0.00504)</f>
        <v/>
      </c>
      <c r="E557" s="2">
        <f>IFERROR(__xludf.DUMMYFUNCTION("""COMPUTED_VALUE"""),2929.51)</f>
        <v/>
      </c>
      <c r="F557" s="2">
        <f>IFERROR(__xludf.DUMMYFUNCTION("""COMPUTED_VALUE"""),2933.0)</f>
        <v/>
      </c>
      <c r="G557" s="2">
        <f>IFERROR(__xludf.DUMMYFUNCTION("""COMPUTED_VALUE"""),3033.0)</f>
        <v/>
      </c>
      <c r="H557" s="2">
        <f>IFERROR(__xludf.DUMMYFUNCTION("""COMPUTED_VALUE"""),3977.0)</f>
        <v/>
      </c>
      <c r="I557" s="2">
        <f>IFERROR(__xludf.DUMMYFUNCTION("""COMPUTED_VALUE"""),4972.0)</f>
        <v/>
      </c>
      <c r="J557" s="2">
        <f>IFERROR(__xludf.DUMMYFUNCTION("""COMPUTED_VALUE"""),2486.0)</f>
        <v/>
      </c>
      <c r="K557" s="2">
        <f>IFERROR(__xludf.DUMMYFUNCTION("""COMPUTED_VALUE"""),5.0)</f>
        <v/>
      </c>
      <c r="L557" s="2">
        <f>IFERROR(__xludf.DUMMYFUNCTION("""COMPUTED_VALUE"""),"Wolta прожекторы")</f>
        <v/>
      </c>
      <c r="M557" s="2">
        <f>IFERROR(__xludf.DUMMYFUNCTION("""COMPUTED_VALUE"""),"Прожекторы (LED), LED Светильники")</f>
        <v/>
      </c>
    </row>
    <row r="558">
      <c r="A558" s="5">
        <f>IFERROR(__xludf.DUMMYFUNCTION("""COMPUTED_VALUE"""),"GL51111")</f>
        <v/>
      </c>
      <c r="B558" s="5">
        <f>IFERROR(__xludf.DUMMYFUNCTION("""COMPUTED_VALUE"""),"GLERIO Practical 32 Вт 5000К 6A-32D-5K+")</f>
        <v/>
      </c>
      <c r="C558" s="2">
        <f>IFERROR(__xludf.DUMMYFUNCTION("""COMPUTED_VALUE"""),0.8)</f>
        <v/>
      </c>
      <c r="D558" s="2">
        <f>IFERROR(__xludf.DUMMYFUNCTION("""COMPUTED_VALUE"""),0.0024)</f>
        <v/>
      </c>
      <c r="E558" s="2">
        <f>IFERROR(__xludf.DUMMYFUNCTION("""COMPUTED_VALUE"""),1396.8)</f>
        <v/>
      </c>
      <c r="F558" s="2">
        <f>IFERROR(__xludf.DUMMYFUNCTION("""COMPUTED_VALUE"""),1600.0)</f>
        <v/>
      </c>
      <c r="G558" s="2">
        <f>IFERROR(__xludf.DUMMYFUNCTION("""COMPUTED_VALUE"""),2000.0)</f>
        <v/>
      </c>
      <c r="H558" s="2">
        <f>IFERROR(__xludf.DUMMYFUNCTION("""COMPUTED_VALUE"""),2250.0)</f>
        <v/>
      </c>
      <c r="I558" s="2">
        <f>IFERROR(__xludf.DUMMYFUNCTION("""COMPUTED_VALUE"""),2500.0)</f>
        <v/>
      </c>
      <c r="J558" s="2">
        <f>IFERROR(__xludf.DUMMYFUNCTION("""COMPUTED_VALUE"""),2500.0)</f>
        <v/>
      </c>
      <c r="K558" s="2">
        <f>IFERROR(__xludf.DUMMYFUNCTION("""COMPUTED_VALUE"""),10.0)</f>
        <v/>
      </c>
      <c r="L558" s="2">
        <f>IFERROR(__xludf.DUMMYFUNCTION("""COMPUTED_VALUE"""),"Practical+ Уличные GLERIO")</f>
        <v/>
      </c>
      <c r="M558" s="2">
        <f>IFERROR(__xludf.DUMMYFUNCTION("""COMPUTED_VALUE"""),"Для обычных дорог, LED Светильники")</f>
        <v/>
      </c>
    </row>
    <row r="559">
      <c r="A559" s="5">
        <f>IFERROR(__xludf.DUMMYFUNCTION("""COMPUTED_VALUE"""),"4690612019864")</f>
        <v/>
      </c>
      <c r="B559" s="5">
        <f>IFERROR(__xludf.DUMMYFUNCTION("""COMPUTED_VALUE"""),"LED-JCD-VC 3Вт 230В G9 4000К 270Лм IN HOME")</f>
        <v/>
      </c>
      <c r="C559" s="2">
        <f>IFERROR(__xludf.DUMMYFUNCTION("""COMPUTED_VALUE"""),0.015)</f>
        <v/>
      </c>
      <c r="D559" s="2">
        <f>IFERROR(__xludf.DUMMYFUNCTION("""COMPUTED_VALUE"""),5.0E-5)</f>
        <v/>
      </c>
      <c r="E559" s="2">
        <f>IFERROR(__xludf.DUMMYFUNCTION("""COMPUTED_VALUE"""),53.84)</f>
        <v/>
      </c>
      <c r="F559" s="2">
        <f>IFERROR(__xludf.DUMMYFUNCTION("""COMPUTED_VALUE"""),42.0)</f>
        <v/>
      </c>
      <c r="G559" s="2">
        <f>IFERROR(__xludf.DUMMYFUNCTION("""COMPUTED_VALUE"""),47.0)</f>
        <v/>
      </c>
      <c r="H559" s="2">
        <f>IFERROR(__xludf.DUMMYFUNCTION("""COMPUTED_VALUE"""),55.0)</f>
        <v/>
      </c>
      <c r="I559" s="2">
        <f>IFERROR(__xludf.DUMMYFUNCTION("""COMPUTED_VALUE"""),63.5)</f>
        <v/>
      </c>
      <c r="J559" s="2">
        <f>IFERROR(__xludf.DUMMYFUNCTION("""COMPUTED_VALUE"""),32.0)</f>
        <v/>
      </c>
      <c r="K559" s="2">
        <f>IFERROR(__xludf.DUMMYFUNCTION("""COMPUTED_VALUE"""),4.0)</f>
        <v/>
      </c>
      <c r="L559" s="2">
        <f>IFERROR(__xludf.DUMMYFUNCTION("""COMPUTED_VALUE"""),"Лампа светодиодная LED-JCD-standard")</f>
        <v/>
      </c>
      <c r="M559" s="2">
        <f>IFERROR(__xludf.DUMMYFUNCTION("""COMPUTED_VALUE"""),"Лампы")</f>
        <v/>
      </c>
    </row>
    <row r="560">
      <c r="A560" s="5">
        <f>IFERROR(__xludf.DUMMYFUNCTION("""COMPUTED_VALUE"""),"4690612022185")</f>
        <v/>
      </c>
      <c r="B560" s="5">
        <f>IFERROR(__xludf.DUMMYFUNCTION("""COMPUTED_VALUE"""),"DECO СОЗВЕЗДИЕ 12Вт 230В 6500К 1080Лм 210х65мм IN HOME")</f>
        <v/>
      </c>
      <c r="C560" s="2">
        <f>IFERROR(__xludf.DUMMYFUNCTION("""COMPUTED_VALUE"""),0.23)</f>
        <v/>
      </c>
      <c r="D560" s="2">
        <f>IFERROR(__xludf.DUMMYFUNCTION("""COMPUTED_VALUE"""),0.0037)</f>
        <v/>
      </c>
      <c r="E560" s="2">
        <f>IFERROR(__xludf.DUMMYFUNCTION("""COMPUTED_VALUE"""),256.51)</f>
        <v/>
      </c>
      <c r="F560" s="2">
        <f>IFERROR(__xludf.DUMMYFUNCTION("""COMPUTED_VALUE"""),307.0)</f>
        <v/>
      </c>
      <c r="G560" s="2">
        <f>IFERROR(__xludf.DUMMYFUNCTION("""COMPUTED_VALUE"""),346.0)</f>
        <v/>
      </c>
      <c r="H560" s="2">
        <f>IFERROR(__xludf.DUMMYFUNCTION("""COMPUTED_VALUE"""),401.0)</f>
        <v/>
      </c>
      <c r="I560" s="2">
        <f>IFERROR(__xludf.DUMMYFUNCTION("""COMPUTED_VALUE"""),461.0)</f>
        <v/>
      </c>
      <c r="J560" s="2">
        <f>IFERROR(__xludf.DUMMYFUNCTION("""COMPUTED_VALUE"""),231.0)</f>
        <v/>
      </c>
      <c r="K560" s="2">
        <f>IFERROR(__xludf.DUMMYFUNCTION("""COMPUTED_VALUE"""),12.0)</f>
        <v/>
      </c>
      <c r="L560" s="2">
        <f>IFERROR(__xludf.DUMMYFUNCTION("""COMPUTED_VALUE"""),"Светильник светодиодный серии DECO")</f>
        <v/>
      </c>
      <c r="M560" s="2">
        <f>IFERROR(__xludf.DUMMYFUNCTION("""COMPUTED_VALUE"""),"Накладные, Декоративные, LED Светильники")</f>
        <v/>
      </c>
    </row>
    <row r="561">
      <c r="A561" s="5">
        <f>IFERROR(__xludf.DUMMYFUNCTION("""COMPUTED_VALUE"""),"4690612004204")</f>
        <v/>
      </c>
      <c r="B561" s="5">
        <f>IFERROR(__xludf.DUMMYFUNCTION("""COMPUTED_VALUE"""),"LED-A60-standard 20Вт 160-260В Е27 4000К ASD")</f>
        <v/>
      </c>
      <c r="C561" s="2">
        <f>IFERROR(__xludf.DUMMYFUNCTION("""COMPUTED_VALUE"""),0.06100000000000001)</f>
        <v/>
      </c>
      <c r="D561" s="2">
        <f>IFERROR(__xludf.DUMMYFUNCTION("""COMPUTED_VALUE"""),5.0E-4)</f>
        <v/>
      </c>
      <c r="E561" s="2">
        <f>IFERROR(__xludf.DUMMYFUNCTION("""COMPUTED_VALUE"""),69.82000000000001)</f>
        <v/>
      </c>
      <c r="F561" s="2">
        <f>IFERROR(__xludf.DUMMYFUNCTION("""COMPUTED_VALUE"""),45.0)</f>
        <v/>
      </c>
      <c r="G561" s="2">
        <f>IFERROR(__xludf.DUMMYFUNCTION("""COMPUTED_VALUE"""),51.0)</f>
        <v/>
      </c>
      <c r="H561" s="2">
        <f>IFERROR(__xludf.DUMMYFUNCTION("""COMPUTED_VALUE"""),59.0)</f>
        <v/>
      </c>
      <c r="I561" s="2">
        <f>IFERROR(__xludf.DUMMYFUNCTION("""COMPUTED_VALUE"""),67.95)</f>
        <v/>
      </c>
      <c r="J561" s="2">
        <f>IFERROR(__xludf.DUMMYFUNCTION("""COMPUTED_VALUE"""),34.0)</f>
        <v/>
      </c>
      <c r="K561" s="2">
        <f>IFERROR(__xludf.DUMMYFUNCTION("""COMPUTED_VALUE"""),5.0)</f>
        <v/>
      </c>
      <c r="L561" s="2">
        <f>IFERROR(__xludf.DUMMYFUNCTION("""COMPUTED_VALUE"""),"Лампа светодиодная LED-A60-standard")</f>
        <v/>
      </c>
      <c r="M561" s="2">
        <f>IFERROR(__xludf.DUMMYFUNCTION("""COMPUTED_VALUE"""),"Лампы")</f>
        <v/>
      </c>
    </row>
    <row r="562">
      <c r="A562" s="5">
        <f>IFERROR(__xludf.DUMMYFUNCTION("""COMPUTED_VALUE"""),"4690612020501")</f>
        <v/>
      </c>
      <c r="B562" s="5">
        <f>IFERROR(__xludf.DUMMYFUNCTION("""COMPUTED_VALUE"""),"LED-ШАР-VC 6Вт 230В Е14 3000К 570Лм IN HOME")</f>
        <v/>
      </c>
      <c r="C562" s="2">
        <f>IFERROR(__xludf.DUMMYFUNCTION("""COMPUTED_VALUE"""),0.031)</f>
        <v/>
      </c>
      <c r="D562" s="2">
        <f>IFERROR(__xludf.DUMMYFUNCTION("""COMPUTED_VALUE"""),2.3E-4)</f>
        <v/>
      </c>
      <c r="E562" s="2">
        <f>IFERROR(__xludf.DUMMYFUNCTION("""COMPUTED_VALUE"""),34.8)</f>
        <v/>
      </c>
      <c r="F562" s="2">
        <f>IFERROR(__xludf.DUMMYFUNCTION("""COMPUTED_VALUE"""),35.0)</f>
        <v/>
      </c>
      <c r="G562" s="2">
        <f>IFERROR(__xludf.DUMMYFUNCTION("""COMPUTED_VALUE"""),39.0)</f>
        <v/>
      </c>
      <c r="H562" s="2">
        <f>IFERROR(__xludf.DUMMYFUNCTION("""COMPUTED_VALUE"""),45.0)</f>
        <v/>
      </c>
      <c r="I562" s="2">
        <f>IFERROR(__xludf.DUMMYFUNCTION("""COMPUTED_VALUE"""),52.5)</f>
        <v/>
      </c>
      <c r="J562" s="2">
        <f>IFERROR(__xludf.DUMMYFUNCTION("""COMPUTED_VALUE"""),26.0)</f>
        <v/>
      </c>
      <c r="K562" s="2">
        <f>IFERROR(__xludf.DUMMYFUNCTION("""COMPUTED_VALUE"""),13.0)</f>
        <v/>
      </c>
      <c r="L562" s="2">
        <f>IFERROR(__xludf.DUMMYFUNCTION("""COMPUTED_VALUE"""),"Лампа светодиодная LED-ШАР-standard")</f>
        <v/>
      </c>
      <c r="M562" s="2">
        <f>IFERROR(__xludf.DUMMYFUNCTION("""COMPUTED_VALUE"""),"Лампы")</f>
        <v/>
      </c>
    </row>
    <row r="563">
      <c r="A563" s="5">
        <f>IFERROR(__xludf.DUMMYFUNCTION("""COMPUTED_VALUE"""),"4690612029344")</f>
        <v/>
      </c>
      <c r="B563" s="5">
        <f>IFERROR(__xludf.DUMMYFUNCTION("""COMPUTED_VALUE"""),"Коннектор шинопровода прямой SC-W-TL белый серии TOP-LINE IN HOME")</f>
        <v/>
      </c>
      <c r="C563" s="2">
        <f>IFERROR(__xludf.DUMMYFUNCTION("""COMPUTED_VALUE"""),0.007)</f>
        <v/>
      </c>
      <c r="D563" s="2">
        <f>IFERROR(__xludf.DUMMYFUNCTION("""COMPUTED_VALUE"""),1.0E-5)</f>
        <v/>
      </c>
      <c r="E563" s="2">
        <f>IFERROR(__xludf.DUMMYFUNCTION("""COMPUTED_VALUE"""),56.48)</f>
        <v/>
      </c>
      <c r="F563" s="2">
        <f>IFERROR(__xludf.DUMMYFUNCTION("""COMPUTED_VALUE"""),39.0)</f>
        <v/>
      </c>
      <c r="G563" s="2">
        <f>IFERROR(__xludf.DUMMYFUNCTION("""COMPUTED_VALUE"""),44.0)</f>
        <v/>
      </c>
      <c r="H563" s="2">
        <f>IFERROR(__xludf.DUMMYFUNCTION("""COMPUTED_VALUE"""),50.0)</f>
        <v/>
      </c>
      <c r="I563" s="2">
        <f>IFERROR(__xludf.DUMMYFUNCTION("""COMPUTED_VALUE"""),58.0)</f>
        <v/>
      </c>
      <c r="J563" s="2">
        <f>IFERROR(__xludf.DUMMYFUNCTION("""COMPUTED_VALUE"""),58.0)</f>
        <v/>
      </c>
      <c r="K563" s="2">
        <f>IFERROR(__xludf.DUMMYFUNCTION("""COMPUTED_VALUE"""),0.0)</f>
        <v/>
      </c>
      <c r="L563" s="2">
        <f>IFERROR(__xludf.DUMMYFUNCTION("""COMPUTED_VALUE"""),"Шинопровод и комплектующие")</f>
        <v/>
      </c>
      <c r="M563" s="2">
        <f>IFERROR(__xludf.DUMMYFUNCTION("""COMPUTED_VALUE"""),"Прочие товары")</f>
        <v/>
      </c>
    </row>
    <row r="564">
      <c r="A564" s="5">
        <f>IFERROR(__xludf.DUMMYFUNCTION("""COMPUTED_VALUE"""),"4690612028934")</f>
        <v/>
      </c>
      <c r="B564" s="5">
        <f>IFERROR(__xludf.DUMMYFUNCTION("""COMPUTED_VALUE"""),"NLA 10-HR СЕРДЦЕ красное с выключателем 230В IN HOME")</f>
        <v/>
      </c>
      <c r="C564" s="2">
        <f>IFERROR(__xludf.DUMMYFUNCTION("""COMPUTED_VALUE"""),0.03583)</f>
        <v/>
      </c>
      <c r="D564" s="2">
        <f>IFERROR(__xludf.DUMMYFUNCTION("""COMPUTED_VALUE"""),6.7E-4)</f>
        <v/>
      </c>
      <c r="E564" s="2">
        <f>IFERROR(__xludf.DUMMYFUNCTION("""COMPUTED_VALUE"""),110.03)</f>
        <v/>
      </c>
      <c r="F564" s="2">
        <f>IFERROR(__xludf.DUMMYFUNCTION("""COMPUTED_VALUE"""),91.0)</f>
        <v/>
      </c>
      <c r="G564" s="2">
        <f>IFERROR(__xludf.DUMMYFUNCTION("""COMPUTED_VALUE"""),103.0)</f>
        <v/>
      </c>
      <c r="H564" s="2">
        <f>IFERROR(__xludf.DUMMYFUNCTION("""COMPUTED_VALUE"""),119.0)</f>
        <v/>
      </c>
      <c r="I564" s="2">
        <f>IFERROR(__xludf.DUMMYFUNCTION("""COMPUTED_VALUE"""),137.0)</f>
        <v/>
      </c>
      <c r="J564" s="2">
        <f>IFERROR(__xludf.DUMMYFUNCTION("""COMPUTED_VALUE"""),69.0)</f>
        <v/>
      </c>
      <c r="K564" s="2">
        <f>IFERROR(__xludf.DUMMYFUNCTION("""COMPUTED_VALUE"""),21.0)</f>
        <v/>
      </c>
      <c r="L564" s="2">
        <f>IFERROR(__xludf.DUMMYFUNCTION("""COMPUTED_VALUE"""),"Светильники ночники")</f>
        <v/>
      </c>
      <c r="M564" s="2">
        <f>IFERROR(__xludf.DUMMYFUNCTION("""COMPUTED_VALUE"""),"Светильники общего назначения (LED), Декоративные, LED Светильники")</f>
        <v/>
      </c>
    </row>
    <row r="565">
      <c r="A565" s="5">
        <f>IFERROR(__xludf.DUMMYFUNCTION("""COMPUTED_VALUE"""),"GL8420")</f>
        <v/>
      </c>
      <c r="B565" s="5">
        <f>IFERROR(__xludf.DUMMYFUNCTION("""COMPUTED_VALUE"""),"GLERIO Indoor 8 Вт 4000К 10P-8D-4N-M-S")</f>
        <v/>
      </c>
      <c r="C565" s="2">
        <f>IFERROR(__xludf.DUMMYFUNCTION("""COMPUTED_VALUE"""),0.15)</f>
        <v/>
      </c>
      <c r="D565" s="2">
        <f>IFERROR(__xludf.DUMMYFUNCTION("""COMPUTED_VALUE"""),6.600000000000001E-4)</f>
        <v/>
      </c>
      <c r="E565" s="2">
        <f>IFERROR(__xludf.DUMMYFUNCTION("""COMPUTED_VALUE"""),514.1)</f>
        <v/>
      </c>
      <c r="F565" s="2">
        <f>IFERROR(__xludf.DUMMYFUNCTION("""COMPUTED_VALUE"""),600.0)</f>
        <v/>
      </c>
      <c r="G565" s="2">
        <f>IFERROR(__xludf.DUMMYFUNCTION("""COMPUTED_VALUE"""),755.0)</f>
        <v/>
      </c>
      <c r="H565" s="2">
        <f>IFERROR(__xludf.DUMMYFUNCTION("""COMPUTED_VALUE"""),848.0)</f>
        <v/>
      </c>
      <c r="I565" s="2">
        <f>IFERROR(__xludf.DUMMYFUNCTION("""COMPUTED_VALUE"""),941.0)</f>
        <v/>
      </c>
      <c r="J565" s="2">
        <f>IFERROR(__xludf.DUMMYFUNCTION("""COMPUTED_VALUE"""),941.0)</f>
        <v/>
      </c>
      <c r="K565" s="2">
        <f>IFERROR(__xludf.DUMMYFUNCTION("""COMPUTED_VALUE"""),7.0)</f>
        <v/>
      </c>
      <c r="L565" s="2">
        <f>IFERROR(__xludf.DUMMYFUNCTION("""COMPUTED_VALUE"""),"Indoor GLERIO (ЖКХ) до 10.2025")</f>
        <v/>
      </c>
      <c r="M565" s="2">
        <f>IFERROR(__xludf.DUMMYFUNCTION("""COMPUTED_VALUE"""),"С датчиками, LED Светильники")</f>
        <v/>
      </c>
    </row>
    <row r="566">
      <c r="A566" s="5">
        <f>IFERROR(__xludf.DUMMYFUNCTION("""COMPUTED_VALUE"""),"4690612007601")</f>
        <v/>
      </c>
      <c r="B566" s="5">
        <f>IFERROR(__xludf.DUMMYFUNCTION("""COMPUTED_VALUE"""),"LED-СВЕЧА-deco 7Вт 230В Е14 3000К 810Лм прозрачная IN HOME")</f>
        <v/>
      </c>
      <c r="C566" s="2">
        <f>IFERROR(__xludf.DUMMYFUNCTION("""COMPUTED_VALUE"""),0.025)</f>
        <v/>
      </c>
      <c r="D566" s="2">
        <f>IFERROR(__xludf.DUMMYFUNCTION("""COMPUTED_VALUE"""),2.0E-4)</f>
        <v/>
      </c>
      <c r="E566" s="2">
        <f>IFERROR(__xludf.DUMMYFUNCTION("""COMPUTED_VALUE"""),63.5)</f>
        <v/>
      </c>
      <c r="F566" s="2">
        <f>IFERROR(__xludf.DUMMYFUNCTION("""COMPUTED_VALUE"""),57.0)</f>
        <v/>
      </c>
      <c r="G566" s="2">
        <f>IFERROR(__xludf.DUMMYFUNCTION("""COMPUTED_VALUE"""),64.0)</f>
        <v/>
      </c>
      <c r="H566" s="2">
        <f>IFERROR(__xludf.DUMMYFUNCTION("""COMPUTED_VALUE"""),74.0)</f>
        <v/>
      </c>
      <c r="I566" s="2">
        <f>IFERROR(__xludf.DUMMYFUNCTION("""COMPUTED_VALUE"""),85.5)</f>
        <v/>
      </c>
      <c r="J566" s="2">
        <f>IFERROR(__xludf.DUMMYFUNCTION("""COMPUTED_VALUE"""),43.0)</f>
        <v/>
      </c>
      <c r="K566" s="2">
        <f>IFERROR(__xludf.DUMMYFUNCTION("""COMPUTED_VALUE"""),57.0)</f>
        <v/>
      </c>
      <c r="L566" s="2">
        <f>IFERROR(__xludf.DUMMYFUNCTION("""COMPUTED_VALUE"""),"Лампа светодиодная LED-СВЕЧА-DECO")</f>
        <v/>
      </c>
      <c r="M566" s="2">
        <f>IFERROR(__xludf.DUMMYFUNCTION("""COMPUTED_VALUE"""),"Лампы")</f>
        <v/>
      </c>
    </row>
    <row r="567">
      <c r="A567" s="5">
        <f>IFERROR(__xludf.DUMMYFUNCTION("""COMPUTED_VALUE"""),"4690612035529")</f>
        <v/>
      </c>
      <c r="B567" s="5">
        <f>IFERROR(__xludf.DUMMYFUNCTION("""COMPUTED_VALUE"""),"TR-07-TL 25Вт 4000К 2500Лм IP40 24 градуса белый серии TOP-LINE IN HOME")</f>
        <v/>
      </c>
      <c r="C567" s="2">
        <f>IFERROR(__xludf.DUMMYFUNCTION("""COMPUTED_VALUE"""),0.315)</f>
        <v/>
      </c>
      <c r="D567" s="2">
        <f>IFERROR(__xludf.DUMMYFUNCTION("""COMPUTED_VALUE"""),0.001)</f>
        <v/>
      </c>
      <c r="E567" s="2">
        <f>IFERROR(__xludf.DUMMYFUNCTION("""COMPUTED_VALUE"""),525.0)</f>
        <v/>
      </c>
      <c r="F567" s="2">
        <f>IFERROR(__xludf.DUMMYFUNCTION("""COMPUTED_VALUE"""),595.0)</f>
        <v/>
      </c>
      <c r="G567" s="2">
        <f>IFERROR(__xludf.DUMMYFUNCTION("""COMPUTED_VALUE"""),670.0)</f>
        <v/>
      </c>
      <c r="H567" s="2">
        <f>IFERROR(__xludf.DUMMYFUNCTION("""COMPUTED_VALUE"""),777.0)</f>
        <v/>
      </c>
      <c r="I567" s="2">
        <f>IFERROR(__xludf.DUMMYFUNCTION("""COMPUTED_VALUE"""),893.0)</f>
        <v/>
      </c>
      <c r="J567" s="2">
        <f>IFERROR(__xludf.DUMMYFUNCTION("""COMPUTED_VALUE"""),670.0)</f>
        <v/>
      </c>
      <c r="K567" s="2">
        <f>IFERROR(__xludf.DUMMYFUNCTION("""COMPUTED_VALUE"""),30.0)</f>
        <v/>
      </c>
      <c r="L567" s="2">
        <f>IFERROR(__xludf.DUMMYFUNCTION("""COMPUTED_VALUE"""),"Светильники светодиодные трековые TR-01, 02, 03, 04, 05, 06, 07, 08")</f>
        <v/>
      </c>
      <c r="M567" s="2">
        <f>IFERROR(__xludf.DUMMYFUNCTION("""COMPUTED_VALUE"""),"Трековые, LED Светильники")</f>
        <v/>
      </c>
    </row>
    <row r="568">
      <c r="A568" s="5">
        <f>IFERROR(__xludf.DUMMYFUNCTION("""COMPUTED_VALUE"""),"01-8202-10")</f>
        <v/>
      </c>
      <c r="B568" s="5">
        <f>IFERROR(__xludf.DUMMYFUNCTION("""COMPUTED_VALUE"""),"Кабель силовой медный ВВГ-Пнг(А) 2x2,5 мм , длина 10 метров, ГОСТ 31996-2012, ТУ 16-705.499-2010 REXANT")</f>
        <v/>
      </c>
      <c r="C568" s="2">
        <f>IFERROR(__xludf.DUMMYFUNCTION("""COMPUTED_VALUE"""),0.0)</f>
        <v/>
      </c>
      <c r="D568" s="2">
        <f>IFERROR(__xludf.DUMMYFUNCTION("""COMPUTED_VALUE"""),0.0)</f>
        <v/>
      </c>
      <c r="E568" s="2">
        <f>IFERROR(__xludf.DUMMYFUNCTION("""COMPUTED_VALUE"""),1.0)</f>
        <v/>
      </c>
      <c r="F568" s="2">
        <f>IFERROR(__xludf.DUMMYFUNCTION("""COMPUTED_VALUE"""),902.0)</f>
        <v/>
      </c>
      <c r="G568" s="2">
        <f>IFERROR(__xludf.DUMMYFUNCTION("""COMPUTED_VALUE"""),962.0)</f>
        <v/>
      </c>
      <c r="H568" s="2">
        <f>IFERROR(__xludf.DUMMYFUNCTION("""COMPUTED_VALUE"""),1082.0)</f>
        <v/>
      </c>
      <c r="I568" s="2">
        <f>IFERROR(__xludf.DUMMYFUNCTION("""COMPUTED_VALUE"""),1202.11)</f>
        <v/>
      </c>
      <c r="J568" s="2">
        <f>IFERROR(__xludf.DUMMYFUNCTION("""COMPUTED_VALUE"""),601.0)</f>
        <v/>
      </c>
      <c r="K568" s="2">
        <f>IFERROR(__xludf.DUMMYFUNCTION("""COMPUTED_VALUE"""),1.0)</f>
        <v/>
      </c>
      <c r="L568" s="2">
        <f>IFERROR(__xludf.DUMMYFUNCTION("""COMPUTED_VALUE"""),"Rexant")</f>
        <v/>
      </c>
      <c r="M568" s="2">
        <f>IFERROR(__xludf.DUMMYFUNCTION("""COMPUTED_VALUE"""),"Прочие товары")</f>
        <v/>
      </c>
    </row>
    <row r="569">
      <c r="A569" s="5">
        <f>IFERROR(__xludf.DUMMYFUNCTION("""COMPUTED_VALUE"""),"4690612015477")</f>
        <v/>
      </c>
      <c r="B569" s="5">
        <f>IFERROR(__xludf.DUMMYFUNCTION("""COMPUTED_VALUE"""),"LED-ШАР-standard 10Вт 230В Е27 3000К 900Лм ASD")</f>
        <v/>
      </c>
      <c r="C569" s="2">
        <f>IFERROR(__xludf.DUMMYFUNCTION("""COMPUTED_VALUE"""),0.04550000000000001)</f>
        <v/>
      </c>
      <c r="D569" s="2">
        <f>IFERROR(__xludf.DUMMYFUNCTION("""COMPUTED_VALUE"""),2.4E-4)</f>
        <v/>
      </c>
      <c r="E569" s="2">
        <f>IFERROR(__xludf.DUMMYFUNCTION("""COMPUTED_VALUE"""),48.02)</f>
        <v/>
      </c>
      <c r="F569" s="2">
        <f>IFERROR(__xludf.DUMMYFUNCTION("""COMPUTED_VALUE"""),40.0)</f>
        <v/>
      </c>
      <c r="G569" s="2">
        <f>IFERROR(__xludf.DUMMYFUNCTION("""COMPUTED_VALUE"""),45.0)</f>
        <v/>
      </c>
      <c r="H569" s="2">
        <f>IFERROR(__xludf.DUMMYFUNCTION("""COMPUTED_VALUE"""),52.0)</f>
        <v/>
      </c>
      <c r="I569" s="2">
        <f>IFERROR(__xludf.DUMMYFUNCTION("""COMPUTED_VALUE"""),60.5)</f>
        <v/>
      </c>
      <c r="J569" s="2">
        <f>IFERROR(__xludf.DUMMYFUNCTION("""COMPUTED_VALUE"""),30.0)</f>
        <v/>
      </c>
      <c r="K569" s="2">
        <f>IFERROR(__xludf.DUMMYFUNCTION("""COMPUTED_VALUE"""),9.0)</f>
        <v/>
      </c>
      <c r="L569" s="2">
        <f>IFERROR(__xludf.DUMMYFUNCTION("""COMPUTED_VALUE"""),"Лампа светодиодная LED-ШАР-standard")</f>
        <v/>
      </c>
      <c r="M569" s="2">
        <f>IFERROR(__xludf.DUMMYFUNCTION("""COMPUTED_VALUE"""),"Лампы")</f>
        <v/>
      </c>
    </row>
    <row r="570">
      <c r="A570" s="5">
        <f>IFERROR(__xludf.DUMMYFUNCTION("""COMPUTED_VALUE"""),"4690612029313")</f>
        <v/>
      </c>
      <c r="B570" s="5">
        <f>IFERROR(__xludf.DUMMYFUNCTION("""COMPUTED_VALUE"""),"Шинопровод однофазный R-1B-TL 1м черный серии TOP-LINE IN HOME")</f>
        <v/>
      </c>
      <c r="C570" s="2">
        <f>IFERROR(__xludf.DUMMYFUNCTION("""COMPUTED_VALUE"""),0.21667)</f>
        <v/>
      </c>
      <c r="D570" s="2">
        <f>IFERROR(__xludf.DUMMYFUNCTION("""COMPUTED_VALUE"""),6.000000000000001E-4)</f>
        <v/>
      </c>
      <c r="E570" s="2">
        <f>IFERROR(__xludf.DUMMYFUNCTION("""COMPUTED_VALUE"""),200.06)</f>
        <v/>
      </c>
      <c r="F570" s="2">
        <f>IFERROR(__xludf.DUMMYFUNCTION("""COMPUTED_VALUE"""),202.0)</f>
        <v/>
      </c>
      <c r="G570" s="2">
        <f>IFERROR(__xludf.DUMMYFUNCTION("""COMPUTED_VALUE"""),227.0)</f>
        <v/>
      </c>
      <c r="H570" s="2">
        <f>IFERROR(__xludf.DUMMYFUNCTION("""COMPUTED_VALUE"""),264.0)</f>
        <v/>
      </c>
      <c r="I570" s="2">
        <f>IFERROR(__xludf.DUMMYFUNCTION("""COMPUTED_VALUE"""),303.0)</f>
        <v/>
      </c>
      <c r="J570" s="2">
        <f>IFERROR(__xludf.DUMMYFUNCTION("""COMPUTED_VALUE"""),152.0)</f>
        <v/>
      </c>
      <c r="K570" s="2">
        <f>IFERROR(__xludf.DUMMYFUNCTION("""COMPUTED_VALUE"""),2.0)</f>
        <v/>
      </c>
      <c r="L570" s="2">
        <f>IFERROR(__xludf.DUMMYFUNCTION("""COMPUTED_VALUE"""),"Шинопровод и комплектующие")</f>
        <v/>
      </c>
      <c r="M570" s="2">
        <f>IFERROR(__xludf.DUMMYFUNCTION("""COMPUTED_VALUE"""),"Прочие товары")</f>
        <v/>
      </c>
    </row>
    <row r="571">
      <c r="A571" s="5">
        <f>IFERROR(__xludf.DUMMYFUNCTION("""COMPUTED_VALUE"""),"4690612042718-1")</f>
        <v/>
      </c>
      <c r="B571" s="5">
        <f>IFERROR(__xludf.DUMMYFUNCTION("""COMPUTED_VALUE"""),"ДВО-01 4040-ОПАЛ 40Вт 230В 4000К 3600Лм 180х1195х25мм NEOX (в индивидуальной упаковке)")</f>
        <v/>
      </c>
      <c r="C571" s="2">
        <f>IFERROR(__xludf.DUMMYFUNCTION("""COMPUTED_VALUE"""),0.0)</f>
        <v/>
      </c>
      <c r="D571" s="2">
        <f>IFERROR(__xludf.DUMMYFUNCTION("""COMPUTED_VALUE"""),0.0)</f>
        <v/>
      </c>
      <c r="E571" s="2">
        <f>IFERROR(__xludf.DUMMYFUNCTION("""COMPUTED_VALUE"""),673.61)</f>
        <v/>
      </c>
      <c r="F571" s="2">
        <f>IFERROR(__xludf.DUMMYFUNCTION("""COMPUTED_VALUE"""),739.0)</f>
        <v/>
      </c>
      <c r="G571" s="2">
        <f>IFERROR(__xludf.DUMMYFUNCTION("""COMPUTED_VALUE"""),862.0)</f>
        <v/>
      </c>
      <c r="H571" s="2">
        <f>IFERROR(__xludf.DUMMYFUNCTION("""COMPUTED_VALUE"""),970.0)</f>
        <v/>
      </c>
      <c r="I571" s="2">
        <f>IFERROR(__xludf.DUMMYFUNCTION("""COMPUTED_VALUE"""),1078.0)</f>
        <v/>
      </c>
      <c r="J571" s="2">
        <f>IFERROR(__xludf.DUMMYFUNCTION("""COMPUTED_VALUE"""),539.0)</f>
        <v/>
      </c>
      <c r="K571" s="2">
        <f>IFERROR(__xludf.DUMMYFUNCTION("""COMPUTED_VALUE"""),15.0)</f>
        <v/>
      </c>
      <c r="L571" s="2">
        <f>IFERROR(__xludf.DUMMYFUNCTION("""COMPUTED_VALUE"""),"NEOX Светильники LED ДВО - Опал производство, упаковка")</f>
        <v/>
      </c>
      <c r="M571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/>
      </c>
    </row>
    <row r="572">
      <c r="A572" s="5">
        <f>IFERROR(__xludf.DUMMYFUNCTION("""COMPUTED_VALUE"""),"4690612020402")</f>
        <v/>
      </c>
      <c r="B572" s="5">
        <f>IFERROR(__xludf.DUMMYFUNCTION("""COMPUTED_VALUE"""),"LED-СВЕЧА-VC 6Вт 230В Е27 3000К 570Лм IN HOME")</f>
        <v/>
      </c>
      <c r="C572" s="2">
        <f>IFERROR(__xludf.DUMMYFUNCTION("""COMPUTED_VALUE"""),0.027)</f>
        <v/>
      </c>
      <c r="D572" s="2">
        <f>IFERROR(__xludf.DUMMYFUNCTION("""COMPUTED_VALUE"""),1.9E-4)</f>
        <v/>
      </c>
      <c r="E572" s="2">
        <f>IFERROR(__xludf.DUMMYFUNCTION("""COMPUTED_VALUE"""),33.09)</f>
        <v/>
      </c>
      <c r="F572" s="2">
        <f>IFERROR(__xludf.DUMMYFUNCTION("""COMPUTED_VALUE"""),39.0)</f>
        <v/>
      </c>
      <c r="G572" s="2">
        <f>IFERROR(__xludf.DUMMYFUNCTION("""COMPUTED_VALUE"""),44.0)</f>
        <v/>
      </c>
      <c r="H572" s="2">
        <f>IFERROR(__xludf.DUMMYFUNCTION("""COMPUTED_VALUE"""),50.0)</f>
        <v/>
      </c>
      <c r="I572" s="2">
        <f>IFERROR(__xludf.DUMMYFUNCTION("""COMPUTED_VALUE"""),58.5)</f>
        <v/>
      </c>
      <c r="J572" s="2">
        <f>IFERROR(__xludf.DUMMYFUNCTION("""COMPUTED_VALUE"""),29.0)</f>
        <v/>
      </c>
      <c r="K572" s="2">
        <f>IFERROR(__xludf.DUMMYFUNCTION("""COMPUTED_VALUE"""),7.0)</f>
        <v/>
      </c>
      <c r="L572" s="2">
        <f>IFERROR(__xludf.DUMMYFUNCTION("""COMPUTED_VALUE"""),"Лампа светодиодная LED-СВЕЧА-standard")</f>
        <v/>
      </c>
      <c r="M572" s="2">
        <f>IFERROR(__xludf.DUMMYFUNCTION("""COMPUTED_VALUE"""),"Лампы")</f>
        <v/>
      </c>
    </row>
    <row r="573">
      <c r="A573" s="5">
        <f>IFERROR(__xludf.DUMMYFUNCTION("""COMPUTED_VALUE"""),"00863")</f>
        <v/>
      </c>
      <c r="B573" s="5">
        <f>IFERROR(__xludf.DUMMYFUNCTION("""COMPUTED_VALUE"""),"TLWP236 PC ECP")</f>
        <v/>
      </c>
      <c r="C573" s="2">
        <f>IFERROR(__xludf.DUMMYFUNCTION("""COMPUTED_VALUE"""),2.325)</f>
        <v/>
      </c>
      <c r="D573" s="2">
        <f>IFERROR(__xludf.DUMMYFUNCTION("""COMPUTED_VALUE"""),0.01482)</f>
        <v/>
      </c>
      <c r="E573" s="2">
        <f>IFERROR(__xludf.DUMMYFUNCTION("""COMPUTED_VALUE"""),686.04)</f>
        <v/>
      </c>
      <c r="F573" s="2">
        <f>IFERROR(__xludf.DUMMYFUNCTION("""COMPUTED_VALUE"""),859.0)</f>
        <v/>
      </c>
      <c r="G573" s="2">
        <f>IFERROR(__xludf.DUMMYFUNCTION("""COMPUTED_VALUE"""),970.0)</f>
        <v/>
      </c>
      <c r="H573" s="2">
        <f>IFERROR(__xludf.DUMMYFUNCTION("""COMPUTED_VALUE"""),992.0)</f>
        <v/>
      </c>
      <c r="I573" s="2">
        <f>IFERROR(__xludf.DUMMYFUNCTION("""COMPUTED_VALUE"""),1210.0)</f>
        <v/>
      </c>
      <c r="J573" s="2">
        <f>IFERROR(__xludf.DUMMYFUNCTION("""COMPUTED_VALUE"""),605.0)</f>
        <v/>
      </c>
      <c r="K573" s="2">
        <f>IFERROR(__xludf.DUMMYFUNCTION("""COMPUTED_VALUE"""),1.0)</f>
        <v/>
      </c>
      <c r="L573" s="2">
        <f>IFERROR(__xludf.DUMMYFUNCTION("""COMPUTED_VALUE"""),"Технолюкс Ламповые TLWP (IP65)")</f>
        <v/>
      </c>
      <c r="M573" s="2">
        <f>IFERROR(__xludf.DUMMYFUNCTION("""COMPUTED_VALUE"""),"Ламповые светильники")</f>
        <v/>
      </c>
    </row>
    <row r="574">
      <c r="A574" s="5">
        <f>IFERROR(__xludf.DUMMYFUNCTION("""COMPUTED_VALUE"""),"4260708174656")</f>
        <v/>
      </c>
      <c r="B574" s="5">
        <f>IFERROR(__xludf.DUMMYFUNCTION("""COMPUTED_VALUE"""),"WFL-30W/06S")</f>
        <v/>
      </c>
      <c r="C574" s="2">
        <f>IFERROR(__xludf.DUMMYFUNCTION("""COMPUTED_VALUE"""),0.336)</f>
        <v/>
      </c>
      <c r="D574" s="2">
        <f>IFERROR(__xludf.DUMMYFUNCTION("""COMPUTED_VALUE"""),0.03588)</f>
        <v/>
      </c>
      <c r="E574" s="2">
        <f>IFERROR(__xludf.DUMMYFUNCTION("""COMPUTED_VALUE"""),1076.56)</f>
        <v/>
      </c>
      <c r="F574" s="2">
        <f>IFERROR(__xludf.DUMMYFUNCTION("""COMPUTED_VALUE"""),1201.0)</f>
        <v/>
      </c>
      <c r="G574" s="2">
        <f>IFERROR(__xludf.DUMMYFUNCTION("""COMPUTED_VALUE"""),1242.0)</f>
        <v/>
      </c>
      <c r="H574" s="2">
        <f>IFERROR(__xludf.DUMMYFUNCTION("""COMPUTED_VALUE"""),1629.0)</f>
        <v/>
      </c>
      <c r="I574" s="2">
        <f>IFERROR(__xludf.DUMMYFUNCTION("""COMPUTED_VALUE"""),2036.0)</f>
        <v/>
      </c>
      <c r="J574" s="2">
        <f>IFERROR(__xludf.DUMMYFUNCTION("""COMPUTED_VALUE"""),1629.0)</f>
        <v/>
      </c>
      <c r="K574" s="2">
        <f>IFERROR(__xludf.DUMMYFUNCTION("""COMPUTED_VALUE"""),50.0)</f>
        <v/>
      </c>
      <c r="L574" s="2">
        <f>IFERROR(__xludf.DUMMYFUNCTION("""COMPUTED_VALUE"""),"Wolta прожекторы")</f>
        <v/>
      </c>
      <c r="M574" s="2">
        <f>IFERROR(__xludf.DUMMYFUNCTION("""COMPUTED_VALUE"""),"Прожекторы (LED), LED Светильники")</f>
        <v/>
      </c>
    </row>
    <row r="575">
      <c r="A575" s="5">
        <f>IFERROR(__xludf.DUMMYFUNCTION("""COMPUTED_VALUE"""),"4690612035116")</f>
        <v/>
      </c>
      <c r="B575" s="5">
        <f>IFERROR(__xludf.DUMMYFUNCTION("""COMPUTED_VALUE"""),"COMFORT Loft-B 75Вт 230В 3000-6500K 6000Лм 500x100мм с пультом ДУ IN HOME")</f>
        <v/>
      </c>
      <c r="C575" s="2">
        <f>IFERROR(__xludf.DUMMYFUNCTION("""COMPUTED_VALUE"""),1.72)</f>
        <v/>
      </c>
      <c r="D575" s="2">
        <f>IFERROR(__xludf.DUMMYFUNCTION("""COMPUTED_VALUE"""),0.03)</f>
        <v/>
      </c>
      <c r="E575" s="2">
        <f>IFERROR(__xludf.DUMMYFUNCTION("""COMPUTED_VALUE"""),2219.49)</f>
        <v/>
      </c>
      <c r="F575" s="2">
        <f>IFERROR(__xludf.DUMMYFUNCTION("""COMPUTED_VALUE"""),1518.0)</f>
        <v/>
      </c>
      <c r="G575" s="2">
        <f>IFERROR(__xludf.DUMMYFUNCTION("""COMPUTED_VALUE"""),1708.0)</f>
        <v/>
      </c>
      <c r="H575" s="2">
        <f>IFERROR(__xludf.DUMMYFUNCTION("""COMPUTED_VALUE"""),1981.0)</f>
        <v/>
      </c>
      <c r="I575" s="2">
        <f>IFERROR(__xludf.DUMMYFUNCTION("""COMPUTED_VALUE"""),2277.0)</f>
        <v/>
      </c>
      <c r="J575" s="2">
        <f>IFERROR(__xludf.DUMMYFUNCTION("""COMPUTED_VALUE"""),1139.0)</f>
        <v/>
      </c>
      <c r="K575" s="2">
        <f>IFERROR(__xludf.DUMMYFUNCTION("""COMPUTED_VALUE"""),1.0)</f>
        <v/>
      </c>
      <c r="L575" s="2">
        <f>IFERROR(__xludf.DUMMYFUNCTION("""COMPUTED_VALUE"""),"Светильники светодиодные COMFORT")</f>
        <v/>
      </c>
      <c r="M575" s="2">
        <f>IFERROR(__xludf.DUMMYFUNCTION("""COMPUTED_VALUE"""),"Накладные, Декоративные, LED Светильники")</f>
        <v/>
      </c>
    </row>
    <row r="576">
      <c r="A576" s="5">
        <f>IFERROR(__xludf.DUMMYFUNCTION("""COMPUTED_VALUE"""),"4690612037417")</f>
        <v/>
      </c>
      <c r="B576" s="5">
        <f>IFERROR(__xludf.DUMMYFUNCTION("""COMPUTED_VALUE"""),"DECO 36Вт 230В 6500К 2340Лм 350х55мм АВРОРА IN HOME")</f>
        <v/>
      </c>
      <c r="C576" s="2">
        <f>IFERROR(__xludf.DUMMYFUNCTION("""COMPUTED_VALUE"""),0.6100000000000001)</f>
        <v/>
      </c>
      <c r="D576" s="2">
        <f>IFERROR(__xludf.DUMMYFUNCTION("""COMPUTED_VALUE"""),0.009500000000000001)</f>
        <v/>
      </c>
      <c r="E576" s="2">
        <f>IFERROR(__xludf.DUMMYFUNCTION("""COMPUTED_VALUE"""),471.25)</f>
        <v/>
      </c>
      <c r="F576" s="2">
        <f>IFERROR(__xludf.DUMMYFUNCTION("""COMPUTED_VALUE"""),520.0)</f>
        <v/>
      </c>
      <c r="G576" s="2">
        <f>IFERROR(__xludf.DUMMYFUNCTION("""COMPUTED_VALUE"""),585.0)</f>
        <v/>
      </c>
      <c r="H576" s="2">
        <f>IFERROR(__xludf.DUMMYFUNCTION("""COMPUTED_VALUE"""),679.0)</f>
        <v/>
      </c>
      <c r="I576" s="2">
        <f>IFERROR(__xludf.DUMMYFUNCTION("""COMPUTED_VALUE"""),780.0)</f>
        <v/>
      </c>
      <c r="J576" s="2">
        <f>IFERROR(__xludf.DUMMYFUNCTION("""COMPUTED_VALUE"""),390.0)</f>
        <v/>
      </c>
      <c r="K576" s="2">
        <f>IFERROR(__xludf.DUMMYFUNCTION("""COMPUTED_VALUE"""),2.0)</f>
        <v/>
      </c>
      <c r="L576" s="2">
        <f>IFERROR(__xludf.DUMMYFUNCTION("""COMPUTED_VALUE"""),"Светильник светодиодный серии DECO")</f>
        <v/>
      </c>
      <c r="M576" s="2">
        <f>IFERROR(__xludf.DUMMYFUNCTION("""COMPUTED_VALUE"""),"Накладные, Декоративные, LED Светильники")</f>
        <v/>
      </c>
    </row>
    <row r="577">
      <c r="A577" s="5">
        <f>IFERROR(__xludf.DUMMYFUNCTION("""COMPUTED_VALUE"""),"GL5136")</f>
        <v/>
      </c>
      <c r="B577" s="5">
        <f>IFERROR(__xludf.DUMMYFUNCTION("""COMPUTED_VALUE"""),"GLERIO Practical Галочка 64 Вт 5000K 6A-64D-5U-21G")</f>
        <v/>
      </c>
      <c r="C577" s="2">
        <f>IFERROR(__xludf.DUMMYFUNCTION("""COMPUTED_VALUE"""),1.4)</f>
        <v/>
      </c>
      <c r="D577" s="2">
        <f>IFERROR(__xludf.DUMMYFUNCTION("""COMPUTED_VALUE"""),0.004430000000000001)</f>
        <v/>
      </c>
      <c r="E577" s="2">
        <f>IFERROR(__xludf.DUMMYFUNCTION("""COMPUTED_VALUE"""),2550.0)</f>
        <v/>
      </c>
      <c r="F577" s="2">
        <f>IFERROR(__xludf.DUMMYFUNCTION("""COMPUTED_VALUE"""),3200.0)</f>
        <v/>
      </c>
      <c r="G577" s="2">
        <f>IFERROR(__xludf.DUMMYFUNCTION("""COMPUTED_VALUE"""),4000.0)</f>
        <v/>
      </c>
      <c r="H577" s="2">
        <f>IFERROR(__xludf.DUMMYFUNCTION("""COMPUTED_VALUE"""),4500.0)</f>
        <v/>
      </c>
      <c r="I577" s="2">
        <f>IFERROR(__xludf.DUMMYFUNCTION("""COMPUTED_VALUE"""),5000.0)</f>
        <v/>
      </c>
      <c r="J577" s="2">
        <f>IFERROR(__xludf.DUMMYFUNCTION("""COMPUTED_VALUE"""),4000.0)</f>
        <v/>
      </c>
      <c r="K577" s="2">
        <f>IFERROR(__xludf.DUMMYFUNCTION("""COMPUTED_VALUE"""),1.0)</f>
        <v/>
      </c>
      <c r="L577" s="2">
        <f>IFERROR(__xludf.DUMMYFUNCTION("""COMPUTED_VALUE"""),"Practical Уличные GLERIO до 10.2025")</f>
        <v/>
      </c>
      <c r="M577" s="2">
        <f>IFERROR(__xludf.DUMMYFUNCTION("""COMPUTED_VALUE"""),"Для обычных дорог, LED Светильники")</f>
        <v/>
      </c>
    </row>
    <row r="578">
      <c r="A578" s="5">
        <f>IFERROR(__xludf.DUMMYFUNCTION("""COMPUTED_VALUE"""),"4690612042701")</f>
        <v/>
      </c>
      <c r="B578" s="5">
        <f>IFERROR(__xludf.DUMMYFUNCTION("""COMPUTED_VALUE"""),"ДВО-01 3640-ПРИЗМА 36 Вт 230В 4000K 3600Лм 180х1195х19мм NEOX")</f>
        <v/>
      </c>
      <c r="C578" s="2">
        <f>IFERROR(__xludf.DUMMYFUNCTION("""COMPUTED_VALUE"""),4.800000000000001)</f>
        <v/>
      </c>
      <c r="D578" s="2">
        <f>IFERROR(__xludf.DUMMYFUNCTION("""COMPUTED_VALUE"""),0.021)</f>
        <v/>
      </c>
      <c r="E578" s="2">
        <f>IFERROR(__xludf.DUMMYFUNCTION("""COMPUTED_VALUE"""),472.37)</f>
        <v/>
      </c>
      <c r="F578" s="2">
        <f>IFERROR(__xludf.DUMMYFUNCTION("""COMPUTED_VALUE"""),620.0)</f>
        <v/>
      </c>
      <c r="G578" s="2">
        <f>IFERROR(__xludf.DUMMYFUNCTION("""COMPUTED_VALUE"""),698.0)</f>
        <v/>
      </c>
      <c r="H578" s="2">
        <f>IFERROR(__xludf.DUMMYFUNCTION("""COMPUTED_VALUE"""),809.0)</f>
        <v/>
      </c>
      <c r="I578" s="2">
        <f>IFERROR(__xludf.DUMMYFUNCTION("""COMPUTED_VALUE"""),930.0)</f>
        <v/>
      </c>
      <c r="J578" s="2">
        <f>IFERROR(__xludf.DUMMYFUNCTION("""COMPUTED_VALUE"""),465.0)</f>
        <v/>
      </c>
      <c r="K578" s="2">
        <f>IFERROR(__xludf.DUMMYFUNCTION("""COMPUTED_VALUE"""),10.0)</f>
        <v/>
      </c>
      <c r="L578" s="2">
        <f>IFERROR(__xludf.DUMMYFUNCTION("""COMPUTED_VALUE"""),"NEOX Светильники LED ДВО")</f>
        <v/>
      </c>
      <c r="M578" s="2">
        <f>IFERROR(__xludf.DUMMYFUNCTION("""COMPUTED_VALUE"""),"Светильники общего назначения (LED), Встраиваемые, Накладные, Встраиваемые, LED Светильники")</f>
        <v/>
      </c>
    </row>
    <row r="579">
      <c r="A579" s="5">
        <f>IFERROR(__xludf.DUMMYFUNCTION("""COMPUTED_VALUE"""),"12-0141")</f>
        <v/>
      </c>
      <c r="B579" s="5">
        <f>IFERROR(__xludf.DUMMYFUNCTION("""COMPUTED_VALUE"""),"Паяльная станция (150-450 град.) 220 V/48 Вт REXANT")</f>
        <v/>
      </c>
      <c r="C579" s="2">
        <f>IFERROR(__xludf.DUMMYFUNCTION("""COMPUTED_VALUE"""),0.0)</f>
        <v/>
      </c>
      <c r="D579" s="2">
        <f>IFERROR(__xludf.DUMMYFUNCTION("""COMPUTED_VALUE"""),0.0)</f>
        <v/>
      </c>
      <c r="E579" s="2">
        <f>IFERROR(__xludf.DUMMYFUNCTION("""COMPUTED_VALUE"""),1.0)</f>
        <v/>
      </c>
      <c r="F579" s="2">
        <f>IFERROR(__xludf.DUMMYFUNCTION("""COMPUTED_VALUE"""),4881.0)</f>
        <v/>
      </c>
      <c r="G579" s="2">
        <f>IFERROR(__xludf.DUMMYFUNCTION("""COMPUTED_VALUE"""),5207.0)</f>
        <v/>
      </c>
      <c r="H579" s="2">
        <f>IFERROR(__xludf.DUMMYFUNCTION("""COMPUTED_VALUE"""),5858.0)</f>
        <v/>
      </c>
      <c r="I579" s="2">
        <f>IFERROR(__xludf.DUMMYFUNCTION("""COMPUTED_VALUE"""),6508.56)</f>
        <v/>
      </c>
      <c r="J579" s="2">
        <f>IFERROR(__xludf.DUMMYFUNCTION("""COMPUTED_VALUE"""),3254.0)</f>
        <v/>
      </c>
      <c r="K579" s="2">
        <f>IFERROR(__xludf.DUMMYFUNCTION("""COMPUTED_VALUE"""),2.0)</f>
        <v/>
      </c>
      <c r="L579" s="2">
        <f>IFERROR(__xludf.DUMMYFUNCTION("""COMPUTED_VALUE"""),"Rexant")</f>
        <v/>
      </c>
      <c r="M579" s="2">
        <f>IFERROR(__xludf.DUMMYFUNCTION("""COMPUTED_VALUE"""),"Прочие товары")</f>
        <v/>
      </c>
    </row>
    <row r="580">
      <c r="A580" s="5">
        <f>IFERROR(__xludf.DUMMYFUNCTION("""COMPUTED_VALUE"""),"G23225")</f>
        <v/>
      </c>
      <c r="B580" s="5">
        <f>IFERROR(__xludf.DUMMYFUNCTION("""COMPUTED_VALUE"""),"Elementary A60 15W E27 4100K 1/10/50")</f>
        <v/>
      </c>
      <c r="C580" s="2">
        <f>IFERROR(__xludf.DUMMYFUNCTION("""COMPUTED_VALUE"""),0.0)</f>
        <v/>
      </c>
      <c r="D580" s="2">
        <f>IFERROR(__xludf.DUMMYFUNCTION("""COMPUTED_VALUE"""),0.0)</f>
        <v/>
      </c>
      <c r="E580" s="2">
        <f>IFERROR(__xludf.DUMMYFUNCTION("""COMPUTED_VALUE"""),114.99)</f>
        <v/>
      </c>
      <c r="F580" s="2">
        <f>IFERROR(__xludf.DUMMYFUNCTION("""COMPUTED_VALUE"""),125.0)</f>
        <v/>
      </c>
      <c r="G580" s="2">
        <f>IFERROR(__xludf.DUMMYFUNCTION("""COMPUTED_VALUE"""),138.0)</f>
        <v/>
      </c>
      <c r="H580" s="2">
        <f>IFERROR(__xludf.DUMMYFUNCTION("""COMPUTED_VALUE"""),162.0)</f>
        <v/>
      </c>
      <c r="I580" s="2">
        <f>IFERROR(__xludf.DUMMYFUNCTION("""COMPUTED_VALUE"""),205.0)</f>
        <v/>
      </c>
      <c r="J580" s="2">
        <f>IFERROR(__xludf.DUMMYFUNCTION("""COMPUTED_VALUE"""),103.0)</f>
        <v/>
      </c>
      <c r="K580" s="2">
        <f>IFERROR(__xludf.DUMMYFUNCTION("""COMPUTED_VALUE"""),10.0)</f>
        <v/>
      </c>
      <c r="L580" s="2">
        <f>IFERROR(__xludf.DUMMYFUNCTION("""COMPUTED_VALUE"""),"ЛОН")</f>
        <v/>
      </c>
      <c r="M580" s="2">
        <f>IFERROR(__xludf.DUMMYFUNCTION("""COMPUTED_VALUE"""),"Лампы")</f>
        <v/>
      </c>
    </row>
    <row r="581">
      <c r="A581" s="5">
        <f>IFERROR(__xludf.DUMMYFUNCTION("""COMPUTED_VALUE"""),"4690612020594")</f>
        <v/>
      </c>
      <c r="B581" s="5">
        <f>IFERROR(__xludf.DUMMYFUNCTION("""COMPUTED_VALUE"""),"LED-ШАР-VC 11Вт 230В Е14 4000К 1050Лм IN HOME")</f>
        <v/>
      </c>
      <c r="C581" s="2">
        <f>IFERROR(__xludf.DUMMYFUNCTION("""COMPUTED_VALUE"""),0.036)</f>
        <v/>
      </c>
      <c r="D581" s="2">
        <f>IFERROR(__xludf.DUMMYFUNCTION("""COMPUTED_VALUE"""),2.4E-4)</f>
        <v/>
      </c>
      <c r="E581" s="2">
        <f>IFERROR(__xludf.DUMMYFUNCTION("""COMPUTED_VALUE"""),40.2)</f>
        <v/>
      </c>
      <c r="F581" s="2">
        <f>IFERROR(__xludf.DUMMYFUNCTION("""COMPUTED_VALUE"""),46.0)</f>
        <v/>
      </c>
      <c r="G581" s="2">
        <f>IFERROR(__xludf.DUMMYFUNCTION("""COMPUTED_VALUE"""),52.0)</f>
        <v/>
      </c>
      <c r="H581" s="2">
        <f>IFERROR(__xludf.DUMMYFUNCTION("""COMPUTED_VALUE"""),60.0)</f>
        <v/>
      </c>
      <c r="I581" s="2">
        <f>IFERROR(__xludf.DUMMYFUNCTION("""COMPUTED_VALUE"""),69.8)</f>
        <v/>
      </c>
      <c r="J581" s="2">
        <f>IFERROR(__xludf.DUMMYFUNCTION("""COMPUTED_VALUE"""),35.0)</f>
        <v/>
      </c>
      <c r="K581" s="2">
        <f>IFERROR(__xludf.DUMMYFUNCTION("""COMPUTED_VALUE"""),89.0)</f>
        <v/>
      </c>
      <c r="L581" s="2">
        <f>IFERROR(__xludf.DUMMYFUNCTION("""COMPUTED_VALUE"""),"Лампа светодиодная LED-ШАР-standard")</f>
        <v/>
      </c>
      <c r="M581" s="2">
        <f>IFERROR(__xludf.DUMMYFUNCTION("""COMPUTED_VALUE"""),"Лампы")</f>
        <v/>
      </c>
    </row>
    <row r="582">
      <c r="A582" s="5">
        <f>IFERROR(__xludf.DUMMYFUNCTION("""COMPUTED_VALUE"""),"БПviled32Вт")</f>
        <v/>
      </c>
      <c r="B582" s="5">
        <f>IFERROR(__xludf.DUMMYFUNCTION("""COMPUTED_VALUE"""),"Блок питания viled 32 Вт")</f>
        <v/>
      </c>
      <c r="C582" s="2">
        <f>IFERROR(__xludf.DUMMYFUNCTION("""COMPUTED_VALUE"""),0.0)</f>
        <v/>
      </c>
      <c r="D582" s="2">
        <f>IFERROR(__xludf.DUMMYFUNCTION("""COMPUTED_VALUE"""),0.0)</f>
        <v/>
      </c>
      <c r="E582" s="2">
        <f>IFERROR(__xludf.DUMMYFUNCTION("""COMPUTED_VALUE"""),420.0)</f>
        <v/>
      </c>
      <c r="F582" s="2">
        <f>IFERROR(__xludf.DUMMYFUNCTION("""COMPUTED_VALUE"""),0.0)</f>
        <v/>
      </c>
      <c r="G582" s="2">
        <f>IFERROR(__xludf.DUMMYFUNCTION("""COMPUTED_VALUE"""),1.0)</f>
        <v/>
      </c>
      <c r="H582" s="2">
        <f>IFERROR(__xludf.DUMMYFUNCTION("""COMPUTED_VALUE"""),1.0)</f>
        <v/>
      </c>
      <c r="I582" s="2">
        <f>IFERROR(__xludf.DUMMYFUNCTION("""COMPUTED_VALUE"""),1.5)</f>
        <v/>
      </c>
      <c r="J582" s="2">
        <f>IFERROR(__xludf.DUMMYFUNCTION("""COMPUTED_VALUE"""),1.5)</f>
        <v/>
      </c>
      <c r="K582" s="2">
        <f>IFERROR(__xludf.DUMMYFUNCTION("""COMPUTED_VALUE"""),1.0)</f>
        <v/>
      </c>
      <c r="L582" s="2">
        <f>IFERROR(__xludf.DUMMYFUNCTION("""COMPUTED_VALUE"""),"ViLED Комплектующие")</f>
        <v/>
      </c>
      <c r="M582" s="2">
        <f>IFERROR(__xludf.DUMMYFUNCTION("""COMPUTED_VALUE"""),"Прочие товары")</f>
        <v/>
      </c>
    </row>
    <row r="583">
      <c r="A583" s="5">
        <f>IFERROR(__xludf.DUMMYFUNCTION("""COMPUTED_VALUE"""),"R100297")</f>
        <v/>
      </c>
      <c r="B583" s="5">
        <f>IFERROR(__xludf.DUMMYFUNCTION("""COMPUTED_VALUE"""),"RSV-SPP-20W-6500K-IP65")</f>
        <v/>
      </c>
      <c r="C583" s="2">
        <f>IFERROR(__xludf.DUMMYFUNCTION("""COMPUTED_VALUE"""),0.405)</f>
        <v/>
      </c>
      <c r="D583" s="2">
        <f>IFERROR(__xludf.DUMMYFUNCTION("""COMPUTED_VALUE"""),0.00608)</f>
        <v/>
      </c>
      <c r="E583" s="2">
        <f>IFERROR(__xludf.DUMMYFUNCTION("""COMPUTED_VALUE"""),240.9)</f>
        <v/>
      </c>
      <c r="F583" s="2">
        <f>IFERROR(__xludf.DUMMYFUNCTION("""COMPUTED_VALUE"""),232.0)</f>
        <v/>
      </c>
      <c r="G583" s="2">
        <f>IFERROR(__xludf.DUMMYFUNCTION("""COMPUTED_VALUE"""),273.0)</f>
        <v/>
      </c>
      <c r="H583" s="2">
        <f>IFERROR(__xludf.DUMMYFUNCTION("""COMPUTED_VALUE"""),281.0)</f>
        <v/>
      </c>
      <c r="I583" s="2">
        <f>IFERROR(__xludf.DUMMYFUNCTION("""COMPUTED_VALUE"""),324.0)</f>
        <v/>
      </c>
      <c r="J583" s="2">
        <f>IFERROR(__xludf.DUMMYFUNCTION("""COMPUTED_VALUE"""),162.0)</f>
        <v/>
      </c>
      <c r="K583" s="2">
        <f>IFERROR(__xludf.DUMMYFUNCTION("""COMPUTED_VALUE"""),1.0)</f>
        <v/>
      </c>
      <c r="L583" s="2">
        <f>IFERROR(__xludf.DUMMYFUNCTION("""COMPUTED_VALUE"""),"ЖКХ светильники RSV")</f>
        <v/>
      </c>
      <c r="M583" s="2">
        <f>IFERROR(__xludf.DUMMYFUNCTION("""COMPUTED_VALUE"""),"Без датчиков, LED Светильники")</f>
        <v/>
      </c>
    </row>
    <row r="584">
      <c r="A584" s="5">
        <f>IFERROR(__xludf.DUMMYFUNCTION("""COMPUTED_VALUE"""),"11700006")</f>
        <v/>
      </c>
      <c r="B584" s="5">
        <f>IFERROR(__xludf.DUMMYFUNCTION("""COMPUTED_VALUE"""),"BENEFIT KOMFORT 595x595 OP 4000К 40Вт")</f>
        <v/>
      </c>
      <c r="C584" s="2">
        <f>IFERROR(__xludf.DUMMYFUNCTION("""COMPUTED_VALUE"""),2.0)</f>
        <v/>
      </c>
      <c r="D584" s="2">
        <f>IFERROR(__xludf.DUMMYFUNCTION("""COMPUTED_VALUE"""),0.004430000000000001)</f>
        <v/>
      </c>
      <c r="E584" s="2">
        <f>IFERROR(__xludf.DUMMYFUNCTION("""COMPUTED_VALUE"""),2599.5)</f>
        <v/>
      </c>
      <c r="F584" s="2">
        <f>IFERROR(__xludf.DUMMYFUNCTION("""COMPUTED_VALUE"""),3717.0)</f>
        <v/>
      </c>
      <c r="G584" s="2">
        <f>IFERROR(__xludf.DUMMYFUNCTION("""COMPUTED_VALUE"""),4159.0)</f>
        <v/>
      </c>
      <c r="H584" s="2">
        <f>IFERROR(__xludf.DUMMYFUNCTION("""COMPUTED_VALUE"""),4679.0)</f>
        <v/>
      </c>
      <c r="I584" s="2">
        <f>IFERROR(__xludf.DUMMYFUNCTION("""COMPUTED_VALUE"""),5199.0)</f>
        <v/>
      </c>
      <c r="J584" s="2">
        <f>IFERROR(__xludf.DUMMYFUNCTION("""COMPUTED_VALUE"""),2600.0)</f>
        <v/>
      </c>
      <c r="K584" s="2">
        <f>IFERROR(__xludf.DUMMYFUNCTION("""COMPUTED_VALUE"""),1.0)</f>
        <v/>
      </c>
      <c r="L584" s="2">
        <f>IFERROR(__xludf.DUMMYFUNCTION("""COMPUTED_VALUE"""),"LEDOS Офисное освещение")</f>
        <v/>
      </c>
      <c r="M584" s="2">
        <f>IFERROR(__xludf.DUMMYFUNCTION("""COMPUTED_VALUE"""),"С равномерной засветкой, С равномерной засветкой, LED Светильники")</f>
        <v/>
      </c>
    </row>
    <row r="585">
      <c r="A585" s="5">
        <f>IFERROR(__xludf.DUMMYFUNCTION("""COMPUTED_VALUE"""),"NVAS010")</f>
        <v/>
      </c>
      <c r="B585" s="5">
        <f>IFERROR(__xludf.DUMMYFUNCTION("""COMPUTED_VALUE"""),"Светодиодный светильник серии Профи Лайт 45Вт")</f>
        <v/>
      </c>
      <c r="C585" s="2">
        <f>IFERROR(__xludf.DUMMYFUNCTION("""COMPUTED_VALUE"""),0.0)</f>
        <v/>
      </c>
      <c r="D585" s="2">
        <f>IFERROR(__xludf.DUMMYFUNCTION("""COMPUTED_VALUE"""),0.0)</f>
        <v/>
      </c>
      <c r="E585" s="2">
        <f>IFERROR(__xludf.DUMMYFUNCTION("""COMPUTED_VALUE"""),9480.0)</f>
        <v/>
      </c>
      <c r="F585" s="2">
        <f>IFERROR(__xludf.DUMMYFUNCTION("""COMPUTED_VALUE"""),4355.0)</f>
        <v/>
      </c>
      <c r="G585" s="2">
        <f>IFERROR(__xludf.DUMMYFUNCTION("""COMPUTED_VALUE"""),4646.0)</f>
        <v/>
      </c>
      <c r="H585" s="2">
        <f>IFERROR(__xludf.DUMMYFUNCTION("""COMPUTED_VALUE"""),5226.0)</f>
        <v/>
      </c>
      <c r="I585" s="2">
        <f>IFERROR(__xludf.DUMMYFUNCTION("""COMPUTED_VALUE"""),5806.91)</f>
        <v/>
      </c>
      <c r="J585" s="2">
        <f>IFERROR(__xludf.DUMMYFUNCTION("""COMPUTED_VALUE"""),5806.91)</f>
        <v/>
      </c>
      <c r="K585" s="2">
        <f>IFERROR(__xludf.DUMMYFUNCTION("""COMPUTED_VALUE"""),0.0)</f>
        <v/>
      </c>
      <c r="L585" s="2">
        <f>IFERROR(__xludf.DUMMYFUNCTION("""COMPUTED_VALUE"""),"NVAS (тендер)")</f>
        <v/>
      </c>
      <c r="M585" s="2">
        <f>IFERROR(__xludf.DUMMYFUNCTION("""COMPUTED_VALUE"""),"LED Светильники")</f>
        <v/>
      </c>
    </row>
    <row r="586">
      <c r="A586" s="5">
        <f>IFERROR(__xludf.DUMMYFUNCTION("""COMPUTED_VALUE"""),"4690612009070")</f>
        <v/>
      </c>
      <c r="B586" s="5">
        <f>IFERROR(__xludf.DUMMYFUNCTION("""COMPUTED_VALUE"""),"Штепсельное гнездо (розетка кабельная) 10А белое 4152 IN HOME")</f>
        <v/>
      </c>
      <c r="C586" s="2">
        <f>IFERROR(__xludf.DUMMYFUNCTION("""COMPUTED_VALUE"""),0.04)</f>
        <v/>
      </c>
      <c r="D586" s="2">
        <f>IFERROR(__xludf.DUMMYFUNCTION("""COMPUTED_VALUE"""),2.2E-4)</f>
        <v/>
      </c>
      <c r="E586" s="2">
        <f>IFERROR(__xludf.DUMMYFUNCTION("""COMPUTED_VALUE"""),18.5)</f>
        <v/>
      </c>
      <c r="F586" s="2">
        <f>IFERROR(__xludf.DUMMYFUNCTION("""COMPUTED_VALUE"""),24.0)</f>
        <v/>
      </c>
      <c r="G586" s="2">
        <f>IFERROR(__xludf.DUMMYFUNCTION("""COMPUTED_VALUE"""),27.0)</f>
        <v/>
      </c>
      <c r="H586" s="2">
        <f>IFERROR(__xludf.DUMMYFUNCTION("""COMPUTED_VALUE"""),31.0)</f>
        <v/>
      </c>
      <c r="I586" s="2">
        <f>IFERROR(__xludf.DUMMYFUNCTION("""COMPUTED_VALUE"""),36.0)</f>
        <v/>
      </c>
      <c r="J586" s="2">
        <f>IFERROR(__xludf.DUMMYFUNCTION("""COMPUTED_VALUE"""),18.0)</f>
        <v/>
      </c>
      <c r="K586" s="2">
        <f>IFERROR(__xludf.DUMMYFUNCTION("""COMPUTED_VALUE"""),20.0)</f>
        <v/>
      </c>
      <c r="L586" s="2">
        <f>IFERROR(__xludf.DUMMYFUNCTION("""COMPUTED_VALUE"""),"ASD электромонтажные изделия")</f>
        <v/>
      </c>
      <c r="M586" s="2">
        <f>IFERROR(__xludf.DUMMYFUNCTION("""COMPUTED_VALUE"""),"Прочие товары")</f>
        <v/>
      </c>
    </row>
    <row r="587">
      <c r="A587" s="5">
        <f>IFERROR(__xludf.DUMMYFUNCTION("""COMPUTED_VALUE"""),"4690612035338")</f>
        <v/>
      </c>
      <c r="B587" s="5">
        <f>IFERROR(__xludf.DUMMYFUNCTION("""COMPUTED_VALUE"""),"ELEGANT ARIS-B 15Вт 230В 3000-6500K 1050Лм STEP COLOR черный IN HOME")</f>
        <v/>
      </c>
      <c r="C587" s="2">
        <f>IFERROR(__xludf.DUMMYFUNCTION("""COMPUTED_VALUE"""),0.35)</f>
        <v/>
      </c>
      <c r="D587" s="2">
        <f>IFERROR(__xludf.DUMMYFUNCTION("""COMPUTED_VALUE"""),0.0035)</f>
        <v/>
      </c>
      <c r="E587" s="2">
        <f>IFERROR(__xludf.DUMMYFUNCTION("""COMPUTED_VALUE"""),619.99)</f>
        <v/>
      </c>
      <c r="F587" s="2">
        <f>IFERROR(__xludf.DUMMYFUNCTION("""COMPUTED_VALUE"""),627.0)</f>
        <v/>
      </c>
      <c r="G587" s="2">
        <f>IFERROR(__xludf.DUMMYFUNCTION("""COMPUTED_VALUE"""),705.0)</f>
        <v/>
      </c>
      <c r="H587" s="2">
        <f>IFERROR(__xludf.DUMMYFUNCTION("""COMPUTED_VALUE"""),818.0)</f>
        <v/>
      </c>
      <c r="I587" s="2">
        <f>IFERROR(__xludf.DUMMYFUNCTION("""COMPUTED_VALUE"""),940.0)</f>
        <v/>
      </c>
      <c r="J587" s="2">
        <f>IFERROR(__xludf.DUMMYFUNCTION("""COMPUTED_VALUE"""),470.0)</f>
        <v/>
      </c>
      <c r="K587" s="2">
        <f>IFERROR(__xludf.DUMMYFUNCTION("""COMPUTED_VALUE"""),3.0)</f>
        <v/>
      </c>
      <c r="L587" s="2">
        <f>IFERROR(__xludf.DUMMYFUNCTION("""COMPUTED_VALUE"""),"Светильники светодиодные серии ELEGANT IN HOME")</f>
        <v/>
      </c>
      <c r="M587" s="2">
        <f>IFERROR(__xludf.DUMMYFUNCTION("""COMPUTED_VALUE"""),"Накладные, Декоративные, LED Светильники")</f>
        <v/>
      </c>
    </row>
    <row r="588">
      <c r="A588" s="5">
        <f>IFERROR(__xludf.DUMMYFUNCTION("""COMPUTED_VALUE"""),"V9007")</f>
        <v/>
      </c>
      <c r="B588" s="5">
        <f>IFERROR(__xludf.DUMMYFUNCTION("""COMPUTED_VALUE"""),"VRN-UNE-48-G40K67-U, 48Вт, Универсальный")</f>
        <v/>
      </c>
      <c r="C588" s="2">
        <f>IFERROR(__xludf.DUMMYFUNCTION("""COMPUTED_VALUE"""),0.118)</f>
        <v/>
      </c>
      <c r="D588" s="2">
        <f>IFERROR(__xludf.DUMMYFUNCTION("""COMPUTED_VALUE"""),0.00483)</f>
        <v/>
      </c>
      <c r="E588" s="2">
        <f>IFERROR(__xludf.DUMMYFUNCTION("""COMPUTED_VALUE"""),1995.78)</f>
        <v/>
      </c>
      <c r="F588" s="2">
        <f>IFERROR(__xludf.DUMMYFUNCTION("""COMPUTED_VALUE"""),2255.0)</f>
        <v/>
      </c>
      <c r="G588" s="2">
        <f>IFERROR(__xludf.DUMMYFUNCTION("""COMPUTED_VALUE"""),2932.0)</f>
        <v/>
      </c>
      <c r="H588" s="2">
        <f>IFERROR(__xludf.DUMMYFUNCTION("""COMPUTED_VALUE"""),3078.0)</f>
        <v/>
      </c>
      <c r="I588" s="2">
        <f>IFERROR(__xludf.DUMMYFUNCTION("""COMPUTED_VALUE"""),3225.0)</f>
        <v/>
      </c>
      <c r="J588" s="2">
        <f>IFERROR(__xludf.DUMMYFUNCTION("""COMPUTED_VALUE"""),3225.0)</f>
        <v/>
      </c>
      <c r="K588" s="2">
        <f>IFERROR(__xludf.DUMMYFUNCTION("""COMPUTED_VALUE"""),59.0)</f>
        <v/>
      </c>
      <c r="L588" s="2">
        <f>IFERROR(__xludf.DUMMYFUNCTION("""COMPUTED_VALUE"""),"Универсал Эконом")</f>
        <v/>
      </c>
      <c r="M588" s="2">
        <f>IFERROR(__xludf.DUMMYFUNCTION("""COMPUTED_VALUE"""),"Для обычных дорог, Модульные, LED Светильники")</f>
        <v/>
      </c>
    </row>
    <row r="589">
      <c r="A589" s="5">
        <f>IFERROR(__xludf.DUMMYFUNCTION("""COMPUTED_VALUE"""),"ves021")</f>
        <v/>
      </c>
      <c r="B589" s="5">
        <f>IFERROR(__xludf.DUMMYFUNCTION("""COMPUTED_VALUE"""),"Прожектор светодиодный на штативе 100Вт (СДО-7 50Вт 6500КХ2 на штативе)")</f>
        <v/>
      </c>
      <c r="C589" s="2">
        <f>IFERROR(__xludf.DUMMYFUNCTION("""COMPUTED_VALUE"""),0.0)</f>
        <v/>
      </c>
      <c r="D589" s="2">
        <f>IFERROR(__xludf.DUMMYFUNCTION("""COMPUTED_VALUE"""),0.0)</f>
        <v/>
      </c>
      <c r="E589" s="2">
        <f>IFERROR(__xludf.DUMMYFUNCTION("""COMPUTED_VALUE"""),528.0)</f>
        <v/>
      </c>
      <c r="F589" s="2">
        <f>IFERROR(__xludf.DUMMYFUNCTION("""COMPUTED_VALUE"""),1575.0)</f>
        <v/>
      </c>
      <c r="G589" s="2">
        <f>IFERROR(__xludf.DUMMYFUNCTION("""COMPUTED_VALUE"""),1680.0)</f>
        <v/>
      </c>
      <c r="H589" s="2">
        <f>IFERROR(__xludf.DUMMYFUNCTION("""COMPUTED_VALUE"""),1890.0)</f>
        <v/>
      </c>
      <c r="I589" s="2">
        <f>IFERROR(__xludf.DUMMYFUNCTION("""COMPUTED_VALUE"""),2100.0)</f>
        <v/>
      </c>
      <c r="J589" s="2">
        <f>IFERROR(__xludf.DUMMYFUNCTION("""COMPUTED_VALUE"""),528.0)</f>
        <v/>
      </c>
      <c r="K589" s="2">
        <f>IFERROR(__xludf.DUMMYFUNCTION("""COMPUTED_VALUE"""),3.0)</f>
        <v/>
      </c>
      <c r="L589" s="2">
        <f>IFERROR(__xludf.DUMMYFUNCTION("""COMPUTED_VALUE"""),"ves")</f>
        <v/>
      </c>
      <c r="M589" s="2">
        <f>IFERROR(__xludf.DUMMYFUNCTION("""COMPUTED_VALUE"""),"LED Светильники")</f>
        <v/>
      </c>
    </row>
    <row r="590">
      <c r="A590" s="5">
        <f>IFERROR(__xludf.DUMMYFUNCTION("""COMPUTED_VALUE"""),"4690612034836")</f>
        <v/>
      </c>
      <c r="B590" s="5">
        <f>IFERROR(__xludf.DUMMYFUNCTION("""COMPUTED_VALUE"""),"COMFORT WAVE 75Вт 230В 3000-6500K 6000Лм 490x85мм с пультом ДУ IN HOME")</f>
        <v/>
      </c>
      <c r="C590" s="2">
        <f>IFERROR(__xludf.DUMMYFUNCTION("""COMPUTED_VALUE"""),1.7)</f>
        <v/>
      </c>
      <c r="D590" s="2">
        <f>IFERROR(__xludf.DUMMYFUNCTION("""COMPUTED_VALUE"""),0.0362)</f>
        <v/>
      </c>
      <c r="E590" s="2">
        <f>IFERROR(__xludf.DUMMYFUNCTION("""COMPUTED_VALUE"""),1745.19)</f>
        <v/>
      </c>
      <c r="F590" s="2">
        <f>IFERROR(__xludf.DUMMYFUNCTION("""COMPUTED_VALUE"""),1658.0)</f>
        <v/>
      </c>
      <c r="G590" s="2">
        <f>IFERROR(__xludf.DUMMYFUNCTION("""COMPUTED_VALUE"""),1865.0)</f>
        <v/>
      </c>
      <c r="H590" s="2">
        <f>IFERROR(__xludf.DUMMYFUNCTION("""COMPUTED_VALUE"""),2164.0)</f>
        <v/>
      </c>
      <c r="I590" s="2">
        <f>IFERROR(__xludf.DUMMYFUNCTION("""COMPUTED_VALUE"""),2487.0)</f>
        <v/>
      </c>
      <c r="J590" s="2">
        <f>IFERROR(__xludf.DUMMYFUNCTION("""COMPUTED_VALUE"""),1244.0)</f>
        <v/>
      </c>
      <c r="K590" s="2">
        <f>IFERROR(__xludf.DUMMYFUNCTION("""COMPUTED_VALUE"""),1.0)</f>
        <v/>
      </c>
      <c r="L590" s="2">
        <f>IFERROR(__xludf.DUMMYFUNCTION("""COMPUTED_VALUE"""),"Светильники светодиодные COMFORT")</f>
        <v/>
      </c>
      <c r="M590" s="2">
        <f>IFERROR(__xludf.DUMMYFUNCTION("""COMPUTED_VALUE"""),"Накладные, Декоративные, LED Светильники")</f>
        <v/>
      </c>
    </row>
    <row r="591">
      <c r="A591" s="5">
        <f>IFERROR(__xludf.DUMMYFUNCTION("""COMPUTED_VALUE"""),"12-0105")</f>
        <v/>
      </c>
      <c r="B591" s="5">
        <f>IFERROR(__xludf.DUMMYFUNCTION("""COMPUTED_VALUE"""),"Пистолет клеевой 100 Вт ? 11 мм (блистер) REXANT")</f>
        <v/>
      </c>
      <c r="C591" s="2">
        <f>IFERROR(__xludf.DUMMYFUNCTION("""COMPUTED_VALUE"""),0.0)</f>
        <v/>
      </c>
      <c r="D591" s="2">
        <f>IFERROR(__xludf.DUMMYFUNCTION("""COMPUTED_VALUE"""),0.0)</f>
        <v/>
      </c>
      <c r="E591" s="2">
        <f>IFERROR(__xludf.DUMMYFUNCTION("""COMPUTED_VALUE"""),1.02)</f>
        <v/>
      </c>
      <c r="F591" s="2">
        <f>IFERROR(__xludf.DUMMYFUNCTION("""COMPUTED_VALUE"""),613.0)</f>
        <v/>
      </c>
      <c r="G591" s="2">
        <f>IFERROR(__xludf.DUMMYFUNCTION("""COMPUTED_VALUE"""),654.0)</f>
        <v/>
      </c>
      <c r="H591" s="2">
        <f>IFERROR(__xludf.DUMMYFUNCTION("""COMPUTED_VALUE"""),735.0)</f>
        <v/>
      </c>
      <c r="I591" s="2">
        <f>IFERROR(__xludf.DUMMYFUNCTION("""COMPUTED_VALUE"""),817.1800000000001)</f>
        <v/>
      </c>
      <c r="J591" s="2">
        <f>IFERROR(__xludf.DUMMYFUNCTION("""COMPUTED_VALUE"""),409.0)</f>
        <v/>
      </c>
      <c r="K591" s="2">
        <f>IFERROR(__xludf.DUMMYFUNCTION("""COMPUTED_VALUE"""),3.0)</f>
        <v/>
      </c>
      <c r="L591" s="2">
        <f>IFERROR(__xludf.DUMMYFUNCTION("""COMPUTED_VALUE"""),"Rexant")</f>
        <v/>
      </c>
      <c r="M591" s="2">
        <f>IFERROR(__xludf.DUMMYFUNCTION("""COMPUTED_VALUE"""),"Прочие товары")</f>
        <v/>
      </c>
    </row>
    <row r="592">
      <c r="A592" s="5">
        <f>IFERROR(__xludf.DUMMYFUNCTION("""COMPUTED_VALUE"""),"4690612026145-10")</f>
        <v/>
      </c>
      <c r="B592" s="5">
        <f>IFERROR(__xludf.DUMMYFUNCTION("""COMPUTED_VALUE"""),"10 шт. Лампа LED-A60-deco 11Вт 230В Е27 4000К 1160Лм прозрачная IN HOME (Комплект 10 шт)")</f>
        <v/>
      </c>
      <c r="C592" s="2">
        <f>IFERROR(__xludf.DUMMYFUNCTION("""COMPUTED_VALUE"""),0.04)</f>
        <v/>
      </c>
      <c r="D592" s="2">
        <f>IFERROR(__xludf.DUMMYFUNCTION("""COMPUTED_VALUE"""),0.0028)</f>
        <v/>
      </c>
      <c r="E592" s="2">
        <f>IFERROR(__xludf.DUMMYFUNCTION("""COMPUTED_VALUE"""),810.0)</f>
        <v/>
      </c>
      <c r="F592" s="2">
        <f>IFERROR(__xludf.DUMMYFUNCTION("""COMPUTED_VALUE"""),889.0)</f>
        <v/>
      </c>
      <c r="G592" s="2">
        <f>IFERROR(__xludf.DUMMYFUNCTION("""COMPUTED_VALUE"""),1037.0)</f>
        <v/>
      </c>
      <c r="H592" s="2">
        <f>IFERROR(__xludf.DUMMYFUNCTION("""COMPUTED_VALUE"""),1166.0)</f>
        <v/>
      </c>
      <c r="I592" s="2">
        <f>IFERROR(__xludf.DUMMYFUNCTION("""COMPUTED_VALUE"""),1296.0)</f>
        <v/>
      </c>
      <c r="J592" s="2">
        <f>IFERROR(__xludf.DUMMYFUNCTION("""COMPUTED_VALUE"""),648.0)</f>
        <v/>
      </c>
      <c r="K592" s="2">
        <f>IFERROR(__xludf.DUMMYFUNCTION("""COMPUTED_VALUE"""),12.0)</f>
        <v/>
      </c>
      <c r="L592" s="2">
        <f>IFERROR(__xludf.DUMMYFUNCTION("""COMPUTED_VALUE"""),"Лампы производство, упаковка")</f>
        <v/>
      </c>
      <c r="M592" s="2">
        <f>IFERROR(__xludf.DUMMYFUNCTION("""COMPUTED_VALUE"""),"Лампы")</f>
        <v/>
      </c>
    </row>
    <row r="593">
      <c r="A593" s="5">
        <f>IFERROR(__xludf.DUMMYFUNCTION("""COMPUTED_VALUE"""),"GL8112")</f>
        <v/>
      </c>
      <c r="B593" s="5">
        <f>IFERROR(__xludf.DUMMYFUNCTION("""COMPUTED_VALUE"""),"GLERIO Office Casual 24 Вт 4000К 81P-24D-4V-MP")</f>
        <v/>
      </c>
      <c r="C593" s="2">
        <f>IFERROR(__xludf.DUMMYFUNCTION("""COMPUTED_VALUE"""),1.04)</f>
        <v/>
      </c>
      <c r="D593" s="2">
        <f>IFERROR(__xludf.DUMMYFUNCTION("""COMPUTED_VALUE"""),0.008190000000000001)</f>
        <v/>
      </c>
      <c r="E593" s="2">
        <f>IFERROR(__xludf.DUMMYFUNCTION("""COMPUTED_VALUE"""),1201.85)</f>
        <v/>
      </c>
      <c r="F593" s="2">
        <f>IFERROR(__xludf.DUMMYFUNCTION("""COMPUTED_VALUE"""),1700.0)</f>
        <v/>
      </c>
      <c r="G593" s="2">
        <f>IFERROR(__xludf.DUMMYFUNCTION("""COMPUTED_VALUE"""),2140.0)</f>
        <v/>
      </c>
      <c r="H593" s="2">
        <f>IFERROR(__xludf.DUMMYFUNCTION("""COMPUTED_VALUE"""),2404.0)</f>
        <v/>
      </c>
      <c r="I593" s="2">
        <f>IFERROR(__xludf.DUMMYFUNCTION("""COMPUTED_VALUE"""),2667.0)</f>
        <v/>
      </c>
      <c r="J593" s="2">
        <f>IFERROR(__xludf.DUMMYFUNCTION("""COMPUTED_VALUE"""),2404.0)</f>
        <v/>
      </c>
      <c r="K593" s="2">
        <f>IFERROR(__xludf.DUMMYFUNCTION("""COMPUTED_VALUE"""),1.0)</f>
        <v/>
      </c>
      <c r="L593" s="2">
        <f>IFERROR(__xludf.DUMMYFUNCTION("""COMPUTED_VALUE"""),"Office Casual (Офис) до 10.2025")</f>
        <v/>
      </c>
      <c r="M593" s="2">
        <f>IFERROR(__xludf.DUMMYFUNCTION("""COMPUTED_VALUE"""),"Встраиваемые, Накладные, LED Светильники")</f>
        <v/>
      </c>
    </row>
    <row r="594">
      <c r="A594" s="5">
        <f>IFERROR(__xludf.DUMMYFUNCTION("""COMPUTED_VALUE"""),"4690612007618")</f>
        <v/>
      </c>
      <c r="B594" s="5">
        <f>IFERROR(__xludf.DUMMYFUNCTION("""COMPUTED_VALUE"""),"LED-СВЕЧА-deco 7Вт 230В Е14 4000К 810Лм прозрачная IN HOME")</f>
        <v/>
      </c>
      <c r="C594" s="2">
        <f>IFERROR(__xludf.DUMMYFUNCTION("""COMPUTED_VALUE"""),0.025)</f>
        <v/>
      </c>
      <c r="D594" s="2">
        <f>IFERROR(__xludf.DUMMYFUNCTION("""COMPUTED_VALUE"""),2.0E-4)</f>
        <v/>
      </c>
      <c r="E594" s="2">
        <f>IFERROR(__xludf.DUMMYFUNCTION("""COMPUTED_VALUE"""),63.85)</f>
        <v/>
      </c>
      <c r="F594" s="2">
        <f>IFERROR(__xludf.DUMMYFUNCTION("""COMPUTED_VALUE"""),57.0)</f>
        <v/>
      </c>
      <c r="G594" s="2">
        <f>IFERROR(__xludf.DUMMYFUNCTION("""COMPUTED_VALUE"""),64.0)</f>
        <v/>
      </c>
      <c r="H594" s="2">
        <f>IFERROR(__xludf.DUMMYFUNCTION("""COMPUTED_VALUE"""),74.0)</f>
        <v/>
      </c>
      <c r="I594" s="2">
        <f>IFERROR(__xludf.DUMMYFUNCTION("""COMPUTED_VALUE"""),85.5)</f>
        <v/>
      </c>
      <c r="J594" s="2">
        <f>IFERROR(__xludf.DUMMYFUNCTION("""COMPUTED_VALUE"""),43.0)</f>
        <v/>
      </c>
      <c r="K594" s="2">
        <f>IFERROR(__xludf.DUMMYFUNCTION("""COMPUTED_VALUE"""),50.0)</f>
        <v/>
      </c>
      <c r="L594" s="2">
        <f>IFERROR(__xludf.DUMMYFUNCTION("""COMPUTED_VALUE"""),"Лампа светодиодная LED-СВЕЧА-DECO")</f>
        <v/>
      </c>
      <c r="M594" s="2">
        <f>IFERROR(__xludf.DUMMYFUNCTION("""COMPUTED_VALUE"""),"Лампы")</f>
        <v/>
      </c>
    </row>
    <row r="595">
      <c r="A595" s="5">
        <f>IFERROR(__xludf.DUMMYFUNCTION("""COMPUTED_VALUE"""),"4690612025582")</f>
        <v/>
      </c>
      <c r="B595" s="5">
        <f>IFERROR(__xludf.DUMMYFUNCTION("""COMPUTED_VALUE"""),"ССО-05Б 5Вт сенсор-диммер")</f>
        <v/>
      </c>
      <c r="C595" s="2">
        <f>IFERROR(__xludf.DUMMYFUNCTION("""COMPUTED_VALUE"""),0.388)</f>
        <v/>
      </c>
      <c r="D595" s="2">
        <f>IFERROR(__xludf.DUMMYFUNCTION("""COMPUTED_VALUE"""),0.0028)</f>
        <v/>
      </c>
      <c r="E595" s="2">
        <f>IFERROR(__xludf.DUMMYFUNCTION("""COMPUTED_VALUE"""),673.53)</f>
        <v/>
      </c>
      <c r="F595" s="2">
        <f>IFERROR(__xludf.DUMMYFUNCTION("""COMPUTED_VALUE"""),573.0)</f>
        <v/>
      </c>
      <c r="G595" s="2">
        <f>IFERROR(__xludf.DUMMYFUNCTION("""COMPUTED_VALUE"""),645.0)</f>
        <v/>
      </c>
      <c r="H595" s="2">
        <f>IFERROR(__xludf.DUMMYFUNCTION("""COMPUTED_VALUE"""),748.0)</f>
        <v/>
      </c>
      <c r="I595" s="2">
        <f>IFERROR(__xludf.DUMMYFUNCTION("""COMPUTED_VALUE"""),860.0)</f>
        <v/>
      </c>
      <c r="J595" s="2">
        <f>IFERROR(__xludf.DUMMYFUNCTION("""COMPUTED_VALUE"""),645.0)</f>
        <v/>
      </c>
      <c r="K595" s="2">
        <f>IFERROR(__xludf.DUMMYFUNCTION("""COMPUTED_VALUE"""),15.0)</f>
        <v/>
      </c>
      <c r="L595" s="2">
        <f>IFERROR(__xludf.DUMMYFUNCTION("""COMPUTED_VALUE"""),"Светильники настольные светодиодные")</f>
        <v/>
      </c>
      <c r="M595" s="2">
        <f>IFERROR(__xludf.DUMMYFUNCTION("""COMPUTED_VALUE"""),"Светильники общего назначения (LED), Декоративные, LED Светильники")</f>
        <v/>
      </c>
    </row>
    <row r="596">
      <c r="A596" s="5">
        <f>IFERROR(__xludf.DUMMYFUNCTION("""COMPUTED_VALUE"""),"Fefco/0201-10")</f>
        <v/>
      </c>
      <c r="B596" s="5">
        <f>IFERROR(__xludf.DUMMYFUNCTION("""COMPUTED_VALUE"""),"Короб 600х400х400 (картон Т-24 ""В"" бурый)")</f>
        <v/>
      </c>
      <c r="C596" s="2">
        <f>IFERROR(__xludf.DUMMYFUNCTION("""COMPUTED_VALUE"""),0.0)</f>
        <v/>
      </c>
      <c r="D596" s="2">
        <f>IFERROR(__xludf.DUMMYFUNCTION("""COMPUTED_VALUE"""),0.0)</f>
        <v/>
      </c>
      <c r="E596" s="2">
        <f>IFERROR(__xludf.DUMMYFUNCTION("""COMPUTED_VALUE"""),109.8)</f>
        <v/>
      </c>
      <c r="F596" s="2">
        <f>IFERROR(__xludf.DUMMYFUNCTION("""COMPUTED_VALUE"""),1.0)</f>
        <v/>
      </c>
      <c r="G596" s="2">
        <f>IFERROR(__xludf.DUMMYFUNCTION("""COMPUTED_VALUE"""),1.0)</f>
        <v/>
      </c>
      <c r="H596" s="2">
        <f>IFERROR(__xludf.DUMMYFUNCTION("""COMPUTED_VALUE"""),1.0)</f>
        <v/>
      </c>
      <c r="I596" s="2">
        <f>IFERROR(__xludf.DUMMYFUNCTION("""COMPUTED_VALUE"""),1.5)</f>
        <v/>
      </c>
      <c r="J596" s="2">
        <f>IFERROR(__xludf.DUMMYFUNCTION("""COMPUTED_VALUE"""),1.5)</f>
        <v/>
      </c>
      <c r="K596" s="2">
        <f>IFERROR(__xludf.DUMMYFUNCTION("""COMPUTED_VALUE"""),85.0)</f>
        <v/>
      </c>
      <c r="L596" s="2">
        <f>IFERROR(__xludf.DUMMYFUNCTION("""COMPUTED_VALUE"""),"Упаковка")</f>
        <v/>
      </c>
      <c r="M596" s="2">
        <f>IFERROR(__xludf.DUMMYFUNCTION("""COMPUTED_VALUE"""),"Прочие товары")</f>
        <v/>
      </c>
    </row>
    <row r="597">
      <c r="A597" s="5">
        <f>IFERROR(__xludf.DUMMYFUNCTION("""COMPUTED_VALUE"""),"4690612025001")</f>
        <v/>
      </c>
      <c r="B597" s="5">
        <f>IFERROR(__xludf.DUMMYFUNCTION("""COMPUTED_VALUE"""),"DECO СОЗВЕЗДИЕ 36Вт 230В 4000К 3240Лм 380х55мм IN HOME")</f>
        <v/>
      </c>
      <c r="C597" s="2">
        <f>IFERROR(__xludf.DUMMYFUNCTION("""COMPUTED_VALUE"""),0.5800000000000001)</f>
        <v/>
      </c>
      <c r="D597" s="2">
        <f>IFERROR(__xludf.DUMMYFUNCTION("""COMPUTED_VALUE"""),0.009500000000000001)</f>
        <v/>
      </c>
      <c r="E597" s="2">
        <f>IFERROR(__xludf.DUMMYFUNCTION("""COMPUTED_VALUE"""),499.08)</f>
        <v/>
      </c>
      <c r="F597" s="2">
        <f>IFERROR(__xludf.DUMMYFUNCTION("""COMPUTED_VALUE"""),600.0)</f>
        <v/>
      </c>
      <c r="G597" s="2">
        <f>IFERROR(__xludf.DUMMYFUNCTION("""COMPUTED_VALUE"""),675.0)</f>
        <v/>
      </c>
      <c r="H597" s="2">
        <f>IFERROR(__xludf.DUMMYFUNCTION("""COMPUTED_VALUE"""),783.0)</f>
        <v/>
      </c>
      <c r="I597" s="2">
        <f>IFERROR(__xludf.DUMMYFUNCTION("""COMPUTED_VALUE"""),900.0)</f>
        <v/>
      </c>
      <c r="J597" s="2">
        <f>IFERROR(__xludf.DUMMYFUNCTION("""COMPUTED_VALUE"""),450.0)</f>
        <v/>
      </c>
      <c r="K597" s="2">
        <f>IFERROR(__xludf.DUMMYFUNCTION("""COMPUTED_VALUE"""),35.0)</f>
        <v/>
      </c>
      <c r="L597" s="2">
        <f>IFERROR(__xludf.DUMMYFUNCTION("""COMPUTED_VALUE"""),"Светильник светодиодный серии DECO")</f>
        <v/>
      </c>
      <c r="M597" s="2">
        <f>IFERROR(__xludf.DUMMYFUNCTION("""COMPUTED_VALUE"""),"Накладные, Декоративные, LED Светильники")</f>
        <v/>
      </c>
    </row>
    <row r="598">
      <c r="A598" s="5">
        <f>IFERROR(__xludf.DUMMYFUNCTION("""COMPUTED_VALUE"""),"Fefco/0203-4")</f>
        <v/>
      </c>
      <c r="B598" s="5">
        <f>IFERROR(__xludf.DUMMYFUNCTION("""COMPUTED_VALUE"""),"Короб 80х30х1220 (картон Т-24 бурый 3мм)")</f>
        <v/>
      </c>
      <c r="C598" s="2">
        <f>IFERROR(__xludf.DUMMYFUNCTION("""COMPUTED_VALUE"""),0.0)</f>
        <v/>
      </c>
      <c r="D598" s="2">
        <f>IFERROR(__xludf.DUMMYFUNCTION("""COMPUTED_VALUE"""),0.0)</f>
        <v/>
      </c>
      <c r="E598" s="2">
        <f>IFERROR(__xludf.DUMMYFUNCTION("""COMPUTED_VALUE"""),34.9)</f>
        <v/>
      </c>
      <c r="F598" s="2">
        <f>IFERROR(__xludf.DUMMYFUNCTION("""COMPUTED_VALUE"""),1.0)</f>
        <v/>
      </c>
      <c r="G598" s="2">
        <f>IFERROR(__xludf.DUMMYFUNCTION("""COMPUTED_VALUE"""),1.0)</f>
        <v/>
      </c>
      <c r="H598" s="2">
        <f>IFERROR(__xludf.DUMMYFUNCTION("""COMPUTED_VALUE"""),1.0)</f>
        <v/>
      </c>
      <c r="I598" s="2">
        <f>IFERROR(__xludf.DUMMYFUNCTION("""COMPUTED_VALUE"""),1.5)</f>
        <v/>
      </c>
      <c r="J598" s="2">
        <f>IFERROR(__xludf.DUMMYFUNCTION("""COMPUTED_VALUE"""),1.5)</f>
        <v/>
      </c>
      <c r="K598" s="2">
        <f>IFERROR(__xludf.DUMMYFUNCTION("""COMPUTED_VALUE"""),179.0)</f>
        <v/>
      </c>
      <c r="L598" s="2">
        <f>IFERROR(__xludf.DUMMYFUNCTION("""COMPUTED_VALUE"""),"Упаковка")</f>
        <v/>
      </c>
      <c r="M598" s="2">
        <f>IFERROR(__xludf.DUMMYFUNCTION("""COMPUTED_VALUE"""),"Прочие товары")</f>
        <v/>
      </c>
    </row>
    <row r="599">
      <c r="A599" s="5">
        <f>IFERROR(__xludf.DUMMYFUNCTION("""COMPUTED_VALUE"""),"4690612010632")</f>
        <v/>
      </c>
      <c r="B599" s="5">
        <f>IFERROR(__xludf.DUMMYFUNCTION("""COMPUTED_VALUE"""),"NRLP-eco 12Вт 230В 4000К 840Лм 170мм белая накладная IP40 IN HOME")</f>
        <v/>
      </c>
      <c r="C599" s="2">
        <f>IFERROR(__xludf.DUMMYFUNCTION("""COMPUTED_VALUE"""),0.237)</f>
        <v/>
      </c>
      <c r="D599" s="2">
        <f>IFERROR(__xludf.DUMMYFUNCTION("""COMPUTED_VALUE"""),0.00133)</f>
        <v/>
      </c>
      <c r="E599" s="2">
        <f>IFERROR(__xludf.DUMMYFUNCTION("""COMPUTED_VALUE"""),247.9)</f>
        <v/>
      </c>
      <c r="F599" s="2">
        <f>IFERROR(__xludf.DUMMYFUNCTION("""COMPUTED_VALUE"""),243.0)</f>
        <v/>
      </c>
      <c r="G599" s="2">
        <f>IFERROR(__xludf.DUMMYFUNCTION("""COMPUTED_VALUE"""),273.0)</f>
        <v/>
      </c>
      <c r="H599" s="2">
        <f>IFERROR(__xludf.DUMMYFUNCTION("""COMPUTED_VALUE"""),317.0)</f>
        <v/>
      </c>
      <c r="I599" s="2">
        <f>IFERROR(__xludf.DUMMYFUNCTION("""COMPUTED_VALUE"""),364.0)</f>
        <v/>
      </c>
      <c r="J599" s="2">
        <f>IFERROR(__xludf.DUMMYFUNCTION("""COMPUTED_VALUE"""),182.0)</f>
        <v/>
      </c>
      <c r="K599" s="2">
        <f>IFERROR(__xludf.DUMMYFUNCTION("""COMPUTED_VALUE"""),1.0)</f>
        <v/>
      </c>
      <c r="L599" s="2">
        <f>IFERROR(__xludf.DUMMYFUNCTION("""COMPUTED_VALUE"""),"Панели светодиодные круглые накладные NRLP")</f>
        <v/>
      </c>
      <c r="M599" s="2">
        <f>IFERROR(__xludf.DUMMYFUNCTION("""COMPUTED_VALUE"""),"Точечные круглые Downlight, LED Светильники")</f>
        <v/>
      </c>
    </row>
    <row r="600">
      <c r="A600" s="5">
        <f>IFERROR(__xludf.DUMMYFUNCTION("""COMPUTED_VALUE"""),"4260652192782")</f>
        <v/>
      </c>
      <c r="B600" s="5">
        <f>IFERROR(__xludf.DUMMYFUNCTION("""COMPUTED_VALUE"""),"WTL-SC/01W")</f>
        <v/>
      </c>
      <c r="C600" s="2">
        <f>IFERROR(__xludf.DUMMYFUNCTION("""COMPUTED_VALUE"""),0.039)</f>
        <v/>
      </c>
      <c r="D600" s="2">
        <f>IFERROR(__xludf.DUMMYFUNCTION("""COMPUTED_VALUE"""),6.000000000000001E-5)</f>
        <v/>
      </c>
      <c r="E600" s="2">
        <f>IFERROR(__xludf.DUMMYFUNCTION("""COMPUTED_VALUE"""),111.5)</f>
        <v/>
      </c>
      <c r="F600" s="2">
        <f>IFERROR(__xludf.DUMMYFUNCTION("""COMPUTED_VALUE"""),125.0)</f>
        <v/>
      </c>
      <c r="G600" s="2">
        <f>IFERROR(__xludf.DUMMYFUNCTION("""COMPUTED_VALUE"""),129.0)</f>
        <v/>
      </c>
      <c r="H600" s="2">
        <f>IFERROR(__xludf.DUMMYFUNCTION("""COMPUTED_VALUE"""),169.0)</f>
        <v/>
      </c>
      <c r="I600" s="2">
        <f>IFERROR(__xludf.DUMMYFUNCTION("""COMPUTED_VALUE"""),211.0)</f>
        <v/>
      </c>
      <c r="J600" s="2">
        <f>IFERROR(__xludf.DUMMYFUNCTION("""COMPUTED_VALUE"""),106.0)</f>
        <v/>
      </c>
      <c r="K600" s="2">
        <f>IFERROR(__xludf.DUMMYFUNCTION("""COMPUTED_VALUE"""),4.0)</f>
        <v/>
      </c>
      <c r="L600" s="2">
        <f>IFERROR(__xludf.DUMMYFUNCTION("""COMPUTED_VALUE"""),"Wolta трековые")</f>
        <v/>
      </c>
      <c r="M600" s="2">
        <f>IFERROR(__xludf.DUMMYFUNCTION("""COMPUTED_VALUE"""),"Трековые, LED Светильники")</f>
        <v/>
      </c>
    </row>
    <row r="601">
      <c r="A601" s="5">
        <f>IFERROR(__xludf.DUMMYFUNCTION("""COMPUTED_VALUE"""),"4690612001791")</f>
        <v/>
      </c>
      <c r="B601" s="5">
        <f>IFERROR(__xludf.DUMMYFUNCTION("""COMPUTED_VALUE"""),"LS50-RGB 20см шнур питания")</f>
        <v/>
      </c>
      <c r="C601" s="2">
        <f>IFERROR(__xludf.DUMMYFUNCTION("""COMPUTED_VALUE"""),0.003)</f>
        <v/>
      </c>
      <c r="D601" s="2">
        <f>IFERROR(__xludf.DUMMYFUNCTION("""COMPUTED_VALUE"""),1.0E-5)</f>
        <v/>
      </c>
      <c r="E601" s="2">
        <f>IFERROR(__xludf.DUMMYFUNCTION("""COMPUTED_VALUE"""),16.01)</f>
        <v/>
      </c>
      <c r="F601" s="2">
        <f>IFERROR(__xludf.DUMMYFUNCTION("""COMPUTED_VALUE"""),17.0)</f>
        <v/>
      </c>
      <c r="G601" s="2">
        <f>IFERROR(__xludf.DUMMYFUNCTION("""COMPUTED_VALUE"""),20.0)</f>
        <v/>
      </c>
      <c r="H601" s="2">
        <f>IFERROR(__xludf.DUMMYFUNCTION("""COMPUTED_VALUE"""),23.0)</f>
        <v/>
      </c>
      <c r="I601" s="2">
        <f>IFERROR(__xludf.DUMMYFUNCTION("""COMPUTED_VALUE"""),26.0)</f>
        <v/>
      </c>
      <c r="J601" s="2">
        <f>IFERROR(__xludf.DUMMYFUNCTION("""COMPUTED_VALUE"""),13.0)</f>
        <v/>
      </c>
      <c r="K601" s="2">
        <f>IFERROR(__xludf.DUMMYFUNCTION("""COMPUTED_VALUE"""),40.0)</f>
        <v/>
      </c>
      <c r="L601" s="2">
        <f>IFERROR(__xludf.DUMMYFUNCTION("""COMPUTED_VALUE"""),"ASD электромонтажные изделия")</f>
        <v/>
      </c>
      <c r="M601" s="2">
        <f>IFERROR(__xludf.DUMMYFUNCTION("""COMPUTED_VALUE"""),"Прочие товары")</f>
        <v/>
      </c>
    </row>
    <row r="602">
      <c r="A602" s="5">
        <f>IFERROR(__xludf.DUMMYFUNCTION("""COMPUTED_VALUE"""),"4690612053066-2")</f>
        <v/>
      </c>
      <c r="B602" s="5">
        <f>IFERROR(__xludf.DUMMYFUNCTION("""COMPUTED_VALUE"""),"ДВО-02 5065-ОПАЛ 50Вт 6500К 595х595х25 NEOX (2 шт в упак.)")</f>
        <v/>
      </c>
      <c r="C602" s="2">
        <f>IFERROR(__xludf.DUMMYFUNCTION("""COMPUTED_VALUE"""),1.35)</f>
        <v/>
      </c>
      <c r="D602" s="2">
        <f>IFERROR(__xludf.DUMMYFUNCTION("""COMPUTED_VALUE"""),0.0)</f>
        <v/>
      </c>
      <c r="E602" s="2">
        <f>IFERROR(__xludf.DUMMYFUNCTION("""COMPUTED_VALUE"""),1417.23)</f>
        <v/>
      </c>
      <c r="F602" s="2">
        <f>IFERROR(__xludf.DUMMYFUNCTION("""COMPUTED_VALUE"""),1555.0)</f>
        <v/>
      </c>
      <c r="G602" s="2">
        <f>IFERROR(__xludf.DUMMYFUNCTION("""COMPUTED_VALUE"""),1814.0)</f>
        <v/>
      </c>
      <c r="H602" s="2">
        <f>IFERROR(__xludf.DUMMYFUNCTION("""COMPUTED_VALUE"""),2041.0)</f>
        <v/>
      </c>
      <c r="I602" s="2">
        <f>IFERROR(__xludf.DUMMYFUNCTION("""COMPUTED_VALUE"""),2268.0)</f>
        <v/>
      </c>
      <c r="J602" s="2">
        <f>IFERROR(__xludf.DUMMYFUNCTION("""COMPUTED_VALUE"""),1134.0)</f>
        <v/>
      </c>
      <c r="K602" s="2">
        <f>IFERROR(__xludf.DUMMYFUNCTION("""COMPUTED_VALUE"""),2.0)</f>
        <v/>
      </c>
      <c r="L602" s="2">
        <f>IFERROR(__xludf.DUMMYFUNCTION("""COMPUTED_VALUE"""),"NEOX Светильники LED ДВО - Опал производство, упаковка")</f>
        <v/>
      </c>
      <c r="M602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/>
      </c>
    </row>
    <row r="603">
      <c r="A603" s="5">
        <f>IFERROR(__xludf.DUMMYFUNCTION("""COMPUTED_VALUE"""),"4680005959815-5")</f>
        <v/>
      </c>
      <c r="B603" s="5">
        <f>IFERROR(__xludf.DUMMYFUNCTION("""COMPUTED_VALUE"""),"(5 штук) Розетка ТВ BOLLETO белая накл Комплект 5 штук")</f>
        <v/>
      </c>
      <c r="C603" s="2">
        <f>IFERROR(__xludf.DUMMYFUNCTION("""COMPUTED_VALUE"""),0.05)</f>
        <v/>
      </c>
      <c r="D603" s="2">
        <f>IFERROR(__xludf.DUMMYFUNCTION("""COMPUTED_VALUE"""),3.0E-4)</f>
        <v/>
      </c>
      <c r="E603" s="2">
        <f>IFERROR(__xludf.DUMMYFUNCTION("""COMPUTED_VALUE"""),188.85)</f>
        <v/>
      </c>
      <c r="F603" s="2">
        <f>IFERROR(__xludf.DUMMYFUNCTION("""COMPUTED_VALUE"""),207.0)</f>
        <v/>
      </c>
      <c r="G603" s="2">
        <f>IFERROR(__xludf.DUMMYFUNCTION("""COMPUTED_VALUE"""),242.0)</f>
        <v/>
      </c>
      <c r="H603" s="2">
        <f>IFERROR(__xludf.DUMMYFUNCTION("""COMPUTED_VALUE"""),272.0)</f>
        <v/>
      </c>
      <c r="I603" s="2">
        <f>IFERROR(__xludf.DUMMYFUNCTION("""COMPUTED_VALUE"""),302.0)</f>
        <v/>
      </c>
      <c r="J603" s="2">
        <f>IFERROR(__xludf.DUMMYFUNCTION("""COMPUTED_VALUE"""),151.0)</f>
        <v/>
      </c>
      <c r="K603" s="2">
        <f>IFERROR(__xludf.DUMMYFUNCTION("""COMPUTED_VALUE"""),2.0)</f>
        <v/>
      </c>
      <c r="L603" s="2">
        <f>IFERROR(__xludf.DUMMYFUNCTION("""COMPUTED_VALUE"""),"Розетки, вилки производство, упаковка")</f>
        <v/>
      </c>
      <c r="M603" s="2">
        <f>IFERROR(__xludf.DUMMYFUNCTION("""COMPUTED_VALUE"""),"Прочие товары")</f>
        <v/>
      </c>
    </row>
    <row r="604">
      <c r="A604" s="5">
        <f>IFERROR(__xludf.DUMMYFUNCTION("""COMPUTED_VALUE"""),"GL8130")</f>
        <v/>
      </c>
      <c r="B604" s="5">
        <f>IFERROR(__xludf.DUMMYFUNCTION("""COMPUTED_VALUE"""),"GLERIO Office Casual 48 Вт 4000К 81P-48D-4V-M")</f>
        <v/>
      </c>
      <c r="C604" s="2">
        <f>IFERROR(__xludf.DUMMYFUNCTION("""COMPUTED_VALUE"""),1.14)</f>
        <v/>
      </c>
      <c r="D604" s="2">
        <f>IFERROR(__xludf.DUMMYFUNCTION("""COMPUTED_VALUE"""),0.008190000000000001)</f>
        <v/>
      </c>
      <c r="E604" s="2">
        <f>IFERROR(__xludf.DUMMYFUNCTION("""COMPUTED_VALUE"""),2308.23)</f>
        <v/>
      </c>
      <c r="F604" s="2">
        <f>IFERROR(__xludf.DUMMYFUNCTION("""COMPUTED_VALUE"""),2660.0)</f>
        <v/>
      </c>
      <c r="G604" s="2">
        <f>IFERROR(__xludf.DUMMYFUNCTION("""COMPUTED_VALUE"""),3349.0)</f>
        <v/>
      </c>
      <c r="H604" s="2">
        <f>IFERROR(__xludf.DUMMYFUNCTION("""COMPUTED_VALUE"""),3761.0)</f>
        <v/>
      </c>
      <c r="I604" s="2">
        <f>IFERROR(__xludf.DUMMYFUNCTION("""COMPUTED_VALUE"""),4173.0)</f>
        <v/>
      </c>
      <c r="J604" s="2">
        <f>IFERROR(__xludf.DUMMYFUNCTION("""COMPUTED_VALUE"""),4173.0)</f>
        <v/>
      </c>
      <c r="K604" s="2">
        <f>IFERROR(__xludf.DUMMYFUNCTION("""COMPUTED_VALUE"""),26.0)</f>
        <v/>
      </c>
      <c r="L604" s="2">
        <f>IFERROR(__xludf.DUMMYFUNCTION("""COMPUTED_VALUE"""),"Office Casual (Офис) до 10.2025")</f>
        <v/>
      </c>
      <c r="M604" s="2">
        <f>IFERROR(__xludf.DUMMYFUNCTION("""COMPUTED_VALUE"""),"Встраиваемые, Накладные, LED Светильники")</f>
        <v/>
      </c>
    </row>
    <row r="605">
      <c r="A605" s="5">
        <f>IFERROR(__xludf.DUMMYFUNCTION("""COMPUTED_VALUE"""),"4690612057293-1")</f>
        <v/>
      </c>
      <c r="B605" s="5">
        <f>IFERROR(__xludf.DUMMYFUNCTION("""COMPUTED_VALUE"""),"ДВО-PRO 5040-ОПАЛ 50Вт 4000К 120лм/Вт CRI80 IP40 595х595х30мм NEOX (в индивид. уп)")</f>
        <v/>
      </c>
      <c r="C605" s="2">
        <f>IFERROR(__xludf.DUMMYFUNCTION("""COMPUTED_VALUE"""),0.0)</f>
        <v/>
      </c>
      <c r="D605" s="2">
        <f>IFERROR(__xludf.DUMMYFUNCTION("""COMPUTED_VALUE"""),0.0)</f>
        <v/>
      </c>
      <c r="E605" s="2">
        <f>IFERROR(__xludf.DUMMYFUNCTION("""COMPUTED_VALUE"""),853.4)</f>
        <v/>
      </c>
      <c r="F605" s="2">
        <f>IFERROR(__xludf.DUMMYFUNCTION("""COMPUTED_VALUE"""),936.0)</f>
        <v/>
      </c>
      <c r="G605" s="2">
        <f>IFERROR(__xludf.DUMMYFUNCTION("""COMPUTED_VALUE"""),1092.0)</f>
        <v/>
      </c>
      <c r="H605" s="2">
        <f>IFERROR(__xludf.DUMMYFUNCTION("""COMPUTED_VALUE"""),1229.0)</f>
        <v/>
      </c>
      <c r="I605" s="2">
        <f>IFERROR(__xludf.DUMMYFUNCTION("""COMPUTED_VALUE"""),1365.0)</f>
        <v/>
      </c>
      <c r="J605" s="2">
        <f>IFERROR(__xludf.DUMMYFUNCTION("""COMPUTED_VALUE"""),683.0)</f>
        <v/>
      </c>
      <c r="K605" s="2">
        <f>IFERROR(__xludf.DUMMYFUNCTION("""COMPUTED_VALUE"""),22.0)</f>
        <v/>
      </c>
      <c r="L605" s="2">
        <f>IFERROR(__xludf.DUMMYFUNCTION("""COMPUTED_VALUE"""),"NEOX Светильники LED ДВО-PRO производство, упаковка")</f>
        <v/>
      </c>
      <c r="M605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606">
      <c r="A606" s="5">
        <f>IFERROR(__xludf.DUMMYFUNCTION("""COMPUTED_VALUE"""),"GL8152")</f>
        <v/>
      </c>
      <c r="B606" s="5">
        <f>IFERROR(__xludf.DUMMYFUNCTION("""COMPUTED_VALUE"""),"GLERIO Office Special 48 Вт 4000К 82P-48D-4V-MP")</f>
        <v/>
      </c>
      <c r="C606" s="2">
        <f>IFERROR(__xludf.DUMMYFUNCTION("""COMPUTED_VALUE"""),1.14)</f>
        <v/>
      </c>
      <c r="D606" s="2">
        <f>IFERROR(__xludf.DUMMYFUNCTION("""COMPUTED_VALUE"""),0.008190000000000001)</f>
        <v/>
      </c>
      <c r="E606" s="2">
        <f>IFERROR(__xludf.DUMMYFUNCTION("""COMPUTED_VALUE"""),2325.27)</f>
        <v/>
      </c>
      <c r="F606" s="2">
        <f>IFERROR(__xludf.DUMMYFUNCTION("""COMPUTED_VALUE"""),2660.0)</f>
        <v/>
      </c>
      <c r="G606" s="2">
        <f>IFERROR(__xludf.DUMMYFUNCTION("""COMPUTED_VALUE"""),3349.0)</f>
        <v/>
      </c>
      <c r="H606" s="2">
        <f>IFERROR(__xludf.DUMMYFUNCTION("""COMPUTED_VALUE"""),3761.0)</f>
        <v/>
      </c>
      <c r="I606" s="2">
        <f>IFERROR(__xludf.DUMMYFUNCTION("""COMPUTED_VALUE"""),4173.0)</f>
        <v/>
      </c>
      <c r="J606" s="2">
        <f>IFERROR(__xludf.DUMMYFUNCTION("""COMPUTED_VALUE"""),2087.0)</f>
        <v/>
      </c>
      <c r="K606" s="2">
        <f>IFERROR(__xludf.DUMMYFUNCTION("""COMPUTED_VALUE"""),6.0)</f>
        <v/>
      </c>
      <c r="L606" s="2">
        <f>IFERROR(__xludf.DUMMYFUNCTION("""COMPUTED_VALUE"""),"Office Special (Офис Премиум) до 10.2025")</f>
        <v/>
      </c>
      <c r="M606" s="2">
        <f>IFERROR(__xludf.DUMMYFUNCTION("""COMPUTED_VALUE"""),"Встраиваемые, Накладные, LED Светильники")</f>
        <v/>
      </c>
    </row>
    <row r="607">
      <c r="A607" s="5">
        <f>IFERROR(__xludf.DUMMYFUNCTION("""COMPUTED_VALUE"""),"4690612024080")</f>
        <v/>
      </c>
      <c r="B607" s="5">
        <f>IFERROR(__xludf.DUMMYFUNCTION("""COMPUTED_VALUE"""),"LED-A65-VC 25Вт 230В Е27 4000К 2380Лм IN HOME")</f>
        <v/>
      </c>
      <c r="C607" s="2">
        <f>IFERROR(__xludf.DUMMYFUNCTION("""COMPUTED_VALUE"""),0.08)</f>
        <v/>
      </c>
      <c r="D607" s="2">
        <f>IFERROR(__xludf.DUMMYFUNCTION("""COMPUTED_VALUE"""),6.000000000000001E-4)</f>
        <v/>
      </c>
      <c r="E607" s="2">
        <f>IFERROR(__xludf.DUMMYFUNCTION("""COMPUTED_VALUE"""),69.60000000000001)</f>
        <v/>
      </c>
      <c r="F607" s="2">
        <f>IFERROR(__xludf.DUMMYFUNCTION("""COMPUTED_VALUE"""),71.0)</f>
        <v/>
      </c>
      <c r="G607" s="2">
        <f>IFERROR(__xludf.DUMMYFUNCTION("""COMPUTED_VALUE"""),80.0)</f>
        <v/>
      </c>
      <c r="H607" s="2">
        <f>IFERROR(__xludf.DUMMYFUNCTION("""COMPUTED_VALUE"""),92.0)</f>
        <v/>
      </c>
      <c r="I607" s="2">
        <f>IFERROR(__xludf.DUMMYFUNCTION("""COMPUTED_VALUE"""),106.5)</f>
        <v/>
      </c>
      <c r="J607" s="2">
        <f>IFERROR(__xludf.DUMMYFUNCTION("""COMPUTED_VALUE"""),53.0)</f>
        <v/>
      </c>
      <c r="K607" s="2">
        <f>IFERROR(__xludf.DUMMYFUNCTION("""COMPUTED_VALUE"""),9.0)</f>
        <v/>
      </c>
      <c r="L607" s="2">
        <f>IFERROR(__xludf.DUMMYFUNCTION("""COMPUTED_VALUE"""),"Лампа светодиодная LED-A60-standard")</f>
        <v/>
      </c>
      <c r="M607" s="2">
        <f>IFERROR(__xludf.DUMMYFUNCTION("""COMPUTED_VALUE"""),"Лампы")</f>
        <v/>
      </c>
    </row>
    <row r="608">
      <c r="A608" s="5">
        <f>IFERROR(__xludf.DUMMYFUNCTION("""COMPUTED_VALUE"""),"4690612000398-5")</f>
        <v/>
      </c>
      <c r="B608" s="5">
        <f>IFERROR(__xludf.DUMMYFUNCTION("""COMPUTED_VALUE"""),"Розетка ТЛФ BOLLETO белая накл 7034 (5 штук)")</f>
        <v/>
      </c>
      <c r="C608" s="2">
        <f>IFERROR(__xludf.DUMMYFUNCTION("""COMPUTED_VALUE"""),0.04)</f>
        <v/>
      </c>
      <c r="D608" s="2">
        <f>IFERROR(__xludf.DUMMYFUNCTION("""COMPUTED_VALUE"""),3.0E-4)</f>
        <v/>
      </c>
      <c r="E608" s="2">
        <f>IFERROR(__xludf.DUMMYFUNCTION("""COMPUTED_VALUE"""),198.6)</f>
        <v/>
      </c>
      <c r="F608" s="2">
        <f>IFERROR(__xludf.DUMMYFUNCTION("""COMPUTED_VALUE"""),37.0)</f>
        <v/>
      </c>
      <c r="G608" s="2">
        <f>IFERROR(__xludf.DUMMYFUNCTION("""COMPUTED_VALUE"""),42.0)</f>
        <v/>
      </c>
      <c r="H608" s="2">
        <f>IFERROR(__xludf.DUMMYFUNCTION("""COMPUTED_VALUE"""),49.0)</f>
        <v/>
      </c>
      <c r="I608" s="2">
        <f>IFERROR(__xludf.DUMMYFUNCTION("""COMPUTED_VALUE"""),56.0)</f>
        <v/>
      </c>
      <c r="J608" s="2">
        <f>IFERROR(__xludf.DUMMYFUNCTION("""COMPUTED_VALUE"""),28.0)</f>
        <v/>
      </c>
      <c r="K608" s="2">
        <f>IFERROR(__xludf.DUMMYFUNCTION("""COMPUTED_VALUE"""),3.0)</f>
        <v/>
      </c>
      <c r="L608" s="2">
        <f>IFERROR(__xludf.DUMMYFUNCTION("""COMPUTED_VALUE"""),"ASD электромонтажные изделия")</f>
        <v/>
      </c>
      <c r="M608" s="2">
        <f>IFERROR(__xludf.DUMMYFUNCTION("""COMPUTED_VALUE"""),"Прочие товары")</f>
        <v/>
      </c>
    </row>
    <row r="609">
      <c r="A609" s="5">
        <f>IFERROR(__xludf.DUMMYFUNCTION("""COMPUTED_VALUE"""),"4260652193345")</f>
        <v/>
      </c>
      <c r="B609" s="5">
        <f>IFERROR(__xludf.DUMMYFUNCTION("""COMPUTED_VALUE"""),"LCL04-12W-R21-4K-SM")</f>
        <v/>
      </c>
      <c r="C609" s="2">
        <f>IFERROR(__xludf.DUMMYFUNCTION("""COMPUTED_VALUE"""),0.11)</f>
        <v/>
      </c>
      <c r="D609" s="2">
        <f>IFERROR(__xludf.DUMMYFUNCTION("""COMPUTED_VALUE"""),0.03696)</f>
        <v/>
      </c>
      <c r="E609" s="2">
        <f>IFERROR(__xludf.DUMMYFUNCTION("""COMPUTED_VALUE"""),279.7)</f>
        <v/>
      </c>
      <c r="F609" s="2">
        <f>IFERROR(__xludf.DUMMYFUNCTION("""COMPUTED_VALUE"""),465.0)</f>
        <v/>
      </c>
      <c r="G609" s="2">
        <f>IFERROR(__xludf.DUMMYFUNCTION("""COMPUTED_VALUE"""),481.0)</f>
        <v/>
      </c>
      <c r="H609" s="2">
        <f>IFERROR(__xludf.DUMMYFUNCTION("""COMPUTED_VALUE"""),630.0)</f>
        <v/>
      </c>
      <c r="I609" s="2">
        <f>IFERROR(__xludf.DUMMYFUNCTION("""COMPUTED_VALUE"""),788.0)</f>
        <v/>
      </c>
      <c r="J609" s="2">
        <f>IFERROR(__xludf.DUMMYFUNCTION("""COMPUTED_VALUE"""),788.0)</f>
        <v/>
      </c>
      <c r="K609" s="2">
        <f>IFERROR(__xludf.DUMMYFUNCTION("""COMPUTED_VALUE"""),12.0)</f>
        <v/>
      </c>
      <c r="L609" s="2">
        <f>IFERROR(__xludf.DUMMYFUNCTION("""COMPUTED_VALUE"""),"Wolta ЖКХ")</f>
        <v/>
      </c>
      <c r="M609" s="2">
        <f>IFERROR(__xludf.DUMMYFUNCTION("""COMPUTED_VALUE"""),"Для ЖКХ, дома, дачи, LED Светильники")</f>
        <v/>
      </c>
    </row>
    <row r="610">
      <c r="A610" s="5">
        <f>IFERROR(__xludf.DUMMYFUNCTION("""COMPUTED_VALUE"""),"GL8262")</f>
        <v/>
      </c>
      <c r="B610" s="5">
        <f>IFERROR(__xludf.DUMMYFUNCTION("""COMPUTED_VALUE"""),"GLERIO Line Free 24 Вт 4000К 93P-24D-4P-MP")</f>
        <v/>
      </c>
      <c r="C610" s="2">
        <f>IFERROR(__xludf.DUMMYFUNCTION("""COMPUTED_VALUE"""),0.5)</f>
        <v/>
      </c>
      <c r="D610" s="2">
        <f>IFERROR(__xludf.DUMMYFUNCTION("""COMPUTED_VALUE"""),0.00396)</f>
        <v/>
      </c>
      <c r="E610" s="2">
        <f>IFERROR(__xludf.DUMMYFUNCTION("""COMPUTED_VALUE"""),1291.56)</f>
        <v/>
      </c>
      <c r="F610" s="2">
        <f>IFERROR(__xludf.DUMMYFUNCTION("""COMPUTED_VALUE"""),1520.0)</f>
        <v/>
      </c>
      <c r="G610" s="2">
        <f>IFERROR(__xludf.DUMMYFUNCTION("""COMPUTED_VALUE"""),1914.0)</f>
        <v/>
      </c>
      <c r="H610" s="2">
        <f>IFERROR(__xludf.DUMMYFUNCTION("""COMPUTED_VALUE"""),2149.0)</f>
        <v/>
      </c>
      <c r="I610" s="2">
        <f>IFERROR(__xludf.DUMMYFUNCTION("""COMPUTED_VALUE"""),2385.0)</f>
        <v/>
      </c>
      <c r="J610" s="2">
        <f>IFERROR(__xludf.DUMMYFUNCTION("""COMPUTED_VALUE"""),1193.0)</f>
        <v/>
      </c>
      <c r="K610" s="2">
        <f>IFERROR(__xludf.DUMMYFUNCTION("""COMPUTED_VALUE"""),2.0)</f>
        <v/>
      </c>
      <c r="L610" s="2">
        <f>IFERROR(__xludf.DUMMYFUNCTION("""COMPUTED_VALUE"""),"Line Shell, Free (Retail) до 10.2025")</f>
        <v/>
      </c>
      <c r="M610" s="2">
        <f>IFERROR(__xludf.DUMMYFUNCTION("""COMPUTED_VALUE"""),"Пластиковые (линейные), LED Светильники")</f>
        <v/>
      </c>
    </row>
    <row r="611">
      <c r="A611" s="5">
        <f>IFERROR(__xludf.DUMMYFUNCTION("""COMPUTED_VALUE"""),"4690612029863")</f>
        <v/>
      </c>
      <c r="B611" s="5">
        <f>IFERROR(__xludf.DUMMYFUNCTION("""COMPUTED_VALUE"""),"LPU-01 40Вт ОПАЛ 230В 4000K 3600Лм 180x1195x30мм IP40 IN HOME")</f>
        <v/>
      </c>
      <c r="C611" s="2">
        <f>IFERROR(__xludf.DUMMYFUNCTION("""COMPUTED_VALUE"""),1.2)</f>
        <v/>
      </c>
      <c r="D611" s="2">
        <f>IFERROR(__xludf.DUMMYFUNCTION("""COMPUTED_VALUE"""),0.008)</f>
        <v/>
      </c>
      <c r="E611" s="2">
        <f>IFERROR(__xludf.DUMMYFUNCTION("""COMPUTED_VALUE"""),618.19)</f>
        <v/>
      </c>
      <c r="F611" s="2">
        <f>IFERROR(__xludf.DUMMYFUNCTION("""COMPUTED_VALUE"""),617.0)</f>
        <v/>
      </c>
      <c r="G611" s="2">
        <f>IFERROR(__xludf.DUMMYFUNCTION("""COMPUTED_VALUE"""),694.0)</f>
        <v/>
      </c>
      <c r="H611" s="2">
        <f>IFERROR(__xludf.DUMMYFUNCTION("""COMPUTED_VALUE"""),805.0)</f>
        <v/>
      </c>
      <c r="I611" s="2">
        <f>IFERROR(__xludf.DUMMYFUNCTION("""COMPUTED_VALUE"""),925.0)</f>
        <v/>
      </c>
      <c r="J611" s="2">
        <f>IFERROR(__xludf.DUMMYFUNCTION("""COMPUTED_VALUE"""),694.0)</f>
        <v/>
      </c>
      <c r="K611" s="2">
        <f>IFERROR(__xludf.DUMMYFUNCTION("""COMPUTED_VALUE"""),5.0)</f>
        <v/>
      </c>
      <c r="L611" s="2">
        <f>IFERROR(__xludf.DUMMYFUNCTION("""COMPUTED_VALUE"""),"Панели светодиодные LP серии ОПАЛ")</f>
        <v/>
      </c>
      <c r="M611" s="2">
        <f>IFERROR(__xludf.DUMMYFUNCTION("""COMPUTED_VALUE"""),"Встраиваемые, Накладные, LED Светильники")</f>
        <v/>
      </c>
    </row>
    <row r="612">
      <c r="A612" s="5">
        <f>IFERROR(__xludf.DUMMYFUNCTION("""COMPUTED_VALUE"""),"4690612040165")</f>
        <v/>
      </c>
      <c r="B612" s="5">
        <f>IFERROR(__xludf.DUMMYFUNCTION("""COMPUTED_VALUE"""),"TR-07-TL 25Вт 6500К 2500Лм IP40 24 градуса черный серии TOP-LINE IN HOME")</f>
        <v/>
      </c>
      <c r="C612" s="2">
        <f>IFERROR(__xludf.DUMMYFUNCTION("""COMPUTED_VALUE"""),0.315)</f>
        <v/>
      </c>
      <c r="D612" s="2">
        <f>IFERROR(__xludf.DUMMYFUNCTION("""COMPUTED_VALUE"""),0.001)</f>
        <v/>
      </c>
      <c r="E612" s="2">
        <f>IFERROR(__xludf.DUMMYFUNCTION("""COMPUTED_VALUE"""),526.65)</f>
        <v/>
      </c>
      <c r="F612" s="2">
        <f>IFERROR(__xludf.DUMMYFUNCTION("""COMPUTED_VALUE"""),595.0)</f>
        <v/>
      </c>
      <c r="G612" s="2">
        <f>IFERROR(__xludf.DUMMYFUNCTION("""COMPUTED_VALUE"""),670.0)</f>
        <v/>
      </c>
      <c r="H612" s="2">
        <f>IFERROR(__xludf.DUMMYFUNCTION("""COMPUTED_VALUE"""),777.0)</f>
        <v/>
      </c>
      <c r="I612" s="2">
        <f>IFERROR(__xludf.DUMMYFUNCTION("""COMPUTED_VALUE"""),893.0)</f>
        <v/>
      </c>
      <c r="J612" s="2">
        <f>IFERROR(__xludf.DUMMYFUNCTION("""COMPUTED_VALUE"""),447.0)</f>
        <v/>
      </c>
      <c r="K612" s="2">
        <f>IFERROR(__xludf.DUMMYFUNCTION("""COMPUTED_VALUE"""),8.0)</f>
        <v/>
      </c>
      <c r="L612" s="2">
        <f>IFERROR(__xludf.DUMMYFUNCTION("""COMPUTED_VALUE"""),"Светильники светодиодные трековые TR-01, 02, 03, 04, 05, 06, 07, 08")</f>
        <v/>
      </c>
      <c r="M612" s="2">
        <f>IFERROR(__xludf.DUMMYFUNCTION("""COMPUTED_VALUE"""),"Трековые, LED Светильники")</f>
        <v/>
      </c>
    </row>
    <row r="613">
      <c r="A613" s="5">
        <f>IFERROR(__xludf.DUMMYFUNCTION("""COMPUTED_VALUE"""),"4262356474683")</f>
        <v/>
      </c>
      <c r="B613" s="5">
        <f>IFERROR(__xludf.DUMMYFUNCTION("""COMPUTED_VALUE"""),"WFL-20W/07")</f>
        <v/>
      </c>
      <c r="C613" s="2">
        <f>IFERROR(__xludf.DUMMYFUNCTION("""COMPUTED_VALUE"""),0.225)</f>
        <v/>
      </c>
      <c r="D613" s="2">
        <f>IFERROR(__xludf.DUMMYFUNCTION("""COMPUTED_VALUE"""),0.013)</f>
        <v/>
      </c>
      <c r="E613" s="2">
        <f>IFERROR(__xludf.DUMMYFUNCTION("""COMPUTED_VALUE"""),276.94)</f>
        <v/>
      </c>
      <c r="F613" s="2">
        <f>IFERROR(__xludf.DUMMYFUNCTION("""COMPUTED_VALUE"""),186.0)</f>
        <v/>
      </c>
      <c r="G613" s="2">
        <f>IFERROR(__xludf.DUMMYFUNCTION("""COMPUTED_VALUE"""),192.0)</f>
        <v/>
      </c>
      <c r="H613" s="2">
        <f>IFERROR(__xludf.DUMMYFUNCTION("""COMPUTED_VALUE"""),252.0)</f>
        <v/>
      </c>
      <c r="I613" s="2">
        <f>IFERROR(__xludf.DUMMYFUNCTION("""COMPUTED_VALUE"""),315.0)</f>
        <v/>
      </c>
      <c r="J613" s="2">
        <f>IFERROR(__xludf.DUMMYFUNCTION("""COMPUTED_VALUE"""),158.0)</f>
        <v/>
      </c>
      <c r="K613" s="2">
        <f>IFERROR(__xludf.DUMMYFUNCTION("""COMPUTED_VALUE"""),46.0)</f>
        <v/>
      </c>
      <c r="L613" s="2">
        <f>IFERROR(__xludf.DUMMYFUNCTION("""COMPUTED_VALUE"""),"Wolta прожекторы")</f>
        <v/>
      </c>
      <c r="M613" s="2">
        <f>IFERROR(__xludf.DUMMYFUNCTION("""COMPUTED_VALUE"""),"Прожекторы (LED), LED Светильники")</f>
        <v/>
      </c>
    </row>
    <row r="614">
      <c r="A614" s="5">
        <f>IFERROR(__xludf.DUMMYFUNCTION("""COMPUTED_VALUE"""),"GL8432")</f>
        <v/>
      </c>
      <c r="B614" s="5">
        <f>IFERROR(__xludf.DUMMYFUNCTION("""COMPUTED_VALUE"""),"GLERIO Indoor 8 Вт 4000К 10P-8D-4N-MP-PS")</f>
        <v/>
      </c>
      <c r="C614" s="2">
        <f>IFERROR(__xludf.DUMMYFUNCTION("""COMPUTED_VALUE"""),0.15)</f>
        <v/>
      </c>
      <c r="D614" s="2">
        <f>IFERROR(__xludf.DUMMYFUNCTION("""COMPUTED_VALUE"""),6.600000000000001E-4)</f>
        <v/>
      </c>
      <c r="E614" s="2">
        <f>IFERROR(__xludf.DUMMYFUNCTION("""COMPUTED_VALUE"""),382.44)</f>
        <v/>
      </c>
      <c r="F614" s="2">
        <f>IFERROR(__xludf.DUMMYFUNCTION("""COMPUTED_VALUE"""),540.0)</f>
        <v/>
      </c>
      <c r="G614" s="2">
        <f>IFERROR(__xludf.DUMMYFUNCTION("""COMPUTED_VALUE"""),680.0)</f>
        <v/>
      </c>
      <c r="H614" s="2">
        <f>IFERROR(__xludf.DUMMYFUNCTION("""COMPUTED_VALUE"""),764.0)</f>
        <v/>
      </c>
      <c r="I614" s="2">
        <f>IFERROR(__xludf.DUMMYFUNCTION("""COMPUTED_VALUE"""),847.0)</f>
        <v/>
      </c>
      <c r="J614" s="2">
        <f>IFERROR(__xludf.DUMMYFUNCTION("""COMPUTED_VALUE"""),424.0)</f>
        <v/>
      </c>
      <c r="K614" s="2">
        <f>IFERROR(__xludf.DUMMYFUNCTION("""COMPUTED_VALUE"""),35.0)</f>
        <v/>
      </c>
      <c r="L614" s="2">
        <f>IFERROR(__xludf.DUMMYFUNCTION("""COMPUTED_VALUE"""),"Indoor GLERIO (ЖКХ) до 10.2025")</f>
        <v/>
      </c>
      <c r="M614" s="2">
        <f>IFERROR(__xludf.DUMMYFUNCTION("""COMPUTED_VALUE"""),"Без датчиков, LED Светильники")</f>
        <v/>
      </c>
    </row>
    <row r="615">
      <c r="A615" s="5">
        <f>IFERROR(__xludf.DUMMYFUNCTION("""COMPUTED_VALUE"""),"51-0527-2")</f>
        <v/>
      </c>
      <c r="B615" s="5">
        <f>IFERROR(__xludf.DUMMYFUNCTION("""COMPUTED_VALUE"""),"Тёплый пол (нагревательный мат) REXANT Classic RNX-15,0-2250 (площадь 15,0 м. кв. (0,5 х 30,0 м)), 2250 Вт, двухжильный с экраном")</f>
        <v/>
      </c>
      <c r="C615" s="2">
        <f>IFERROR(__xludf.DUMMYFUNCTION("""COMPUTED_VALUE"""),0.0)</f>
        <v/>
      </c>
      <c r="D615" s="2">
        <f>IFERROR(__xludf.DUMMYFUNCTION("""COMPUTED_VALUE"""),0.0)</f>
        <v/>
      </c>
      <c r="E615" s="2">
        <f>IFERROR(__xludf.DUMMYFUNCTION("""COMPUTED_VALUE"""),1.0)</f>
        <v/>
      </c>
      <c r="F615" s="2">
        <f>IFERROR(__xludf.DUMMYFUNCTION("""COMPUTED_VALUE"""),17658.0)</f>
        <v/>
      </c>
      <c r="G615" s="2">
        <f>IFERROR(__xludf.DUMMYFUNCTION("""COMPUTED_VALUE"""),18836.0)</f>
        <v/>
      </c>
      <c r="H615" s="2">
        <f>IFERROR(__xludf.DUMMYFUNCTION("""COMPUTED_VALUE"""),21190.0)</f>
        <v/>
      </c>
      <c r="I615" s="2">
        <f>IFERROR(__xludf.DUMMYFUNCTION("""COMPUTED_VALUE"""),23544.5)</f>
        <v/>
      </c>
      <c r="J615" s="2">
        <f>IFERROR(__xludf.DUMMYFUNCTION("""COMPUTED_VALUE"""),11772.0)</f>
        <v/>
      </c>
      <c r="K615" s="2">
        <f>IFERROR(__xludf.DUMMYFUNCTION("""COMPUTED_VALUE"""),1.0)</f>
        <v/>
      </c>
      <c r="L615" s="2">
        <f>IFERROR(__xludf.DUMMYFUNCTION("""COMPUTED_VALUE"""),"Rexant")</f>
        <v/>
      </c>
      <c r="M615" s="2">
        <f>IFERROR(__xludf.DUMMYFUNCTION("""COMPUTED_VALUE"""),"Прочие товары")</f>
        <v/>
      </c>
    </row>
    <row r="616">
      <c r="A616" s="5">
        <f>IFERROR(__xludf.DUMMYFUNCTION("""COMPUTED_VALUE"""),"4690612019857")</f>
        <v/>
      </c>
      <c r="B616" s="5">
        <f>IFERROR(__xludf.DUMMYFUNCTION("""COMPUTED_VALUE"""),"LED-JCD-VC 3Вт 230В G9 3000К 270Лм IN HOME")</f>
        <v/>
      </c>
      <c r="C616" s="2">
        <f>IFERROR(__xludf.DUMMYFUNCTION("""COMPUTED_VALUE"""),0.015)</f>
        <v/>
      </c>
      <c r="D616" s="2">
        <f>IFERROR(__xludf.DUMMYFUNCTION("""COMPUTED_VALUE"""),4.0E-5)</f>
        <v/>
      </c>
      <c r="E616" s="2">
        <f>IFERROR(__xludf.DUMMYFUNCTION("""COMPUTED_VALUE"""),38.03)</f>
        <v/>
      </c>
      <c r="F616" s="2">
        <f>IFERROR(__xludf.DUMMYFUNCTION("""COMPUTED_VALUE"""),42.0)</f>
        <v/>
      </c>
      <c r="G616" s="2">
        <f>IFERROR(__xludf.DUMMYFUNCTION("""COMPUTED_VALUE"""),47.0)</f>
        <v/>
      </c>
      <c r="H616" s="2">
        <f>IFERROR(__xludf.DUMMYFUNCTION("""COMPUTED_VALUE"""),55.0)</f>
        <v/>
      </c>
      <c r="I616" s="2">
        <f>IFERROR(__xludf.DUMMYFUNCTION("""COMPUTED_VALUE"""),63.5)</f>
        <v/>
      </c>
      <c r="J616" s="2">
        <f>IFERROR(__xludf.DUMMYFUNCTION("""COMPUTED_VALUE"""),32.0)</f>
        <v/>
      </c>
      <c r="K616" s="2">
        <f>IFERROR(__xludf.DUMMYFUNCTION("""COMPUTED_VALUE"""),13.0)</f>
        <v/>
      </c>
      <c r="L616" s="2">
        <f>IFERROR(__xludf.DUMMYFUNCTION("""COMPUTED_VALUE"""),"Лампа светодиодная LED-JCD-standard")</f>
        <v/>
      </c>
      <c r="M616" s="2">
        <f>IFERROR(__xludf.DUMMYFUNCTION("""COMPUTED_VALUE"""),"Лампы")</f>
        <v/>
      </c>
    </row>
    <row r="617">
      <c r="A617" s="5">
        <f>IFERROR(__xludf.DUMMYFUNCTION("""COMPUTED_VALUE"""),"4690612020822")</f>
        <v/>
      </c>
      <c r="B617" s="5">
        <f>IFERROR(__xludf.DUMMYFUNCTION("""COMPUTED_VALUE"""),"LED-GX53-VC 15Вт 230В 4000К 1430Лм IN HOME")</f>
        <v/>
      </c>
      <c r="C617" s="2">
        <f>IFERROR(__xludf.DUMMYFUNCTION("""COMPUTED_VALUE"""),0.051)</f>
        <v/>
      </c>
      <c r="D617" s="2">
        <f>IFERROR(__xludf.DUMMYFUNCTION("""COMPUTED_VALUE"""),2.1E-4)</f>
        <v/>
      </c>
      <c r="E617" s="2">
        <f>IFERROR(__xludf.DUMMYFUNCTION("""COMPUTED_VALUE"""),53.4)</f>
        <v/>
      </c>
      <c r="F617" s="2">
        <f>IFERROR(__xludf.DUMMYFUNCTION("""COMPUTED_VALUE"""),57.0)</f>
        <v/>
      </c>
      <c r="G617" s="2">
        <f>IFERROR(__xludf.DUMMYFUNCTION("""COMPUTED_VALUE"""),64.0)</f>
        <v/>
      </c>
      <c r="H617" s="2">
        <f>IFERROR(__xludf.DUMMYFUNCTION("""COMPUTED_VALUE"""),74.0)</f>
        <v/>
      </c>
      <c r="I617" s="2">
        <f>IFERROR(__xludf.DUMMYFUNCTION("""COMPUTED_VALUE"""),85.55)</f>
        <v/>
      </c>
      <c r="J617" s="2">
        <f>IFERROR(__xludf.DUMMYFUNCTION("""COMPUTED_VALUE"""),43.0)</f>
        <v/>
      </c>
      <c r="K617" s="2">
        <f>IFERROR(__xludf.DUMMYFUNCTION("""COMPUTED_VALUE"""),5.0)</f>
        <v/>
      </c>
      <c r="L617" s="2">
        <f>IFERROR(__xludf.DUMMYFUNCTION("""COMPUTED_VALUE"""),"Лампа светодиодная LED-GX53-standard")</f>
        <v/>
      </c>
      <c r="M617" s="2">
        <f>IFERROR(__xludf.DUMMYFUNCTION("""COMPUTED_VALUE"""),"Лампы")</f>
        <v/>
      </c>
    </row>
    <row r="618">
      <c r="A618" s="5">
        <f>IFERROR(__xludf.DUMMYFUNCTION("""COMPUTED_VALUE"""),"4690612020457")</f>
        <v/>
      </c>
      <c r="B618" s="5">
        <f>IFERROR(__xludf.DUMMYFUNCTION("""COMPUTED_VALUE"""),"LED-СВЕЧА-VC 8Вт 230В Е27 4000К 760Лм IN HOME")</f>
        <v/>
      </c>
      <c r="C618" s="2">
        <f>IFERROR(__xludf.DUMMYFUNCTION("""COMPUTED_VALUE"""),0.028)</f>
        <v/>
      </c>
      <c r="D618" s="2">
        <f>IFERROR(__xludf.DUMMYFUNCTION("""COMPUTED_VALUE"""),1.9E-4)</f>
        <v/>
      </c>
      <c r="E618" s="2">
        <f>IFERROR(__xludf.DUMMYFUNCTION("""COMPUTED_VALUE"""),39.0)</f>
        <v/>
      </c>
      <c r="F618" s="2">
        <f>IFERROR(__xludf.DUMMYFUNCTION("""COMPUTED_VALUE"""),45.0)</f>
        <v/>
      </c>
      <c r="G618" s="2">
        <f>IFERROR(__xludf.DUMMYFUNCTION("""COMPUTED_VALUE"""),50.0)</f>
        <v/>
      </c>
      <c r="H618" s="2">
        <f>IFERROR(__xludf.DUMMYFUNCTION("""COMPUTED_VALUE"""),58.0)</f>
        <v/>
      </c>
      <c r="I618" s="2">
        <f>IFERROR(__xludf.DUMMYFUNCTION("""COMPUTED_VALUE"""),67.6)</f>
        <v/>
      </c>
      <c r="J618" s="2">
        <f>IFERROR(__xludf.DUMMYFUNCTION("""COMPUTED_VALUE"""),34.0)</f>
        <v/>
      </c>
      <c r="K618" s="2">
        <f>IFERROR(__xludf.DUMMYFUNCTION("""COMPUTED_VALUE"""),12.0)</f>
        <v/>
      </c>
      <c r="L618" s="2">
        <f>IFERROR(__xludf.DUMMYFUNCTION("""COMPUTED_VALUE"""),"Лампа светодиодная LED-СВЕЧА-standard")</f>
        <v/>
      </c>
      <c r="M618" s="2">
        <f>IFERROR(__xludf.DUMMYFUNCTION("""COMPUTED_VALUE"""),"Лампы")</f>
        <v/>
      </c>
    </row>
    <row r="619">
      <c r="A619" s="5">
        <f>IFERROR(__xludf.DUMMYFUNCTION("""COMPUTED_VALUE"""),"4690612020204")</f>
        <v/>
      </c>
      <c r="B619" s="5">
        <f>IFERROR(__xludf.DUMMYFUNCTION("""COMPUTED_VALUE"""),"LED-A60-VC 10Вт 230В Е27 3000К 950Лм IN HOME")</f>
        <v/>
      </c>
      <c r="C619" s="2">
        <f>IFERROR(__xludf.DUMMYFUNCTION("""COMPUTED_VALUE"""),0.04600000000000001)</f>
        <v/>
      </c>
      <c r="D619" s="2">
        <f>IFERROR(__xludf.DUMMYFUNCTION("""COMPUTED_VALUE"""),4.0E-4)</f>
        <v/>
      </c>
      <c r="E619" s="2">
        <f>IFERROR(__xludf.DUMMYFUNCTION("""COMPUTED_VALUE"""),39.47)</f>
        <v/>
      </c>
      <c r="F619" s="2">
        <f>IFERROR(__xludf.DUMMYFUNCTION("""COMPUTED_VALUE"""),41.0)</f>
        <v/>
      </c>
      <c r="G619" s="2">
        <f>IFERROR(__xludf.DUMMYFUNCTION("""COMPUTED_VALUE"""),46.0)</f>
        <v/>
      </c>
      <c r="H619" s="2">
        <f>IFERROR(__xludf.DUMMYFUNCTION("""COMPUTED_VALUE"""),53.0)</f>
        <v/>
      </c>
      <c r="I619" s="2">
        <f>IFERROR(__xludf.DUMMYFUNCTION("""COMPUTED_VALUE"""),61.5)</f>
        <v/>
      </c>
      <c r="J619" s="2">
        <f>IFERROR(__xludf.DUMMYFUNCTION("""COMPUTED_VALUE"""),31.0)</f>
        <v/>
      </c>
      <c r="K619" s="2">
        <f>IFERROR(__xludf.DUMMYFUNCTION("""COMPUTED_VALUE"""),1.0)</f>
        <v/>
      </c>
      <c r="L619" s="2">
        <f>IFERROR(__xludf.DUMMYFUNCTION("""COMPUTED_VALUE"""),"Лампа светодиодная LED-A60-standard")</f>
        <v/>
      </c>
      <c r="M619" s="2">
        <f>IFERROR(__xludf.DUMMYFUNCTION("""COMPUTED_VALUE"""),"Лампы")</f>
        <v/>
      </c>
    </row>
    <row r="620">
      <c r="A620" s="5">
        <f>IFERROR(__xludf.DUMMYFUNCTION("""COMPUTED_VALUE"""),"4690612020808")</f>
        <v/>
      </c>
      <c r="B620" s="5">
        <f>IFERROR(__xludf.DUMMYFUNCTION("""COMPUTED_VALUE"""),"LED-GX53-VC 12Вт 230В 6500К 1140Лм IN HOME")</f>
        <v/>
      </c>
      <c r="C620" s="2">
        <f>IFERROR(__xludf.DUMMYFUNCTION("""COMPUTED_VALUE"""),0.03800000000000001)</f>
        <v/>
      </c>
      <c r="D620" s="2">
        <f>IFERROR(__xludf.DUMMYFUNCTION("""COMPUTED_VALUE"""),2.1E-4)</f>
        <v/>
      </c>
      <c r="E620" s="2">
        <f>IFERROR(__xludf.DUMMYFUNCTION("""COMPUTED_VALUE"""),45.0)</f>
        <v/>
      </c>
      <c r="F620" s="2">
        <f>IFERROR(__xludf.DUMMYFUNCTION("""COMPUTED_VALUE"""),48.0)</f>
        <v/>
      </c>
      <c r="G620" s="2">
        <f>IFERROR(__xludf.DUMMYFUNCTION("""COMPUTED_VALUE"""),54.0)</f>
        <v/>
      </c>
      <c r="H620" s="2">
        <f>IFERROR(__xludf.DUMMYFUNCTION("""COMPUTED_VALUE"""),62.0)</f>
        <v/>
      </c>
      <c r="I620" s="2">
        <f>IFERROR(__xludf.DUMMYFUNCTION("""COMPUTED_VALUE"""),71.9)</f>
        <v/>
      </c>
      <c r="J620" s="2">
        <f>IFERROR(__xludf.DUMMYFUNCTION("""COMPUTED_VALUE"""),36.0)</f>
        <v/>
      </c>
      <c r="K620" s="2">
        <f>IFERROR(__xludf.DUMMYFUNCTION("""COMPUTED_VALUE"""),40.0)</f>
        <v/>
      </c>
      <c r="L620" s="2">
        <f>IFERROR(__xludf.DUMMYFUNCTION("""COMPUTED_VALUE"""),"Лампа светодиодная LED-GX53-standard")</f>
        <v/>
      </c>
      <c r="M620" s="2">
        <f>IFERROR(__xludf.DUMMYFUNCTION("""COMPUTED_VALUE"""),"Лампы")</f>
        <v/>
      </c>
    </row>
    <row r="621">
      <c r="A621" s="5">
        <f>IFERROR(__xludf.DUMMYFUNCTION("""COMPUTED_VALUE"""),"12-0126")</f>
        <v/>
      </c>
      <c r="B621" s="5">
        <f>IFERROR(__xludf.DUMMYFUNCTION("""COMPUTED_VALUE"""),"Паяльник с керамическим нагревателем долговечное жало 230 V/100 Вт REXANT")</f>
        <v/>
      </c>
      <c r="C621" s="2">
        <f>IFERROR(__xludf.DUMMYFUNCTION("""COMPUTED_VALUE"""),0.0)</f>
        <v/>
      </c>
      <c r="D621" s="2">
        <f>IFERROR(__xludf.DUMMYFUNCTION("""COMPUTED_VALUE"""),0.0)</f>
        <v/>
      </c>
      <c r="E621" s="2">
        <f>IFERROR(__xludf.DUMMYFUNCTION("""COMPUTED_VALUE"""),1.0)</f>
        <v/>
      </c>
      <c r="F621" s="2">
        <f>IFERROR(__xludf.DUMMYFUNCTION("""COMPUTED_VALUE"""),788.0)</f>
        <v/>
      </c>
      <c r="G621" s="2">
        <f>IFERROR(__xludf.DUMMYFUNCTION("""COMPUTED_VALUE"""),841.0)</f>
        <v/>
      </c>
      <c r="H621" s="2">
        <f>IFERROR(__xludf.DUMMYFUNCTION("""COMPUTED_VALUE"""),946.0)</f>
        <v/>
      </c>
      <c r="I621" s="2">
        <f>IFERROR(__xludf.DUMMYFUNCTION("""COMPUTED_VALUE"""),1050.86)</f>
        <v/>
      </c>
      <c r="J621" s="2">
        <f>IFERROR(__xludf.DUMMYFUNCTION("""COMPUTED_VALUE"""),525.0)</f>
        <v/>
      </c>
      <c r="K621" s="2">
        <f>IFERROR(__xludf.DUMMYFUNCTION("""COMPUTED_VALUE"""),5.0)</f>
        <v/>
      </c>
      <c r="L621" s="2">
        <f>IFERROR(__xludf.DUMMYFUNCTION("""COMPUTED_VALUE"""),"Rexant")</f>
        <v/>
      </c>
      <c r="M621" s="2">
        <f>IFERROR(__xludf.DUMMYFUNCTION("""COMPUTED_VALUE"""),"Прочие товары")</f>
        <v/>
      </c>
    </row>
    <row r="622">
      <c r="A622" s="5">
        <f>IFERROR(__xludf.DUMMYFUNCTION("""COMPUTED_VALUE"""),"55082")</f>
        <v/>
      </c>
      <c r="B622" s="5">
        <f>IFERROR(__xludf.DUMMYFUNCTION("""COMPUTED_VALUE"""),"Снежинки 80 холодных LED ламп, прозрачный провод, 10 м, 220 v /20")</f>
        <v/>
      </c>
      <c r="C622" s="2">
        <f>IFERROR(__xludf.DUMMYFUNCTION("""COMPUTED_VALUE"""),0.0)</f>
        <v/>
      </c>
      <c r="D622" s="2">
        <f>IFERROR(__xludf.DUMMYFUNCTION("""COMPUTED_VALUE"""),0.0)</f>
        <v/>
      </c>
      <c r="E622" s="2">
        <f>IFERROR(__xludf.DUMMYFUNCTION("""COMPUTED_VALUE"""),810.45)</f>
        <v/>
      </c>
      <c r="F622" s="2">
        <f>IFERROR(__xludf.DUMMYFUNCTION("""COMPUTED_VALUE"""),899.0)</f>
        <v/>
      </c>
      <c r="G622" s="2">
        <f>IFERROR(__xludf.DUMMYFUNCTION("""COMPUTED_VALUE"""),981.0)</f>
        <v/>
      </c>
      <c r="H622" s="2">
        <f>IFERROR(__xludf.DUMMYFUNCTION("""COMPUTED_VALUE"""),1062.0)</f>
        <v/>
      </c>
      <c r="I622" s="2">
        <f>IFERROR(__xludf.DUMMYFUNCTION("""COMPUTED_VALUE"""),1144.0)</f>
        <v/>
      </c>
      <c r="J622" s="2">
        <f>IFERROR(__xludf.DUMMYFUNCTION("""COMPUTED_VALUE"""),572.0)</f>
        <v/>
      </c>
      <c r="K622" s="2">
        <f>IFERROR(__xludf.DUMMYFUNCTION("""COMPUTED_VALUE"""),22.0)</f>
        <v/>
      </c>
      <c r="L622" s="2">
        <f>IFERROR(__xludf.DUMMYFUNCTION("""COMPUTED_VALUE"""),"Праздничная иллюминация")</f>
        <v/>
      </c>
      <c r="M622" s="2">
        <f>IFERROR(__xludf.DUMMYFUNCTION("""COMPUTED_VALUE"""),"Гирлянды светодиодные (LED), Прочие товары")</f>
        <v/>
      </c>
    </row>
    <row r="623">
      <c r="A623" s="5">
        <f>IFERROR(__xludf.DUMMYFUNCTION("""COMPUTED_VALUE"""),"R100344-1")</f>
        <v/>
      </c>
      <c r="B623" s="5">
        <f>IFERROR(__xludf.DUMMYFUNCTION("""COMPUTED_VALUE"""),"RSV-SPO-02-40W-6500К, IP40 P (в индивидуальной упаковке)")</f>
        <v/>
      </c>
      <c r="C623" s="2">
        <f>IFERROR(__xludf.DUMMYFUNCTION("""COMPUTED_VALUE"""),0.0)</f>
        <v/>
      </c>
      <c r="D623" s="2">
        <f>IFERROR(__xludf.DUMMYFUNCTION("""COMPUTED_VALUE"""),0.00293)</f>
        <v/>
      </c>
      <c r="E623" s="2">
        <f>IFERROR(__xludf.DUMMYFUNCTION("""COMPUTED_VALUE"""),287.57)</f>
        <v/>
      </c>
      <c r="F623" s="2">
        <f>IFERROR(__xludf.DUMMYFUNCTION("""COMPUTED_VALUE"""),345.0)</f>
        <v/>
      </c>
      <c r="G623" s="2">
        <f>IFERROR(__xludf.DUMMYFUNCTION("""COMPUTED_VALUE"""),368.0)</f>
        <v/>
      </c>
      <c r="H623" s="2">
        <f>IFERROR(__xludf.DUMMYFUNCTION("""COMPUTED_VALUE"""),414.0)</f>
        <v/>
      </c>
      <c r="I623" s="2">
        <f>IFERROR(__xludf.DUMMYFUNCTION("""COMPUTED_VALUE"""),460.0)</f>
        <v/>
      </c>
      <c r="J623" s="2">
        <f>IFERROR(__xludf.DUMMYFUNCTION("""COMPUTED_VALUE"""),230.0)</f>
        <v/>
      </c>
      <c r="K623" s="2">
        <f>IFERROR(__xludf.DUMMYFUNCTION("""COMPUTED_VALUE"""),16.0)</f>
        <v/>
      </c>
      <c r="L623" s="2">
        <f>IFERROR(__xludf.DUMMYFUNCTION("""COMPUTED_VALUE"""),"RSV-SPO Светильники Производство, упаковка (1 штука)")</f>
        <v/>
      </c>
      <c r="M623" s="2">
        <f>IFERROR(__xludf.DUMMYFUNCTION("""COMPUTED_VALUE"""),"Пластиковые (линейные), Светильники общего назначения (LED), Накладные, Линейные (проходные), LED Светильники")</f>
        <v/>
      </c>
    </row>
    <row r="624">
      <c r="A624" s="5">
        <f>IFERROR(__xludf.DUMMYFUNCTION("""COMPUTED_VALUE"""),"ves003")</f>
        <v/>
      </c>
      <c r="B624" s="5">
        <f>IFERROR(__xludf.DUMMYFUNCTION("""COMPUTED_VALUE"""),"Светильник переносной с решеткой 60Вт ЛСУ-1 25 метров")</f>
        <v/>
      </c>
      <c r="C624" s="2">
        <f>IFERROR(__xludf.DUMMYFUNCTION("""COMPUTED_VALUE"""),0.0)</f>
        <v/>
      </c>
      <c r="D624" s="2">
        <f>IFERROR(__xludf.DUMMYFUNCTION("""COMPUTED_VALUE"""),0.0)</f>
        <v/>
      </c>
      <c r="E624" s="2">
        <f>IFERROR(__xludf.DUMMYFUNCTION("""COMPUTED_VALUE"""),709.7)</f>
        <v/>
      </c>
      <c r="F624" s="2">
        <f>IFERROR(__xludf.DUMMYFUNCTION("""COMPUTED_VALUE"""),750.0)</f>
        <v/>
      </c>
      <c r="G624" s="2">
        <f>IFERROR(__xludf.DUMMYFUNCTION("""COMPUTED_VALUE"""),800.0)</f>
        <v/>
      </c>
      <c r="H624" s="2">
        <f>IFERROR(__xludf.DUMMYFUNCTION("""COMPUTED_VALUE"""),900.0)</f>
        <v/>
      </c>
      <c r="I624" s="2">
        <f>IFERROR(__xludf.DUMMYFUNCTION("""COMPUTED_VALUE"""),1000.0)</f>
        <v/>
      </c>
      <c r="J624" s="2">
        <f>IFERROR(__xludf.DUMMYFUNCTION("""COMPUTED_VALUE"""),500.0)</f>
        <v/>
      </c>
      <c r="K624" s="2">
        <f>IFERROR(__xludf.DUMMYFUNCTION("""COMPUTED_VALUE"""),11.0)</f>
        <v/>
      </c>
      <c r="L624" s="2">
        <f>IFERROR(__xludf.DUMMYFUNCTION("""COMPUTED_VALUE"""),"ves")</f>
        <v/>
      </c>
      <c r="M624" s="2">
        <f>IFERROR(__xludf.DUMMYFUNCTION("""COMPUTED_VALUE"""),"LED Светильники")</f>
        <v/>
      </c>
    </row>
    <row r="625">
      <c r="A625" s="5">
        <f>IFERROR(__xludf.DUMMYFUNCTION("""COMPUTED_VALUE"""),"4690612057279-1")</f>
        <v/>
      </c>
      <c r="B625" s="5">
        <f>IFERROR(__xludf.DUMMYFUNCTION("""COMPUTED_VALUE"""),"ДВО-PRO 4040-ОПАЛ 40Вт 4000К 120лм/Вт CRI80 IP40 595х595х30мм NEOX (в индивид. уп)")</f>
        <v/>
      </c>
      <c r="C625" s="2">
        <f>IFERROR(__xludf.DUMMYFUNCTION("""COMPUTED_VALUE"""),0.0)</f>
        <v/>
      </c>
      <c r="D625" s="2">
        <f>IFERROR(__xludf.DUMMYFUNCTION("""COMPUTED_VALUE"""),0.0)</f>
        <v/>
      </c>
      <c r="E625" s="2">
        <f>IFERROR(__xludf.DUMMYFUNCTION("""COMPUTED_VALUE"""),761.6)</f>
        <v/>
      </c>
      <c r="F625" s="2">
        <f>IFERROR(__xludf.DUMMYFUNCTION("""COMPUTED_VALUE"""),836.0)</f>
        <v/>
      </c>
      <c r="G625" s="2">
        <f>IFERROR(__xludf.DUMMYFUNCTION("""COMPUTED_VALUE"""),975.0)</f>
        <v/>
      </c>
      <c r="H625" s="2">
        <f>IFERROR(__xludf.DUMMYFUNCTION("""COMPUTED_VALUE"""),1097.0)</f>
        <v/>
      </c>
      <c r="I625" s="2">
        <f>IFERROR(__xludf.DUMMYFUNCTION("""COMPUTED_VALUE"""),1219.0)</f>
        <v/>
      </c>
      <c r="J625" s="2">
        <f>IFERROR(__xludf.DUMMYFUNCTION("""COMPUTED_VALUE"""),610.0)</f>
        <v/>
      </c>
      <c r="K625" s="2">
        <f>IFERROR(__xludf.DUMMYFUNCTION("""COMPUTED_VALUE"""),33.0)</f>
        <v/>
      </c>
      <c r="L625" s="2">
        <f>IFERROR(__xludf.DUMMYFUNCTION("""COMPUTED_VALUE"""),"NEOX Светильники LED ДВО-PRO производство, упаковка")</f>
        <v/>
      </c>
      <c r="M625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626">
      <c r="A626" s="5">
        <f>IFERROR(__xludf.DUMMYFUNCTION("""COMPUTED_VALUE"""),"4690612029634-2")</f>
        <v/>
      </c>
      <c r="B626" s="5">
        <f>IFERROR(__xludf.DUMMYFUNCTION("""COMPUTED_VALUE"""),"LPU-02 36Вт ПРИЗМА 230В 6500К 3420Лм 595х595х19мм IP40 IN HOME (2 штуки в упаковке)")</f>
        <v/>
      </c>
      <c r="C626" s="2">
        <f>IFERROR(__xludf.DUMMYFUNCTION("""COMPUTED_VALUE"""),0.0)</f>
        <v/>
      </c>
      <c r="D626" s="2">
        <f>IFERROR(__xludf.DUMMYFUNCTION("""COMPUTED_VALUE"""),0.0)</f>
        <v/>
      </c>
      <c r="E626" s="2">
        <f>IFERROR(__xludf.DUMMYFUNCTION("""COMPUTED_VALUE"""),1118.02)</f>
        <v/>
      </c>
      <c r="F626" s="2">
        <f>IFERROR(__xludf.DUMMYFUNCTION("""COMPUTED_VALUE"""),1227.0)</f>
        <v/>
      </c>
      <c r="G626" s="2">
        <f>IFERROR(__xludf.DUMMYFUNCTION("""COMPUTED_VALUE"""),1431.0)</f>
        <v/>
      </c>
      <c r="H626" s="2">
        <f>IFERROR(__xludf.DUMMYFUNCTION("""COMPUTED_VALUE"""),1610.0)</f>
        <v/>
      </c>
      <c r="I626" s="2">
        <f>IFERROR(__xludf.DUMMYFUNCTION("""COMPUTED_VALUE"""),1789.0)</f>
        <v/>
      </c>
      <c r="J626" s="2">
        <f>IFERROR(__xludf.DUMMYFUNCTION("""COMPUTED_VALUE"""),895.0)</f>
        <v/>
      </c>
      <c r="K626" s="2">
        <f>IFERROR(__xludf.DUMMYFUNCTION("""COMPUTED_VALUE"""),6.0)</f>
        <v/>
      </c>
      <c r="L626" s="2">
        <f>IFERROR(__xludf.DUMMYFUNCTION("""COMPUTED_VALUE"""),"InHome Светильники LED LPU-02 производство, упаковка")</f>
        <v/>
      </c>
      <c r="M626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/>
      </c>
    </row>
    <row r="627">
      <c r="A627" s="5">
        <f>IFERROR(__xludf.DUMMYFUNCTION("""COMPUTED_VALUE"""),"Fefco/0201-4")</f>
        <v/>
      </c>
      <c r="B627" s="5">
        <f>IFERROR(__xludf.DUMMYFUNCTION("""COMPUTED_VALUE"""),"Короб 220х60х200 (картон Т-24 бурый 3мм)")</f>
        <v/>
      </c>
      <c r="C627" s="2">
        <f>IFERROR(__xludf.DUMMYFUNCTION("""COMPUTED_VALUE"""),0.0)</f>
        <v/>
      </c>
      <c r="D627" s="2">
        <f>IFERROR(__xludf.DUMMYFUNCTION("""COMPUTED_VALUE"""),0.0)</f>
        <v/>
      </c>
      <c r="E627" s="2">
        <f>IFERROR(__xludf.DUMMYFUNCTION("""COMPUTED_VALUE"""),26.8)</f>
        <v/>
      </c>
      <c r="F627" s="2">
        <f>IFERROR(__xludf.DUMMYFUNCTION("""COMPUTED_VALUE"""),1.0)</f>
        <v/>
      </c>
      <c r="G627" s="2">
        <f>IFERROR(__xludf.DUMMYFUNCTION("""COMPUTED_VALUE"""),1.0)</f>
        <v/>
      </c>
      <c r="H627" s="2">
        <f>IFERROR(__xludf.DUMMYFUNCTION("""COMPUTED_VALUE"""),1.0)</f>
        <v/>
      </c>
      <c r="I627" s="2">
        <f>IFERROR(__xludf.DUMMYFUNCTION("""COMPUTED_VALUE"""),1.5)</f>
        <v/>
      </c>
      <c r="J627" s="2">
        <f>IFERROR(__xludf.DUMMYFUNCTION("""COMPUTED_VALUE"""),1.5)</f>
        <v/>
      </c>
      <c r="K627" s="2">
        <f>IFERROR(__xludf.DUMMYFUNCTION("""COMPUTED_VALUE"""),300.0)</f>
        <v/>
      </c>
      <c r="L627" s="2">
        <f>IFERROR(__xludf.DUMMYFUNCTION("""COMPUTED_VALUE"""),"Упаковка")</f>
        <v/>
      </c>
      <c r="M627" s="2">
        <f>IFERROR(__xludf.DUMMYFUNCTION("""COMPUTED_VALUE"""),"Прочие товары")</f>
        <v/>
      </c>
    </row>
    <row r="628">
      <c r="A628" s="5">
        <f>IFERROR(__xludf.DUMMYFUNCTION("""COMPUTED_VALUE"""),"4260652192744")</f>
        <v/>
      </c>
      <c r="B628" s="5">
        <f>IFERROR(__xludf.DUMMYFUNCTION("""COMPUTED_VALUE"""),"WTL-TR2/01W")</f>
        <v/>
      </c>
      <c r="C628" s="2">
        <f>IFERROR(__xludf.DUMMYFUNCTION("""COMPUTED_VALUE"""),0.77)</f>
        <v/>
      </c>
      <c r="D628" s="2">
        <f>IFERROR(__xludf.DUMMYFUNCTION("""COMPUTED_VALUE"""),8.200000000000001E-4)</f>
        <v/>
      </c>
      <c r="E628" s="2">
        <f>IFERROR(__xludf.DUMMYFUNCTION("""COMPUTED_VALUE"""),686.0)</f>
        <v/>
      </c>
      <c r="F628" s="2">
        <f>IFERROR(__xludf.DUMMYFUNCTION("""COMPUTED_VALUE"""),944.0)</f>
        <v/>
      </c>
      <c r="G628" s="2">
        <f>IFERROR(__xludf.DUMMYFUNCTION("""COMPUTED_VALUE"""),976.0)</f>
        <v/>
      </c>
      <c r="H628" s="2">
        <f>IFERROR(__xludf.DUMMYFUNCTION("""COMPUTED_VALUE"""),1279.0)</f>
        <v/>
      </c>
      <c r="I628" s="2">
        <f>IFERROR(__xludf.DUMMYFUNCTION("""COMPUTED_VALUE"""),1599.0)</f>
        <v/>
      </c>
      <c r="J628" s="2">
        <f>IFERROR(__xludf.DUMMYFUNCTION("""COMPUTED_VALUE"""),800.0)</f>
        <v/>
      </c>
      <c r="K628" s="2">
        <f>IFERROR(__xludf.DUMMYFUNCTION("""COMPUTED_VALUE"""),1.0)</f>
        <v/>
      </c>
      <c r="L628" s="2">
        <f>IFERROR(__xludf.DUMMYFUNCTION("""COMPUTED_VALUE"""),"Wolta трековые")</f>
        <v/>
      </c>
      <c r="M628" s="2">
        <f>IFERROR(__xludf.DUMMYFUNCTION("""COMPUTED_VALUE"""),"Трековые, LED Светильники")</f>
        <v/>
      </c>
    </row>
    <row r="629">
      <c r="A629" s="5">
        <f>IFERROR(__xludf.DUMMYFUNCTION("""COMPUTED_VALUE"""),"V9008")</f>
        <v/>
      </c>
      <c r="B629" s="5">
        <f>IFERROR(__xludf.DUMMYFUNCTION("""COMPUTED_VALUE"""),"VRN-UNE-48-G40K67-K, 48Вт, Консольный")</f>
        <v/>
      </c>
      <c r="C629" s="2">
        <f>IFERROR(__xludf.DUMMYFUNCTION("""COMPUTED_VALUE"""),0.122)</f>
        <v/>
      </c>
      <c r="D629" s="2">
        <f>IFERROR(__xludf.DUMMYFUNCTION("""COMPUTED_VALUE"""),0.00483)</f>
        <v/>
      </c>
      <c r="E629" s="2">
        <f>IFERROR(__xludf.DUMMYFUNCTION("""COMPUTED_VALUE"""),1948.45)</f>
        <v/>
      </c>
      <c r="F629" s="2">
        <f>IFERROR(__xludf.DUMMYFUNCTION("""COMPUTED_VALUE"""),2255.0)</f>
        <v/>
      </c>
      <c r="G629" s="2">
        <f>IFERROR(__xludf.DUMMYFUNCTION("""COMPUTED_VALUE"""),2932.0)</f>
        <v/>
      </c>
      <c r="H629" s="2">
        <f>IFERROR(__xludf.DUMMYFUNCTION("""COMPUTED_VALUE"""),3078.0)</f>
        <v/>
      </c>
      <c r="I629" s="2">
        <f>IFERROR(__xludf.DUMMYFUNCTION("""COMPUTED_VALUE"""),3225.0)</f>
        <v/>
      </c>
      <c r="J629" s="2">
        <f>IFERROR(__xludf.DUMMYFUNCTION("""COMPUTED_VALUE"""),1613.0)</f>
        <v/>
      </c>
      <c r="K629" s="2">
        <f>IFERROR(__xludf.DUMMYFUNCTION("""COMPUTED_VALUE"""),5.0)</f>
        <v/>
      </c>
      <c r="L629" s="2">
        <f>IFERROR(__xludf.DUMMYFUNCTION("""COMPUTED_VALUE"""),"Универсал Эконом")</f>
        <v/>
      </c>
      <c r="M629" s="2">
        <f>IFERROR(__xludf.DUMMYFUNCTION("""COMPUTED_VALUE"""),"Для обычных дорог, LED Светильники")</f>
        <v/>
      </c>
    </row>
    <row r="630">
      <c r="A630" s="5">
        <f>IFERROR(__xludf.DUMMYFUNCTION("""COMPUTED_VALUE"""),"Fefco/0201-1")</f>
        <v/>
      </c>
      <c r="B630" s="5">
        <f>IFERROR(__xludf.DUMMYFUNCTION("""COMPUTED_VALUE"""),"Короб 1275х280х220 (картон Т-24 бурый 3мм)")</f>
        <v/>
      </c>
      <c r="C630" s="2">
        <f>IFERROR(__xludf.DUMMYFUNCTION("""COMPUTED_VALUE"""),0.0)</f>
        <v/>
      </c>
      <c r="D630" s="2">
        <f>IFERROR(__xludf.DUMMYFUNCTION("""COMPUTED_VALUE"""),0.0)</f>
        <v/>
      </c>
      <c r="E630" s="2">
        <f>IFERROR(__xludf.DUMMYFUNCTION("""COMPUTED_VALUE"""),146.1)</f>
        <v/>
      </c>
      <c r="F630" s="2">
        <f>IFERROR(__xludf.DUMMYFUNCTION("""COMPUTED_VALUE"""),1.0)</f>
        <v/>
      </c>
      <c r="G630" s="2">
        <f>IFERROR(__xludf.DUMMYFUNCTION("""COMPUTED_VALUE"""),1.0)</f>
        <v/>
      </c>
      <c r="H630" s="2">
        <f>IFERROR(__xludf.DUMMYFUNCTION("""COMPUTED_VALUE"""),1.0)</f>
        <v/>
      </c>
      <c r="I630" s="2">
        <f>IFERROR(__xludf.DUMMYFUNCTION("""COMPUTED_VALUE"""),1.5)</f>
        <v/>
      </c>
      <c r="J630" s="2">
        <f>IFERROR(__xludf.DUMMYFUNCTION("""COMPUTED_VALUE"""),1.5)</f>
        <v/>
      </c>
      <c r="K630" s="2">
        <f>IFERROR(__xludf.DUMMYFUNCTION("""COMPUTED_VALUE"""),121.0)</f>
        <v/>
      </c>
      <c r="L630" s="2">
        <f>IFERROR(__xludf.DUMMYFUNCTION("""COMPUTED_VALUE"""),"Упаковка")</f>
        <v/>
      </c>
      <c r="M630" s="2">
        <f>IFERROR(__xludf.DUMMYFUNCTION("""COMPUTED_VALUE"""),"Прочие товары")</f>
        <v/>
      </c>
    </row>
    <row r="631">
      <c r="A631" s="5">
        <f>IFERROR(__xludf.DUMMYFUNCTION("""COMPUTED_VALUE"""),"4690612007274")</f>
        <v/>
      </c>
      <c r="B631" s="5">
        <f>IFERROR(__xludf.DUMMYFUNCTION("""COMPUTED_VALUE"""),"LED-ШАР-ECO 5Вт 230В Е27 4000К 375Лм (5шт в упаковке) IN HOME")</f>
        <v/>
      </c>
      <c r="C631" s="2">
        <f>IFERROR(__xludf.DUMMYFUNCTION("""COMPUTED_VALUE"""),0.22)</f>
        <v/>
      </c>
      <c r="D631" s="2">
        <f>IFERROR(__xludf.DUMMYFUNCTION("""COMPUTED_VALUE"""),9.500000000000001E-4)</f>
        <v/>
      </c>
      <c r="E631" s="2">
        <f>IFERROR(__xludf.DUMMYFUNCTION("""COMPUTED_VALUE"""),191.67)</f>
        <v/>
      </c>
      <c r="F631" s="2">
        <f>IFERROR(__xludf.DUMMYFUNCTION("""COMPUTED_VALUE"""),1.0)</f>
        <v/>
      </c>
      <c r="G631" s="2">
        <f>IFERROR(__xludf.DUMMYFUNCTION("""COMPUTED_VALUE"""),1.0)</f>
        <v/>
      </c>
      <c r="H631" s="2">
        <f>IFERROR(__xludf.DUMMYFUNCTION("""COMPUTED_VALUE"""),1.0)</f>
        <v/>
      </c>
      <c r="I631" s="2">
        <f>IFERROR(__xludf.DUMMYFUNCTION("""COMPUTED_VALUE"""),1.5)</f>
        <v/>
      </c>
      <c r="J631" s="2">
        <f>IFERROR(__xludf.DUMMYFUNCTION("""COMPUTED_VALUE"""),1.5)</f>
        <v/>
      </c>
      <c r="K631" s="2">
        <f>IFERROR(__xludf.DUMMYFUNCTION("""COMPUTED_VALUE"""),6.0)</f>
        <v/>
      </c>
      <c r="L631" s="2">
        <f>IFERROR(__xludf.DUMMYFUNCTION("""COMPUTED_VALUE"""),"Лампа светодиодная LED-ШАР-standard")</f>
        <v/>
      </c>
      <c r="M631" s="2">
        <f>IFERROR(__xludf.DUMMYFUNCTION("""COMPUTED_VALUE"""),"Лампы")</f>
        <v/>
      </c>
    </row>
    <row r="632">
      <c r="A632" s="5">
        <f>IFERROR(__xludf.DUMMYFUNCTION("""COMPUTED_VALUE"""),"06-0110-B")</f>
        <v/>
      </c>
      <c r="B632" s="5">
        <f>IFERROR(__xludf.DUMMYFUNCTION("""COMPUTED_VALUE"""),"Переходник телефонный, (штекер 6Р-4С (RJ-11) - 3 гнезда 6Р-4С (RJ-11)) REXANT")</f>
        <v/>
      </c>
      <c r="C632" s="2">
        <f>IFERROR(__xludf.DUMMYFUNCTION("""COMPUTED_VALUE"""),0.0)</f>
        <v/>
      </c>
      <c r="D632" s="2">
        <f>IFERROR(__xludf.DUMMYFUNCTION("""COMPUTED_VALUE"""),0.0)</f>
        <v/>
      </c>
      <c r="E632" s="2">
        <f>IFERROR(__xludf.DUMMYFUNCTION("""COMPUTED_VALUE"""),1.0)</f>
        <v/>
      </c>
      <c r="F632" s="2">
        <f>IFERROR(__xludf.DUMMYFUNCTION("""COMPUTED_VALUE"""),63.0)</f>
        <v/>
      </c>
      <c r="G632" s="2">
        <f>IFERROR(__xludf.DUMMYFUNCTION("""COMPUTED_VALUE"""),67.0)</f>
        <v/>
      </c>
      <c r="H632" s="2">
        <f>IFERROR(__xludf.DUMMYFUNCTION("""COMPUTED_VALUE"""),75.0)</f>
        <v/>
      </c>
      <c r="I632" s="2">
        <f>IFERROR(__xludf.DUMMYFUNCTION("""COMPUTED_VALUE"""),83.5)</f>
        <v/>
      </c>
      <c r="J632" s="2">
        <f>IFERROR(__xludf.DUMMYFUNCTION("""COMPUTED_VALUE"""),42.0)</f>
        <v/>
      </c>
      <c r="K632" s="2">
        <f>IFERROR(__xludf.DUMMYFUNCTION("""COMPUTED_VALUE"""),7.0)</f>
        <v/>
      </c>
      <c r="L632" s="2">
        <f>IFERROR(__xludf.DUMMYFUNCTION("""COMPUTED_VALUE"""),"Rexant")</f>
        <v/>
      </c>
      <c r="M632" s="2">
        <f>IFERROR(__xludf.DUMMYFUNCTION("""COMPUTED_VALUE"""),"Прочие товары")</f>
        <v/>
      </c>
    </row>
    <row r="633">
      <c r="A633" s="5">
        <f>IFERROR(__xludf.DUMMYFUNCTION("""COMPUTED_VALUE"""),"4690612035352")</f>
        <v/>
      </c>
      <c r="B633" s="5">
        <f>IFERROR(__xludf.DUMMYFUNCTION("""COMPUTED_VALUE"""),"ELEGANT BLISS-B 15Вт 230В 3000-6500K 1050Лм STEP COLOR черный IN HOME")</f>
        <v/>
      </c>
      <c r="C633" s="2">
        <f>IFERROR(__xludf.DUMMYFUNCTION("""COMPUTED_VALUE"""),0.35)</f>
        <v/>
      </c>
      <c r="D633" s="2">
        <f>IFERROR(__xludf.DUMMYFUNCTION("""COMPUTED_VALUE"""),0.0035)</f>
        <v/>
      </c>
      <c r="E633" s="2">
        <f>IFERROR(__xludf.DUMMYFUNCTION("""COMPUTED_VALUE"""),655.28)</f>
        <v/>
      </c>
      <c r="F633" s="2">
        <f>IFERROR(__xludf.DUMMYFUNCTION("""COMPUTED_VALUE"""),612.0)</f>
        <v/>
      </c>
      <c r="G633" s="2">
        <f>IFERROR(__xludf.DUMMYFUNCTION("""COMPUTED_VALUE"""),689.0)</f>
        <v/>
      </c>
      <c r="H633" s="2">
        <f>IFERROR(__xludf.DUMMYFUNCTION("""COMPUTED_VALUE"""),799.0)</f>
        <v/>
      </c>
      <c r="I633" s="2">
        <f>IFERROR(__xludf.DUMMYFUNCTION("""COMPUTED_VALUE"""),918.0)</f>
        <v/>
      </c>
      <c r="J633" s="2">
        <f>IFERROR(__xludf.DUMMYFUNCTION("""COMPUTED_VALUE"""),459.0)</f>
        <v/>
      </c>
      <c r="K633" s="2">
        <f>IFERROR(__xludf.DUMMYFUNCTION("""COMPUTED_VALUE"""),2.0)</f>
        <v/>
      </c>
      <c r="L633" s="2">
        <f>IFERROR(__xludf.DUMMYFUNCTION("""COMPUTED_VALUE"""),"Светильники светодиодные серии ELEGANT IN HOME")</f>
        <v/>
      </c>
      <c r="M633" s="2">
        <f>IFERROR(__xludf.DUMMYFUNCTION("""COMPUTED_VALUE"""),"Накладные, Декоративные, LED Светильники")</f>
        <v/>
      </c>
    </row>
    <row r="634">
      <c r="A634" s="5">
        <f>IFERROR(__xludf.DUMMYFUNCTION("""COMPUTED_VALUE"""),"4690612020723")</f>
        <v/>
      </c>
      <c r="B634" s="5">
        <f>IFERROR(__xludf.DUMMYFUNCTION("""COMPUTED_VALUE"""),"LED-GX53-VC 8Вт 230В 3000К 760Лм IN HOME")</f>
        <v/>
      </c>
      <c r="C634" s="2">
        <f>IFERROR(__xludf.DUMMYFUNCTION("""COMPUTED_VALUE"""),0.035)</f>
        <v/>
      </c>
      <c r="D634" s="2">
        <f>IFERROR(__xludf.DUMMYFUNCTION("""COMPUTED_VALUE"""),2.1E-4)</f>
        <v/>
      </c>
      <c r="E634" s="2">
        <f>IFERROR(__xludf.DUMMYFUNCTION("""COMPUTED_VALUE"""),33.28)</f>
        <v/>
      </c>
      <c r="F634" s="2">
        <f>IFERROR(__xludf.DUMMYFUNCTION("""COMPUTED_VALUE"""),43.0)</f>
        <v/>
      </c>
      <c r="G634" s="2">
        <f>IFERROR(__xludf.DUMMYFUNCTION("""COMPUTED_VALUE"""),49.0)</f>
        <v/>
      </c>
      <c r="H634" s="2">
        <f>IFERROR(__xludf.DUMMYFUNCTION("""COMPUTED_VALUE"""),57.0)</f>
        <v/>
      </c>
      <c r="I634" s="2">
        <f>IFERROR(__xludf.DUMMYFUNCTION("""COMPUTED_VALUE"""),65.6)</f>
        <v/>
      </c>
      <c r="J634" s="2">
        <f>IFERROR(__xludf.DUMMYFUNCTION("""COMPUTED_VALUE"""),33.0)</f>
        <v/>
      </c>
      <c r="K634" s="2">
        <f>IFERROR(__xludf.DUMMYFUNCTION("""COMPUTED_VALUE"""),41.0)</f>
        <v/>
      </c>
      <c r="L634" s="2">
        <f>IFERROR(__xludf.DUMMYFUNCTION("""COMPUTED_VALUE"""),"Лампа светодиодная LED-GX53-standard")</f>
        <v/>
      </c>
      <c r="M634" s="2">
        <f>IFERROR(__xludf.DUMMYFUNCTION("""COMPUTED_VALUE"""),"Лампы")</f>
        <v/>
      </c>
    </row>
    <row r="635">
      <c r="A635" s="5">
        <f>IFERROR(__xludf.DUMMYFUNCTION("""COMPUTED_VALUE"""),"4690626071261")</f>
        <v/>
      </c>
      <c r="B635" s="5">
        <f>IFERROR(__xludf.DUMMYFUNCTION("""COMPUTED_VALUE"""),"Светодиодный (LED) прожектор FL ФИТО Smartbuy-20W/1300K/IP65 (SBL-FLFITO-20-65K)")</f>
        <v/>
      </c>
      <c r="C635" s="2">
        <f>IFERROR(__xludf.DUMMYFUNCTION("""COMPUTED_VALUE"""),0.0)</f>
        <v/>
      </c>
      <c r="D635" s="2">
        <f>IFERROR(__xludf.DUMMYFUNCTION("""COMPUTED_VALUE"""),0.0)</f>
        <v/>
      </c>
      <c r="E635" s="2">
        <f>IFERROR(__xludf.DUMMYFUNCTION("""COMPUTED_VALUE"""),400.12)</f>
        <v/>
      </c>
      <c r="F635" s="2">
        <f>IFERROR(__xludf.DUMMYFUNCTION("""COMPUTED_VALUE"""),431.0)</f>
        <v/>
      </c>
      <c r="G635" s="2">
        <f>IFERROR(__xludf.DUMMYFUNCTION("""COMPUTED_VALUE"""),473.0)</f>
        <v/>
      </c>
      <c r="H635" s="2">
        <f>IFERROR(__xludf.DUMMYFUNCTION("""COMPUTED_VALUE"""),526.0)</f>
        <v/>
      </c>
      <c r="I635" s="2">
        <f>IFERROR(__xludf.DUMMYFUNCTION("""COMPUTED_VALUE"""),578.0)</f>
        <v/>
      </c>
      <c r="J635" s="2">
        <f>IFERROR(__xludf.DUMMYFUNCTION("""COMPUTED_VALUE"""),289.0)</f>
        <v/>
      </c>
      <c r="K635" s="2">
        <f>IFERROR(__xludf.DUMMYFUNCTION("""COMPUTED_VALUE"""),6.0)</f>
        <v/>
      </c>
      <c r="L635" s="2">
        <f>IFERROR(__xludf.DUMMYFUNCTION("""COMPUTED_VALUE"""),"Smartbuy LED светильники")</f>
        <v/>
      </c>
      <c r="M635" s="2">
        <f>IFERROR(__xludf.DUMMYFUNCTION("""COMPUTED_VALUE"""),"Фито светильники (для растений), LED Светильники")</f>
        <v/>
      </c>
    </row>
    <row r="636">
      <c r="A636" s="5">
        <f>IFERROR(__xludf.DUMMYFUNCTION("""COMPUTED_VALUE"""),"ves2010")</f>
        <v/>
      </c>
      <c r="B636" s="5">
        <f>IFERROR(__xludf.DUMMYFUNCTION("""COMPUTED_VALUE"""),"Вилка переносная 013 2Р+РЕ 16А 220В IP44")</f>
        <v/>
      </c>
      <c r="C636" s="2">
        <f>IFERROR(__xludf.DUMMYFUNCTION("""COMPUTED_VALUE"""),0.0)</f>
        <v/>
      </c>
      <c r="D636" s="2">
        <f>IFERROR(__xludf.DUMMYFUNCTION("""COMPUTED_VALUE"""),0.0)</f>
        <v/>
      </c>
      <c r="E636" s="2">
        <f>IFERROR(__xludf.DUMMYFUNCTION("""COMPUTED_VALUE"""),120.78)</f>
        <v/>
      </c>
      <c r="F636" s="2">
        <f>IFERROR(__xludf.DUMMYFUNCTION("""COMPUTED_VALUE"""),166.0)</f>
        <v/>
      </c>
      <c r="G636" s="2">
        <f>IFERROR(__xludf.DUMMYFUNCTION("""COMPUTED_VALUE"""),177.0)</f>
        <v/>
      </c>
      <c r="H636" s="2">
        <f>IFERROR(__xludf.DUMMYFUNCTION("""COMPUTED_VALUE"""),199.0)</f>
        <v/>
      </c>
      <c r="I636" s="2">
        <f>IFERROR(__xludf.DUMMYFUNCTION("""COMPUTED_VALUE"""),220.85)</f>
        <v/>
      </c>
      <c r="J636" s="2">
        <f>IFERROR(__xludf.DUMMYFUNCTION("""COMPUTED_VALUE"""),110.0)</f>
        <v/>
      </c>
      <c r="K636" s="2">
        <f>IFERROR(__xludf.DUMMYFUNCTION("""COMPUTED_VALUE"""),7.0)</f>
        <v/>
      </c>
      <c r="L636" s="2">
        <f>IFERROR(__xludf.DUMMYFUNCTION("""COMPUTED_VALUE"""),"ves2 (тендер)")</f>
        <v/>
      </c>
      <c r="M636" s="2">
        <f>IFERROR(__xludf.DUMMYFUNCTION("""COMPUTED_VALUE"""),"Прочие товары")</f>
        <v/>
      </c>
    </row>
    <row r="637">
      <c r="A637" s="5">
        <f>IFERROR(__xludf.DUMMYFUNCTION("""COMPUTED_VALUE"""),"4690612042350")</f>
        <v/>
      </c>
      <c r="B637" s="5">
        <f>IFERROR(__xludf.DUMMYFUNCTION("""COMPUTED_VALUE"""),"ДСП-157Т 36Вт 230В 6500К 4500Лм 125лм/Вт 1200мм IP65 NEOX")</f>
        <v/>
      </c>
      <c r="C637" s="2">
        <f>IFERROR(__xludf.DUMMYFUNCTION("""COMPUTED_VALUE"""),0.41)</f>
        <v/>
      </c>
      <c r="D637" s="2">
        <f>IFERROR(__xludf.DUMMYFUNCTION("""COMPUTED_VALUE"""),0.00205)</f>
        <v/>
      </c>
      <c r="E637" s="2">
        <f>IFERROR(__xludf.DUMMYFUNCTION("""COMPUTED_VALUE"""),972.0600000000001)</f>
        <v/>
      </c>
      <c r="F637" s="2">
        <f>IFERROR(__xludf.DUMMYFUNCTION("""COMPUTED_VALUE"""),1019.0)</f>
        <v/>
      </c>
      <c r="G637" s="2">
        <f>IFERROR(__xludf.DUMMYFUNCTION("""COMPUTED_VALUE"""),1147.0)</f>
        <v/>
      </c>
      <c r="H637" s="2">
        <f>IFERROR(__xludf.DUMMYFUNCTION("""COMPUTED_VALUE"""),1330.0)</f>
        <v/>
      </c>
      <c r="I637" s="2">
        <f>IFERROR(__xludf.DUMMYFUNCTION("""COMPUTED_VALUE"""),1529.0)</f>
        <v/>
      </c>
      <c r="J637" s="2">
        <f>IFERROR(__xludf.DUMMYFUNCTION("""COMPUTED_VALUE"""),1529.0)</f>
        <v/>
      </c>
      <c r="K637" s="2">
        <f>IFERROR(__xludf.DUMMYFUNCTION("""COMPUTED_VALUE"""),0.0)</f>
        <v/>
      </c>
      <c r="L637" s="2">
        <f>IFERROR(__xludf.DUMMYFUNCTION("""COMPUTED_VALUE"""),"NEOX Светильники LED ДСП")</f>
        <v/>
      </c>
      <c r="M637" s="2">
        <f>IFERROR(__xludf.DUMMYFUNCTION("""COMPUTED_VALUE"""),"Пластиковые (линейные), LED Светильники")</f>
        <v/>
      </c>
    </row>
    <row r="638">
      <c r="A638" s="5">
        <f>IFERROR(__xludf.DUMMYFUNCTION("""COMPUTED_VALUE"""),"4690612000404-5")</f>
        <v/>
      </c>
      <c r="B638" s="5">
        <f>IFERROR(__xludf.DUMMYFUNCTION("""COMPUTED_VALUE"""),"(5 штук) Розетка ТЛФ CLASSICO белая Комплект 5 шт")</f>
        <v/>
      </c>
      <c r="C638" s="2">
        <f>IFERROR(__xludf.DUMMYFUNCTION("""COMPUTED_VALUE"""),0.065)</f>
        <v/>
      </c>
      <c r="D638" s="2">
        <f>IFERROR(__xludf.DUMMYFUNCTION("""COMPUTED_VALUE"""),3.4E-4)</f>
        <v/>
      </c>
      <c r="E638" s="2">
        <f>IFERROR(__xludf.DUMMYFUNCTION("""COMPUTED_VALUE"""),240.95)</f>
        <v/>
      </c>
      <c r="F638" s="2">
        <f>IFERROR(__xludf.DUMMYFUNCTION("""COMPUTED_VALUE"""),264.0)</f>
        <v/>
      </c>
      <c r="G638" s="2">
        <f>IFERROR(__xludf.DUMMYFUNCTION("""COMPUTED_VALUE"""),309.0)</f>
        <v/>
      </c>
      <c r="H638" s="2">
        <f>IFERROR(__xludf.DUMMYFUNCTION("""COMPUTED_VALUE"""),347.0)</f>
        <v/>
      </c>
      <c r="I638" s="2">
        <f>IFERROR(__xludf.DUMMYFUNCTION("""COMPUTED_VALUE"""),386.0)</f>
        <v/>
      </c>
      <c r="J638" s="2">
        <f>IFERROR(__xludf.DUMMYFUNCTION("""COMPUTED_VALUE"""),193.0)</f>
        <v/>
      </c>
      <c r="K638" s="2">
        <f>IFERROR(__xludf.DUMMYFUNCTION("""COMPUTED_VALUE"""),4.0)</f>
        <v/>
      </c>
      <c r="L638" s="2">
        <f>IFERROR(__xludf.DUMMYFUNCTION("""COMPUTED_VALUE"""),"Розетки, вилки производство, упаковка")</f>
        <v/>
      </c>
      <c r="M638" s="2">
        <f>IFERROR(__xludf.DUMMYFUNCTION("""COMPUTED_VALUE"""),"Прочие товары")</f>
        <v/>
      </c>
    </row>
    <row r="639">
      <c r="A639" s="5">
        <f>IFERROR(__xludf.DUMMYFUNCTION("""COMPUTED_VALUE"""),"4690612037646-1")</f>
        <v/>
      </c>
      <c r="B639" s="5">
        <f>IFERROR(__xludf.DUMMYFUNCTION("""COMPUTED_VALUE"""),"ДВО-02 4540-ПРИЗМА 45Вт 230В 4000К 4500Лм 100Лм/Вт 595х595х19 NEOX (в индивид. уп)")</f>
        <v/>
      </c>
      <c r="C639" s="2">
        <f>IFERROR(__xludf.DUMMYFUNCTION("""COMPUTED_VALUE"""),1.35)</f>
        <v/>
      </c>
      <c r="D639" s="2">
        <f>IFERROR(__xludf.DUMMYFUNCTION("""COMPUTED_VALUE"""),0.006730000000000001)</f>
        <v/>
      </c>
      <c r="E639" s="2">
        <f>IFERROR(__xludf.DUMMYFUNCTION("""COMPUTED_VALUE"""),605.28)</f>
        <v/>
      </c>
      <c r="F639" s="2">
        <f>IFERROR(__xludf.DUMMYFUNCTION("""COMPUTED_VALUE"""),664.0)</f>
        <v/>
      </c>
      <c r="G639" s="2">
        <f>IFERROR(__xludf.DUMMYFUNCTION("""COMPUTED_VALUE"""),774.0)</f>
        <v/>
      </c>
      <c r="H639" s="2">
        <f>IFERROR(__xludf.DUMMYFUNCTION("""COMPUTED_VALUE"""),871.0)</f>
        <v/>
      </c>
      <c r="I639" s="2">
        <f>IFERROR(__xludf.DUMMYFUNCTION("""COMPUTED_VALUE"""),968.0)</f>
        <v/>
      </c>
      <c r="J639" s="2">
        <f>IFERROR(__xludf.DUMMYFUNCTION("""COMPUTED_VALUE"""),484.0)</f>
        <v/>
      </c>
      <c r="K639" s="2">
        <f>IFERROR(__xludf.DUMMYFUNCTION("""COMPUTED_VALUE"""),1.0)</f>
        <v/>
      </c>
      <c r="L639" s="2">
        <f>IFERROR(__xludf.DUMMYFUNCTION("""COMPUTED_VALUE"""),"NEOX Светильники LED ДВО - Призма производство, упаковка")</f>
        <v/>
      </c>
      <c r="M639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640">
      <c r="A640" s="5">
        <f>IFERROR(__xludf.DUMMYFUNCTION("""COMPUTED_VALUE"""),"55052")</f>
        <v/>
      </c>
      <c r="B640" s="5">
        <f>IFERROR(__xludf.DUMMYFUNCTION("""COMPUTED_VALUE"""),"Елочка чайная светодиодная, 6*8 см, зеленое свечение , с батарейкой /60")</f>
        <v/>
      </c>
      <c r="C640" s="2">
        <f>IFERROR(__xludf.DUMMYFUNCTION("""COMPUTED_VALUE"""),0.0)</f>
        <v/>
      </c>
      <c r="D640" s="2">
        <f>IFERROR(__xludf.DUMMYFUNCTION("""COMPUTED_VALUE"""),0.0)</f>
        <v/>
      </c>
      <c r="E640" s="2">
        <f>IFERROR(__xludf.DUMMYFUNCTION("""COMPUTED_VALUE"""),124.93)</f>
        <v/>
      </c>
      <c r="F640" s="2">
        <f>IFERROR(__xludf.DUMMYFUNCTION("""COMPUTED_VALUE"""),140.0)</f>
        <v/>
      </c>
      <c r="G640" s="2">
        <f>IFERROR(__xludf.DUMMYFUNCTION("""COMPUTED_VALUE"""),153.0)</f>
        <v/>
      </c>
      <c r="H640" s="2">
        <f>IFERROR(__xludf.DUMMYFUNCTION("""COMPUTED_VALUE"""),165.0)</f>
        <v/>
      </c>
      <c r="I640" s="2">
        <f>IFERROR(__xludf.DUMMYFUNCTION("""COMPUTED_VALUE"""),178.0)</f>
        <v/>
      </c>
      <c r="J640" s="2">
        <f>IFERROR(__xludf.DUMMYFUNCTION("""COMPUTED_VALUE"""),89.0)</f>
        <v/>
      </c>
      <c r="K640" s="2">
        <f>IFERROR(__xludf.DUMMYFUNCTION("""COMPUTED_VALUE"""),31.0)</f>
        <v/>
      </c>
      <c r="L640" s="2">
        <f>IFERROR(__xludf.DUMMYFUNCTION("""COMPUTED_VALUE"""),"Праздничная иллюминация")</f>
        <v/>
      </c>
      <c r="M640" s="2">
        <f>IFERROR(__xludf.DUMMYFUNCTION("""COMPUTED_VALUE"""),"Гирлянды светодиодные (LED), Прочие товары")</f>
        <v/>
      </c>
    </row>
    <row r="641">
      <c r="A641" s="5">
        <f>IFERROR(__xludf.DUMMYFUNCTION("""COMPUTED_VALUE"""),"LP5686")</f>
        <v/>
      </c>
      <c r="B641" s="5">
        <f>IFERROR(__xludf.DUMMYFUNCTION("""COMPUTED_VALUE"""),"Школа, призма, 24 Вт, IP65")</f>
        <v/>
      </c>
      <c r="C641" s="2">
        <f>IFERROR(__xludf.DUMMYFUNCTION("""COMPUTED_VALUE"""),0.8)</f>
        <v/>
      </c>
      <c r="D641" s="2">
        <f>IFERROR(__xludf.DUMMYFUNCTION("""COMPUTED_VALUE"""),0.01303)</f>
        <v/>
      </c>
      <c r="E641" s="2">
        <f>IFERROR(__xludf.DUMMYFUNCTION("""COMPUTED_VALUE"""),1166.2)</f>
        <v/>
      </c>
      <c r="F641" s="2">
        <f>IFERROR(__xludf.DUMMYFUNCTION("""COMPUTED_VALUE"""),1439.0)</f>
        <v/>
      </c>
      <c r="G641" s="2">
        <f>IFERROR(__xludf.DUMMYFUNCTION("""COMPUTED_VALUE"""),1730.0)</f>
        <v/>
      </c>
      <c r="H641" s="2">
        <f>IFERROR(__xludf.DUMMYFUNCTION("""COMPUTED_VALUE"""),1870.0)</f>
        <v/>
      </c>
      <c r="I641" s="2">
        <f>IFERROR(__xludf.DUMMYFUNCTION("""COMPUTED_VALUE"""),2160.0)</f>
        <v/>
      </c>
      <c r="J641" s="2">
        <f>IFERROR(__xludf.DUMMYFUNCTION("""COMPUTED_VALUE"""),1080.0)</f>
        <v/>
      </c>
      <c r="K641" s="2">
        <f>IFERROR(__xludf.DUMMYFUNCTION("""COMPUTED_VALUE"""),1.0)</f>
        <v/>
      </c>
      <c r="L641" s="2">
        <f>IFERROR(__xludf.DUMMYFUNCTION("""COMPUTED_VALUE"""),"Школа, модификации")</f>
        <v/>
      </c>
      <c r="M641" s="2">
        <f>IFERROR(__xludf.DUMMYFUNCTION("""COMPUTED_VALUE"""),"Встраиваемые, LED Светильники")</f>
        <v/>
      </c>
    </row>
    <row r="642">
      <c r="A642" s="5">
        <f>IFERROR(__xludf.DUMMYFUNCTION("""COMPUTED_VALUE"""),"4690612020525-10")</f>
        <v/>
      </c>
      <c r="B642" s="5">
        <f>IFERROR(__xludf.DUMMYFUNCTION("""COMPUTED_VALUE"""),"10 шт. Лампа LED-ШАР-VC 6Вт 230В Е27 3000К 570Лм IN HOME (Комплект 10 шт)")</f>
        <v/>
      </c>
      <c r="C642" s="2">
        <f>IFERROR(__xludf.DUMMYFUNCTION("""COMPUTED_VALUE"""),0.03)</f>
        <v/>
      </c>
      <c r="D642" s="2">
        <f>IFERROR(__xludf.DUMMYFUNCTION("""COMPUTED_VALUE"""),0.0023)</f>
        <v/>
      </c>
      <c r="E642" s="2">
        <f>IFERROR(__xludf.DUMMYFUNCTION("""COMPUTED_VALUE"""),384.0)</f>
        <v/>
      </c>
      <c r="F642" s="2">
        <f>IFERROR(__xludf.DUMMYFUNCTION("""COMPUTED_VALUE"""),421.0)</f>
        <v/>
      </c>
      <c r="G642" s="2">
        <f>IFERROR(__xludf.DUMMYFUNCTION("""COMPUTED_VALUE"""),491.0)</f>
        <v/>
      </c>
      <c r="H642" s="2">
        <f>IFERROR(__xludf.DUMMYFUNCTION("""COMPUTED_VALUE"""),553.0)</f>
        <v/>
      </c>
      <c r="I642" s="2">
        <f>IFERROR(__xludf.DUMMYFUNCTION("""COMPUTED_VALUE"""),614.0)</f>
        <v/>
      </c>
      <c r="J642" s="2">
        <f>IFERROR(__xludf.DUMMYFUNCTION("""COMPUTED_VALUE"""),307.0)</f>
        <v/>
      </c>
      <c r="K642" s="2">
        <f>IFERROR(__xludf.DUMMYFUNCTION("""COMPUTED_VALUE"""),10.0)</f>
        <v/>
      </c>
      <c r="L642" s="2">
        <f>IFERROR(__xludf.DUMMYFUNCTION("""COMPUTED_VALUE"""),"Лампы производство, упаковка")</f>
        <v/>
      </c>
      <c r="M642" s="2">
        <f>IFERROR(__xludf.DUMMYFUNCTION("""COMPUTED_VALUE"""),"Лампы")</f>
        <v/>
      </c>
    </row>
    <row r="643">
      <c r="A643" s="5">
        <f>IFERROR(__xludf.DUMMYFUNCTION("""COMPUTED_VALUE"""),"4690612012278")</f>
        <v/>
      </c>
      <c r="B643" s="5">
        <f>IFERROR(__xludf.DUMMYFUNCTION("""COMPUTED_VALUE"""),"LED-JCDR-standard 7.5Вт 230В GU5.3 6500К 675Лм ASD")</f>
        <v/>
      </c>
      <c r="C643" s="2">
        <f>IFERROR(__xludf.DUMMYFUNCTION("""COMPUTED_VALUE"""),0.03)</f>
        <v/>
      </c>
      <c r="D643" s="2">
        <f>IFERROR(__xludf.DUMMYFUNCTION("""COMPUTED_VALUE"""),2.1E-4)</f>
        <v/>
      </c>
      <c r="E643" s="2">
        <f>IFERROR(__xludf.DUMMYFUNCTION("""COMPUTED_VALUE"""),34.84)</f>
        <v/>
      </c>
      <c r="F643" s="2">
        <f>IFERROR(__xludf.DUMMYFUNCTION("""COMPUTED_VALUE"""),27.0)</f>
        <v/>
      </c>
      <c r="G643" s="2">
        <f>IFERROR(__xludf.DUMMYFUNCTION("""COMPUTED_VALUE"""),31.0)</f>
        <v/>
      </c>
      <c r="H643" s="2">
        <f>IFERROR(__xludf.DUMMYFUNCTION("""COMPUTED_VALUE"""),36.0)</f>
        <v/>
      </c>
      <c r="I643" s="2">
        <f>IFERROR(__xludf.DUMMYFUNCTION("""COMPUTED_VALUE"""),41.35)</f>
        <v/>
      </c>
      <c r="J643" s="2">
        <f>IFERROR(__xludf.DUMMYFUNCTION("""COMPUTED_VALUE"""),21.0)</f>
        <v/>
      </c>
      <c r="K643" s="2">
        <f>IFERROR(__xludf.DUMMYFUNCTION("""COMPUTED_VALUE"""),60.0)</f>
        <v/>
      </c>
      <c r="L643" s="2">
        <f>IFERROR(__xludf.DUMMYFUNCTION("""COMPUTED_VALUE"""),"Лампа светодиодная LED-JCDR-standard")</f>
        <v/>
      </c>
      <c r="M643" s="2">
        <f>IFERROR(__xludf.DUMMYFUNCTION("""COMPUTED_VALUE"""),"Лампы")</f>
        <v/>
      </c>
    </row>
    <row r="644">
      <c r="A644" s="5">
        <f>IFERROR(__xludf.DUMMYFUNCTION("""COMPUTED_VALUE"""),"4690612034492")</f>
        <v/>
      </c>
      <c r="B644" s="5">
        <f>IFERROR(__xludf.DUMMYFUNCTION("""COMPUTED_VALUE"""),"БС М1В с аккумулятором USB черный IN HOME")</f>
        <v/>
      </c>
      <c r="C644" s="2">
        <f>IFERROR(__xludf.DUMMYFUNCTION("""COMPUTED_VALUE"""),0.08)</f>
        <v/>
      </c>
      <c r="D644" s="2">
        <f>IFERROR(__xludf.DUMMYFUNCTION("""COMPUTED_VALUE"""),2.0E-4)</f>
        <v/>
      </c>
      <c r="E644" s="2">
        <f>IFERROR(__xludf.DUMMYFUNCTION("""COMPUTED_VALUE"""),1092.1)</f>
        <v/>
      </c>
      <c r="F644" s="2">
        <f>IFERROR(__xludf.DUMMYFUNCTION("""COMPUTED_VALUE"""),880.0)</f>
        <v/>
      </c>
      <c r="G644" s="2">
        <f>IFERROR(__xludf.DUMMYFUNCTION("""COMPUTED_VALUE"""),990.0)</f>
        <v/>
      </c>
      <c r="H644" s="2">
        <f>IFERROR(__xludf.DUMMYFUNCTION("""COMPUTED_VALUE"""),1148.0)</f>
        <v/>
      </c>
      <c r="I644" s="2">
        <f>IFERROR(__xludf.DUMMYFUNCTION("""COMPUTED_VALUE"""),1320.0)</f>
        <v/>
      </c>
      <c r="J644" s="2">
        <f>IFERROR(__xludf.DUMMYFUNCTION("""COMPUTED_VALUE"""),660.0)</f>
        <v/>
      </c>
      <c r="K644" s="2">
        <f>IFERROR(__xludf.DUMMYFUNCTION("""COMPUTED_VALUE"""),6.0)</f>
        <v/>
      </c>
      <c r="L644" s="2">
        <f>IFERROR(__xludf.DUMMYFUNCTION("""COMPUTED_VALUE"""),"Светильники светодиодные бактерицидные ультрафиолетовые")</f>
        <v/>
      </c>
      <c r="M644" s="2">
        <f>IFERROR(__xludf.DUMMYFUNCTION("""COMPUTED_VALUE"""),"Бактерицидные ультрафиолетовые  светильники (LED), LED Светильники")</f>
        <v/>
      </c>
    </row>
    <row r="645">
      <c r="A645" s="5">
        <f>IFERROR(__xludf.DUMMYFUNCTION("""COMPUTED_VALUE"""),"4690612032726")</f>
        <v/>
      </c>
      <c r="B645" s="5">
        <f>IFERROR(__xludf.DUMMYFUNCTION("""COMPUTED_VALUE"""),"SPO-110 PRIZMA 55Вт 230В 4000К 4950Лм 1200мм IP40 IN HOME")</f>
        <v/>
      </c>
      <c r="C645" s="2">
        <f>IFERROR(__xludf.DUMMYFUNCTION("""COMPUTED_VALUE"""),0.43)</f>
        <v/>
      </c>
      <c r="D645" s="2">
        <f>IFERROR(__xludf.DUMMYFUNCTION("""COMPUTED_VALUE"""),0.002)</f>
        <v/>
      </c>
      <c r="E645" s="2">
        <f>IFERROR(__xludf.DUMMYFUNCTION("""COMPUTED_VALUE"""),405.91)</f>
        <v/>
      </c>
      <c r="F645" s="2">
        <f>IFERROR(__xludf.DUMMYFUNCTION("""COMPUTED_VALUE"""),317.0)</f>
        <v/>
      </c>
      <c r="G645" s="2">
        <f>IFERROR(__xludf.DUMMYFUNCTION("""COMPUTED_VALUE"""),356.0)</f>
        <v/>
      </c>
      <c r="H645" s="2">
        <f>IFERROR(__xludf.DUMMYFUNCTION("""COMPUTED_VALUE"""),413.0)</f>
        <v/>
      </c>
      <c r="I645" s="2">
        <f>IFERROR(__xludf.DUMMYFUNCTION("""COMPUTED_VALUE"""),475.0)</f>
        <v/>
      </c>
      <c r="J645" s="2">
        <f>IFERROR(__xludf.DUMMYFUNCTION("""COMPUTED_VALUE"""),238.0)</f>
        <v/>
      </c>
      <c r="K645" s="2">
        <f>IFERROR(__xludf.DUMMYFUNCTION("""COMPUTED_VALUE"""),2.0)</f>
        <v/>
      </c>
      <c r="L645" s="2">
        <f>IFERROR(__xludf.DUMMYFUNCTION("""COMPUTED_VALUE"""),"Светильники светодиодные СПО (SPO)")</f>
        <v/>
      </c>
      <c r="M645" s="2">
        <f>IFERROR(__xludf.DUMMYFUNCTION("""COMPUTED_VALUE"""),"Пластиковые (линейные), LED Светильники")</f>
        <v/>
      </c>
    </row>
    <row r="646">
      <c r="A646" s="5">
        <f>IFERROR(__xludf.DUMMYFUNCTION("""COMPUTED_VALUE"""),"GL8240")</f>
        <v/>
      </c>
      <c r="B646" s="5">
        <f>IFERROR(__xludf.DUMMYFUNCTION("""COMPUTED_VALUE"""),"GLERIO Line Shell 24 Вт 4000К 92P-24D-4P-M")</f>
        <v/>
      </c>
      <c r="C646" s="2">
        <f>IFERROR(__xludf.DUMMYFUNCTION("""COMPUTED_VALUE"""),1.575)</f>
        <v/>
      </c>
      <c r="D646" s="2">
        <f>IFERROR(__xludf.DUMMYFUNCTION("""COMPUTED_VALUE"""),0.00495)</f>
        <v/>
      </c>
      <c r="E646" s="2">
        <f>IFERROR(__xludf.DUMMYFUNCTION("""COMPUTED_VALUE"""),1843.37)</f>
        <v/>
      </c>
      <c r="F646" s="2">
        <f>IFERROR(__xludf.DUMMYFUNCTION("""COMPUTED_VALUE"""),2150.0)</f>
        <v/>
      </c>
      <c r="G646" s="2">
        <f>IFERROR(__xludf.DUMMYFUNCTION("""COMPUTED_VALUE"""),2707.0)</f>
        <v/>
      </c>
      <c r="H646" s="2">
        <f>IFERROR(__xludf.DUMMYFUNCTION("""COMPUTED_VALUE"""),3040.0)</f>
        <v/>
      </c>
      <c r="I646" s="2">
        <f>IFERROR(__xludf.DUMMYFUNCTION("""COMPUTED_VALUE"""),3373.0)</f>
        <v/>
      </c>
      <c r="J646" s="2">
        <f>IFERROR(__xludf.DUMMYFUNCTION("""COMPUTED_VALUE"""),2707.0)</f>
        <v/>
      </c>
      <c r="K646" s="2">
        <f>IFERROR(__xludf.DUMMYFUNCTION("""COMPUTED_VALUE"""),32.0)</f>
        <v/>
      </c>
      <c r="L646" s="2">
        <f>IFERROR(__xludf.DUMMYFUNCTION("""COMPUTED_VALUE"""),"Line Shell, Free (Retail) до 10.2025")</f>
        <v/>
      </c>
      <c r="M646" s="2">
        <f>IFERROR(__xludf.DUMMYFUNCTION("""COMPUTED_VALUE"""),"Металлические (линейные), LED Светильники")</f>
        <v/>
      </c>
    </row>
    <row r="647">
      <c r="A647" s="5">
        <f>IFERROR(__xludf.DUMMYFUNCTION("""COMPUTED_VALUE"""),"4690612005096")</f>
        <v/>
      </c>
      <c r="B647" s="5">
        <f>IFERROR(__xludf.DUMMYFUNCTION("""COMPUTED_VALUE"""),"LED-GX53-standard 8Вт 230В 3000К 720Лм ASD")</f>
        <v/>
      </c>
      <c r="C647" s="2">
        <f>IFERROR(__xludf.DUMMYFUNCTION("""COMPUTED_VALUE"""),0.03800000000000001)</f>
        <v/>
      </c>
      <c r="D647" s="2">
        <f>IFERROR(__xludf.DUMMYFUNCTION("""COMPUTED_VALUE"""),1.8E-4)</f>
        <v/>
      </c>
      <c r="E647" s="2">
        <f>IFERROR(__xludf.DUMMYFUNCTION("""COMPUTED_VALUE"""),45.56)</f>
        <v/>
      </c>
      <c r="F647" s="2">
        <f>IFERROR(__xludf.DUMMYFUNCTION("""COMPUTED_VALUE"""),27.0)</f>
        <v/>
      </c>
      <c r="G647" s="2">
        <f>IFERROR(__xludf.DUMMYFUNCTION("""COMPUTED_VALUE"""),31.0)</f>
        <v/>
      </c>
      <c r="H647" s="2">
        <f>IFERROR(__xludf.DUMMYFUNCTION("""COMPUTED_VALUE"""),36.0)</f>
        <v/>
      </c>
      <c r="I647" s="2">
        <f>IFERROR(__xludf.DUMMYFUNCTION("""COMPUTED_VALUE"""),41.35)</f>
        <v/>
      </c>
      <c r="J647" s="2">
        <f>IFERROR(__xludf.DUMMYFUNCTION("""COMPUTED_VALUE"""),21.0)</f>
        <v/>
      </c>
      <c r="K647" s="2">
        <f>IFERROR(__xludf.DUMMYFUNCTION("""COMPUTED_VALUE"""),5.0)</f>
        <v/>
      </c>
      <c r="L647" s="2">
        <f>IFERROR(__xludf.DUMMYFUNCTION("""COMPUTED_VALUE"""),"Лампа светодиодная LED-GX53-standard")</f>
        <v/>
      </c>
      <c r="M647" s="2">
        <f>IFERROR(__xludf.DUMMYFUNCTION("""COMPUTED_VALUE"""),"Лампы")</f>
        <v/>
      </c>
    </row>
    <row r="648">
      <c r="A648" s="5">
        <f>IFERROR(__xludf.DUMMYFUNCTION("""COMPUTED_VALUE"""),"4690612003979")</f>
        <v/>
      </c>
      <c r="B648" s="5">
        <f>IFERROR(__xludf.DUMMYFUNCTION("""COMPUTED_VALUE"""),"LED-ШАР-standard 7.5Вт 160-260В Е14 4000К 600Лм")</f>
        <v/>
      </c>
      <c r="C648" s="2">
        <f>IFERROR(__xludf.DUMMYFUNCTION("""COMPUTED_VALUE"""),0.028)</f>
        <v/>
      </c>
      <c r="D648" s="2">
        <f>IFERROR(__xludf.DUMMYFUNCTION("""COMPUTED_VALUE"""),2.3E-4)</f>
        <v/>
      </c>
      <c r="E648" s="2">
        <f>IFERROR(__xludf.DUMMYFUNCTION("""COMPUTED_VALUE"""),36.24)</f>
        <v/>
      </c>
      <c r="F648" s="2">
        <f>IFERROR(__xludf.DUMMYFUNCTION("""COMPUTED_VALUE"""),27.0)</f>
        <v/>
      </c>
      <c r="G648" s="2">
        <f>IFERROR(__xludf.DUMMYFUNCTION("""COMPUTED_VALUE"""),30.0)</f>
        <v/>
      </c>
      <c r="H648" s="2">
        <f>IFERROR(__xludf.DUMMYFUNCTION("""COMPUTED_VALUE"""),35.0)</f>
        <v/>
      </c>
      <c r="I648" s="2">
        <f>IFERROR(__xludf.DUMMYFUNCTION("""COMPUTED_VALUE"""),40.4)</f>
        <v/>
      </c>
      <c r="J648" s="2">
        <f>IFERROR(__xludf.DUMMYFUNCTION("""COMPUTED_VALUE"""),20.0)</f>
        <v/>
      </c>
      <c r="K648" s="2">
        <f>IFERROR(__xludf.DUMMYFUNCTION("""COMPUTED_VALUE"""),4.0)</f>
        <v/>
      </c>
      <c r="L648" s="2">
        <f>IFERROR(__xludf.DUMMYFUNCTION("""COMPUTED_VALUE"""),"Лампа светодиодная LED-ШАР-standard")</f>
        <v/>
      </c>
      <c r="M648" s="2">
        <f>IFERROR(__xludf.DUMMYFUNCTION("""COMPUTED_VALUE"""),"Лампы")</f>
        <v/>
      </c>
    </row>
    <row r="649">
      <c r="A649" s="5">
        <f>IFERROR(__xludf.DUMMYFUNCTION("""COMPUTED_VALUE"""),"4690612005126-10")</f>
        <v/>
      </c>
      <c r="B649" s="5">
        <f>IFERROR(__xludf.DUMMYFUNCTION("""COMPUTED_VALUE"""),"10 шт. Лампа LED-GX53-standard 10Вт 160-260В 4000К 800Лм ASD (Комплект 10 шт)")</f>
        <v/>
      </c>
      <c r="C649" s="2">
        <f>IFERROR(__xludf.DUMMYFUNCTION("""COMPUTED_VALUE"""),0.05500000000000001)</f>
        <v/>
      </c>
      <c r="D649" s="2">
        <f>IFERROR(__xludf.DUMMYFUNCTION("""COMPUTED_VALUE"""),1.9E-4)</f>
        <v/>
      </c>
      <c r="E649" s="2">
        <f>IFERROR(__xludf.DUMMYFUNCTION("""COMPUTED_VALUE"""),527.1)</f>
        <v/>
      </c>
      <c r="F649" s="2">
        <f>IFERROR(__xludf.DUMMYFUNCTION("""COMPUTED_VALUE"""),578.0)</f>
        <v/>
      </c>
      <c r="G649" s="2">
        <f>IFERROR(__xludf.DUMMYFUNCTION("""COMPUTED_VALUE"""),674.0)</f>
        <v/>
      </c>
      <c r="H649" s="2">
        <f>IFERROR(__xludf.DUMMYFUNCTION("""COMPUTED_VALUE"""),759.0)</f>
        <v/>
      </c>
      <c r="I649" s="2">
        <f>IFERROR(__xludf.DUMMYFUNCTION("""COMPUTED_VALUE"""),843.0)</f>
        <v/>
      </c>
      <c r="J649" s="2">
        <f>IFERROR(__xludf.DUMMYFUNCTION("""COMPUTED_VALUE"""),422.0)</f>
        <v/>
      </c>
      <c r="K649" s="2">
        <f>IFERROR(__xludf.DUMMYFUNCTION("""COMPUTED_VALUE"""),7.0)</f>
        <v/>
      </c>
      <c r="L649" s="2">
        <f>IFERROR(__xludf.DUMMYFUNCTION("""COMPUTED_VALUE"""),"Лампы производство, упаковка")</f>
        <v/>
      </c>
      <c r="M649" s="2">
        <f>IFERROR(__xludf.DUMMYFUNCTION("""COMPUTED_VALUE"""),"Лампы")</f>
        <v/>
      </c>
    </row>
    <row r="650">
      <c r="A650" s="5">
        <f>IFERROR(__xludf.DUMMYFUNCTION("""COMPUTED_VALUE"""),"4690612003764")</f>
        <v/>
      </c>
      <c r="B650" s="5">
        <f>IFERROR(__xludf.DUMMYFUNCTION("""COMPUTED_VALUE"""),"LED-JCD-standard 3Вт 160-260В G9 3000К")</f>
        <v/>
      </c>
      <c r="C650" s="2">
        <f>IFERROR(__xludf.DUMMYFUNCTION("""COMPUTED_VALUE"""),0.0145)</f>
        <v/>
      </c>
      <c r="D650" s="2">
        <f>IFERROR(__xludf.DUMMYFUNCTION("""COMPUTED_VALUE"""),5.0E-5)</f>
        <v/>
      </c>
      <c r="E650" s="2">
        <f>IFERROR(__xludf.DUMMYFUNCTION("""COMPUTED_VALUE"""),55.13)</f>
        <v/>
      </c>
      <c r="F650" s="2">
        <f>IFERROR(__xludf.DUMMYFUNCTION("""COMPUTED_VALUE"""),34.0)</f>
        <v/>
      </c>
      <c r="G650" s="2">
        <f>IFERROR(__xludf.DUMMYFUNCTION("""COMPUTED_VALUE"""),38.0)</f>
        <v/>
      </c>
      <c r="H650" s="2">
        <f>IFERROR(__xludf.DUMMYFUNCTION("""COMPUTED_VALUE"""),45.0)</f>
        <v/>
      </c>
      <c r="I650" s="2">
        <f>IFERROR(__xludf.DUMMYFUNCTION("""COMPUTED_VALUE"""),51.8)</f>
        <v/>
      </c>
      <c r="J650" s="2">
        <f>IFERROR(__xludf.DUMMYFUNCTION("""COMPUTED_VALUE"""),26.0)</f>
        <v/>
      </c>
      <c r="K650" s="2">
        <f>IFERROR(__xludf.DUMMYFUNCTION("""COMPUTED_VALUE"""),1.0)</f>
        <v/>
      </c>
      <c r="L650" s="2">
        <f>IFERROR(__xludf.DUMMYFUNCTION("""COMPUTED_VALUE"""),"Лампа светодиодная LED-JCD-standard")</f>
        <v/>
      </c>
      <c r="M650" s="2">
        <f>IFERROR(__xludf.DUMMYFUNCTION("""COMPUTED_VALUE"""),"Лампы")</f>
        <v/>
      </c>
    </row>
    <row r="651">
      <c r="A651" s="5">
        <f>IFERROR(__xludf.DUMMYFUNCTION("""COMPUTED_VALUE"""),"4690612020556")</f>
        <v/>
      </c>
      <c r="B651" s="5">
        <f>IFERROR(__xludf.DUMMYFUNCTION("""COMPUTED_VALUE"""),"LED-ШАР-VC 8Вт 230В Е14 4000К 760Лм IN HOME")</f>
        <v/>
      </c>
      <c r="C651" s="2">
        <f>IFERROR(__xludf.DUMMYFUNCTION("""COMPUTED_VALUE"""),0.031)</f>
        <v/>
      </c>
      <c r="D651" s="2">
        <f>IFERROR(__xludf.DUMMYFUNCTION("""COMPUTED_VALUE"""),2.3E-4)</f>
        <v/>
      </c>
      <c r="E651" s="2">
        <f>IFERROR(__xludf.DUMMYFUNCTION("""COMPUTED_VALUE"""),35.47)</f>
        <v/>
      </c>
      <c r="F651" s="2">
        <f>IFERROR(__xludf.DUMMYFUNCTION("""COMPUTED_VALUE"""),45.0)</f>
        <v/>
      </c>
      <c r="G651" s="2">
        <f>IFERROR(__xludf.DUMMYFUNCTION("""COMPUTED_VALUE"""),50.0)</f>
        <v/>
      </c>
      <c r="H651" s="2">
        <f>IFERROR(__xludf.DUMMYFUNCTION("""COMPUTED_VALUE"""),58.0)</f>
        <v/>
      </c>
      <c r="I651" s="2">
        <f>IFERROR(__xludf.DUMMYFUNCTION("""COMPUTED_VALUE"""),67.6)</f>
        <v/>
      </c>
      <c r="J651" s="2">
        <f>IFERROR(__xludf.DUMMYFUNCTION("""COMPUTED_VALUE"""),34.0)</f>
        <v/>
      </c>
      <c r="K651" s="2">
        <f>IFERROR(__xludf.DUMMYFUNCTION("""COMPUTED_VALUE"""),1.0)</f>
        <v/>
      </c>
      <c r="L651" s="2">
        <f>IFERROR(__xludf.DUMMYFUNCTION("""COMPUTED_VALUE"""),"Лампа светодиодная LED-ШАР-standard")</f>
        <v/>
      </c>
      <c r="M651" s="2">
        <f>IFERROR(__xludf.DUMMYFUNCTION("""COMPUTED_VALUE"""),"Лампы")</f>
        <v/>
      </c>
    </row>
    <row r="652">
      <c r="A652" s="5">
        <f>IFERROR(__xludf.DUMMYFUNCTION("""COMPUTED_VALUE"""),"200-200-4")</f>
        <v/>
      </c>
      <c r="B652" s="5">
        <f>IFERROR(__xludf.DUMMYFUNCTION("""COMPUTED_VALUE"""),"Rexant Источник питания компактный 12 V 16,5 A 200 W 200-200-4")</f>
        <v/>
      </c>
      <c r="C652" s="2">
        <f>IFERROR(__xludf.DUMMYFUNCTION("""COMPUTED_VALUE"""),0.0)</f>
        <v/>
      </c>
      <c r="D652" s="2">
        <f>IFERROR(__xludf.DUMMYFUNCTION("""COMPUTED_VALUE"""),0.0)</f>
        <v/>
      </c>
      <c r="E652" s="2">
        <f>IFERROR(__xludf.DUMMYFUNCTION("""COMPUTED_VALUE"""),1.0)</f>
        <v/>
      </c>
      <c r="F652" s="2">
        <f>IFERROR(__xludf.DUMMYFUNCTION("""COMPUTED_VALUE"""),2203.0)</f>
        <v/>
      </c>
      <c r="G652" s="2">
        <f>IFERROR(__xludf.DUMMYFUNCTION("""COMPUTED_VALUE"""),2350.0)</f>
        <v/>
      </c>
      <c r="H652" s="2">
        <f>IFERROR(__xludf.DUMMYFUNCTION("""COMPUTED_VALUE"""),2644.0)</f>
        <v/>
      </c>
      <c r="I652" s="2">
        <f>IFERROR(__xludf.DUMMYFUNCTION("""COMPUTED_VALUE"""),2937.38)</f>
        <v/>
      </c>
      <c r="J652" s="2">
        <f>IFERROR(__xludf.DUMMYFUNCTION("""COMPUTED_VALUE"""),1469.0)</f>
        <v/>
      </c>
      <c r="K652" s="2">
        <f>IFERROR(__xludf.DUMMYFUNCTION("""COMPUTED_VALUE"""),1.0)</f>
        <v/>
      </c>
      <c r="L652" s="2">
        <f>IFERROR(__xludf.DUMMYFUNCTION("""COMPUTED_VALUE"""),"Rexant")</f>
        <v/>
      </c>
      <c r="M652" s="2">
        <f>IFERROR(__xludf.DUMMYFUNCTION("""COMPUTED_VALUE"""),"Прочие товары")</f>
        <v/>
      </c>
    </row>
    <row r="653">
      <c r="A653" s="5">
        <f>IFERROR(__xludf.DUMMYFUNCTION("""COMPUTED_VALUE"""),"4690626030893")</f>
        <v/>
      </c>
      <c r="B653" s="5">
        <f>IFERROR(__xludf.DUMMYFUNCTION("""COMPUTED_VALUE"""),"SBF-02-G")</f>
        <v/>
      </c>
      <c r="C653" s="2">
        <f>IFERROR(__xludf.DUMMYFUNCTION("""COMPUTED_VALUE"""),0.294)</f>
        <v/>
      </c>
      <c r="D653" s="2">
        <f>IFERROR(__xludf.DUMMYFUNCTION("""COMPUTED_VALUE"""),3.0E-5)</f>
        <v/>
      </c>
      <c r="E653" s="2">
        <f>IFERROR(__xludf.DUMMYFUNCTION("""COMPUTED_VALUE"""),288.75)</f>
        <v/>
      </c>
      <c r="F653" s="2">
        <f>IFERROR(__xludf.DUMMYFUNCTION("""COMPUTED_VALUE"""),0.0)</f>
        <v/>
      </c>
      <c r="G653" s="2">
        <f>IFERROR(__xludf.DUMMYFUNCTION("""COMPUTED_VALUE"""),0.0)</f>
        <v/>
      </c>
      <c r="H653" s="2">
        <f>IFERROR(__xludf.DUMMYFUNCTION("""COMPUTED_VALUE"""),0.0)</f>
        <v/>
      </c>
      <c r="I653" s="2">
        <f>IFERROR(__xludf.DUMMYFUNCTION("""COMPUTED_VALUE"""),0.0)</f>
        <v/>
      </c>
      <c r="J653" s="2">
        <f>IFERROR(__xludf.DUMMYFUNCTION("""COMPUTED_VALUE"""),0.0)</f>
        <v/>
      </c>
      <c r="K653" s="2">
        <f>IFERROR(__xludf.DUMMYFUNCTION("""COMPUTED_VALUE"""),1.0)</f>
        <v/>
      </c>
      <c r="L653" s="2">
        <f>IFERROR(__xludf.DUMMYFUNCTION("""COMPUTED_VALUE"""),"Smartbuy фонари")</f>
        <v/>
      </c>
      <c r="M653" s="2">
        <f>IFERROR(__xludf.DUMMYFUNCTION("""COMPUTED_VALUE"""),"Прочие товары")</f>
        <v/>
      </c>
    </row>
    <row r="654">
      <c r="A654" s="5">
        <f>IFERROR(__xludf.DUMMYFUNCTION("""COMPUTED_VALUE"""),"4690612020822-10")</f>
        <v/>
      </c>
      <c r="B654" s="5">
        <f>IFERROR(__xludf.DUMMYFUNCTION("""COMPUTED_VALUE"""),"10 шт. Лампа LED-GX53-VC 15Вт 230В 4000К 1430Лм IN HOME (Комплект 10 шт)")</f>
        <v/>
      </c>
      <c r="C654" s="2">
        <f>IFERROR(__xludf.DUMMYFUNCTION("""COMPUTED_VALUE"""),0.04)</f>
        <v/>
      </c>
      <c r="D654" s="2">
        <f>IFERROR(__xludf.DUMMYFUNCTION("""COMPUTED_VALUE"""),0.0021)</f>
        <v/>
      </c>
      <c r="E654" s="2">
        <f>IFERROR(__xludf.DUMMYFUNCTION("""COMPUTED_VALUE"""),534.0)</f>
        <v/>
      </c>
      <c r="F654" s="2">
        <f>IFERROR(__xludf.DUMMYFUNCTION("""COMPUTED_VALUE"""),586.0)</f>
        <v/>
      </c>
      <c r="G654" s="2">
        <f>IFERROR(__xludf.DUMMYFUNCTION("""COMPUTED_VALUE"""),683.0)</f>
        <v/>
      </c>
      <c r="H654" s="2">
        <f>IFERROR(__xludf.DUMMYFUNCTION("""COMPUTED_VALUE"""),769.0)</f>
        <v/>
      </c>
      <c r="I654" s="2">
        <f>IFERROR(__xludf.DUMMYFUNCTION("""COMPUTED_VALUE"""),854.0)</f>
        <v/>
      </c>
      <c r="J654" s="2">
        <f>IFERROR(__xludf.DUMMYFUNCTION("""COMPUTED_VALUE"""),427.0)</f>
        <v/>
      </c>
      <c r="K654" s="2">
        <f>IFERROR(__xludf.DUMMYFUNCTION("""COMPUTED_VALUE"""),9.0)</f>
        <v/>
      </c>
      <c r="L654" s="2">
        <f>IFERROR(__xludf.DUMMYFUNCTION("""COMPUTED_VALUE"""),"Лампы производство, упаковка")</f>
        <v/>
      </c>
      <c r="M654" s="2">
        <f>IFERROR(__xludf.DUMMYFUNCTION("""COMPUTED_VALUE"""),"Лампы")</f>
        <v/>
      </c>
    </row>
    <row r="655">
      <c r="A655" s="5">
        <f>IFERROR(__xludf.DUMMYFUNCTION("""COMPUTED_VALUE"""),"4690612003993")</f>
        <v/>
      </c>
      <c r="B655" s="5">
        <f>IFERROR(__xludf.DUMMYFUNCTION("""COMPUTED_VALUE"""),"LED-ШАР-standard 7.5Вт 160-260В Е27 4000К ASD")</f>
        <v/>
      </c>
      <c r="C655" s="2">
        <f>IFERROR(__xludf.DUMMYFUNCTION("""COMPUTED_VALUE"""),0.0462)</f>
        <v/>
      </c>
      <c r="D655" s="2">
        <f>IFERROR(__xludf.DUMMYFUNCTION("""COMPUTED_VALUE"""),2.4E-4)</f>
        <v/>
      </c>
      <c r="E655" s="2">
        <f>IFERROR(__xludf.DUMMYFUNCTION("""COMPUTED_VALUE"""),41.71)</f>
        <v/>
      </c>
      <c r="F655" s="2">
        <f>IFERROR(__xludf.DUMMYFUNCTION("""COMPUTED_VALUE"""),27.0)</f>
        <v/>
      </c>
      <c r="G655" s="2">
        <f>IFERROR(__xludf.DUMMYFUNCTION("""COMPUTED_VALUE"""),30.0)</f>
        <v/>
      </c>
      <c r="H655" s="2">
        <f>IFERROR(__xludf.DUMMYFUNCTION("""COMPUTED_VALUE"""),35.0)</f>
        <v/>
      </c>
      <c r="I655" s="2">
        <f>IFERROR(__xludf.DUMMYFUNCTION("""COMPUTED_VALUE"""),40.4)</f>
        <v/>
      </c>
      <c r="J655" s="2">
        <f>IFERROR(__xludf.DUMMYFUNCTION("""COMPUTED_VALUE"""),20.0)</f>
        <v/>
      </c>
      <c r="K655" s="2">
        <f>IFERROR(__xludf.DUMMYFUNCTION("""COMPUTED_VALUE"""),8.0)</f>
        <v/>
      </c>
      <c r="L655" s="2">
        <f>IFERROR(__xludf.DUMMYFUNCTION("""COMPUTED_VALUE"""),"Лампа светодиодная LED-ШАР-standard")</f>
        <v/>
      </c>
      <c r="M655" s="2">
        <f>IFERROR(__xludf.DUMMYFUNCTION("""COMPUTED_VALUE"""),"Лампы")</f>
        <v/>
      </c>
    </row>
    <row r="656">
      <c r="A656" s="5">
        <f>IFERROR(__xludf.DUMMYFUNCTION("""COMPUTED_VALUE"""),"4690612012308-10")</f>
        <v/>
      </c>
      <c r="B656" s="5">
        <f>IFERROR(__xludf.DUMMYFUNCTION("""COMPUTED_VALUE"""),"10 шт. Лампа LED-GX53-std 8Вт 230В 6500К 720Лм ASD (Комплект 10 шт)")</f>
        <v/>
      </c>
      <c r="C656" s="2">
        <f>IFERROR(__xludf.DUMMYFUNCTION("""COMPUTED_VALUE"""),0.04)</f>
        <v/>
      </c>
      <c r="D656" s="2">
        <f>IFERROR(__xludf.DUMMYFUNCTION("""COMPUTED_VALUE"""),9.000000000000001E-4)</f>
        <v/>
      </c>
      <c r="E656" s="2">
        <f>IFERROR(__xludf.DUMMYFUNCTION("""COMPUTED_VALUE"""),421.6)</f>
        <v/>
      </c>
      <c r="F656" s="2">
        <f>IFERROR(__xludf.DUMMYFUNCTION("""COMPUTED_VALUE"""),463.0)</f>
        <v/>
      </c>
      <c r="G656" s="2">
        <f>IFERROR(__xludf.DUMMYFUNCTION("""COMPUTED_VALUE"""),540.0)</f>
        <v/>
      </c>
      <c r="H656" s="2">
        <f>IFERROR(__xludf.DUMMYFUNCTION("""COMPUTED_VALUE"""),608.0)</f>
        <v/>
      </c>
      <c r="I656" s="2">
        <f>IFERROR(__xludf.DUMMYFUNCTION("""COMPUTED_VALUE"""),675.0)</f>
        <v/>
      </c>
      <c r="J656" s="2">
        <f>IFERROR(__xludf.DUMMYFUNCTION("""COMPUTED_VALUE"""),338.0)</f>
        <v/>
      </c>
      <c r="K656" s="2">
        <f>IFERROR(__xludf.DUMMYFUNCTION("""COMPUTED_VALUE"""),6.0)</f>
        <v/>
      </c>
      <c r="L656" s="2">
        <f>IFERROR(__xludf.DUMMYFUNCTION("""COMPUTED_VALUE"""),"Лампы производство, упаковка")</f>
        <v/>
      </c>
      <c r="M656" s="2">
        <f>IFERROR(__xludf.DUMMYFUNCTION("""COMPUTED_VALUE"""),"Лампы")</f>
        <v/>
      </c>
    </row>
    <row r="657">
      <c r="A657" s="5">
        <f>IFERROR(__xludf.DUMMYFUNCTION("""COMPUTED_VALUE"""),"R100395")</f>
        <v/>
      </c>
      <c r="B657" s="5">
        <f>IFERROR(__xludf.DUMMYFUNCTION("""COMPUTED_VALUE"""),"RSV-SSP-04-150W-6500K-IP65")</f>
        <v/>
      </c>
      <c r="C657" s="2">
        <f>IFERROR(__xludf.DUMMYFUNCTION("""COMPUTED_VALUE"""),0.36)</f>
        <v/>
      </c>
      <c r="D657" s="2">
        <f>IFERROR(__xludf.DUMMYFUNCTION("""COMPUTED_VALUE"""),0.0022)</f>
        <v/>
      </c>
      <c r="E657" s="2">
        <f>IFERROR(__xludf.DUMMYFUNCTION("""COMPUTED_VALUE"""),2336.58)</f>
        <v/>
      </c>
      <c r="F657" s="2">
        <f>IFERROR(__xludf.DUMMYFUNCTION("""COMPUTED_VALUE"""),1966.0)</f>
        <v/>
      </c>
      <c r="G657" s="2">
        <f>IFERROR(__xludf.DUMMYFUNCTION("""COMPUTED_VALUE"""),2314.0)</f>
        <v/>
      </c>
      <c r="H657" s="2">
        <f>IFERROR(__xludf.DUMMYFUNCTION("""COMPUTED_VALUE"""),2383.0)</f>
        <v/>
      </c>
      <c r="I657" s="2">
        <f>IFERROR(__xludf.DUMMYFUNCTION("""COMPUTED_VALUE"""),2741.0)</f>
        <v/>
      </c>
      <c r="J657" s="2">
        <f>IFERROR(__xludf.DUMMYFUNCTION("""COMPUTED_VALUE"""),1371.0)</f>
        <v/>
      </c>
      <c r="K657" s="2">
        <f>IFERROR(__xludf.DUMMYFUNCTION("""COMPUTED_VALUE"""),1.0)</f>
        <v/>
      </c>
      <c r="L657" s="2">
        <f>IFERROR(__xludf.DUMMYFUNCTION("""COMPUTED_VALUE"""),"Промышленное освещение RSV")</f>
        <v/>
      </c>
      <c r="M657" s="2">
        <f>IFERROR(__xludf.DUMMYFUNCTION("""COMPUTED_VALUE"""),"Пластиковые (линейные), LED Светильники")</f>
        <v/>
      </c>
    </row>
    <row r="658">
      <c r="A658" s="5">
        <f>IFERROR(__xludf.DUMMYFUNCTION("""COMPUTED_VALUE"""),"4690612029856")</f>
        <v/>
      </c>
      <c r="B658" s="5">
        <f>IFERROR(__xludf.DUMMYFUNCTION("""COMPUTED_VALUE"""),"LPU-01 75Вт ПРИЗМА 230В 6500K 7125Лм 180х1195х19мм IP40 IN HOME")</f>
        <v/>
      </c>
      <c r="C658" s="2">
        <f>IFERROR(__xludf.DUMMYFUNCTION("""COMPUTED_VALUE"""),1.225)</f>
        <v/>
      </c>
      <c r="D658" s="2">
        <f>IFERROR(__xludf.DUMMYFUNCTION("""COMPUTED_VALUE"""),0.00525)</f>
        <v/>
      </c>
      <c r="E658" s="2">
        <f>IFERROR(__xludf.DUMMYFUNCTION("""COMPUTED_VALUE"""),730.24)</f>
        <v/>
      </c>
      <c r="F658" s="2">
        <f>IFERROR(__xludf.DUMMYFUNCTION("""COMPUTED_VALUE"""),808.0)</f>
        <v/>
      </c>
      <c r="G658" s="2">
        <f>IFERROR(__xludf.DUMMYFUNCTION("""COMPUTED_VALUE"""),909.0)</f>
        <v/>
      </c>
      <c r="H658" s="2">
        <f>IFERROR(__xludf.DUMMYFUNCTION("""COMPUTED_VALUE"""),1054.0)</f>
        <v/>
      </c>
      <c r="I658" s="2">
        <f>IFERROR(__xludf.DUMMYFUNCTION("""COMPUTED_VALUE"""),1212.0)</f>
        <v/>
      </c>
      <c r="J658" s="2">
        <f>IFERROR(__xludf.DUMMYFUNCTION("""COMPUTED_VALUE"""),606.0)</f>
        <v/>
      </c>
      <c r="K658" s="2">
        <f>IFERROR(__xludf.DUMMYFUNCTION("""COMPUTED_VALUE"""),4.0)</f>
        <v/>
      </c>
      <c r="L658" s="2">
        <f>IFERROR(__xludf.DUMMYFUNCTION("""COMPUTED_VALUE"""),"Панели светодиодные LP серии ПРИЗМА")</f>
        <v/>
      </c>
      <c r="M658" s="2">
        <f>IFERROR(__xludf.DUMMYFUNCTION("""COMPUTED_VALUE"""),"Встраиваемые, Накладные, LED Светильники")</f>
        <v/>
      </c>
    </row>
    <row r="659">
      <c r="A659" s="5">
        <f>IFERROR(__xludf.DUMMYFUNCTION("""COMPUTED_VALUE"""),"4690612053028-2")</f>
        <v/>
      </c>
      <c r="B659" s="5">
        <f>IFERROR(__xludf.DUMMYFUNCTION("""COMPUTED_VALUE"""),"ДВО-02-EMERGENCY 3665-ПРИЗМА 36Вт 6500К 595х595х19 NEOX без БАП-10W90 (2 шт в упак.)")</f>
        <v/>
      </c>
      <c r="C659" s="2">
        <f>IFERROR(__xludf.DUMMYFUNCTION("""COMPUTED_VALUE"""),1.29)</f>
        <v/>
      </c>
      <c r="D659" s="2">
        <f>IFERROR(__xludf.DUMMYFUNCTION("""COMPUTED_VALUE"""),0.0)</f>
        <v/>
      </c>
      <c r="E659" s="2">
        <f>IFERROR(__xludf.DUMMYFUNCTION("""COMPUTED_VALUE"""),1204.41)</f>
        <v/>
      </c>
      <c r="F659" s="2">
        <f>IFERROR(__xludf.DUMMYFUNCTION("""COMPUTED_VALUE"""),1321.0)</f>
        <v/>
      </c>
      <c r="G659" s="2">
        <f>IFERROR(__xludf.DUMMYFUNCTION("""COMPUTED_VALUE"""),1542.0)</f>
        <v/>
      </c>
      <c r="H659" s="2">
        <f>IFERROR(__xludf.DUMMYFUNCTION("""COMPUTED_VALUE"""),1734.0)</f>
        <v/>
      </c>
      <c r="I659" s="2">
        <f>IFERROR(__xludf.DUMMYFUNCTION("""COMPUTED_VALUE"""),1927.0)</f>
        <v/>
      </c>
      <c r="J659" s="2">
        <f>IFERROR(__xludf.DUMMYFUNCTION("""COMPUTED_VALUE"""),964.0)</f>
        <v/>
      </c>
      <c r="K659" s="2">
        <f>IFERROR(__xludf.DUMMYFUNCTION("""COMPUTED_VALUE"""),3.0)</f>
        <v/>
      </c>
      <c r="L659" s="2">
        <f>IFERROR(__xludf.DUMMYFUNCTION("""COMPUTED_VALUE"""),"NEOX Светильники LED ДВО - Призма производство, упаковка")</f>
        <v/>
      </c>
      <c r="M659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660">
      <c r="A660" s="5">
        <f>IFERROR(__xludf.DUMMYFUNCTION("""COMPUTED_VALUE"""),"R100284")</f>
        <v/>
      </c>
      <c r="B660" s="5">
        <f>IFERROR(__xludf.DUMMYFUNCTION("""COMPUTED_VALUE"""),"RSV-STP-150-6500K-IP66")</f>
        <v/>
      </c>
      <c r="C660" s="2">
        <f>IFERROR(__xludf.DUMMYFUNCTION("""COMPUTED_VALUE"""),3.6)</f>
        <v/>
      </c>
      <c r="D660" s="2">
        <f>IFERROR(__xludf.DUMMYFUNCTION("""COMPUTED_VALUE"""),0.0146)</f>
        <v/>
      </c>
      <c r="E660" s="2">
        <f>IFERROR(__xludf.DUMMYFUNCTION("""COMPUTED_VALUE"""),3012.86)</f>
        <v/>
      </c>
      <c r="F660" s="2">
        <f>IFERROR(__xludf.DUMMYFUNCTION("""COMPUTED_VALUE"""),2353.0)</f>
        <v/>
      </c>
      <c r="G660" s="2">
        <f>IFERROR(__xludf.DUMMYFUNCTION("""COMPUTED_VALUE"""),2769.0)</f>
        <v/>
      </c>
      <c r="H660" s="2">
        <f>IFERROR(__xludf.DUMMYFUNCTION("""COMPUTED_VALUE"""),2852.0)</f>
        <v/>
      </c>
      <c r="I660" s="2">
        <f>IFERROR(__xludf.DUMMYFUNCTION("""COMPUTED_VALUE"""),3280.0)</f>
        <v/>
      </c>
      <c r="J660" s="2">
        <f>IFERROR(__xludf.DUMMYFUNCTION("""COMPUTED_VALUE"""),1640.0)</f>
        <v/>
      </c>
      <c r="K660" s="2">
        <f>IFERROR(__xludf.DUMMYFUNCTION("""COMPUTED_VALUE"""),3.0)</f>
        <v/>
      </c>
      <c r="L660" s="2">
        <f>IFERROR(__xludf.DUMMYFUNCTION("""COMPUTED_VALUE"""),"Уличное освещение RSV")</f>
        <v/>
      </c>
      <c r="M660" s="2">
        <f>IFERROR(__xludf.DUMMYFUNCTION("""COMPUTED_VALUE"""),"Для обычных дорог, LED Светильники")</f>
        <v/>
      </c>
    </row>
    <row r="661">
      <c r="A661" s="5">
        <f>IFERROR(__xludf.DUMMYFUNCTION("""COMPUTED_VALUE"""),"4690612033822")</f>
        <v/>
      </c>
      <c r="B661" s="5">
        <f>IFERROR(__xludf.DUMMYFUNCTION("""COMPUTED_VALUE"""),"ДД 008 1200Вт 180 гр.12м IP44 черный IN HOME")</f>
        <v/>
      </c>
      <c r="C661" s="2">
        <f>IFERROR(__xludf.DUMMYFUNCTION("""COMPUTED_VALUE"""),0.226)</f>
        <v/>
      </c>
      <c r="D661" s="2">
        <f>IFERROR(__xludf.DUMMYFUNCTION("""COMPUTED_VALUE"""),0.0014)</f>
        <v/>
      </c>
      <c r="E661" s="2">
        <f>IFERROR(__xludf.DUMMYFUNCTION("""COMPUTED_VALUE"""),295.63)</f>
        <v/>
      </c>
      <c r="F661" s="2">
        <f>IFERROR(__xludf.DUMMYFUNCTION("""COMPUTED_VALUE"""),437.0)</f>
        <v/>
      </c>
      <c r="G661" s="2">
        <f>IFERROR(__xludf.DUMMYFUNCTION("""COMPUTED_VALUE"""),492.0)</f>
        <v/>
      </c>
      <c r="H661" s="2">
        <f>IFERROR(__xludf.DUMMYFUNCTION("""COMPUTED_VALUE"""),571.0)</f>
        <v/>
      </c>
      <c r="I661" s="2">
        <f>IFERROR(__xludf.DUMMYFUNCTION("""COMPUTED_VALUE"""),656.0)</f>
        <v/>
      </c>
      <c r="J661" s="2">
        <f>IFERROR(__xludf.DUMMYFUNCTION("""COMPUTED_VALUE"""),296.0)</f>
        <v/>
      </c>
      <c r="K661" s="2">
        <f>IFERROR(__xludf.DUMMYFUNCTION("""COMPUTED_VALUE"""),1.0)</f>
        <v/>
      </c>
      <c r="L661" s="2">
        <f>IFERROR(__xludf.DUMMYFUNCTION("""COMPUTED_VALUE"""),"ASD Комплектующие")</f>
        <v/>
      </c>
      <c r="M661" s="2">
        <f>IFERROR(__xludf.DUMMYFUNCTION("""COMPUTED_VALUE"""),"Прочие товары")</f>
        <v/>
      </c>
    </row>
    <row r="662">
      <c r="A662" s="5">
        <f>IFERROR(__xludf.DUMMYFUNCTION("""COMPUTED_VALUE"""),"4690612015118")</f>
        <v/>
      </c>
      <c r="B662" s="5">
        <f>IFERROR(__xludf.DUMMYFUNCTION("""COMPUTED_VALUE"""),"NL02-CY Цыпленок с датчиком освещения 230В ЖЕЛТЫЙ IN HOME")</f>
        <v/>
      </c>
      <c r="C662" s="2">
        <f>IFERROR(__xludf.DUMMYFUNCTION("""COMPUTED_VALUE"""),0.111)</f>
        <v/>
      </c>
      <c r="D662" s="2">
        <f>IFERROR(__xludf.DUMMYFUNCTION("""COMPUTED_VALUE"""),0.0022)</f>
        <v/>
      </c>
      <c r="E662" s="2">
        <f>IFERROR(__xludf.DUMMYFUNCTION("""COMPUTED_VALUE"""),250.28)</f>
        <v/>
      </c>
      <c r="F662" s="2">
        <f>IFERROR(__xludf.DUMMYFUNCTION("""COMPUTED_VALUE"""),100.0)</f>
        <v/>
      </c>
      <c r="G662" s="2">
        <f>IFERROR(__xludf.DUMMYFUNCTION("""COMPUTED_VALUE"""),113.0)</f>
        <v/>
      </c>
      <c r="H662" s="2">
        <f>IFERROR(__xludf.DUMMYFUNCTION("""COMPUTED_VALUE"""),131.0)</f>
        <v/>
      </c>
      <c r="I662" s="2">
        <f>IFERROR(__xludf.DUMMYFUNCTION("""COMPUTED_VALUE"""),150.0)</f>
        <v/>
      </c>
      <c r="J662" s="2">
        <f>IFERROR(__xludf.DUMMYFUNCTION("""COMPUTED_VALUE"""),75.0)</f>
        <v/>
      </c>
      <c r="K662" s="2">
        <f>IFERROR(__xludf.DUMMYFUNCTION("""COMPUTED_VALUE"""),8.0)</f>
        <v/>
      </c>
      <c r="L662" s="2">
        <f>IFERROR(__xludf.DUMMYFUNCTION("""COMPUTED_VALUE"""),"Светильники ночники")</f>
        <v/>
      </c>
      <c r="M662" s="2">
        <f>IFERROR(__xludf.DUMMYFUNCTION("""COMPUTED_VALUE"""),"Светильники общего назначения (LED), Декоративные, LED Светильники")</f>
        <v/>
      </c>
    </row>
    <row r="663">
      <c r="A663" s="5">
        <f>IFERROR(__xludf.DUMMYFUNCTION("""COMPUTED_VALUE"""),"ves015")</f>
        <v/>
      </c>
      <c r="B663" s="5">
        <f>IFERROR(__xludf.DUMMYFUNCTION("""COMPUTED_VALUE"""),"Фонарь светодиодный NPT-SP12-ACCU")</f>
        <v/>
      </c>
      <c r="C663" s="2">
        <f>IFERROR(__xludf.DUMMYFUNCTION("""COMPUTED_VALUE"""),0.0)</f>
        <v/>
      </c>
      <c r="D663" s="2">
        <f>IFERROR(__xludf.DUMMYFUNCTION("""COMPUTED_VALUE"""),0.0)</f>
        <v/>
      </c>
      <c r="E663" s="2">
        <f>IFERROR(__xludf.DUMMYFUNCTION("""COMPUTED_VALUE"""),1880.96)</f>
        <v/>
      </c>
      <c r="F663" s="2">
        <f>IFERROR(__xludf.DUMMYFUNCTION("""COMPUTED_VALUE"""),1800.0)</f>
        <v/>
      </c>
      <c r="G663" s="2">
        <f>IFERROR(__xludf.DUMMYFUNCTION("""COMPUTED_VALUE"""),1920.0)</f>
        <v/>
      </c>
      <c r="H663" s="2">
        <f>IFERROR(__xludf.DUMMYFUNCTION("""COMPUTED_VALUE"""),2160.0)</f>
        <v/>
      </c>
      <c r="I663" s="2">
        <f>IFERROR(__xludf.DUMMYFUNCTION("""COMPUTED_VALUE"""),2400.0)</f>
        <v/>
      </c>
      <c r="J663" s="2">
        <f>IFERROR(__xludf.DUMMYFUNCTION("""COMPUTED_VALUE"""),1200.0)</f>
        <v/>
      </c>
      <c r="K663" s="2">
        <f>IFERROR(__xludf.DUMMYFUNCTION("""COMPUTED_VALUE"""),11.0)</f>
        <v/>
      </c>
      <c r="L663" s="2">
        <f>IFERROR(__xludf.DUMMYFUNCTION("""COMPUTED_VALUE"""),"ves")</f>
        <v/>
      </c>
      <c r="M663" s="2">
        <f>IFERROR(__xludf.DUMMYFUNCTION("""COMPUTED_VALUE"""),"LED Светильники")</f>
        <v/>
      </c>
    </row>
    <row r="664">
      <c r="A664" s="5">
        <f>IFERROR(__xludf.DUMMYFUNCTION("""COMPUTED_VALUE"""),"12-0167")</f>
        <v/>
      </c>
      <c r="B664" s="5">
        <f>IFERROR(__xludf.DUMMYFUNCTION("""COMPUTED_VALUE"""),"Набор для пайки (паяльник 8 Вт, оловоотсос, подставка, припой, отвертка, интрумент для монтажа) REXANT")</f>
        <v/>
      </c>
      <c r="C664" s="2">
        <f>IFERROR(__xludf.DUMMYFUNCTION("""COMPUTED_VALUE"""),0.0)</f>
        <v/>
      </c>
      <c r="D664" s="2">
        <f>IFERROR(__xludf.DUMMYFUNCTION("""COMPUTED_VALUE"""),0.0)</f>
        <v/>
      </c>
      <c r="E664" s="2">
        <f>IFERROR(__xludf.DUMMYFUNCTION("""COMPUTED_VALUE"""),1.0)</f>
        <v/>
      </c>
      <c r="F664" s="2">
        <f>IFERROR(__xludf.DUMMYFUNCTION("""COMPUTED_VALUE"""),2302.0)</f>
        <v/>
      </c>
      <c r="G664" s="2">
        <f>IFERROR(__xludf.DUMMYFUNCTION("""COMPUTED_VALUE"""),2455.0)</f>
        <v/>
      </c>
      <c r="H664" s="2">
        <f>IFERROR(__xludf.DUMMYFUNCTION("""COMPUTED_VALUE"""),2762.0)</f>
        <v/>
      </c>
      <c r="I664" s="2">
        <f>IFERROR(__xludf.DUMMYFUNCTION("""COMPUTED_VALUE"""),3068.81)</f>
        <v/>
      </c>
      <c r="J664" s="2">
        <f>IFERROR(__xludf.DUMMYFUNCTION("""COMPUTED_VALUE"""),2302.0)</f>
        <v/>
      </c>
      <c r="K664" s="2">
        <f>IFERROR(__xludf.DUMMYFUNCTION("""COMPUTED_VALUE"""),3.0)</f>
        <v/>
      </c>
      <c r="L664" s="2">
        <f>IFERROR(__xludf.DUMMYFUNCTION("""COMPUTED_VALUE"""),"Rexant")</f>
        <v/>
      </c>
      <c r="M664" s="2">
        <f>IFERROR(__xludf.DUMMYFUNCTION("""COMPUTED_VALUE"""),"Прочие товары")</f>
        <v/>
      </c>
    </row>
    <row r="665">
      <c r="A665" s="5">
        <f>IFERROR(__xludf.DUMMYFUNCTION("""COMPUTED_VALUE"""),"R100344-3")</f>
        <v/>
      </c>
      <c r="B665" s="5">
        <f>IFERROR(__xludf.DUMMYFUNCTION("""COMPUTED_VALUE"""),"RSV-SPO-02-40W-6500К, IP40 P (3 штуки в упаковке)")</f>
        <v/>
      </c>
      <c r="C665" s="2">
        <f>IFERROR(__xludf.DUMMYFUNCTION("""COMPUTED_VALUE"""),0.40333)</f>
        <v/>
      </c>
      <c r="D665" s="2">
        <f>IFERROR(__xludf.DUMMYFUNCTION("""COMPUTED_VALUE"""),0.0)</f>
        <v/>
      </c>
      <c r="E665" s="2">
        <f>IFERROR(__xludf.DUMMYFUNCTION("""COMPUTED_VALUE"""),629.11)</f>
        <v/>
      </c>
      <c r="F665" s="2">
        <f>IFERROR(__xludf.DUMMYFUNCTION("""COMPUTED_VALUE"""),755.0)</f>
        <v/>
      </c>
      <c r="G665" s="2">
        <f>IFERROR(__xludf.DUMMYFUNCTION("""COMPUTED_VALUE"""),806.0)</f>
        <v/>
      </c>
      <c r="H665" s="2">
        <f>IFERROR(__xludf.DUMMYFUNCTION("""COMPUTED_VALUE"""),906.0)</f>
        <v/>
      </c>
      <c r="I665" s="2">
        <f>IFERROR(__xludf.DUMMYFUNCTION("""COMPUTED_VALUE"""),1007.0)</f>
        <v/>
      </c>
      <c r="J665" s="2">
        <f>IFERROR(__xludf.DUMMYFUNCTION("""COMPUTED_VALUE"""),504.0)</f>
        <v/>
      </c>
      <c r="K665" s="2">
        <f>IFERROR(__xludf.DUMMYFUNCTION("""COMPUTED_VALUE"""),1.0)</f>
        <v/>
      </c>
      <c r="L665" s="2">
        <f>IFERROR(__xludf.DUMMYFUNCTION("""COMPUTED_VALUE"""),"RSV-SPO Светильники Производство, упаковка (2 и 3 штуки)")</f>
        <v/>
      </c>
      <c r="M665" s="2">
        <f>IFERROR(__xludf.DUMMYFUNCTION("""COMPUTED_VALUE"""),"Пластиковые (линейные), Светильники общего назначения (LED), Накладные, Линейные (проходные), LED Светильники")</f>
        <v/>
      </c>
    </row>
    <row r="666">
      <c r="A666" s="5">
        <f>IFERROR(__xludf.DUMMYFUNCTION("""COMPUTED_VALUE"""),"55106")</f>
        <v/>
      </c>
      <c r="B666" s="5">
        <f>IFERROR(__xludf.DUMMYFUNCTION("""COMPUTED_VALUE"""),"Шар ""Диско"", 6 разноцветных LED ламп, 18*18*15 см, MP3 проигрыватель, 2 колонки, USB и SD разъемы, пульт в комплекте, 220v /12/6")</f>
        <v/>
      </c>
      <c r="C666" s="2">
        <f>IFERROR(__xludf.DUMMYFUNCTION("""COMPUTED_VALUE"""),0.0)</f>
        <v/>
      </c>
      <c r="D666" s="2">
        <f>IFERROR(__xludf.DUMMYFUNCTION("""COMPUTED_VALUE"""),0.0)</f>
        <v/>
      </c>
      <c r="E666" s="2">
        <f>IFERROR(__xludf.DUMMYFUNCTION("""COMPUTED_VALUE"""),1811.04)</f>
        <v/>
      </c>
      <c r="F666" s="2">
        <f>IFERROR(__xludf.DUMMYFUNCTION("""COMPUTED_VALUE"""),1829.0)</f>
        <v/>
      </c>
      <c r="G666" s="2">
        <f>IFERROR(__xludf.DUMMYFUNCTION("""COMPUTED_VALUE"""),1995.0)</f>
        <v/>
      </c>
      <c r="H666" s="2">
        <f>IFERROR(__xludf.DUMMYFUNCTION("""COMPUTED_VALUE"""),2161.0)</f>
        <v/>
      </c>
      <c r="I666" s="2">
        <f>IFERROR(__xludf.DUMMYFUNCTION("""COMPUTED_VALUE"""),2327.0)</f>
        <v/>
      </c>
      <c r="J666" s="2">
        <f>IFERROR(__xludf.DUMMYFUNCTION("""COMPUTED_VALUE"""),1164.0)</f>
        <v/>
      </c>
      <c r="K666" s="2">
        <f>IFERROR(__xludf.DUMMYFUNCTION("""COMPUTED_VALUE"""),10.0)</f>
        <v/>
      </c>
      <c r="L666" s="2">
        <f>IFERROR(__xludf.DUMMYFUNCTION("""COMPUTED_VALUE"""),"Праздничная иллюминация")</f>
        <v/>
      </c>
      <c r="M666" s="2">
        <f>IFERROR(__xludf.DUMMYFUNCTION("""COMPUTED_VALUE"""),"Гирлянды светодиодные (LED), Прочие товары")</f>
        <v/>
      </c>
    </row>
    <row r="667">
      <c r="A667" s="5">
        <f>IFERROR(__xludf.DUMMYFUNCTION("""COMPUTED_VALUE"""),"14690612042333")</f>
        <v/>
      </c>
      <c r="B667" s="5">
        <f>IFERROR(__xludf.DUMMYFUNCTION("""COMPUTED_VALUE"""),"ДВО-01 4065-ОПАЛ 40Вт 230В 6500К 3600Лм 180х1195х25мм NEOX (4 шт в упак.)")</f>
        <v/>
      </c>
      <c r="C667" s="2">
        <f>IFERROR(__xludf.DUMMYFUNCTION("""COMPUTED_VALUE"""),1.45)</f>
        <v/>
      </c>
      <c r="D667" s="2">
        <f>IFERROR(__xludf.DUMMYFUNCTION("""COMPUTED_VALUE"""),0.0)</f>
        <v/>
      </c>
      <c r="E667" s="2">
        <f>IFERROR(__xludf.DUMMYFUNCTION("""COMPUTED_VALUE"""),3028.73)</f>
        <v/>
      </c>
      <c r="F667" s="2">
        <f>IFERROR(__xludf.DUMMYFUNCTION("""COMPUTED_VALUE"""),3323.0)</f>
        <v/>
      </c>
      <c r="G667" s="2">
        <f>IFERROR(__xludf.DUMMYFUNCTION("""COMPUTED_VALUE"""),3877.0)</f>
        <v/>
      </c>
      <c r="H667" s="2">
        <f>IFERROR(__xludf.DUMMYFUNCTION("""COMPUTED_VALUE"""),4361.0)</f>
        <v/>
      </c>
      <c r="I667" s="2">
        <f>IFERROR(__xludf.DUMMYFUNCTION("""COMPUTED_VALUE"""),4846.0)</f>
        <v/>
      </c>
      <c r="J667" s="2">
        <f>IFERROR(__xludf.DUMMYFUNCTION("""COMPUTED_VALUE"""),2423.0)</f>
        <v/>
      </c>
      <c r="K667" s="2">
        <f>IFERROR(__xludf.DUMMYFUNCTION("""COMPUTED_VALUE"""),5.0)</f>
        <v/>
      </c>
      <c r="L667" s="2">
        <f>IFERROR(__xludf.DUMMYFUNCTION("""COMPUTED_VALUE"""),"NEOX Светильники LED ДВО - Опал производство, упаковка")</f>
        <v/>
      </c>
      <c r="M667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/>
      </c>
    </row>
    <row r="668">
      <c r="A668" s="5">
        <f>IFERROR(__xludf.DUMMYFUNCTION("""COMPUTED_VALUE"""),"4680005957880")</f>
        <v/>
      </c>
      <c r="B668" s="5">
        <f>IFERROR(__xludf.DUMMYFUNCTION("""COMPUTED_VALUE"""),"Патрон-переходник Е40/Е27 короткий")</f>
        <v/>
      </c>
      <c r="C668" s="2">
        <f>IFERROR(__xludf.DUMMYFUNCTION("""COMPUTED_VALUE"""),0.029)</f>
        <v/>
      </c>
      <c r="D668" s="2">
        <f>IFERROR(__xludf.DUMMYFUNCTION("""COMPUTED_VALUE"""),1.2E-4)</f>
        <v/>
      </c>
      <c r="E668" s="2">
        <f>IFERROR(__xludf.DUMMYFUNCTION("""COMPUTED_VALUE"""),24.9)</f>
        <v/>
      </c>
      <c r="F668" s="2">
        <f>IFERROR(__xludf.DUMMYFUNCTION("""COMPUTED_VALUE"""),31.0)</f>
        <v/>
      </c>
      <c r="G668" s="2">
        <f>IFERROR(__xludf.DUMMYFUNCTION("""COMPUTED_VALUE"""),35.0)</f>
        <v/>
      </c>
      <c r="H668" s="2">
        <f>IFERROR(__xludf.DUMMYFUNCTION("""COMPUTED_VALUE"""),41.0)</f>
        <v/>
      </c>
      <c r="I668" s="2">
        <f>IFERROR(__xludf.DUMMYFUNCTION("""COMPUTED_VALUE"""),47.0)</f>
        <v/>
      </c>
      <c r="J668" s="2">
        <f>IFERROR(__xludf.DUMMYFUNCTION("""COMPUTED_VALUE"""),24.0)</f>
        <v/>
      </c>
      <c r="K668" s="2">
        <f>IFERROR(__xludf.DUMMYFUNCTION("""COMPUTED_VALUE"""),1.0)</f>
        <v/>
      </c>
      <c r="L668" s="2">
        <f>IFERROR(__xludf.DUMMYFUNCTION("""COMPUTED_VALUE"""),"ASD электромонтажные изделия")</f>
        <v/>
      </c>
      <c r="M668" s="2">
        <f>IFERROR(__xludf.DUMMYFUNCTION("""COMPUTED_VALUE"""),"Прочие товары")</f>
        <v/>
      </c>
    </row>
    <row r="669">
      <c r="A669" s="5">
        <f>IFERROR(__xludf.DUMMYFUNCTION("""COMPUTED_VALUE"""),"4690612038162-1")</f>
        <v/>
      </c>
      <c r="B669" s="5">
        <f>IFERROR(__xludf.DUMMYFUNCTION("""COMPUTED_VALUE"""),"ДВО-02 3640-ПРИЗМА 36Вт 230В 4000К 4020Лм 110Лм/Вт 595х595х19 NEOX (в индивид. уп)")</f>
        <v/>
      </c>
      <c r="C669" s="2">
        <f>IFERROR(__xludf.DUMMYFUNCTION("""COMPUTED_VALUE"""),1.28)</f>
        <v/>
      </c>
      <c r="D669" s="2">
        <f>IFERROR(__xludf.DUMMYFUNCTION("""COMPUTED_VALUE"""),0.006730000000000001)</f>
        <v/>
      </c>
      <c r="E669" s="2">
        <f>IFERROR(__xludf.DUMMYFUNCTION("""COMPUTED_VALUE"""),524.22)</f>
        <v/>
      </c>
      <c r="F669" s="2">
        <f>IFERROR(__xludf.DUMMYFUNCTION("""COMPUTED_VALUE"""),575.0)</f>
        <v/>
      </c>
      <c r="G669" s="2">
        <f>IFERROR(__xludf.DUMMYFUNCTION("""COMPUTED_VALUE"""),671.0)</f>
        <v/>
      </c>
      <c r="H669" s="2">
        <f>IFERROR(__xludf.DUMMYFUNCTION("""COMPUTED_VALUE"""),755.0)</f>
        <v/>
      </c>
      <c r="I669" s="2">
        <f>IFERROR(__xludf.DUMMYFUNCTION("""COMPUTED_VALUE"""),839.0)</f>
        <v/>
      </c>
      <c r="J669" s="2">
        <f>IFERROR(__xludf.DUMMYFUNCTION("""COMPUTED_VALUE"""),420.0)</f>
        <v/>
      </c>
      <c r="K669" s="2">
        <f>IFERROR(__xludf.DUMMYFUNCTION("""COMPUTED_VALUE"""),88.0)</f>
        <v/>
      </c>
      <c r="L669" s="2">
        <f>IFERROR(__xludf.DUMMYFUNCTION("""COMPUTED_VALUE"""),"NEOX Светильники LED ДВО - Призма производство, упаковка")</f>
        <v/>
      </c>
      <c r="M669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670">
      <c r="A670" s="5">
        <f>IFERROR(__xludf.DUMMYFUNCTION("""COMPUTED_VALUE"""),"4690612020440")</f>
        <v/>
      </c>
      <c r="B670" s="5">
        <f>IFERROR(__xludf.DUMMYFUNCTION("""COMPUTED_VALUE"""),"LED-СВЕЧА-VC 8Вт 230В Е27 3000К 760Лм IN HOME")</f>
        <v/>
      </c>
      <c r="C670" s="2">
        <f>IFERROR(__xludf.DUMMYFUNCTION("""COMPUTED_VALUE"""),0.028)</f>
        <v/>
      </c>
      <c r="D670" s="2">
        <f>IFERROR(__xludf.DUMMYFUNCTION("""COMPUTED_VALUE"""),1.9E-4)</f>
        <v/>
      </c>
      <c r="E670" s="2">
        <f>IFERROR(__xludf.DUMMYFUNCTION("""COMPUTED_VALUE"""),35.4)</f>
        <v/>
      </c>
      <c r="F670" s="2">
        <f>IFERROR(__xludf.DUMMYFUNCTION("""COMPUTED_VALUE"""),45.0)</f>
        <v/>
      </c>
      <c r="G670" s="2">
        <f>IFERROR(__xludf.DUMMYFUNCTION("""COMPUTED_VALUE"""),50.0)</f>
        <v/>
      </c>
      <c r="H670" s="2">
        <f>IFERROR(__xludf.DUMMYFUNCTION("""COMPUTED_VALUE"""),58.0)</f>
        <v/>
      </c>
      <c r="I670" s="2">
        <f>IFERROR(__xludf.DUMMYFUNCTION("""COMPUTED_VALUE"""),67.6)</f>
        <v/>
      </c>
      <c r="J670" s="2">
        <f>IFERROR(__xludf.DUMMYFUNCTION("""COMPUTED_VALUE"""),34.0)</f>
        <v/>
      </c>
      <c r="K670" s="2">
        <f>IFERROR(__xludf.DUMMYFUNCTION("""COMPUTED_VALUE"""),53.0)</f>
        <v/>
      </c>
      <c r="L670" s="2">
        <f>IFERROR(__xludf.DUMMYFUNCTION("""COMPUTED_VALUE"""),"Лампа светодиодная LED-СВЕЧА-standard")</f>
        <v/>
      </c>
      <c r="M670" s="2">
        <f>IFERROR(__xludf.DUMMYFUNCTION("""COMPUTED_VALUE"""),"Лампы")</f>
        <v/>
      </c>
    </row>
    <row r="671">
      <c r="A671" s="5">
        <f>IFERROR(__xludf.DUMMYFUNCTION("""COMPUTED_VALUE"""),"4690612015507")</f>
        <v/>
      </c>
      <c r="B671" s="5">
        <f>IFERROR(__xludf.DUMMYFUNCTION("""COMPUTED_VALUE"""),"LED-СВЕЧА-standard 10Вт 230В Е14 3000К 900Лм ASD")</f>
        <v/>
      </c>
      <c r="C671" s="2">
        <f>IFERROR(__xludf.DUMMYFUNCTION("""COMPUTED_VALUE"""),0.033)</f>
        <v/>
      </c>
      <c r="D671" s="2">
        <f>IFERROR(__xludf.DUMMYFUNCTION("""COMPUTED_VALUE"""),1.9E-4)</f>
        <v/>
      </c>
      <c r="E671" s="2">
        <f>IFERROR(__xludf.DUMMYFUNCTION("""COMPUTED_VALUE"""),29.77)</f>
        <v/>
      </c>
      <c r="F671" s="2">
        <f>IFERROR(__xludf.DUMMYFUNCTION("""COMPUTED_VALUE"""),33.0)</f>
        <v/>
      </c>
      <c r="G671" s="2">
        <f>IFERROR(__xludf.DUMMYFUNCTION("""COMPUTED_VALUE"""),37.0)</f>
        <v/>
      </c>
      <c r="H671" s="2">
        <f>IFERROR(__xludf.DUMMYFUNCTION("""COMPUTED_VALUE"""),43.0)</f>
        <v/>
      </c>
      <c r="I671" s="2">
        <f>IFERROR(__xludf.DUMMYFUNCTION("""COMPUTED_VALUE"""),49.9)</f>
        <v/>
      </c>
      <c r="J671" s="2">
        <f>IFERROR(__xludf.DUMMYFUNCTION("""COMPUTED_VALUE"""),25.0)</f>
        <v/>
      </c>
      <c r="K671" s="2">
        <f>IFERROR(__xludf.DUMMYFUNCTION("""COMPUTED_VALUE"""),6.0)</f>
        <v/>
      </c>
      <c r="L671" s="2">
        <f>IFERROR(__xludf.DUMMYFUNCTION("""COMPUTED_VALUE"""),"ASD лампы LED")</f>
        <v/>
      </c>
      <c r="M671" s="2">
        <f>IFERROR(__xludf.DUMMYFUNCTION("""COMPUTED_VALUE"""),"Лампы")</f>
        <v/>
      </c>
    </row>
    <row r="672">
      <c r="A672" s="5">
        <f>IFERROR(__xludf.DUMMYFUNCTION("""COMPUTED_VALUE"""),"4690612042640")</f>
        <v/>
      </c>
      <c r="B672" s="5">
        <f>IFERROR(__xludf.DUMMYFUNCTION("""COMPUTED_VALUE"""),"LHB-02 200Вт 120гр 230В 5000К 21000Лм 105Лм/Вт IP65 без пульсации NEOX")</f>
        <v/>
      </c>
      <c r="C672" s="2">
        <f>IFERROR(__xludf.DUMMYFUNCTION("""COMPUTED_VALUE"""),1.75)</f>
        <v/>
      </c>
      <c r="D672" s="2">
        <f>IFERROR(__xludf.DUMMYFUNCTION("""COMPUTED_VALUE"""),0.007600000000000001)</f>
        <v/>
      </c>
      <c r="E672" s="2">
        <f>IFERROR(__xludf.DUMMYFUNCTION("""COMPUTED_VALUE"""),2578.07)</f>
        <v/>
      </c>
      <c r="F672" s="2">
        <f>IFERROR(__xludf.DUMMYFUNCTION("""COMPUTED_VALUE"""),2564.0)</f>
        <v/>
      </c>
      <c r="G672" s="2">
        <f>IFERROR(__xludf.DUMMYFUNCTION("""COMPUTED_VALUE"""),2885.0)</f>
        <v/>
      </c>
      <c r="H672" s="2">
        <f>IFERROR(__xludf.DUMMYFUNCTION("""COMPUTED_VALUE"""),3346.0)</f>
        <v/>
      </c>
      <c r="I672" s="2">
        <f>IFERROR(__xludf.DUMMYFUNCTION("""COMPUTED_VALUE"""),3846.0)</f>
        <v/>
      </c>
      <c r="J672" s="2">
        <f>IFERROR(__xludf.DUMMYFUNCTION("""COMPUTED_VALUE"""),1923.0)</f>
        <v/>
      </c>
      <c r="K672" s="2">
        <f>IFERROR(__xludf.DUMMYFUNCTION("""COMPUTED_VALUE"""),5.0)</f>
        <v/>
      </c>
      <c r="L672" s="2">
        <f>IFERROR(__xludf.DUMMYFUNCTION("""COMPUTED_VALUE"""),"NEOX Светильники LED LHB, WHB")</f>
        <v/>
      </c>
      <c r="M672" s="2">
        <f>IFERROR(__xludf.DUMMYFUNCTION("""COMPUTED_VALUE"""),"Промышленные светильники (LED), LED Светильники")</f>
        <v/>
      </c>
    </row>
    <row r="673">
      <c r="A673" s="5">
        <f>IFERROR(__xludf.DUMMYFUNCTION("""COMPUTED_VALUE"""),"4690612053004")</f>
        <v/>
      </c>
      <c r="B673" s="5">
        <f>IFERROR(__xludf.DUMMYFUNCTION("""COMPUTED_VALUE"""),"ДВО-01 7565-ПРИЗМА 75Вт 6500К 180х1195х19 NEOX")</f>
        <v/>
      </c>
      <c r="C673" s="2">
        <f>IFERROR(__xludf.DUMMYFUNCTION("""COMPUTED_VALUE"""),1.23)</f>
        <v/>
      </c>
      <c r="D673" s="2">
        <f>IFERROR(__xludf.DUMMYFUNCTION("""COMPUTED_VALUE"""),0.00525)</f>
        <v/>
      </c>
      <c r="E673" s="2">
        <f>IFERROR(__xludf.DUMMYFUNCTION("""COMPUTED_VALUE"""),738.12)</f>
        <v/>
      </c>
      <c r="F673" s="2">
        <f>IFERROR(__xludf.DUMMYFUNCTION("""COMPUTED_VALUE"""),945.0)</f>
        <v/>
      </c>
      <c r="G673" s="2">
        <f>IFERROR(__xludf.DUMMYFUNCTION("""COMPUTED_VALUE"""),1063.0)</f>
        <v/>
      </c>
      <c r="H673" s="2">
        <f>IFERROR(__xludf.DUMMYFUNCTION("""COMPUTED_VALUE"""),1233.0)</f>
        <v/>
      </c>
      <c r="I673" s="2">
        <f>IFERROR(__xludf.DUMMYFUNCTION("""COMPUTED_VALUE"""),1417.0)</f>
        <v/>
      </c>
      <c r="J673" s="2">
        <f>IFERROR(__xludf.DUMMYFUNCTION("""COMPUTED_VALUE"""),1417.0)</f>
        <v/>
      </c>
      <c r="K673" s="2">
        <f>IFERROR(__xludf.DUMMYFUNCTION("""COMPUTED_VALUE"""),0.0)</f>
        <v/>
      </c>
      <c r="L673" s="2">
        <f>IFERROR(__xludf.DUMMYFUNCTION("""COMPUTED_VALUE"""),"NEOX Светильники LED ДВО")</f>
        <v/>
      </c>
      <c r="M673" s="2">
        <f>IFERROR(__xludf.DUMMYFUNCTION("""COMPUTED_VALUE"""),"Светильники общего назначения (LED), Встраиваемые, Накладные, Встраиваемые, LED Светильники")</f>
        <v/>
      </c>
    </row>
    <row r="674">
      <c r="A674" s="5">
        <f>IFERROR(__xludf.DUMMYFUNCTION("""COMPUTED_VALUE"""),"R100139-2")</f>
        <v/>
      </c>
      <c r="B674" s="5">
        <f>IFERROR(__xludf.DUMMYFUNCTION("""COMPUTED_VALUE"""),"RSV-SPO-02-40W-4000K, IP40 (2 штуки в упаковке)")</f>
        <v/>
      </c>
      <c r="C674" s="2">
        <f>IFERROR(__xludf.DUMMYFUNCTION("""COMPUTED_VALUE"""),0.42)</f>
        <v/>
      </c>
      <c r="D674" s="2">
        <f>IFERROR(__xludf.DUMMYFUNCTION("""COMPUTED_VALUE"""),0.0)</f>
        <v/>
      </c>
      <c r="E674" s="2">
        <f>IFERROR(__xludf.DUMMYFUNCTION("""COMPUTED_VALUE"""),496.22)</f>
        <v/>
      </c>
      <c r="F674" s="2">
        <f>IFERROR(__xludf.DUMMYFUNCTION("""COMPUTED_VALUE"""),596.0)</f>
        <v/>
      </c>
      <c r="G674" s="2">
        <f>IFERROR(__xludf.DUMMYFUNCTION("""COMPUTED_VALUE"""),635.0)</f>
        <v/>
      </c>
      <c r="H674" s="2">
        <f>IFERROR(__xludf.DUMMYFUNCTION("""COMPUTED_VALUE"""),715.0)</f>
        <v/>
      </c>
      <c r="I674" s="2">
        <f>IFERROR(__xludf.DUMMYFUNCTION("""COMPUTED_VALUE"""),794.0)</f>
        <v/>
      </c>
      <c r="J674" s="2">
        <f>IFERROR(__xludf.DUMMYFUNCTION("""COMPUTED_VALUE"""),397.0)</f>
        <v/>
      </c>
      <c r="K674" s="2">
        <f>IFERROR(__xludf.DUMMYFUNCTION("""COMPUTED_VALUE"""),1.0)</f>
        <v/>
      </c>
      <c r="L674" s="2">
        <f>IFERROR(__xludf.DUMMYFUNCTION("""COMPUTED_VALUE"""),"RSV-SPO Светильники Производство, упаковка (2 и 3 штуки)")</f>
        <v/>
      </c>
      <c r="M674" s="2">
        <f>IFERROR(__xludf.DUMMYFUNCTION("""COMPUTED_VALUE"""),"Пластиковые (линейные), Светильники общего назначения (LED), Накладные, Линейные (проходные), LED Светильники")</f>
        <v/>
      </c>
    </row>
    <row r="675">
      <c r="A675" s="5">
        <f>IFERROR(__xludf.DUMMYFUNCTION("""COMPUTED_VALUE"""),"G207707102")</f>
        <v/>
      </c>
      <c r="B675" s="5">
        <f>IFERROR(__xludf.DUMMYFUNCTION("""COMPUTED_VALUE"""),"G4 12V 2W 2700K 1/20/200")</f>
        <v/>
      </c>
      <c r="C675" s="2">
        <f>IFERROR(__xludf.DUMMYFUNCTION("""COMPUTED_VALUE"""),0.0)</f>
        <v/>
      </c>
      <c r="D675" s="2">
        <f>IFERROR(__xludf.DUMMYFUNCTION("""COMPUTED_VALUE"""),0.0)</f>
        <v/>
      </c>
      <c r="E675" s="2">
        <f>IFERROR(__xludf.DUMMYFUNCTION("""COMPUTED_VALUE"""),169.9)</f>
        <v/>
      </c>
      <c r="F675" s="2">
        <f>IFERROR(__xludf.DUMMYFUNCTION("""COMPUTED_VALUE"""),186.0)</f>
        <v/>
      </c>
      <c r="G675" s="2">
        <f>IFERROR(__xludf.DUMMYFUNCTION("""COMPUTED_VALUE"""),205.0)</f>
        <v/>
      </c>
      <c r="H675" s="2">
        <f>IFERROR(__xludf.DUMMYFUNCTION("""COMPUTED_VALUE"""),241.0)</f>
        <v/>
      </c>
      <c r="I675" s="2">
        <f>IFERROR(__xludf.DUMMYFUNCTION("""COMPUTED_VALUE"""),305.0)</f>
        <v/>
      </c>
      <c r="J675" s="2">
        <f>IFERROR(__xludf.DUMMYFUNCTION("""COMPUTED_VALUE"""),153.0)</f>
        <v/>
      </c>
      <c r="K675" s="2">
        <f>IFERROR(__xludf.DUMMYFUNCTION("""COMPUTED_VALUE"""),11.0)</f>
        <v/>
      </c>
      <c r="L675" s="2">
        <f>IFERROR(__xludf.DUMMYFUNCTION("""COMPUTED_VALUE"""),"Капсульные лампы G4, G9")</f>
        <v/>
      </c>
      <c r="M675" s="2">
        <f>IFERROR(__xludf.DUMMYFUNCTION("""COMPUTED_VALUE"""),"Лампы")</f>
        <v/>
      </c>
    </row>
    <row r="676">
      <c r="A676" s="5">
        <f>IFERROR(__xludf.DUMMYFUNCTION("""COMPUTED_VALUE"""),"GL81411")</f>
        <v/>
      </c>
      <c r="B676" s="5">
        <f>IFERROR(__xludf.DUMMYFUNCTION("""COMPUTED_VALUE"""),"GLERIO Office Special 20 Вт 4000K 82P-20D-4V-P")</f>
        <v/>
      </c>
      <c r="C676" s="2">
        <f>IFERROR(__xludf.DUMMYFUNCTION("""COMPUTED_VALUE"""),1.04)</f>
        <v/>
      </c>
      <c r="D676" s="2">
        <f>IFERROR(__xludf.DUMMYFUNCTION("""COMPUTED_VALUE"""),0.008190000000000001)</f>
        <v/>
      </c>
      <c r="E676" s="2">
        <f>IFERROR(__xludf.DUMMYFUNCTION("""COMPUTED_VALUE"""),1464.7)</f>
        <v/>
      </c>
      <c r="F676" s="2">
        <f>IFERROR(__xludf.DUMMYFUNCTION("""COMPUTED_VALUE"""),1700.0)</f>
        <v/>
      </c>
      <c r="G676" s="2">
        <f>IFERROR(__xludf.DUMMYFUNCTION("""COMPUTED_VALUE"""),2140.0)</f>
        <v/>
      </c>
      <c r="H676" s="2">
        <f>IFERROR(__xludf.DUMMYFUNCTION("""COMPUTED_VALUE"""),2404.0)</f>
        <v/>
      </c>
      <c r="I676" s="2">
        <f>IFERROR(__xludf.DUMMYFUNCTION("""COMPUTED_VALUE"""),2667.0)</f>
        <v/>
      </c>
      <c r="J676" s="2">
        <f>IFERROR(__xludf.DUMMYFUNCTION("""COMPUTED_VALUE"""),1334.0)</f>
        <v/>
      </c>
      <c r="K676" s="2">
        <f>IFERROR(__xludf.DUMMYFUNCTION("""COMPUTED_VALUE"""),30.0)</f>
        <v/>
      </c>
      <c r="L676" s="2">
        <f>IFERROR(__xludf.DUMMYFUNCTION("""COMPUTED_VALUE"""),"Office Special+ GLERIO (Офис Премиум)")</f>
        <v/>
      </c>
      <c r="M676" s="2">
        <f>IFERROR(__xludf.DUMMYFUNCTION("""COMPUTED_VALUE"""),"С равномерной засветкой, LED Светильники")</f>
        <v/>
      </c>
    </row>
    <row r="677">
      <c r="A677" s="5">
        <f>IFERROR(__xludf.DUMMYFUNCTION("""COMPUTED_VALUE"""),"100-300")</f>
        <v/>
      </c>
      <c r="B677" s="5">
        <f>IFERROR(__xludf.DUMMYFUNCTION("""COMPUTED_VALUE"""),"Пиктограмма 100х300мм ""ВЫХОД""")</f>
        <v/>
      </c>
      <c r="C677" s="2">
        <f>IFERROR(__xludf.DUMMYFUNCTION("""COMPUTED_VALUE"""),0.0)</f>
        <v/>
      </c>
      <c r="D677" s="2">
        <f>IFERROR(__xludf.DUMMYFUNCTION("""COMPUTED_VALUE"""),0.0)</f>
        <v/>
      </c>
      <c r="E677" s="2">
        <f>IFERROR(__xludf.DUMMYFUNCTION("""COMPUTED_VALUE"""),31.15)</f>
        <v/>
      </c>
      <c r="F677" s="2">
        <f>IFERROR(__xludf.DUMMYFUNCTION("""COMPUTED_VALUE"""),1.0)</f>
        <v/>
      </c>
      <c r="G677" s="2">
        <f>IFERROR(__xludf.DUMMYFUNCTION("""COMPUTED_VALUE"""),1.0)</f>
        <v/>
      </c>
      <c r="H677" s="2">
        <f>IFERROR(__xludf.DUMMYFUNCTION("""COMPUTED_VALUE"""),1.0)</f>
        <v/>
      </c>
      <c r="I677" s="2">
        <f>IFERROR(__xludf.DUMMYFUNCTION("""COMPUTED_VALUE"""),1.5)</f>
        <v/>
      </c>
      <c r="J677" s="2">
        <f>IFERROR(__xludf.DUMMYFUNCTION("""COMPUTED_VALUE"""),1.5)</f>
        <v/>
      </c>
      <c r="K677" s="2">
        <f>IFERROR(__xludf.DUMMYFUNCTION("""COMPUTED_VALUE"""),12.0)</f>
        <v/>
      </c>
      <c r="L677" s="2">
        <f>IFERROR(__xludf.DUMMYFUNCTION("""COMPUTED_VALUE"""),"Аварийные светильники")</f>
        <v/>
      </c>
      <c r="M677" s="2">
        <f>IFERROR(__xludf.DUMMYFUNCTION("""COMPUTED_VALUE"""),"Аварийные светильники, БАП (LED), Прочие товары")</f>
        <v/>
      </c>
    </row>
    <row r="678">
      <c r="A678" s="5">
        <f>IFERROR(__xludf.DUMMYFUNCTION("""COMPUTED_VALUE"""),"4690612015576")</f>
        <v/>
      </c>
      <c r="B678" s="5">
        <f>IFERROR(__xludf.DUMMYFUNCTION("""COMPUTED_VALUE"""),"LED-СВЕЧА-standard 10Вт 230В Е14 4000К 900Лм ASD")</f>
        <v/>
      </c>
      <c r="C678" s="2">
        <f>IFERROR(__xludf.DUMMYFUNCTION("""COMPUTED_VALUE"""),0.033)</f>
        <v/>
      </c>
      <c r="D678" s="2">
        <f>IFERROR(__xludf.DUMMYFUNCTION("""COMPUTED_VALUE"""),1.9E-4)</f>
        <v/>
      </c>
      <c r="E678" s="2">
        <f>IFERROR(__xludf.DUMMYFUNCTION("""COMPUTED_VALUE"""),48.02)</f>
        <v/>
      </c>
      <c r="F678" s="2">
        <f>IFERROR(__xludf.DUMMYFUNCTION("""COMPUTED_VALUE"""),33.0)</f>
        <v/>
      </c>
      <c r="G678" s="2">
        <f>IFERROR(__xludf.DUMMYFUNCTION("""COMPUTED_VALUE"""),37.0)</f>
        <v/>
      </c>
      <c r="H678" s="2">
        <f>IFERROR(__xludf.DUMMYFUNCTION("""COMPUTED_VALUE"""),43.0)</f>
        <v/>
      </c>
      <c r="I678" s="2">
        <f>IFERROR(__xludf.DUMMYFUNCTION("""COMPUTED_VALUE"""),49.9)</f>
        <v/>
      </c>
      <c r="J678" s="2">
        <f>IFERROR(__xludf.DUMMYFUNCTION("""COMPUTED_VALUE"""),25.0)</f>
        <v/>
      </c>
      <c r="K678" s="2">
        <f>IFERROR(__xludf.DUMMYFUNCTION("""COMPUTED_VALUE"""),3.0)</f>
        <v/>
      </c>
      <c r="L678" s="2">
        <f>IFERROR(__xludf.DUMMYFUNCTION("""COMPUTED_VALUE"""),"Лампа светодиодная LED-СВЕЧА-standard")</f>
        <v/>
      </c>
      <c r="M678" s="2">
        <f>IFERROR(__xludf.DUMMYFUNCTION("""COMPUTED_VALUE"""),"Лампы")</f>
        <v/>
      </c>
    </row>
    <row r="679">
      <c r="A679" s="5">
        <f>IFERROR(__xludf.DUMMYFUNCTION("""COMPUTED_VALUE"""),"01-4002")</f>
        <v/>
      </c>
      <c r="B679" s="5">
        <f>IFERROR(__xludf.DUMMYFUNCTION("""COMPUTED_VALUE"""),"Кабель ККСВ-П+2х0,5 мм (бухта 100 м) черный REXANT")</f>
        <v/>
      </c>
      <c r="C679" s="2">
        <f>IFERROR(__xludf.DUMMYFUNCTION("""COMPUTED_VALUE"""),0.0)</f>
        <v/>
      </c>
      <c r="D679" s="2">
        <f>IFERROR(__xludf.DUMMYFUNCTION("""COMPUTED_VALUE"""),0.0)</f>
        <v/>
      </c>
      <c r="E679" s="2">
        <f>IFERROR(__xludf.DUMMYFUNCTION("""COMPUTED_VALUE"""),1.0)</f>
        <v/>
      </c>
      <c r="F679" s="2">
        <f>IFERROR(__xludf.DUMMYFUNCTION("""COMPUTED_VALUE"""),3387.0)</f>
        <v/>
      </c>
      <c r="G679" s="2">
        <f>IFERROR(__xludf.DUMMYFUNCTION("""COMPUTED_VALUE"""),3613.0)</f>
        <v/>
      </c>
      <c r="H679" s="2">
        <f>IFERROR(__xludf.DUMMYFUNCTION("""COMPUTED_VALUE"""),4065.0)</f>
        <v/>
      </c>
      <c r="I679" s="2">
        <f>IFERROR(__xludf.DUMMYFUNCTION("""COMPUTED_VALUE"""),4516.22)</f>
        <v/>
      </c>
      <c r="J679" s="2">
        <f>IFERROR(__xludf.DUMMYFUNCTION("""COMPUTED_VALUE"""),2258.0)</f>
        <v/>
      </c>
      <c r="K679" s="2">
        <f>IFERROR(__xludf.DUMMYFUNCTION("""COMPUTED_VALUE"""),3.0)</f>
        <v/>
      </c>
      <c r="L679" s="2">
        <f>IFERROR(__xludf.DUMMYFUNCTION("""COMPUTED_VALUE"""),"Rexant")</f>
        <v/>
      </c>
      <c r="M679" s="2">
        <f>IFERROR(__xludf.DUMMYFUNCTION("""COMPUTED_VALUE"""),"Прочие товары")</f>
        <v/>
      </c>
    </row>
    <row r="680">
      <c r="A680" s="5">
        <f>IFERROR(__xludf.DUMMYFUNCTION("""COMPUTED_VALUE"""),"4690612053028-1")</f>
        <v/>
      </c>
      <c r="B680" s="5">
        <f>IFERROR(__xludf.DUMMYFUNCTION("""COMPUTED_VALUE"""),"ДВО-02-EMERGENCY 3665-ПРИЗМА 36Вт 6500К 595х595х19 NEOX без БАП-10W90 (в индив. уп.)")</f>
        <v/>
      </c>
      <c r="C680" s="2">
        <f>IFERROR(__xludf.DUMMYFUNCTION("""COMPUTED_VALUE"""),0.0)</f>
        <v/>
      </c>
      <c r="D680" s="2">
        <f>IFERROR(__xludf.DUMMYFUNCTION("""COMPUTED_VALUE"""),0.0)</f>
        <v/>
      </c>
      <c r="E680" s="2">
        <f>IFERROR(__xludf.DUMMYFUNCTION("""COMPUTED_VALUE"""),607.3100000000001)</f>
        <v/>
      </c>
      <c r="F680" s="2">
        <f>IFERROR(__xludf.DUMMYFUNCTION("""COMPUTED_VALUE"""),666.0)</f>
        <v/>
      </c>
      <c r="G680" s="2">
        <f>IFERROR(__xludf.DUMMYFUNCTION("""COMPUTED_VALUE"""),778.0)</f>
        <v/>
      </c>
      <c r="H680" s="2">
        <f>IFERROR(__xludf.DUMMYFUNCTION("""COMPUTED_VALUE"""),875.0)</f>
        <v/>
      </c>
      <c r="I680" s="2">
        <f>IFERROR(__xludf.DUMMYFUNCTION("""COMPUTED_VALUE"""),972.0)</f>
        <v/>
      </c>
      <c r="J680" s="2">
        <f>IFERROR(__xludf.DUMMYFUNCTION("""COMPUTED_VALUE"""),486.0)</f>
        <v/>
      </c>
      <c r="K680" s="2">
        <f>IFERROR(__xludf.DUMMYFUNCTION("""COMPUTED_VALUE"""),2.0)</f>
        <v/>
      </c>
      <c r="L680" s="2">
        <f>IFERROR(__xludf.DUMMYFUNCTION("""COMPUTED_VALUE"""),"NEOX Светильники LED ДВО - Призма производство, упаковка")</f>
        <v/>
      </c>
      <c r="M680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681">
      <c r="A681" s="5">
        <f>IFERROR(__xludf.DUMMYFUNCTION("""COMPUTED_VALUE"""),"V13004")</f>
        <v/>
      </c>
      <c r="B681" s="5">
        <f>IFERROR(__xludf.DUMMYFUNCTION("""COMPUTED_VALUE"""),"VRN-RTL-44-8MA50K65-U, 44Вт, Универсальный")</f>
        <v/>
      </c>
      <c r="C681" s="2">
        <f>IFERROR(__xludf.DUMMYFUNCTION("""COMPUTED_VALUE"""),2.3)</f>
        <v/>
      </c>
      <c r="D681" s="2">
        <f>IFERROR(__xludf.DUMMYFUNCTION("""COMPUTED_VALUE"""),0.0255)</f>
        <v/>
      </c>
      <c r="E681" s="2">
        <f>IFERROR(__xludf.DUMMYFUNCTION("""COMPUTED_VALUE"""),3387.0)</f>
        <v/>
      </c>
      <c r="F681" s="2">
        <f>IFERROR(__xludf.DUMMYFUNCTION("""COMPUTED_VALUE"""),3725.0)</f>
        <v/>
      </c>
      <c r="G681" s="2">
        <f>IFERROR(__xludf.DUMMYFUNCTION("""COMPUTED_VALUE"""),4843.0)</f>
        <v/>
      </c>
      <c r="H681" s="2">
        <f>IFERROR(__xludf.DUMMYFUNCTION("""COMPUTED_VALUE"""),5085.0)</f>
        <v/>
      </c>
      <c r="I681" s="2">
        <f>IFERROR(__xludf.DUMMYFUNCTION("""COMPUTED_VALUE"""),5327.0)</f>
        <v/>
      </c>
      <c r="J681" s="2">
        <f>IFERROR(__xludf.DUMMYFUNCTION("""COMPUTED_VALUE"""),2664.0)</f>
        <v/>
      </c>
      <c r="K681" s="2">
        <f>IFERROR(__xludf.DUMMYFUNCTION("""COMPUTED_VALUE"""),6.0)</f>
        <v/>
      </c>
      <c r="L681" s="2">
        <f>IFERROR(__xludf.DUMMYFUNCTION("""COMPUTED_VALUE"""),"Ритейл")</f>
        <v/>
      </c>
      <c r="M681" s="2">
        <f>IFERROR(__xludf.DUMMYFUNCTION("""COMPUTED_VALUE"""),"Пластиковые (линейные), Накладные, Линейные (проходные), LED Светильники")</f>
        <v/>
      </c>
    </row>
    <row r="682">
      <c r="A682" s="5">
        <f>IFERROR(__xludf.DUMMYFUNCTION("""COMPUTED_VALUE"""),"4260652196285")</f>
        <v/>
      </c>
      <c r="B682" s="5">
        <f>IFERROR(__xludf.DUMMYFUNCTION("""COMPUTED_VALUE"""),"WTL-15W/02B")</f>
        <v/>
      </c>
      <c r="C682" s="2">
        <f>IFERROR(__xludf.DUMMYFUNCTION("""COMPUTED_VALUE"""),0.485)</f>
        <v/>
      </c>
      <c r="D682" s="2">
        <f>IFERROR(__xludf.DUMMYFUNCTION("""COMPUTED_VALUE"""),0.00193)</f>
        <v/>
      </c>
      <c r="E682" s="2">
        <f>IFERROR(__xludf.DUMMYFUNCTION("""COMPUTED_VALUE"""),875.0)</f>
        <v/>
      </c>
      <c r="F682" s="2">
        <f>IFERROR(__xludf.DUMMYFUNCTION("""COMPUTED_VALUE"""),1446.0)</f>
        <v/>
      </c>
      <c r="G682" s="2">
        <f>IFERROR(__xludf.DUMMYFUNCTION("""COMPUTED_VALUE"""),1495.0)</f>
        <v/>
      </c>
      <c r="H682" s="2">
        <f>IFERROR(__xludf.DUMMYFUNCTION("""COMPUTED_VALUE"""),1960.0)</f>
        <v/>
      </c>
      <c r="I682" s="2">
        <f>IFERROR(__xludf.DUMMYFUNCTION("""COMPUTED_VALUE"""),2450.0)</f>
        <v/>
      </c>
      <c r="J682" s="2">
        <f>IFERROR(__xludf.DUMMYFUNCTION("""COMPUTED_VALUE"""),1225.0)</f>
        <v/>
      </c>
      <c r="K682" s="2">
        <f>IFERROR(__xludf.DUMMYFUNCTION("""COMPUTED_VALUE"""),2.0)</f>
        <v/>
      </c>
      <c r="L682" s="2">
        <f>IFERROR(__xludf.DUMMYFUNCTION("""COMPUTED_VALUE"""),"Wolta трековые")</f>
        <v/>
      </c>
      <c r="M682" s="2">
        <f>IFERROR(__xludf.DUMMYFUNCTION("""COMPUTED_VALUE"""),"Трековые, LED Светильники")</f>
        <v/>
      </c>
    </row>
    <row r="683">
      <c r="A683" s="5">
        <f>IFERROR(__xludf.DUMMYFUNCTION("""COMPUTED_VALUE"""),"B2100-ST-051")</f>
        <v/>
      </c>
      <c r="B683" s="5">
        <f>IFERROR(__xludf.DUMMYFUNCTION("""COMPUTED_VALUE"""),"Балка яруса Ш=2100 Cтeллaжа CT-051")</f>
        <v/>
      </c>
      <c r="C683" s="2">
        <f>IFERROR(__xludf.DUMMYFUNCTION("""COMPUTED_VALUE"""),0.0)</f>
        <v/>
      </c>
      <c r="D683" s="2">
        <f>IFERROR(__xludf.DUMMYFUNCTION("""COMPUTED_VALUE"""),0.0)</f>
        <v/>
      </c>
      <c r="E683" s="2">
        <f>IFERROR(__xludf.DUMMYFUNCTION("""COMPUTED_VALUE"""),0.0)</f>
        <v/>
      </c>
      <c r="F683" s="2">
        <f>IFERROR(__xludf.DUMMYFUNCTION("""COMPUTED_VALUE"""),900.0)</f>
        <v/>
      </c>
      <c r="G683" s="2">
        <f>IFERROR(__xludf.DUMMYFUNCTION("""COMPUTED_VALUE"""),960.0)</f>
        <v/>
      </c>
      <c r="H683" s="2">
        <f>IFERROR(__xludf.DUMMYFUNCTION("""COMPUTED_VALUE"""),1080.0)</f>
        <v/>
      </c>
      <c r="I683" s="2">
        <f>IFERROR(__xludf.DUMMYFUNCTION("""COMPUTED_VALUE"""),1200.5)</f>
        <v/>
      </c>
      <c r="J683" s="2">
        <f>IFERROR(__xludf.DUMMYFUNCTION("""COMPUTED_VALUE"""),600.0)</f>
        <v/>
      </c>
      <c r="K683" s="2">
        <f>IFERROR(__xludf.DUMMYFUNCTION("""COMPUTED_VALUE"""),18.0)</f>
        <v/>
      </c>
      <c r="L683" s="2">
        <f>IFERROR(__xludf.DUMMYFUNCTION("""COMPUTED_VALUE"""),"Другие")</f>
        <v/>
      </c>
      <c r="M683" s="2">
        <f>IFERROR(__xludf.DUMMYFUNCTION("""COMPUTED_VALUE"""),"Прочие товары")</f>
        <v/>
      </c>
    </row>
    <row r="684">
      <c r="A684" s="5">
        <f>IFERROR(__xludf.DUMMYFUNCTION("""COMPUTED_VALUE"""),"G103102207")</f>
        <v/>
      </c>
      <c r="B684" s="5">
        <f>IFERROR(__xludf.DUMMYFUNCTION("""COMPUTED_VALUE"""),"Candle E27 6.5W 4100К 1/10/100")</f>
        <v/>
      </c>
      <c r="C684" s="2">
        <f>IFERROR(__xludf.DUMMYFUNCTION("""COMPUTED_VALUE"""),0.0)</f>
        <v/>
      </c>
      <c r="D684" s="2">
        <f>IFERROR(__xludf.DUMMYFUNCTION("""COMPUTED_VALUE"""),0.0)</f>
        <v/>
      </c>
      <c r="E684" s="2">
        <f>IFERROR(__xludf.DUMMYFUNCTION("""COMPUTED_VALUE"""),78.87)</f>
        <v/>
      </c>
      <c r="F684" s="2">
        <f>IFERROR(__xludf.DUMMYFUNCTION("""COMPUTED_VALUE"""),82.0)</f>
        <v/>
      </c>
      <c r="G684" s="2">
        <f>IFERROR(__xludf.DUMMYFUNCTION("""COMPUTED_VALUE"""),90.0)</f>
        <v/>
      </c>
      <c r="H684" s="2">
        <f>IFERROR(__xludf.DUMMYFUNCTION("""COMPUTED_VALUE"""),106.0)</f>
        <v/>
      </c>
      <c r="I684" s="2">
        <f>IFERROR(__xludf.DUMMYFUNCTION("""COMPUTED_VALUE"""),134.0)</f>
        <v/>
      </c>
      <c r="J684" s="2">
        <f>IFERROR(__xludf.DUMMYFUNCTION("""COMPUTED_VALUE"""),82.0)</f>
        <v/>
      </c>
      <c r="K684" s="2">
        <f>IFERROR(__xludf.DUMMYFUNCTION("""COMPUTED_VALUE"""),49.0)</f>
        <v/>
      </c>
      <c r="L684" s="2">
        <f>IFERROR(__xludf.DUMMYFUNCTION("""COMPUTED_VALUE"""),"Свечи")</f>
        <v/>
      </c>
      <c r="M684" s="2">
        <f>IFERROR(__xludf.DUMMYFUNCTION("""COMPUTED_VALUE"""),"Лампы")</f>
        <v/>
      </c>
    </row>
    <row r="685">
      <c r="A685" s="5">
        <f>IFERROR(__xludf.DUMMYFUNCTION("""COMPUTED_VALUE"""),"4690612057279")</f>
        <v/>
      </c>
      <c r="B685" s="5">
        <f>IFERROR(__xludf.DUMMYFUNCTION("""COMPUTED_VALUE"""),"ДВО-PRO 4040-ОПАЛ 40Вт 4000К 120лм/Вт CRI80 IP40 595х595х30мм NEOX")</f>
        <v/>
      </c>
      <c r="C685" s="2">
        <f>IFERROR(__xludf.DUMMYFUNCTION("""COMPUTED_VALUE"""),0.9750000000000001)</f>
        <v/>
      </c>
      <c r="D685" s="2">
        <f>IFERROR(__xludf.DUMMYFUNCTION("""COMPUTED_VALUE"""),0.01625)</f>
        <v/>
      </c>
      <c r="E685" s="2">
        <f>IFERROR(__xludf.DUMMYFUNCTION("""COMPUTED_VALUE"""),763.14)</f>
        <v/>
      </c>
      <c r="F685" s="2">
        <f>IFERROR(__xludf.DUMMYFUNCTION("""COMPUTED_VALUE"""),964.0)</f>
        <v/>
      </c>
      <c r="G685" s="2">
        <f>IFERROR(__xludf.DUMMYFUNCTION("""COMPUTED_VALUE"""),1084.0)</f>
        <v/>
      </c>
      <c r="H685" s="2">
        <f>IFERROR(__xludf.DUMMYFUNCTION("""COMPUTED_VALUE"""),1257.0)</f>
        <v/>
      </c>
      <c r="I685" s="2">
        <f>IFERROR(__xludf.DUMMYFUNCTION("""COMPUTED_VALUE"""),1445.0)</f>
        <v/>
      </c>
      <c r="J685" s="2">
        <f>IFERROR(__xludf.DUMMYFUNCTION("""COMPUTED_VALUE"""),723.0)</f>
        <v/>
      </c>
      <c r="K685" s="2">
        <f>IFERROR(__xludf.DUMMYFUNCTION("""COMPUTED_VALUE"""),37.0)</f>
        <v/>
      </c>
      <c r="L685" s="2">
        <f>IFERROR(__xludf.DUMMYFUNCTION("""COMPUTED_VALUE"""),"NEOX Светильники LED ДВО")</f>
        <v/>
      </c>
      <c r="M685" s="2">
        <f>IFERROR(__xludf.DUMMYFUNCTION("""COMPUTED_VALUE"""),"Светильники общего назначения (LED), Встраиваемые, Накладные, Встраиваемые, LED Светильники")</f>
        <v/>
      </c>
    </row>
    <row r="686">
      <c r="A686" s="5">
        <f>IFERROR(__xludf.DUMMYFUNCTION("""COMPUTED_VALUE"""),"4690612009025-5")</f>
        <v/>
      </c>
      <c r="B686" s="5">
        <f>IFERROR(__xludf.DUMMYFUNCTION("""COMPUTED_VALUE"""),"(5 штук) Вилка прямая с заземлением 16А черная Комплект 5 шт IN HOME")</f>
        <v/>
      </c>
      <c r="C686" s="2">
        <f>IFERROR(__xludf.DUMMYFUNCTION("""COMPUTED_VALUE"""),0.028)</f>
        <v/>
      </c>
      <c r="D686" s="2">
        <f>IFERROR(__xludf.DUMMYFUNCTION("""COMPUTED_VALUE"""),1.3E-4)</f>
        <v/>
      </c>
      <c r="E686" s="2">
        <f>IFERROR(__xludf.DUMMYFUNCTION("""COMPUTED_VALUE"""),178.25)</f>
        <v/>
      </c>
      <c r="F686" s="2">
        <f>IFERROR(__xludf.DUMMYFUNCTION("""COMPUTED_VALUE"""),196.0)</f>
        <v/>
      </c>
      <c r="G686" s="2">
        <f>IFERROR(__xludf.DUMMYFUNCTION("""COMPUTED_VALUE"""),228.0)</f>
        <v/>
      </c>
      <c r="H686" s="2">
        <f>IFERROR(__xludf.DUMMYFUNCTION("""COMPUTED_VALUE"""),257.0)</f>
        <v/>
      </c>
      <c r="I686" s="2">
        <f>IFERROR(__xludf.DUMMYFUNCTION("""COMPUTED_VALUE"""),285.0)</f>
        <v/>
      </c>
      <c r="J686" s="2">
        <f>IFERROR(__xludf.DUMMYFUNCTION("""COMPUTED_VALUE"""),143.0)</f>
        <v/>
      </c>
      <c r="K686" s="2">
        <f>IFERROR(__xludf.DUMMYFUNCTION("""COMPUTED_VALUE"""),40.0)</f>
        <v/>
      </c>
      <c r="L686" s="2">
        <f>IFERROR(__xludf.DUMMYFUNCTION("""COMPUTED_VALUE"""),"Розетки, вилки производство, упаковка")</f>
        <v/>
      </c>
      <c r="M686" s="2">
        <f>IFERROR(__xludf.DUMMYFUNCTION("""COMPUTED_VALUE"""),"Прочие товары")</f>
        <v/>
      </c>
    </row>
    <row r="687">
      <c r="A687" s="5">
        <f>IFERROR(__xludf.DUMMYFUNCTION("""COMPUTED_VALUE"""),"G103101207")</f>
        <v/>
      </c>
      <c r="B687" s="5">
        <f>IFERROR(__xludf.DUMMYFUNCTION("""COMPUTED_VALUE"""),"Candle E14 6.5W 4100К 1/10/50")</f>
        <v/>
      </c>
      <c r="C687" s="2">
        <f>IFERROR(__xludf.DUMMYFUNCTION("""COMPUTED_VALUE"""),0.0)</f>
        <v/>
      </c>
      <c r="D687" s="2">
        <f>IFERROR(__xludf.DUMMYFUNCTION("""COMPUTED_VALUE"""),0.0)</f>
        <v/>
      </c>
      <c r="E687" s="2">
        <f>IFERROR(__xludf.DUMMYFUNCTION("""COMPUTED_VALUE"""),78.87)</f>
        <v/>
      </c>
      <c r="F687" s="2">
        <f>IFERROR(__xludf.DUMMYFUNCTION("""COMPUTED_VALUE"""),82.0)</f>
        <v/>
      </c>
      <c r="G687" s="2">
        <f>IFERROR(__xludf.DUMMYFUNCTION("""COMPUTED_VALUE"""),90.0)</f>
        <v/>
      </c>
      <c r="H687" s="2">
        <f>IFERROR(__xludf.DUMMYFUNCTION("""COMPUTED_VALUE"""),106.0)</f>
        <v/>
      </c>
      <c r="I687" s="2">
        <f>IFERROR(__xludf.DUMMYFUNCTION("""COMPUTED_VALUE"""),134.0)</f>
        <v/>
      </c>
      <c r="J687" s="2">
        <f>IFERROR(__xludf.DUMMYFUNCTION("""COMPUTED_VALUE"""),67.0)</f>
        <v/>
      </c>
      <c r="K687" s="2">
        <f>IFERROR(__xludf.DUMMYFUNCTION("""COMPUTED_VALUE"""),1.0)</f>
        <v/>
      </c>
      <c r="L687" s="2">
        <f>IFERROR(__xludf.DUMMYFUNCTION("""COMPUTED_VALUE"""),"Свечи")</f>
        <v/>
      </c>
      <c r="M687" s="2">
        <f>IFERROR(__xludf.DUMMYFUNCTION("""COMPUTED_VALUE"""),"Лампы")</f>
        <v/>
      </c>
    </row>
    <row r="688">
      <c r="A688" s="5">
        <f>IFERROR(__xludf.DUMMYFUNCTION("""COMPUTED_VALUE"""),"4690612024042")</f>
        <v/>
      </c>
      <c r="B688" s="5">
        <f>IFERROR(__xludf.DUMMYFUNCTION("""COMPUTED_VALUE"""),"LED-A60-VC 8Вт 230В Е27 6500К 760Лм IN HOME")</f>
        <v/>
      </c>
      <c r="C688" s="2">
        <f>IFERROR(__xludf.DUMMYFUNCTION("""COMPUTED_VALUE"""),0.05500000000000001)</f>
        <v/>
      </c>
      <c r="D688" s="2">
        <f>IFERROR(__xludf.DUMMYFUNCTION("""COMPUTED_VALUE"""),4.0E-4)</f>
        <v/>
      </c>
      <c r="E688" s="2">
        <f>IFERROR(__xludf.DUMMYFUNCTION("""COMPUTED_VALUE"""),35.55)</f>
        <v/>
      </c>
      <c r="F688" s="2">
        <f>IFERROR(__xludf.DUMMYFUNCTION("""COMPUTED_VALUE"""),43.0)</f>
        <v/>
      </c>
      <c r="G688" s="2">
        <f>IFERROR(__xludf.DUMMYFUNCTION("""COMPUTED_VALUE"""),48.0)</f>
        <v/>
      </c>
      <c r="H688" s="2">
        <f>IFERROR(__xludf.DUMMYFUNCTION("""COMPUTED_VALUE"""),56.0)</f>
        <v/>
      </c>
      <c r="I688" s="2">
        <f>IFERROR(__xludf.DUMMYFUNCTION("""COMPUTED_VALUE"""),64.3)</f>
        <v/>
      </c>
      <c r="J688" s="2">
        <f>IFERROR(__xludf.DUMMYFUNCTION("""COMPUTED_VALUE"""),32.0)</f>
        <v/>
      </c>
      <c r="K688" s="2">
        <f>IFERROR(__xludf.DUMMYFUNCTION("""COMPUTED_VALUE"""),8.0)</f>
        <v/>
      </c>
      <c r="L688" s="2">
        <f>IFERROR(__xludf.DUMMYFUNCTION("""COMPUTED_VALUE"""),"Лампа светодиодная LED-A60-standard")</f>
        <v/>
      </c>
      <c r="M688" s="2">
        <f>IFERROR(__xludf.DUMMYFUNCTION("""COMPUTED_VALUE"""),"Лампы")</f>
        <v/>
      </c>
    </row>
    <row r="689">
      <c r="A689" s="5">
        <f>IFERROR(__xludf.DUMMYFUNCTION("""COMPUTED_VALUE"""),"4680005959754-10")</f>
        <v/>
      </c>
      <c r="B689" s="5">
        <f>IFERROR(__xludf.DUMMYFUNCTION("""COMPUTED_VALUE"""),"10 штук Выключатель одноклавишный с подсветкой BOLLETO белый накладной 7121 IN HOME (комплект 10 штук)")</f>
        <v/>
      </c>
      <c r="C689" s="2">
        <f>IFERROR(__xludf.DUMMYFUNCTION("""COMPUTED_VALUE"""),0.05)</f>
        <v/>
      </c>
      <c r="D689" s="2">
        <f>IFERROR(__xludf.DUMMYFUNCTION("""COMPUTED_VALUE"""),2.5E-4)</f>
        <v/>
      </c>
      <c r="E689" s="2">
        <f>IFERROR(__xludf.DUMMYFUNCTION("""COMPUTED_VALUE"""),503.5)</f>
        <v/>
      </c>
      <c r="F689" s="2">
        <f>IFERROR(__xludf.DUMMYFUNCTION("""COMPUTED_VALUE"""),552.0)</f>
        <v/>
      </c>
      <c r="G689" s="2">
        <f>IFERROR(__xludf.DUMMYFUNCTION("""COMPUTED_VALUE"""),645.0)</f>
        <v/>
      </c>
      <c r="H689" s="2">
        <f>IFERROR(__xludf.DUMMYFUNCTION("""COMPUTED_VALUE"""),725.0)</f>
        <v/>
      </c>
      <c r="I689" s="2">
        <f>IFERROR(__xludf.DUMMYFUNCTION("""COMPUTED_VALUE"""),806.0)</f>
        <v/>
      </c>
      <c r="J689" s="2">
        <f>IFERROR(__xludf.DUMMYFUNCTION("""COMPUTED_VALUE"""),403.0)</f>
        <v/>
      </c>
      <c r="K689" s="2">
        <f>IFERROR(__xludf.DUMMYFUNCTION("""COMPUTED_VALUE"""),13.0)</f>
        <v/>
      </c>
      <c r="L689" s="2">
        <f>IFERROR(__xludf.DUMMYFUNCTION("""COMPUTED_VALUE"""),"Розетки, вилки производство, упаковка")</f>
        <v/>
      </c>
      <c r="M689" s="2">
        <f>IFERROR(__xludf.DUMMYFUNCTION("""COMPUTED_VALUE"""),"Прочие товары")</f>
        <v/>
      </c>
    </row>
    <row r="690">
      <c r="A690" s="5">
        <f>IFERROR(__xludf.DUMMYFUNCTION("""COMPUTED_VALUE"""),"11700133")</f>
        <v/>
      </c>
      <c r="B690" s="5">
        <f>IFERROR(__xludf.DUMMYFUNCTION("""COMPUTED_VALUE"""),"LTT - BROKS L1000 4000К 30Вт")</f>
        <v/>
      </c>
      <c r="C690" s="2">
        <f>IFERROR(__xludf.DUMMYFUNCTION("""COMPUTED_VALUE"""),1.0)</f>
        <v/>
      </c>
      <c r="D690" s="2">
        <f>IFERROR(__xludf.DUMMYFUNCTION("""COMPUTED_VALUE"""),0.006840000000000001)</f>
        <v/>
      </c>
      <c r="E690" s="2">
        <f>IFERROR(__xludf.DUMMYFUNCTION("""COMPUTED_VALUE"""),2302.25)</f>
        <v/>
      </c>
      <c r="F690" s="2">
        <f>IFERROR(__xludf.DUMMYFUNCTION("""COMPUTED_VALUE"""),3308.0)</f>
        <v/>
      </c>
      <c r="G690" s="2">
        <f>IFERROR(__xludf.DUMMYFUNCTION("""COMPUTED_VALUE"""),3701.0)</f>
        <v/>
      </c>
      <c r="H690" s="2">
        <f>IFERROR(__xludf.DUMMYFUNCTION("""COMPUTED_VALUE"""),4163.0)</f>
        <v/>
      </c>
      <c r="I690" s="2">
        <f>IFERROR(__xludf.DUMMYFUNCTION("""COMPUTED_VALUE"""),4626.0)</f>
        <v/>
      </c>
      <c r="J690" s="2">
        <f>IFERROR(__xludf.DUMMYFUNCTION("""COMPUTED_VALUE"""),2313.0)</f>
        <v/>
      </c>
      <c r="K690" s="2">
        <f>IFERROR(__xludf.DUMMYFUNCTION("""COMPUTED_VALUE"""),1.0)</f>
        <v/>
      </c>
      <c r="L690" s="2">
        <f>IFERROR(__xludf.DUMMYFUNCTION("""COMPUTED_VALUE"""),"LEDOS Промышленное освещение")</f>
        <v/>
      </c>
      <c r="M690" s="2">
        <f>IFERROR(__xludf.DUMMYFUNCTION("""COMPUTED_VALUE"""),"Пластиковые (линейные), LED Светильники")</f>
        <v/>
      </c>
    </row>
    <row r="691">
      <c r="A691" s="5">
        <f>IFERROR(__xludf.DUMMYFUNCTION("""COMPUTED_VALUE"""),"4260652193406")</f>
        <v/>
      </c>
      <c r="B691" s="5">
        <f>IFERROR(__xludf.DUMMYFUNCTION("""COMPUTED_VALUE"""),"LCL04-12W-R11-6K-SOA")</f>
        <v/>
      </c>
      <c r="C691" s="2">
        <f>IFERROR(__xludf.DUMMYFUNCTION("""COMPUTED_VALUE"""),0.11)</f>
        <v/>
      </c>
      <c r="D691" s="2">
        <f>IFERROR(__xludf.DUMMYFUNCTION("""COMPUTED_VALUE"""),0.0)</f>
        <v/>
      </c>
      <c r="E691" s="2">
        <f>IFERROR(__xludf.DUMMYFUNCTION("""COMPUTED_VALUE"""),237.07)</f>
        <v/>
      </c>
      <c r="F691" s="2">
        <f>IFERROR(__xludf.DUMMYFUNCTION("""COMPUTED_VALUE"""),340.0)</f>
        <v/>
      </c>
      <c r="G691" s="2">
        <f>IFERROR(__xludf.DUMMYFUNCTION("""COMPUTED_VALUE"""),352.0)</f>
        <v/>
      </c>
      <c r="H691" s="2">
        <f>IFERROR(__xludf.DUMMYFUNCTION("""COMPUTED_VALUE"""),461.0)</f>
        <v/>
      </c>
      <c r="I691" s="2">
        <f>IFERROR(__xludf.DUMMYFUNCTION("""COMPUTED_VALUE"""),576.0)</f>
        <v/>
      </c>
      <c r="J691" s="2">
        <f>IFERROR(__xludf.DUMMYFUNCTION("""COMPUTED_VALUE"""),288.0)</f>
        <v/>
      </c>
      <c r="K691" s="2">
        <f>IFERROR(__xludf.DUMMYFUNCTION("""COMPUTED_VALUE"""),34.0)</f>
        <v/>
      </c>
      <c r="L691" s="2">
        <f>IFERROR(__xludf.DUMMYFUNCTION("""COMPUTED_VALUE"""),"Wolta ЖКХ")</f>
        <v/>
      </c>
      <c r="M691" s="2">
        <f>IFERROR(__xludf.DUMMYFUNCTION("""COMPUTED_VALUE"""),"Для ЖКХ, дома, дачи, LED Светильники")</f>
        <v/>
      </c>
    </row>
    <row r="692">
      <c r="A692" s="5">
        <f>IFERROR(__xludf.DUMMYFUNCTION("""COMPUTED_VALUE"""),"GL8280")</f>
        <v/>
      </c>
      <c r="B692" s="5">
        <f>IFERROR(__xludf.DUMMYFUNCTION("""COMPUTED_VALUE"""),"GLERIO Line Ultra 36 Вт 4000К 94P-36D-4N-M")</f>
        <v/>
      </c>
      <c r="C692" s="2">
        <f>IFERROR(__xludf.DUMMYFUNCTION("""COMPUTED_VALUE"""),0.7200000000000001)</f>
        <v/>
      </c>
      <c r="D692" s="2">
        <f>IFERROR(__xludf.DUMMYFUNCTION("""COMPUTED_VALUE"""),0.00485)</f>
        <v/>
      </c>
      <c r="E692" s="2">
        <f>IFERROR(__xludf.DUMMYFUNCTION("""COMPUTED_VALUE"""),2114.6)</f>
        <v/>
      </c>
      <c r="F692" s="2">
        <f>IFERROR(__xludf.DUMMYFUNCTION("""COMPUTED_VALUE"""),2680.0)</f>
        <v/>
      </c>
      <c r="G692" s="2">
        <f>IFERROR(__xludf.DUMMYFUNCTION("""COMPUTED_VALUE"""),3374.0)</f>
        <v/>
      </c>
      <c r="H692" s="2">
        <f>IFERROR(__xludf.DUMMYFUNCTION("""COMPUTED_VALUE"""),3789.0)</f>
        <v/>
      </c>
      <c r="I692" s="2">
        <f>IFERROR(__xludf.DUMMYFUNCTION("""COMPUTED_VALUE"""),4204.0)</f>
        <v/>
      </c>
      <c r="J692" s="2">
        <f>IFERROR(__xludf.DUMMYFUNCTION("""COMPUTED_VALUE"""),2102.0)</f>
        <v/>
      </c>
      <c r="K692" s="2">
        <f>IFERROR(__xludf.DUMMYFUNCTION("""COMPUTED_VALUE"""),3.0)</f>
        <v/>
      </c>
      <c r="L692" s="2">
        <f>IFERROR(__xludf.DUMMYFUNCTION("""COMPUTED_VALUE"""),"Line Ultra (Сеть) до 10.2025")</f>
        <v/>
      </c>
      <c r="M692" s="2">
        <f>IFERROR(__xludf.DUMMYFUNCTION("""COMPUTED_VALUE"""),"Пластиковые (линейные), LED Светильники")</f>
        <v/>
      </c>
    </row>
    <row r="693">
      <c r="A693" s="5">
        <f>IFERROR(__xludf.DUMMYFUNCTION("""COMPUTED_VALUE"""),"14690612038169")</f>
        <v/>
      </c>
      <c r="B693" s="5">
        <f>IFERROR(__xludf.DUMMYFUNCTION("""COMPUTED_VALUE"""),"ДВО-02 3640-ПРИЗМА 36Вт 230В 4000К 4020Лм 110Лм/Вт 595х595х19 NEOX (4 шт в упак.)")</f>
        <v/>
      </c>
      <c r="C693" s="2">
        <f>IFERROR(__xludf.DUMMYFUNCTION("""COMPUTED_VALUE"""),1.075)</f>
        <v/>
      </c>
      <c r="D693" s="2">
        <f>IFERROR(__xludf.DUMMYFUNCTION("""COMPUTED_VALUE"""),0.01)</f>
        <v/>
      </c>
      <c r="E693" s="2">
        <f>IFERROR(__xludf.DUMMYFUNCTION("""COMPUTED_VALUE"""),1924.67)</f>
        <v/>
      </c>
      <c r="F693" s="2">
        <f>IFERROR(__xludf.DUMMYFUNCTION("""COMPUTED_VALUE"""),2112.0)</f>
        <v/>
      </c>
      <c r="G693" s="2">
        <f>IFERROR(__xludf.DUMMYFUNCTION("""COMPUTED_VALUE"""),2463.0)</f>
        <v/>
      </c>
      <c r="H693" s="2">
        <f>IFERROR(__xludf.DUMMYFUNCTION("""COMPUTED_VALUE"""),2771.0)</f>
        <v/>
      </c>
      <c r="I693" s="2">
        <f>IFERROR(__xludf.DUMMYFUNCTION("""COMPUTED_VALUE"""),3079.0)</f>
        <v/>
      </c>
      <c r="J693" s="2">
        <f>IFERROR(__xludf.DUMMYFUNCTION("""COMPUTED_VALUE"""),1540.0)</f>
        <v/>
      </c>
      <c r="K693" s="2">
        <f>IFERROR(__xludf.DUMMYFUNCTION("""COMPUTED_VALUE"""),13.0)</f>
        <v/>
      </c>
      <c r="L693" s="2">
        <f>IFERROR(__xludf.DUMMYFUNCTION("""COMPUTED_VALUE"""),"NEOX Светильники LED ДВО - Призма производство, упаковка")</f>
        <v/>
      </c>
      <c r="M693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694">
      <c r="A694" s="5">
        <f>IFERROR(__xludf.DUMMYFUNCTION("""COMPUTED_VALUE"""),"V11013")</f>
        <v/>
      </c>
      <c r="B694" s="5">
        <f>IFERROR(__xludf.DUMMYFUNCTION("""COMPUTED_VALUE"""),"VRN-LPE30-64-A50K67-U, 64Вт, Универсальный")</f>
        <v/>
      </c>
      <c r="C694" s="2">
        <f>IFERROR(__xludf.DUMMYFUNCTION("""COMPUTED_VALUE"""),2.0)</f>
        <v/>
      </c>
      <c r="D694" s="2">
        <f>IFERROR(__xludf.DUMMYFUNCTION("""COMPUTED_VALUE"""),0.0074)</f>
        <v/>
      </c>
      <c r="E694" s="2">
        <f>IFERROR(__xludf.DUMMYFUNCTION("""COMPUTED_VALUE"""),3250.0)</f>
        <v/>
      </c>
      <c r="F694" s="2">
        <f>IFERROR(__xludf.DUMMYFUNCTION("""COMPUTED_VALUE"""),3760.0)</f>
        <v/>
      </c>
      <c r="G694" s="2">
        <f>IFERROR(__xludf.DUMMYFUNCTION("""COMPUTED_VALUE"""),4888.0)</f>
        <v/>
      </c>
      <c r="H694" s="2">
        <f>IFERROR(__xludf.DUMMYFUNCTION("""COMPUTED_VALUE"""),5132.0)</f>
        <v/>
      </c>
      <c r="I694" s="2">
        <f>IFERROR(__xludf.DUMMYFUNCTION("""COMPUTED_VALUE"""),5377.0)</f>
        <v/>
      </c>
      <c r="J694" s="2">
        <f>IFERROR(__xludf.DUMMYFUNCTION("""COMPUTED_VALUE"""),2689.0)</f>
        <v/>
      </c>
      <c r="K694" s="2">
        <f>IFERROR(__xludf.DUMMYFUNCTION("""COMPUTED_VALUE"""),14.0)</f>
        <v/>
      </c>
      <c r="L694" s="2">
        <f>IFERROR(__xludf.DUMMYFUNCTION("""COMPUTED_VALUE"""),"Прожектор Эконом")</f>
        <v/>
      </c>
      <c r="M694" s="2">
        <f>IFERROR(__xludf.DUMMYFUNCTION("""COMPUTED_VALUE"""),"Для обычных дорог, Профессиональные, Модульные, LED Светильники")</f>
        <v/>
      </c>
    </row>
    <row r="695">
      <c r="A695" s="5">
        <f>IFERROR(__xludf.DUMMYFUNCTION("""COMPUTED_VALUE"""),"4690612030890")</f>
        <v/>
      </c>
      <c r="B695" s="5">
        <f>IFERROR(__xludf.DUMMYFUNCTION("""COMPUTED_VALUE"""),"LED-T8-М-PRO 10Вт 230В G13 4000К 1000Лм 600мм матовая неповоротная IN HOME")</f>
        <v/>
      </c>
      <c r="C695" s="2">
        <f>IFERROR(__xludf.DUMMYFUNCTION("""COMPUTED_VALUE"""),0.108)</f>
        <v/>
      </c>
      <c r="D695" s="2">
        <f>IFERROR(__xludf.DUMMYFUNCTION("""COMPUTED_VALUE"""),7.2E-4)</f>
        <v/>
      </c>
      <c r="E695" s="2">
        <f>IFERROR(__xludf.DUMMYFUNCTION("""COMPUTED_VALUE"""),62.4)</f>
        <v/>
      </c>
      <c r="F695" s="2">
        <f>IFERROR(__xludf.DUMMYFUNCTION("""COMPUTED_VALUE"""),80.0)</f>
        <v/>
      </c>
      <c r="G695" s="2">
        <f>IFERROR(__xludf.DUMMYFUNCTION("""COMPUTED_VALUE"""),90.0)</f>
        <v/>
      </c>
      <c r="H695" s="2">
        <f>IFERROR(__xludf.DUMMYFUNCTION("""COMPUTED_VALUE"""),104.0)</f>
        <v/>
      </c>
      <c r="I695" s="2">
        <f>IFERROR(__xludf.DUMMYFUNCTION("""COMPUTED_VALUE"""),120.4)</f>
        <v/>
      </c>
      <c r="J695" s="2">
        <f>IFERROR(__xludf.DUMMYFUNCTION("""COMPUTED_VALUE"""),60.0)</f>
        <v/>
      </c>
      <c r="K695" s="2">
        <f>IFERROR(__xludf.DUMMYFUNCTION("""COMPUTED_VALUE"""),20.0)</f>
        <v/>
      </c>
      <c r="L695" s="2">
        <f>IFERROR(__xludf.DUMMYFUNCTION("""COMPUTED_VALUE"""),"Лампа светодиодная LED-T8")</f>
        <v/>
      </c>
      <c r="M695" s="2">
        <f>IFERROR(__xludf.DUMMYFUNCTION("""COMPUTED_VALUE"""),"Лампы")</f>
        <v/>
      </c>
    </row>
    <row r="696">
      <c r="A696" s="5">
        <f>IFERROR(__xludf.DUMMYFUNCTION("""COMPUTED_VALUE"""),"G207707202")</f>
        <v/>
      </c>
      <c r="B696" s="5">
        <f>IFERROR(__xludf.DUMMYFUNCTION("""COMPUTED_VALUE"""),"G4 12V 2W 4100K 1/20/200")</f>
        <v/>
      </c>
      <c r="C696" s="2">
        <f>IFERROR(__xludf.DUMMYFUNCTION("""COMPUTED_VALUE"""),0.0)</f>
        <v/>
      </c>
      <c r="D696" s="2">
        <f>IFERROR(__xludf.DUMMYFUNCTION("""COMPUTED_VALUE"""),0.0)</f>
        <v/>
      </c>
      <c r="E696" s="2">
        <f>IFERROR(__xludf.DUMMYFUNCTION("""COMPUTED_VALUE"""),169.9)</f>
        <v/>
      </c>
      <c r="F696" s="2">
        <f>IFERROR(__xludf.DUMMYFUNCTION("""COMPUTED_VALUE"""),186.0)</f>
        <v/>
      </c>
      <c r="G696" s="2">
        <f>IFERROR(__xludf.DUMMYFUNCTION("""COMPUTED_VALUE"""),205.0)</f>
        <v/>
      </c>
      <c r="H696" s="2">
        <f>IFERROR(__xludf.DUMMYFUNCTION("""COMPUTED_VALUE"""),241.0)</f>
        <v/>
      </c>
      <c r="I696" s="2">
        <f>IFERROR(__xludf.DUMMYFUNCTION("""COMPUTED_VALUE"""),305.0)</f>
        <v/>
      </c>
      <c r="J696" s="2">
        <f>IFERROR(__xludf.DUMMYFUNCTION("""COMPUTED_VALUE"""),153.0)</f>
        <v/>
      </c>
      <c r="K696" s="2">
        <f>IFERROR(__xludf.DUMMYFUNCTION("""COMPUTED_VALUE"""),8.0)</f>
        <v/>
      </c>
      <c r="L696" s="2">
        <f>IFERROR(__xludf.DUMMYFUNCTION("""COMPUTED_VALUE"""),"Капсульные лампы G4, G9")</f>
        <v/>
      </c>
      <c r="M696" s="2">
        <f>IFERROR(__xludf.DUMMYFUNCTION("""COMPUTED_VALUE"""),"Лампы")</f>
        <v/>
      </c>
    </row>
    <row r="697">
      <c r="A697" s="5">
        <f>IFERROR(__xludf.DUMMYFUNCTION("""COMPUTED_VALUE"""),"4690612023250")</f>
        <v/>
      </c>
      <c r="B697" s="5">
        <f>IFERROR(__xludf.DUMMYFUNCTION("""COMPUTED_VALUE"""),"RING-1540R-W 15Вт 230В 4000К 910Лм 190мм IP65 КРУГ IN HOME")</f>
        <v/>
      </c>
      <c r="C697" s="2">
        <f>IFERROR(__xludf.DUMMYFUNCTION("""COMPUTED_VALUE"""),0.38333)</f>
        <v/>
      </c>
      <c r="D697" s="2">
        <f>IFERROR(__xludf.DUMMYFUNCTION("""COMPUTED_VALUE"""),0.00208)</f>
        <v/>
      </c>
      <c r="E697" s="2">
        <f>IFERROR(__xludf.DUMMYFUNCTION("""COMPUTED_VALUE"""),567.97)</f>
        <v/>
      </c>
      <c r="F697" s="2">
        <f>IFERROR(__xludf.DUMMYFUNCTION("""COMPUTED_VALUE"""),557.0)</f>
        <v/>
      </c>
      <c r="G697" s="2">
        <f>IFERROR(__xludf.DUMMYFUNCTION("""COMPUTED_VALUE"""),627.0)</f>
        <v/>
      </c>
      <c r="H697" s="2">
        <f>IFERROR(__xludf.DUMMYFUNCTION("""COMPUTED_VALUE"""),727.0)</f>
        <v/>
      </c>
      <c r="I697" s="2">
        <f>IFERROR(__xludf.DUMMYFUNCTION("""COMPUTED_VALUE"""),836.0)</f>
        <v/>
      </c>
      <c r="J697" s="2">
        <f>IFERROR(__xludf.DUMMYFUNCTION("""COMPUTED_VALUE"""),418.0)</f>
        <v/>
      </c>
      <c r="K697" s="2">
        <f>IFERROR(__xludf.DUMMYFUNCTION("""COMPUTED_VALUE"""),24.0)</f>
        <v/>
      </c>
      <c r="L697" s="2">
        <f>IFERROR(__xludf.DUMMYFUNCTION("""COMPUTED_VALUE"""),"Светильники светодиодные RING")</f>
        <v/>
      </c>
      <c r="M697" s="2">
        <f>IFERROR(__xludf.DUMMYFUNCTION("""COMPUTED_VALUE"""),"Накладные, Декоративные, LED Светильники")</f>
        <v/>
      </c>
    </row>
    <row r="698">
      <c r="A698" s="5">
        <f>IFERROR(__xludf.DUMMYFUNCTION("""COMPUTED_VALUE"""),"4690612020297")</f>
        <v/>
      </c>
      <c r="B698" s="5">
        <f>IFERROR(__xludf.DUMMYFUNCTION("""COMPUTED_VALUE"""),"LED-A60-VC 20Вт 230В Е27 3000К 1900Лм IN HOME")</f>
        <v/>
      </c>
      <c r="C698" s="2">
        <f>IFERROR(__xludf.DUMMYFUNCTION("""COMPUTED_VALUE"""),0.05500000000000001)</f>
        <v/>
      </c>
      <c r="D698" s="2">
        <f>IFERROR(__xludf.DUMMYFUNCTION("""COMPUTED_VALUE"""),4.0E-4)</f>
        <v/>
      </c>
      <c r="E698" s="2">
        <f>IFERROR(__xludf.DUMMYFUNCTION("""COMPUTED_VALUE"""),57.0)</f>
        <v/>
      </c>
      <c r="F698" s="2">
        <f>IFERROR(__xludf.DUMMYFUNCTION("""COMPUTED_VALUE"""),60.0)</f>
        <v/>
      </c>
      <c r="G698" s="2">
        <f>IFERROR(__xludf.DUMMYFUNCTION("""COMPUTED_VALUE"""),68.0)</f>
        <v/>
      </c>
      <c r="H698" s="2">
        <f>IFERROR(__xludf.DUMMYFUNCTION("""COMPUTED_VALUE"""),78.0)</f>
        <v/>
      </c>
      <c r="I698" s="2">
        <f>IFERROR(__xludf.DUMMYFUNCTION("""COMPUTED_VALUE"""),90.5)</f>
        <v/>
      </c>
      <c r="J698" s="2">
        <f>IFERROR(__xludf.DUMMYFUNCTION("""COMPUTED_VALUE"""),45.0)</f>
        <v/>
      </c>
      <c r="K698" s="2">
        <f>IFERROR(__xludf.DUMMYFUNCTION("""COMPUTED_VALUE"""),13.0)</f>
        <v/>
      </c>
      <c r="L698" s="2">
        <f>IFERROR(__xludf.DUMMYFUNCTION("""COMPUTED_VALUE"""),"Лампа светодиодная LED-A60-standard")</f>
        <v/>
      </c>
      <c r="M698" s="2">
        <f>IFERROR(__xludf.DUMMYFUNCTION("""COMPUTED_VALUE"""),"Лампы")</f>
        <v/>
      </c>
    </row>
    <row r="699">
      <c r="A699" s="5">
        <f>IFERROR(__xludf.DUMMYFUNCTION("""COMPUTED_VALUE"""),"4690612044217")</f>
        <v/>
      </c>
      <c r="B699" s="5">
        <f>IFERROR(__xludf.DUMMYFUNCTION("""COMPUTED_VALUE"""),"GX53R-standard RBC-10PACK под GX53 черный хром (10 шт./упак.) IN HOME")</f>
        <v/>
      </c>
      <c r="C699" s="2">
        <f>IFERROR(__xludf.DUMMYFUNCTION("""COMPUTED_VALUE"""),0.0)</f>
        <v/>
      </c>
      <c r="D699" s="2">
        <f>IFERROR(__xludf.DUMMYFUNCTION("""COMPUTED_VALUE"""),0.0)</f>
        <v/>
      </c>
      <c r="E699" s="2">
        <f>IFERROR(__xludf.DUMMYFUNCTION("""COMPUTED_VALUE"""),459.45)</f>
        <v/>
      </c>
      <c r="F699" s="2">
        <f>IFERROR(__xludf.DUMMYFUNCTION("""COMPUTED_VALUE"""),576.0)</f>
        <v/>
      </c>
      <c r="G699" s="2">
        <f>IFERROR(__xludf.DUMMYFUNCTION("""COMPUTED_VALUE"""),648.0)</f>
        <v/>
      </c>
      <c r="H699" s="2">
        <f>IFERROR(__xludf.DUMMYFUNCTION("""COMPUTED_VALUE"""),751.0)</f>
        <v/>
      </c>
      <c r="I699" s="2">
        <f>IFERROR(__xludf.DUMMYFUNCTION("""COMPUTED_VALUE"""),864.0)</f>
        <v/>
      </c>
      <c r="J699" s="2">
        <f>IFERROR(__xludf.DUMMYFUNCTION("""COMPUTED_VALUE"""),432.0)</f>
        <v/>
      </c>
      <c r="K699" s="2">
        <f>IFERROR(__xludf.DUMMYFUNCTION("""COMPUTED_VALUE"""),5.0)</f>
        <v/>
      </c>
      <c r="L699" s="2">
        <f>IFERROR(__xludf.DUMMYFUNCTION("""COMPUTED_VALUE"""),"Под лампу GX53")</f>
        <v/>
      </c>
      <c r="M699" s="2">
        <f>IFERROR(__xludf.DUMMYFUNCTION("""COMPUTED_VALUE"""),"Ламповые светильники")</f>
        <v/>
      </c>
    </row>
    <row r="700">
      <c r="A700" s="5">
        <f>IFERROR(__xludf.DUMMYFUNCTION("""COMPUTED_VALUE"""),"4690612029979")</f>
        <v/>
      </c>
      <c r="B700" s="5">
        <f>IFERROR(__xludf.DUMMYFUNCTION("""COMPUTED_VALUE"""),"LPU-02-EMERGENCY 36Вт ПРИЗМА 230В 6500К 3420Лм 595х595х19 IN HOME без БАП-10W90")</f>
        <v/>
      </c>
      <c r="C700" s="2">
        <f>IFERROR(__xludf.DUMMYFUNCTION("""COMPUTED_VALUE"""),1.1)</f>
        <v/>
      </c>
      <c r="D700" s="2">
        <f>IFERROR(__xludf.DUMMYFUNCTION("""COMPUTED_VALUE"""),0.00825)</f>
        <v/>
      </c>
      <c r="E700" s="2">
        <f>IFERROR(__xludf.DUMMYFUNCTION("""COMPUTED_VALUE"""),542.65)</f>
        <v/>
      </c>
      <c r="F700" s="2">
        <f>IFERROR(__xludf.DUMMYFUNCTION("""COMPUTED_VALUE"""),601.0)</f>
        <v/>
      </c>
      <c r="G700" s="2">
        <f>IFERROR(__xludf.DUMMYFUNCTION("""COMPUTED_VALUE"""),676.0)</f>
        <v/>
      </c>
      <c r="H700" s="2">
        <f>IFERROR(__xludf.DUMMYFUNCTION("""COMPUTED_VALUE"""),784.0)</f>
        <v/>
      </c>
      <c r="I700" s="2">
        <f>IFERROR(__xludf.DUMMYFUNCTION("""COMPUTED_VALUE"""),901.0)</f>
        <v/>
      </c>
      <c r="J700" s="2">
        <f>IFERROR(__xludf.DUMMYFUNCTION("""COMPUTED_VALUE"""),451.0)</f>
        <v/>
      </c>
      <c r="K700" s="2">
        <f>IFERROR(__xludf.DUMMYFUNCTION("""COMPUTED_VALUE"""),4.0)</f>
        <v/>
      </c>
      <c r="L700" s="2">
        <f>IFERROR(__xludf.DUMMYFUNCTION("""COMPUTED_VALUE"""),"Панели светодиодные LP серии EMERGENCY")</f>
        <v/>
      </c>
      <c r="M700" s="2">
        <f>IFERROR(__xludf.DUMMYFUNCTION("""COMPUTED_VALUE"""),"Встраиваемые, Накладные, LED Светильники")</f>
        <v/>
      </c>
    </row>
    <row r="701">
      <c r="A701" s="5">
        <f>IFERROR(__xludf.DUMMYFUNCTION("""COMPUTED_VALUE"""),"4690612064390-1")</f>
        <v/>
      </c>
      <c r="B701" s="5">
        <f>IFERROR(__xludf.DUMMYFUNCTION("""COMPUTED_VALUE"""),"ДВО-PRO 7540-ОПАЛ 75Вт 4000К 100лм/Вт CRI80 IP40 595х595х30мм NEOX (в индивид. уп)")</f>
        <v/>
      </c>
      <c r="C701" s="2">
        <f>IFERROR(__xludf.DUMMYFUNCTION("""COMPUTED_VALUE"""),0.0)</f>
        <v/>
      </c>
      <c r="D701" s="2">
        <f>IFERROR(__xludf.DUMMYFUNCTION("""COMPUTED_VALUE"""),0.0)</f>
        <v/>
      </c>
      <c r="E701" s="2">
        <f>IFERROR(__xludf.DUMMYFUNCTION("""COMPUTED_VALUE"""),1034.6)</f>
        <v/>
      </c>
      <c r="F701" s="2">
        <f>IFERROR(__xludf.DUMMYFUNCTION("""COMPUTED_VALUE"""),1135.0)</f>
        <v/>
      </c>
      <c r="G701" s="2">
        <f>IFERROR(__xludf.DUMMYFUNCTION("""COMPUTED_VALUE"""),1324.0)</f>
        <v/>
      </c>
      <c r="H701" s="2">
        <f>IFERROR(__xludf.DUMMYFUNCTION("""COMPUTED_VALUE"""),1490.0)</f>
        <v/>
      </c>
      <c r="I701" s="2">
        <f>IFERROR(__xludf.DUMMYFUNCTION("""COMPUTED_VALUE"""),1655.0)</f>
        <v/>
      </c>
      <c r="J701" s="2">
        <f>IFERROR(__xludf.DUMMYFUNCTION("""COMPUTED_VALUE"""),828.0)</f>
        <v/>
      </c>
      <c r="K701" s="2">
        <f>IFERROR(__xludf.DUMMYFUNCTION("""COMPUTED_VALUE"""),22.0)</f>
        <v/>
      </c>
      <c r="L701" s="2">
        <f>IFERROR(__xludf.DUMMYFUNCTION("""COMPUTED_VALUE"""),"NEOX Светильники LED ДВО-PRO производство, упаковка")</f>
        <v/>
      </c>
      <c r="M701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702">
      <c r="A702" s="5">
        <f>IFERROR(__xludf.DUMMYFUNCTION("""COMPUTED_VALUE"""),"4690612037561")</f>
        <v/>
      </c>
      <c r="B702" s="5">
        <f>IFERROR(__xludf.DUMMYFUNCTION("""COMPUTED_VALUE"""),"ССП-153 36Вт 230В 4000К 3420Лм 1200мм IP65 IN HOME")</f>
        <v/>
      </c>
      <c r="C702" s="2">
        <f>IFERROR(__xludf.DUMMYFUNCTION("""COMPUTED_VALUE"""),0.196)</f>
        <v/>
      </c>
      <c r="D702" s="2">
        <f>IFERROR(__xludf.DUMMYFUNCTION("""COMPUTED_VALUE"""),0.0014)</f>
        <v/>
      </c>
      <c r="E702" s="2">
        <f>IFERROR(__xludf.DUMMYFUNCTION("""COMPUTED_VALUE"""),332.64)</f>
        <v/>
      </c>
      <c r="F702" s="2">
        <f>IFERROR(__xludf.DUMMYFUNCTION("""COMPUTED_VALUE"""),367.0)</f>
        <v/>
      </c>
      <c r="G702" s="2">
        <f>IFERROR(__xludf.DUMMYFUNCTION("""COMPUTED_VALUE"""),413.0)</f>
        <v/>
      </c>
      <c r="H702" s="2">
        <f>IFERROR(__xludf.DUMMYFUNCTION("""COMPUTED_VALUE"""),479.0)</f>
        <v/>
      </c>
      <c r="I702" s="2">
        <f>IFERROR(__xludf.DUMMYFUNCTION("""COMPUTED_VALUE"""),550.0)</f>
        <v/>
      </c>
      <c r="J702" s="2">
        <f>IFERROR(__xludf.DUMMYFUNCTION("""COMPUTED_VALUE"""),275.0)</f>
        <v/>
      </c>
      <c r="K702" s="2">
        <f>IFERROR(__xludf.DUMMYFUNCTION("""COMPUTED_VALUE"""),1.0)</f>
        <v/>
      </c>
      <c r="L702" s="2">
        <f>IFERROR(__xludf.DUMMYFUNCTION("""COMPUTED_VALUE"""),"Светильники светодиодные ССП")</f>
        <v/>
      </c>
      <c r="M702" s="2">
        <f>IFERROR(__xludf.DUMMYFUNCTION("""COMPUTED_VALUE"""),"Для ЖКХ, дома, дачи, Без датчиков, LED Светильники")</f>
        <v/>
      </c>
    </row>
    <row r="703">
      <c r="A703" s="5">
        <f>IFERROR(__xludf.DUMMYFUNCTION("""COMPUTED_VALUE"""),"4690612013473")</f>
        <v/>
      </c>
      <c r="B703" s="5">
        <f>IFERROR(__xludf.DUMMYFUNCTION("""COMPUTED_VALUE"""),"ССО 02Б 10Вт 4000К 625Лм сенсор-диммер, с адаптером БЕЛЫЙ IN HOME")</f>
        <v/>
      </c>
      <c r="C703" s="2">
        <f>IFERROR(__xludf.DUMMYFUNCTION("""COMPUTED_VALUE"""),0.65)</f>
        <v/>
      </c>
      <c r="D703" s="2">
        <f>IFERROR(__xludf.DUMMYFUNCTION("""COMPUTED_VALUE"""),0.004500000000000001)</f>
        <v/>
      </c>
      <c r="E703" s="2">
        <f>IFERROR(__xludf.DUMMYFUNCTION("""COMPUTED_VALUE"""),670.86)</f>
        <v/>
      </c>
      <c r="F703" s="2">
        <f>IFERROR(__xludf.DUMMYFUNCTION("""COMPUTED_VALUE"""),986.0)</f>
        <v/>
      </c>
      <c r="G703" s="2">
        <f>IFERROR(__xludf.DUMMYFUNCTION("""COMPUTED_VALUE"""),1110.0)</f>
        <v/>
      </c>
      <c r="H703" s="2">
        <f>IFERROR(__xludf.DUMMYFUNCTION("""COMPUTED_VALUE"""),1287.0)</f>
        <v/>
      </c>
      <c r="I703" s="2">
        <f>IFERROR(__xludf.DUMMYFUNCTION("""COMPUTED_VALUE"""),1480.0)</f>
        <v/>
      </c>
      <c r="J703" s="2">
        <f>IFERROR(__xludf.DUMMYFUNCTION("""COMPUTED_VALUE"""),740.0)</f>
        <v/>
      </c>
      <c r="K703" s="2">
        <f>IFERROR(__xludf.DUMMYFUNCTION("""COMPUTED_VALUE"""),3.0)</f>
        <v/>
      </c>
      <c r="L703" s="2">
        <f>IFERROR(__xludf.DUMMYFUNCTION("""COMPUTED_VALUE"""),"Светильники настольные светодиодные")</f>
        <v/>
      </c>
      <c r="M703" s="2">
        <f>IFERROR(__xludf.DUMMYFUNCTION("""COMPUTED_VALUE"""),"Светильники общего назначения (LED), Декоративные, LED Светильники")</f>
        <v/>
      </c>
    </row>
    <row r="704">
      <c r="A704" s="5">
        <f>IFERROR(__xludf.DUMMYFUNCTION("""COMPUTED_VALUE"""),"4260652193383")</f>
        <v/>
      </c>
      <c r="B704" s="5">
        <f>IFERROR(__xludf.DUMMYFUNCTION("""COMPUTED_VALUE"""),"LCL04-12W-R11-4K-SOA")</f>
        <v/>
      </c>
      <c r="C704" s="2">
        <f>IFERROR(__xludf.DUMMYFUNCTION("""COMPUTED_VALUE"""),0.11)</f>
        <v/>
      </c>
      <c r="D704" s="2">
        <f>IFERROR(__xludf.DUMMYFUNCTION("""COMPUTED_VALUE"""),0.04)</f>
        <v/>
      </c>
      <c r="E704" s="2">
        <f>IFERROR(__xludf.DUMMYFUNCTION("""COMPUTED_VALUE"""),365.12)</f>
        <v/>
      </c>
      <c r="F704" s="2">
        <f>IFERROR(__xludf.DUMMYFUNCTION("""COMPUTED_VALUE"""),340.0)</f>
        <v/>
      </c>
      <c r="G704" s="2">
        <f>IFERROR(__xludf.DUMMYFUNCTION("""COMPUTED_VALUE"""),352.0)</f>
        <v/>
      </c>
      <c r="H704" s="2">
        <f>IFERROR(__xludf.DUMMYFUNCTION("""COMPUTED_VALUE"""),461.0)</f>
        <v/>
      </c>
      <c r="I704" s="2">
        <f>IFERROR(__xludf.DUMMYFUNCTION("""COMPUTED_VALUE"""),576.0)</f>
        <v/>
      </c>
      <c r="J704" s="2">
        <f>IFERROR(__xludf.DUMMYFUNCTION("""COMPUTED_VALUE"""),288.0)</f>
        <v/>
      </c>
      <c r="K704" s="2">
        <f>IFERROR(__xludf.DUMMYFUNCTION("""COMPUTED_VALUE"""),62.0)</f>
        <v/>
      </c>
      <c r="L704" s="2">
        <f>IFERROR(__xludf.DUMMYFUNCTION("""COMPUTED_VALUE"""),"Wolta ЖКХ")</f>
        <v/>
      </c>
      <c r="M704" s="2">
        <f>IFERROR(__xludf.DUMMYFUNCTION("""COMPUTED_VALUE"""),"Для ЖКХ, дома, дачи, LED Светильники")</f>
        <v/>
      </c>
    </row>
    <row r="705">
      <c r="A705" s="5">
        <f>IFERROR(__xludf.DUMMYFUNCTION("""COMPUTED_VALUE"""),"4690612003757")</f>
        <v/>
      </c>
      <c r="B705" s="5">
        <f>IFERROR(__xludf.DUMMYFUNCTION("""COMPUTED_VALUE"""),"LED-JC-standard 1.5Вт 12В G4 3000К 135Лм ASD")</f>
        <v/>
      </c>
      <c r="C705" s="2">
        <f>IFERROR(__xludf.DUMMYFUNCTION("""COMPUTED_VALUE"""),0.004)</f>
        <v/>
      </c>
      <c r="D705" s="2">
        <f>IFERROR(__xludf.DUMMYFUNCTION("""COMPUTED_VALUE"""),3.0E-5)</f>
        <v/>
      </c>
      <c r="E705" s="2">
        <f>IFERROR(__xludf.DUMMYFUNCTION("""COMPUTED_VALUE"""),45.89)</f>
        <v/>
      </c>
      <c r="F705" s="2">
        <f>IFERROR(__xludf.DUMMYFUNCTION("""COMPUTED_VALUE"""),37.0)</f>
        <v/>
      </c>
      <c r="G705" s="2">
        <f>IFERROR(__xludf.DUMMYFUNCTION("""COMPUTED_VALUE"""),42.0)</f>
        <v/>
      </c>
      <c r="H705" s="2">
        <f>IFERROR(__xludf.DUMMYFUNCTION("""COMPUTED_VALUE"""),49.0)</f>
        <v/>
      </c>
      <c r="I705" s="2">
        <f>IFERROR(__xludf.DUMMYFUNCTION("""COMPUTED_VALUE"""),56.5)</f>
        <v/>
      </c>
      <c r="J705" s="2">
        <f>IFERROR(__xludf.DUMMYFUNCTION("""COMPUTED_VALUE"""),28.0)</f>
        <v/>
      </c>
      <c r="K705" s="2">
        <f>IFERROR(__xludf.DUMMYFUNCTION("""COMPUTED_VALUE"""),50.0)</f>
        <v/>
      </c>
      <c r="L705" s="2">
        <f>IFERROR(__xludf.DUMMYFUNCTION("""COMPUTED_VALUE"""),"Лампа светодиодная LED-JC-standard")</f>
        <v/>
      </c>
      <c r="M705" s="2">
        <f>IFERROR(__xludf.DUMMYFUNCTION("""COMPUTED_VALUE"""),"Лампы")</f>
        <v/>
      </c>
    </row>
    <row r="706">
      <c r="A706" s="5">
        <f>IFERROR(__xludf.DUMMYFUNCTION("""COMPUTED_VALUE"""),"4690612020563")</f>
        <v/>
      </c>
      <c r="B706" s="5">
        <f>IFERROR(__xludf.DUMMYFUNCTION("""COMPUTED_VALUE"""),"LED-ШАР-VC 8Вт 230В Е27 3000К 760Лм IN HOME")</f>
        <v/>
      </c>
      <c r="C706" s="2">
        <f>IFERROR(__xludf.DUMMYFUNCTION("""COMPUTED_VALUE"""),0.031)</f>
        <v/>
      </c>
      <c r="D706" s="2">
        <f>IFERROR(__xludf.DUMMYFUNCTION("""COMPUTED_VALUE"""),2.3E-4)</f>
        <v/>
      </c>
      <c r="E706" s="2">
        <f>IFERROR(__xludf.DUMMYFUNCTION("""COMPUTED_VALUE"""),35.4)</f>
        <v/>
      </c>
      <c r="F706" s="2">
        <f>IFERROR(__xludf.DUMMYFUNCTION("""COMPUTED_VALUE"""),45.0)</f>
        <v/>
      </c>
      <c r="G706" s="2">
        <f>IFERROR(__xludf.DUMMYFUNCTION("""COMPUTED_VALUE"""),50.0)</f>
        <v/>
      </c>
      <c r="H706" s="2">
        <f>IFERROR(__xludf.DUMMYFUNCTION("""COMPUTED_VALUE"""),58.0)</f>
        <v/>
      </c>
      <c r="I706" s="2">
        <f>IFERROR(__xludf.DUMMYFUNCTION("""COMPUTED_VALUE"""),67.6)</f>
        <v/>
      </c>
      <c r="J706" s="2">
        <f>IFERROR(__xludf.DUMMYFUNCTION("""COMPUTED_VALUE"""),34.0)</f>
        <v/>
      </c>
      <c r="K706" s="2">
        <f>IFERROR(__xludf.DUMMYFUNCTION("""COMPUTED_VALUE"""),27.0)</f>
        <v/>
      </c>
      <c r="L706" s="2">
        <f>IFERROR(__xludf.DUMMYFUNCTION("""COMPUTED_VALUE"""),"Лампа светодиодная LED-ШАР-standard")</f>
        <v/>
      </c>
      <c r="M706" s="2">
        <f>IFERROR(__xludf.DUMMYFUNCTION("""COMPUTED_VALUE"""),"Лампы")</f>
        <v/>
      </c>
    </row>
    <row r="707">
      <c r="A707" s="5">
        <f>IFERROR(__xludf.DUMMYFUNCTION("""COMPUTED_VALUE"""),"4260652192843")</f>
        <v/>
      </c>
      <c r="B707" s="5">
        <f>IFERROR(__xludf.DUMMYFUNCTION("""COMPUTED_VALUE"""),"WTL-AC/01B")</f>
        <v/>
      </c>
      <c r="C707" s="2">
        <f>IFERROR(__xludf.DUMMYFUNCTION("""COMPUTED_VALUE"""),0.05)</f>
        <v/>
      </c>
      <c r="D707" s="2">
        <f>IFERROR(__xludf.DUMMYFUNCTION("""COMPUTED_VALUE"""),0.00158)</f>
        <v/>
      </c>
      <c r="E707" s="2">
        <f>IFERROR(__xludf.DUMMYFUNCTION("""COMPUTED_VALUE"""),130.75)</f>
        <v/>
      </c>
      <c r="F707" s="2">
        <f>IFERROR(__xludf.DUMMYFUNCTION("""COMPUTED_VALUE"""),138.0)</f>
        <v/>
      </c>
      <c r="G707" s="2">
        <f>IFERROR(__xludf.DUMMYFUNCTION("""COMPUTED_VALUE"""),143.0)</f>
        <v/>
      </c>
      <c r="H707" s="2">
        <f>IFERROR(__xludf.DUMMYFUNCTION("""COMPUTED_VALUE"""),187.0)</f>
        <v/>
      </c>
      <c r="I707" s="2">
        <f>IFERROR(__xludf.DUMMYFUNCTION("""COMPUTED_VALUE"""),234.0)</f>
        <v/>
      </c>
      <c r="J707" s="2">
        <f>IFERROR(__xludf.DUMMYFUNCTION("""COMPUTED_VALUE"""),117.0)</f>
        <v/>
      </c>
      <c r="K707" s="2">
        <f>IFERROR(__xludf.DUMMYFUNCTION("""COMPUTED_VALUE"""),9.0)</f>
        <v/>
      </c>
      <c r="L707" s="2">
        <f>IFERROR(__xludf.DUMMYFUNCTION("""COMPUTED_VALUE"""),"Wolta трековые")</f>
        <v/>
      </c>
      <c r="M707" s="2">
        <f>IFERROR(__xludf.DUMMYFUNCTION("""COMPUTED_VALUE"""),"Трековые, LED Светильники")</f>
        <v/>
      </c>
    </row>
    <row r="708">
      <c r="A708" s="5">
        <f>IFERROR(__xludf.DUMMYFUNCTION("""COMPUTED_VALUE"""),"ves2015")</f>
        <v/>
      </c>
      <c r="B708" s="5">
        <f>IFERROR(__xludf.DUMMYFUNCTION("""COMPUTED_VALUE"""),"Вилка переносная 025 3Р+РЕ+N 32А 380В IP44")</f>
        <v/>
      </c>
      <c r="C708" s="2">
        <f>IFERROR(__xludf.DUMMYFUNCTION("""COMPUTED_VALUE"""),0.0)</f>
        <v/>
      </c>
      <c r="D708" s="2">
        <f>IFERROR(__xludf.DUMMYFUNCTION("""COMPUTED_VALUE"""),0.0)</f>
        <v/>
      </c>
      <c r="E708" s="2">
        <f>IFERROR(__xludf.DUMMYFUNCTION("""COMPUTED_VALUE"""),225.18)</f>
        <v/>
      </c>
      <c r="F708" s="2">
        <f>IFERROR(__xludf.DUMMYFUNCTION("""COMPUTED_VALUE"""),300.0)</f>
        <v/>
      </c>
      <c r="G708" s="2">
        <f>IFERROR(__xludf.DUMMYFUNCTION("""COMPUTED_VALUE"""),320.0)</f>
        <v/>
      </c>
      <c r="H708" s="2">
        <f>IFERROR(__xludf.DUMMYFUNCTION("""COMPUTED_VALUE"""),360.0)</f>
        <v/>
      </c>
      <c r="I708" s="2">
        <f>IFERROR(__xludf.DUMMYFUNCTION("""COMPUTED_VALUE"""),400.02)</f>
        <v/>
      </c>
      <c r="J708" s="2">
        <f>IFERROR(__xludf.DUMMYFUNCTION("""COMPUTED_VALUE"""),200.0)</f>
        <v/>
      </c>
      <c r="K708" s="2">
        <f>IFERROR(__xludf.DUMMYFUNCTION("""COMPUTED_VALUE"""),1.0)</f>
        <v/>
      </c>
      <c r="L708" s="2">
        <f>IFERROR(__xludf.DUMMYFUNCTION("""COMPUTED_VALUE"""),"ves2 (тендер)")</f>
        <v/>
      </c>
      <c r="M708" s="2">
        <f>IFERROR(__xludf.DUMMYFUNCTION("""COMPUTED_VALUE"""),"Прочие товары")</f>
        <v/>
      </c>
    </row>
    <row r="709">
      <c r="A709" s="5">
        <f>IFERROR(__xludf.DUMMYFUNCTION("""COMPUTED_VALUE"""),"V9048")</f>
        <v/>
      </c>
      <c r="B709" s="5">
        <f>IFERROR(__xludf.DUMMYFUNCTION("""COMPUTED_VALUE"""),"VRN-UNE-96D-G40K67-UV, 96Вт, Галочка")</f>
        <v/>
      </c>
      <c r="C709" s="2">
        <f>IFERROR(__xludf.DUMMYFUNCTION("""COMPUTED_VALUE"""),0.226)</f>
        <v/>
      </c>
      <c r="D709" s="2">
        <f>IFERROR(__xludf.DUMMYFUNCTION("""COMPUTED_VALUE"""),0.0103)</f>
        <v/>
      </c>
      <c r="E709" s="2">
        <f>IFERROR(__xludf.DUMMYFUNCTION("""COMPUTED_VALUE"""),3920.25)</f>
        <v/>
      </c>
      <c r="F709" s="2">
        <f>IFERROR(__xludf.DUMMYFUNCTION("""COMPUTED_VALUE"""),4510.0)</f>
        <v/>
      </c>
      <c r="G709" s="2">
        <f>IFERROR(__xludf.DUMMYFUNCTION("""COMPUTED_VALUE"""),5863.0)</f>
        <v/>
      </c>
      <c r="H709" s="2">
        <f>IFERROR(__xludf.DUMMYFUNCTION("""COMPUTED_VALUE"""),6156.0)</f>
        <v/>
      </c>
      <c r="I709" s="2">
        <f>IFERROR(__xludf.DUMMYFUNCTION("""COMPUTED_VALUE"""),6449.0)</f>
        <v/>
      </c>
      <c r="J709" s="2">
        <f>IFERROR(__xludf.DUMMYFUNCTION("""COMPUTED_VALUE"""),6449.0)</f>
        <v/>
      </c>
      <c r="K709" s="2">
        <f>IFERROR(__xludf.DUMMYFUNCTION("""COMPUTED_VALUE"""),15.0)</f>
        <v/>
      </c>
      <c r="L709" s="2">
        <f>IFERROR(__xludf.DUMMYFUNCTION("""COMPUTED_VALUE"""),"Универсал Эконом")</f>
        <v/>
      </c>
      <c r="M709" s="2">
        <f>IFERROR(__xludf.DUMMYFUNCTION("""COMPUTED_VALUE"""),"Для обычных дорог, Модульные, LED Светильники")</f>
        <v/>
      </c>
    </row>
    <row r="710">
      <c r="A710" s="5">
        <f>IFERROR(__xludf.DUMMYFUNCTION("""COMPUTED_VALUE"""),"4690612042565")</f>
        <v/>
      </c>
      <c r="B710" s="5">
        <f>IFERROR(__xludf.DUMMYFUNCTION("""COMPUTED_VALUE"""),"ДСП-153Н 18Вт 230В 4000К 2250Лм 125лм/Вт 600мм IP65 NEOX")</f>
        <v/>
      </c>
      <c r="C710" s="2">
        <f>IFERROR(__xludf.DUMMYFUNCTION("""COMPUTED_VALUE"""),0.17)</f>
        <v/>
      </c>
      <c r="D710" s="2">
        <f>IFERROR(__xludf.DUMMYFUNCTION("""COMPUTED_VALUE"""),0.00145)</f>
        <v/>
      </c>
      <c r="E710" s="2">
        <f>IFERROR(__xludf.DUMMYFUNCTION("""COMPUTED_VALUE"""),374.33)</f>
        <v/>
      </c>
      <c r="F710" s="2">
        <f>IFERROR(__xludf.DUMMYFUNCTION("""COMPUTED_VALUE"""),340.0)</f>
        <v/>
      </c>
      <c r="G710" s="2">
        <f>IFERROR(__xludf.DUMMYFUNCTION("""COMPUTED_VALUE"""),383.0)</f>
        <v/>
      </c>
      <c r="H710" s="2">
        <f>IFERROR(__xludf.DUMMYFUNCTION("""COMPUTED_VALUE"""),444.0)</f>
        <v/>
      </c>
      <c r="I710" s="2">
        <f>IFERROR(__xludf.DUMMYFUNCTION("""COMPUTED_VALUE"""),510.0)</f>
        <v/>
      </c>
      <c r="J710" s="2">
        <f>IFERROR(__xludf.DUMMYFUNCTION("""COMPUTED_VALUE"""),255.0)</f>
        <v/>
      </c>
      <c r="K710" s="2">
        <f>IFERROR(__xludf.DUMMYFUNCTION("""COMPUTED_VALUE"""),21.0)</f>
        <v/>
      </c>
      <c r="L710" s="2">
        <f>IFERROR(__xludf.DUMMYFUNCTION("""COMPUTED_VALUE"""),"NEOX Светильники LED ДСП")</f>
        <v/>
      </c>
      <c r="M710" s="2">
        <f>IFERROR(__xludf.DUMMYFUNCTION("""COMPUTED_VALUE"""),"Пластиковые (линейные), LED Светильники")</f>
        <v/>
      </c>
    </row>
    <row r="711">
      <c r="A711" s="5">
        <f>IFERROR(__xludf.DUMMYFUNCTION("""COMPUTED_VALUE"""),"4260652193499")</f>
        <v/>
      </c>
      <c r="B711" s="5">
        <f>IFERROR(__xludf.DUMMYFUNCTION("""COMPUTED_VALUE"""),"LCL04-18W-R21-6K-SM")</f>
        <v/>
      </c>
      <c r="C711" s="2">
        <f>IFERROR(__xludf.DUMMYFUNCTION("""COMPUTED_VALUE"""),0.215)</f>
        <v/>
      </c>
      <c r="D711" s="2">
        <f>IFERROR(__xludf.DUMMYFUNCTION("""COMPUTED_VALUE"""),0.0)</f>
        <v/>
      </c>
      <c r="E711" s="2">
        <f>IFERROR(__xludf.DUMMYFUNCTION("""COMPUTED_VALUE"""),555.38)</f>
        <v/>
      </c>
      <c r="F711" s="2">
        <f>IFERROR(__xludf.DUMMYFUNCTION("""COMPUTED_VALUE"""),537.0)</f>
        <v/>
      </c>
      <c r="G711" s="2">
        <f>IFERROR(__xludf.DUMMYFUNCTION("""COMPUTED_VALUE"""),555.0)</f>
        <v/>
      </c>
      <c r="H711" s="2">
        <f>IFERROR(__xludf.DUMMYFUNCTION("""COMPUTED_VALUE"""),728.0)</f>
        <v/>
      </c>
      <c r="I711" s="2">
        <f>IFERROR(__xludf.DUMMYFUNCTION("""COMPUTED_VALUE"""),910.0)</f>
        <v/>
      </c>
      <c r="J711" s="2">
        <f>IFERROR(__xludf.DUMMYFUNCTION("""COMPUTED_VALUE"""),455.0)</f>
        <v/>
      </c>
      <c r="K711" s="2">
        <f>IFERROR(__xludf.DUMMYFUNCTION("""COMPUTED_VALUE"""),32.0)</f>
        <v/>
      </c>
      <c r="L711" s="2">
        <f>IFERROR(__xludf.DUMMYFUNCTION("""COMPUTED_VALUE"""),"Wolta ЖКХ")</f>
        <v/>
      </c>
      <c r="M711" s="2">
        <f>IFERROR(__xludf.DUMMYFUNCTION("""COMPUTED_VALUE"""),"Для ЖКХ, дома, дачи, LED Светильники")</f>
        <v/>
      </c>
    </row>
    <row r="712">
      <c r="A712" s="5">
        <f>IFERROR(__xludf.DUMMYFUNCTION("""COMPUTED_VALUE"""),"R102823")</f>
        <v/>
      </c>
      <c r="B712" s="5">
        <f>IFERROR(__xludf.DUMMYFUNCTION("""COMPUTED_VALUE"""),"RSV-SPP-8W-6500K-IP65")</f>
        <v/>
      </c>
      <c r="C712" s="2">
        <f>IFERROR(__xludf.DUMMYFUNCTION("""COMPUTED_VALUE"""),0.175)</f>
        <v/>
      </c>
      <c r="D712" s="2">
        <f>IFERROR(__xludf.DUMMYFUNCTION("""COMPUTED_VALUE"""),0.00111)</f>
        <v/>
      </c>
      <c r="E712" s="2">
        <f>IFERROR(__xludf.DUMMYFUNCTION("""COMPUTED_VALUE"""),159.43)</f>
        <v/>
      </c>
      <c r="F712" s="2">
        <f>IFERROR(__xludf.DUMMYFUNCTION("""COMPUTED_VALUE"""),78.0)</f>
        <v/>
      </c>
      <c r="G712" s="2">
        <f>IFERROR(__xludf.DUMMYFUNCTION("""COMPUTED_VALUE"""),92.0)</f>
        <v/>
      </c>
      <c r="H712" s="2">
        <f>IFERROR(__xludf.DUMMYFUNCTION("""COMPUTED_VALUE"""),95.0)</f>
        <v/>
      </c>
      <c r="I712" s="2">
        <f>IFERROR(__xludf.DUMMYFUNCTION("""COMPUTED_VALUE"""),109.0)</f>
        <v/>
      </c>
      <c r="J712" s="2">
        <f>IFERROR(__xludf.DUMMYFUNCTION("""COMPUTED_VALUE"""),55.0)</f>
        <v/>
      </c>
      <c r="K712" s="2">
        <f>IFERROR(__xludf.DUMMYFUNCTION("""COMPUTED_VALUE"""),131.0)</f>
        <v/>
      </c>
      <c r="L712" s="2">
        <f>IFERROR(__xludf.DUMMYFUNCTION("""COMPUTED_VALUE"""),"ЖКХ светильники RSV")</f>
        <v/>
      </c>
      <c r="M712" s="2">
        <f>IFERROR(__xludf.DUMMYFUNCTION("""COMPUTED_VALUE"""),"Без датчиков, LED Светильники")</f>
        <v/>
      </c>
    </row>
    <row r="713">
      <c r="A713" s="5">
        <f>IFERROR(__xludf.DUMMYFUNCTION("""COMPUTED_VALUE"""),"R100872")</f>
        <v/>
      </c>
      <c r="B713" s="5">
        <f>IFERROR(__xludf.DUMMYFUNCTION("""COMPUTED_VALUE"""),"RSV-SWP-02-48W RGB ( с ИК пультом)")</f>
        <v/>
      </c>
      <c r="C713" s="2">
        <f>IFERROR(__xludf.DUMMYFUNCTION("""COMPUTED_VALUE"""),0.0)</f>
        <v/>
      </c>
      <c r="D713" s="2">
        <f>IFERROR(__xludf.DUMMYFUNCTION("""COMPUTED_VALUE"""),0.0)</f>
        <v/>
      </c>
      <c r="E713" s="2">
        <f>IFERROR(__xludf.DUMMYFUNCTION("""COMPUTED_VALUE"""),1724.02)</f>
        <v/>
      </c>
      <c r="F713" s="2">
        <f>IFERROR(__xludf.DUMMYFUNCTION("""COMPUTED_VALUE"""),888.0)</f>
        <v/>
      </c>
      <c r="G713" s="2">
        <f>IFERROR(__xludf.DUMMYFUNCTION("""COMPUTED_VALUE"""),1045.0)</f>
        <v/>
      </c>
      <c r="H713" s="2">
        <f>IFERROR(__xludf.DUMMYFUNCTION("""COMPUTED_VALUE"""),1077.0)</f>
        <v/>
      </c>
      <c r="I713" s="2">
        <f>IFERROR(__xludf.DUMMYFUNCTION("""COMPUTED_VALUE"""),1238.0)</f>
        <v/>
      </c>
      <c r="J713" s="2">
        <f>IFERROR(__xludf.DUMMYFUNCTION("""COMPUTED_VALUE"""),619.0)</f>
        <v/>
      </c>
      <c r="K713" s="2">
        <f>IFERROR(__xludf.DUMMYFUNCTION("""COMPUTED_VALUE"""),1.0)</f>
        <v/>
      </c>
      <c r="L713" s="2">
        <f>IFERROR(__xludf.DUMMYFUNCTION("""COMPUTED_VALUE"""),"Декоративные")</f>
        <v/>
      </c>
      <c r="M713" s="2">
        <f>IFERROR(__xludf.DUMMYFUNCTION("""COMPUTED_VALUE"""),"Светильники общего назначения (LED), Накладные, Без датчиков, LED Светильники")</f>
        <v/>
      </c>
    </row>
    <row r="714">
      <c r="A714" s="5">
        <f>IFERROR(__xludf.DUMMYFUNCTION("""COMPUTED_VALUE"""),"V13101")</f>
        <v/>
      </c>
      <c r="B714" s="5">
        <f>IFERROR(__xludf.DUMMYFUNCTION("""COMPUTED_VALUE"""),"VRN-RTL-69-8MA50K65-U, 69Вт, Универсальный")</f>
        <v/>
      </c>
      <c r="C714" s="2">
        <f>IFERROR(__xludf.DUMMYFUNCTION("""COMPUTED_VALUE"""),2.0)</f>
        <v/>
      </c>
      <c r="D714" s="2">
        <f>IFERROR(__xludf.DUMMYFUNCTION("""COMPUTED_VALUE"""),0.0196)</f>
        <v/>
      </c>
      <c r="E714" s="2">
        <f>IFERROR(__xludf.DUMMYFUNCTION("""COMPUTED_VALUE"""),3152.0)</f>
        <v/>
      </c>
      <c r="F714" s="2">
        <f>IFERROR(__xludf.DUMMYFUNCTION("""COMPUTED_VALUE"""),3465.0)</f>
        <v/>
      </c>
      <c r="G714" s="2">
        <f>IFERROR(__xludf.DUMMYFUNCTION("""COMPUTED_VALUE"""),4505.0)</f>
        <v/>
      </c>
      <c r="H714" s="2">
        <f>IFERROR(__xludf.DUMMYFUNCTION("""COMPUTED_VALUE"""),4730.0)</f>
        <v/>
      </c>
      <c r="I714" s="2">
        <f>IFERROR(__xludf.DUMMYFUNCTION("""COMPUTED_VALUE"""),4955.0)</f>
        <v/>
      </c>
      <c r="J714" s="2">
        <f>IFERROR(__xludf.DUMMYFUNCTION("""COMPUTED_VALUE"""),4955.0)</f>
        <v/>
      </c>
      <c r="K714" s="2">
        <f>IFERROR(__xludf.DUMMYFUNCTION("""COMPUTED_VALUE"""),7.0)</f>
        <v/>
      </c>
      <c r="L714" s="2">
        <f>IFERROR(__xludf.DUMMYFUNCTION("""COMPUTED_VALUE"""),"Ритейл")</f>
        <v/>
      </c>
      <c r="M714" s="2">
        <f>IFERROR(__xludf.DUMMYFUNCTION("""COMPUTED_VALUE"""),"Пластиковые (линейные), Накладные, Линейные (проходные), LED Светильники")</f>
        <v/>
      </c>
    </row>
    <row r="715">
      <c r="A715" s="5">
        <f>IFERROR(__xludf.DUMMYFUNCTION("""COMPUTED_VALUE"""),"4690612001395")</f>
        <v/>
      </c>
      <c r="B715" s="5">
        <f>IFERROR(__xludf.DUMMYFUNCTION("""COMPUTED_VALUE"""),"LP-КПТ на тросах для панели светодиодной")</f>
        <v/>
      </c>
      <c r="C715" s="2">
        <f>IFERROR(__xludf.DUMMYFUNCTION("""COMPUTED_VALUE"""),0.18833)</f>
        <v/>
      </c>
      <c r="D715" s="2">
        <f>IFERROR(__xludf.DUMMYFUNCTION("""COMPUTED_VALUE"""),1.5E-4)</f>
        <v/>
      </c>
      <c r="E715" s="2">
        <f>IFERROR(__xludf.DUMMYFUNCTION("""COMPUTED_VALUE"""),271.35)</f>
        <v/>
      </c>
      <c r="F715" s="2">
        <f>IFERROR(__xludf.DUMMYFUNCTION("""COMPUTED_VALUE"""),270.0)</f>
        <v/>
      </c>
      <c r="G715" s="2">
        <f>IFERROR(__xludf.DUMMYFUNCTION("""COMPUTED_VALUE"""),304.0)</f>
        <v/>
      </c>
      <c r="H715" s="2">
        <f>IFERROR(__xludf.DUMMYFUNCTION("""COMPUTED_VALUE"""),352.0)</f>
        <v/>
      </c>
      <c r="I715" s="2">
        <f>IFERROR(__xludf.DUMMYFUNCTION("""COMPUTED_VALUE"""),405.0)</f>
        <v/>
      </c>
      <c r="J715" s="2">
        <f>IFERROR(__xludf.DUMMYFUNCTION("""COMPUTED_VALUE"""),203.0)</f>
        <v/>
      </c>
      <c r="K715" s="2">
        <f>IFERROR(__xludf.DUMMYFUNCTION("""COMPUTED_VALUE"""),1.0)</f>
        <v/>
      </c>
      <c r="L715" s="2">
        <f>IFERROR(__xludf.DUMMYFUNCTION("""COMPUTED_VALUE"""),"ASD Комплектующие")</f>
        <v/>
      </c>
      <c r="M715" s="2">
        <f>IFERROR(__xludf.DUMMYFUNCTION("""COMPUTED_VALUE"""),"Прочие товары")</f>
        <v/>
      </c>
    </row>
    <row r="716">
      <c r="A716" s="5">
        <f>IFERROR(__xludf.DUMMYFUNCTION("""COMPUTED_VALUE"""),"GL8113")</f>
        <v/>
      </c>
      <c r="B716" s="5">
        <f>IFERROR(__xludf.DUMMYFUNCTION("""COMPUTED_VALUE"""),"GLERIO Office Casual 24 Вт 4000К 81P-24D-4V-K")</f>
        <v/>
      </c>
      <c r="C716" s="2">
        <f>IFERROR(__xludf.DUMMYFUNCTION("""COMPUTED_VALUE"""),1.04)</f>
        <v/>
      </c>
      <c r="D716" s="2">
        <f>IFERROR(__xludf.DUMMYFUNCTION("""COMPUTED_VALUE"""),0.008190000000000001)</f>
        <v/>
      </c>
      <c r="E716" s="2">
        <f>IFERROR(__xludf.DUMMYFUNCTION("""COMPUTED_VALUE"""),1464.7)</f>
        <v/>
      </c>
      <c r="F716" s="2">
        <f>IFERROR(__xludf.DUMMYFUNCTION("""COMPUTED_VALUE"""),1700.0)</f>
        <v/>
      </c>
      <c r="G716" s="2">
        <f>IFERROR(__xludf.DUMMYFUNCTION("""COMPUTED_VALUE"""),2140.0)</f>
        <v/>
      </c>
      <c r="H716" s="2">
        <f>IFERROR(__xludf.DUMMYFUNCTION("""COMPUTED_VALUE"""),2404.0)</f>
        <v/>
      </c>
      <c r="I716" s="2">
        <f>IFERROR(__xludf.DUMMYFUNCTION("""COMPUTED_VALUE"""),2667.0)</f>
        <v/>
      </c>
      <c r="J716" s="2">
        <f>IFERROR(__xludf.DUMMYFUNCTION("""COMPUTED_VALUE"""),2667.0)</f>
        <v/>
      </c>
      <c r="K716" s="2">
        <f>IFERROR(__xludf.DUMMYFUNCTION("""COMPUTED_VALUE"""),11.0)</f>
        <v/>
      </c>
      <c r="L716" s="2">
        <f>IFERROR(__xludf.DUMMYFUNCTION("""COMPUTED_VALUE"""),"Office Casual (Офис) до 10.2025")</f>
        <v/>
      </c>
      <c r="M716" s="2">
        <f>IFERROR(__xludf.DUMMYFUNCTION("""COMPUTED_VALUE"""),"Встраиваемые, Накладные, LED Светильники")</f>
        <v/>
      </c>
    </row>
    <row r="717">
      <c r="A717" s="5">
        <f>IFERROR(__xludf.DUMMYFUNCTION("""COMPUTED_VALUE"""),"12-0123-1")</f>
        <v/>
      </c>
      <c r="B717" s="5">
        <f>IFERROR(__xludf.DUMMYFUNCTION("""COMPUTED_VALUE"""),"Паяльник с керамическим нагревателем долговечное жало ПРОФИ 220 V/40 Вт REXANT")</f>
        <v/>
      </c>
      <c r="C717" s="2">
        <f>IFERROR(__xludf.DUMMYFUNCTION("""COMPUTED_VALUE"""),0.0)</f>
        <v/>
      </c>
      <c r="D717" s="2">
        <f>IFERROR(__xludf.DUMMYFUNCTION("""COMPUTED_VALUE"""),0.0)</f>
        <v/>
      </c>
      <c r="E717" s="2">
        <f>IFERROR(__xludf.DUMMYFUNCTION("""COMPUTED_VALUE"""),1.0)</f>
        <v/>
      </c>
      <c r="F717" s="2">
        <f>IFERROR(__xludf.DUMMYFUNCTION("""COMPUTED_VALUE"""),840.0)</f>
        <v/>
      </c>
      <c r="G717" s="2">
        <f>IFERROR(__xludf.DUMMYFUNCTION("""COMPUTED_VALUE"""),896.0)</f>
        <v/>
      </c>
      <c r="H717" s="2">
        <f>IFERROR(__xludf.DUMMYFUNCTION("""COMPUTED_VALUE"""),1008.0)</f>
        <v/>
      </c>
      <c r="I717" s="2">
        <f>IFERROR(__xludf.DUMMYFUNCTION("""COMPUTED_VALUE"""),1120.06)</f>
        <v/>
      </c>
      <c r="J717" s="2">
        <f>IFERROR(__xludf.DUMMYFUNCTION("""COMPUTED_VALUE"""),560.0)</f>
        <v/>
      </c>
      <c r="K717" s="2">
        <f>IFERROR(__xludf.DUMMYFUNCTION("""COMPUTED_VALUE"""),2.0)</f>
        <v/>
      </c>
      <c r="L717" s="2">
        <f>IFERROR(__xludf.DUMMYFUNCTION("""COMPUTED_VALUE"""),"Rexant")</f>
        <v/>
      </c>
      <c r="M717" s="2">
        <f>IFERROR(__xludf.DUMMYFUNCTION("""COMPUTED_VALUE"""),"Прочие товары")</f>
        <v/>
      </c>
    </row>
    <row r="718">
      <c r="A718" s="5">
        <f>IFERROR(__xludf.DUMMYFUNCTION("""COMPUTED_VALUE"""),"12-0186")</f>
        <v/>
      </c>
      <c r="B718" s="5">
        <f>IFERROR(__xludf.DUMMYFUNCTION("""COMPUTED_VALUE"""),"Набор паяльник-выжигатель (6 насадок) 220 V/30 Вт + краски REXANT")</f>
        <v/>
      </c>
      <c r="C718" s="2">
        <f>IFERROR(__xludf.DUMMYFUNCTION("""COMPUTED_VALUE"""),0.0)</f>
        <v/>
      </c>
      <c r="D718" s="2">
        <f>IFERROR(__xludf.DUMMYFUNCTION("""COMPUTED_VALUE"""),0.0)</f>
        <v/>
      </c>
      <c r="E718" s="2">
        <f>IFERROR(__xludf.DUMMYFUNCTION("""COMPUTED_VALUE"""),1.0)</f>
        <v/>
      </c>
      <c r="F718" s="2">
        <f>IFERROR(__xludf.DUMMYFUNCTION("""COMPUTED_VALUE"""),1113.0)</f>
        <v/>
      </c>
      <c r="G718" s="2">
        <f>IFERROR(__xludf.DUMMYFUNCTION("""COMPUTED_VALUE"""),1187.0)</f>
        <v/>
      </c>
      <c r="H718" s="2">
        <f>IFERROR(__xludf.DUMMYFUNCTION("""COMPUTED_VALUE"""),1335.0)</f>
        <v/>
      </c>
      <c r="I718" s="2">
        <f>IFERROR(__xludf.DUMMYFUNCTION("""COMPUTED_VALUE"""),1483.45)</f>
        <v/>
      </c>
      <c r="J718" s="2">
        <f>IFERROR(__xludf.DUMMYFUNCTION("""COMPUTED_VALUE"""),742.0)</f>
        <v/>
      </c>
      <c r="K718" s="2">
        <f>IFERROR(__xludf.DUMMYFUNCTION("""COMPUTED_VALUE"""),4.0)</f>
        <v/>
      </c>
      <c r="L718" s="2">
        <f>IFERROR(__xludf.DUMMYFUNCTION("""COMPUTED_VALUE"""),"Rexant")</f>
        <v/>
      </c>
      <c r="M718" s="2">
        <f>IFERROR(__xludf.DUMMYFUNCTION("""COMPUTED_VALUE"""),"Прочие товары")</f>
        <v/>
      </c>
    </row>
    <row r="719">
      <c r="A719" s="5">
        <f>IFERROR(__xludf.DUMMYFUNCTION("""COMPUTED_VALUE"""),"V9020")</f>
        <v/>
      </c>
      <c r="B719" s="5">
        <f>IFERROR(__xludf.DUMMYFUNCTION("""COMPUTED_VALUE"""),"VRN-UNE-80-G40K67-K, 80Вт, Консольный")</f>
        <v/>
      </c>
      <c r="C719" s="2">
        <f>IFERROR(__xludf.DUMMYFUNCTION("""COMPUTED_VALUE"""),0.064)</f>
        <v/>
      </c>
      <c r="D719" s="2">
        <f>IFERROR(__xludf.DUMMYFUNCTION("""COMPUTED_VALUE"""),0.00805)</f>
        <v/>
      </c>
      <c r="E719" s="2">
        <f>IFERROR(__xludf.DUMMYFUNCTION("""COMPUTED_VALUE"""),3405.06)</f>
        <v/>
      </c>
      <c r="F719" s="2">
        <f>IFERROR(__xludf.DUMMYFUNCTION("""COMPUTED_VALUE"""),3925.0)</f>
        <v/>
      </c>
      <c r="G719" s="2">
        <f>IFERROR(__xludf.DUMMYFUNCTION("""COMPUTED_VALUE"""),5103.0)</f>
        <v/>
      </c>
      <c r="H719" s="2">
        <f>IFERROR(__xludf.DUMMYFUNCTION("""COMPUTED_VALUE"""),5358.0)</f>
        <v/>
      </c>
      <c r="I719" s="2">
        <f>IFERROR(__xludf.DUMMYFUNCTION("""COMPUTED_VALUE"""),5613.0)</f>
        <v/>
      </c>
      <c r="J719" s="2">
        <f>IFERROR(__xludf.DUMMYFUNCTION("""COMPUTED_VALUE"""),2807.0)</f>
        <v/>
      </c>
      <c r="K719" s="2">
        <f>IFERROR(__xludf.DUMMYFUNCTION("""COMPUTED_VALUE"""),8.0)</f>
        <v/>
      </c>
      <c r="L719" s="2">
        <f>IFERROR(__xludf.DUMMYFUNCTION("""COMPUTED_VALUE"""),"Универсал Эконом")</f>
        <v/>
      </c>
      <c r="M719" s="2">
        <f>IFERROR(__xludf.DUMMYFUNCTION("""COMPUTED_VALUE"""),"Для обычных дорог, LED Светильники")</f>
        <v/>
      </c>
    </row>
    <row r="720">
      <c r="A720" s="5">
        <f>IFERROR(__xludf.DUMMYFUNCTION("""COMPUTED_VALUE"""),"4690612044224")</f>
        <v/>
      </c>
      <c r="B720" s="5">
        <f>IFERROR(__xludf.DUMMYFUNCTION("""COMPUTED_VALUE"""),"GX53R-standard RBM-10PACK под GX53 черный матовый (10 шт./упак.) IN HOME")</f>
        <v/>
      </c>
      <c r="C720" s="2">
        <f>IFERROR(__xludf.DUMMYFUNCTION("""COMPUTED_VALUE"""),0.65)</f>
        <v/>
      </c>
      <c r="D720" s="2">
        <f>IFERROR(__xludf.DUMMYFUNCTION("""COMPUTED_VALUE"""),4.4E-4)</f>
        <v/>
      </c>
      <c r="E720" s="2">
        <f>IFERROR(__xludf.DUMMYFUNCTION("""COMPUTED_VALUE"""),426.84)</f>
        <v/>
      </c>
      <c r="F720" s="2">
        <f>IFERROR(__xludf.DUMMYFUNCTION("""COMPUTED_VALUE"""),515.0)</f>
        <v/>
      </c>
      <c r="G720" s="2">
        <f>IFERROR(__xludf.DUMMYFUNCTION("""COMPUTED_VALUE"""),579.0)</f>
        <v/>
      </c>
      <c r="H720" s="2">
        <f>IFERROR(__xludf.DUMMYFUNCTION("""COMPUTED_VALUE"""),672.0)</f>
        <v/>
      </c>
      <c r="I720" s="2">
        <f>IFERROR(__xludf.DUMMYFUNCTION("""COMPUTED_VALUE"""),772.0)</f>
        <v/>
      </c>
      <c r="J720" s="2">
        <f>IFERROR(__xludf.DUMMYFUNCTION("""COMPUTED_VALUE"""),386.0)</f>
        <v/>
      </c>
      <c r="K720" s="2">
        <f>IFERROR(__xludf.DUMMYFUNCTION("""COMPUTED_VALUE"""),9.0)</f>
        <v/>
      </c>
      <c r="L720" s="2">
        <f>IFERROR(__xludf.DUMMYFUNCTION("""COMPUTED_VALUE"""),"Под лампу GX53")</f>
        <v/>
      </c>
      <c r="M720" s="2">
        <f>IFERROR(__xludf.DUMMYFUNCTION("""COMPUTED_VALUE"""),"Ламповые светильники")</f>
        <v/>
      </c>
    </row>
    <row r="721">
      <c r="A721" s="5">
        <f>IFERROR(__xludf.DUMMYFUNCTION("""COMPUTED_VALUE"""),"R100006")</f>
        <v/>
      </c>
      <c r="B721" s="5">
        <f>IFERROR(__xludf.DUMMYFUNCTION("""COMPUTED_VALUE"""),"RSV-SPP-12W-4000K-IP65 Oval")</f>
        <v/>
      </c>
      <c r="C721" s="2">
        <f>IFERROR(__xludf.DUMMYFUNCTION("""COMPUTED_VALUE"""),0.14)</f>
        <v/>
      </c>
      <c r="D721" s="2">
        <f>IFERROR(__xludf.DUMMYFUNCTION("""COMPUTED_VALUE"""),6.8E-4)</f>
        <v/>
      </c>
      <c r="E721" s="2">
        <f>IFERROR(__xludf.DUMMYFUNCTION("""COMPUTED_VALUE"""),190.37)</f>
        <v/>
      </c>
      <c r="F721" s="2">
        <f>IFERROR(__xludf.DUMMYFUNCTION("""COMPUTED_VALUE"""),139.0)</f>
        <v/>
      </c>
      <c r="G721" s="2">
        <f>IFERROR(__xludf.DUMMYFUNCTION("""COMPUTED_VALUE"""),164.0)</f>
        <v/>
      </c>
      <c r="H721" s="2">
        <f>IFERROR(__xludf.DUMMYFUNCTION("""COMPUTED_VALUE"""),169.0)</f>
        <v/>
      </c>
      <c r="I721" s="2">
        <f>IFERROR(__xludf.DUMMYFUNCTION("""COMPUTED_VALUE"""),194.0)</f>
        <v/>
      </c>
      <c r="J721" s="2">
        <f>IFERROR(__xludf.DUMMYFUNCTION("""COMPUTED_VALUE"""),164.0)</f>
        <v/>
      </c>
      <c r="K721" s="2">
        <f>IFERROR(__xludf.DUMMYFUNCTION("""COMPUTED_VALUE"""),152.0)</f>
        <v/>
      </c>
      <c r="L721" s="2">
        <f>IFERROR(__xludf.DUMMYFUNCTION("""COMPUTED_VALUE"""),"ЖКХ светильники RSV")</f>
        <v/>
      </c>
      <c r="M721" s="2">
        <f>IFERROR(__xludf.DUMMYFUNCTION("""COMPUTED_VALUE"""),"Без датчиков, LED Светильники")</f>
        <v/>
      </c>
    </row>
    <row r="722">
      <c r="A722" s="5">
        <f>IFERROR(__xludf.DUMMYFUNCTION("""COMPUTED_VALUE"""),"4690612013299")</f>
        <v/>
      </c>
      <c r="B722" s="5">
        <f>IFERROR(__xludf.DUMMYFUNCTION("""COMPUTED_VALUE"""),"ЗБ-1 32 мелодии 120м с цифр. кодир. с кнопкой БЕЛЫЙ IN HOME")</f>
        <v/>
      </c>
      <c r="C722" s="2">
        <f>IFERROR(__xludf.DUMMYFUNCTION("""COMPUTED_VALUE"""),0.13)</f>
        <v/>
      </c>
      <c r="D722" s="2">
        <f>IFERROR(__xludf.DUMMYFUNCTION("""COMPUTED_VALUE"""),6.7E-4)</f>
        <v/>
      </c>
      <c r="E722" s="2">
        <f>IFERROR(__xludf.DUMMYFUNCTION("""COMPUTED_VALUE"""),253.73)</f>
        <v/>
      </c>
      <c r="F722" s="2">
        <f>IFERROR(__xludf.DUMMYFUNCTION("""COMPUTED_VALUE"""),429.0)</f>
        <v/>
      </c>
      <c r="G722" s="2">
        <f>IFERROR(__xludf.DUMMYFUNCTION("""COMPUTED_VALUE"""),483.0)</f>
        <v/>
      </c>
      <c r="H722" s="2">
        <f>IFERROR(__xludf.DUMMYFUNCTION("""COMPUTED_VALUE"""),560.0)</f>
        <v/>
      </c>
      <c r="I722" s="2">
        <f>IFERROR(__xludf.DUMMYFUNCTION("""COMPUTED_VALUE"""),644.0)</f>
        <v/>
      </c>
      <c r="J722" s="2">
        <f>IFERROR(__xludf.DUMMYFUNCTION("""COMPUTED_VALUE"""),322.0)</f>
        <v/>
      </c>
      <c r="K722" s="2">
        <f>IFERROR(__xludf.DUMMYFUNCTION("""COMPUTED_VALUE"""),1.0)</f>
        <v/>
      </c>
      <c r="L722" s="2">
        <f>IFERROR(__xludf.DUMMYFUNCTION("""COMPUTED_VALUE"""),"Звонки")</f>
        <v/>
      </c>
      <c r="M722" s="2">
        <f>IFERROR(__xludf.DUMMYFUNCTION("""COMPUTED_VALUE"""),"Прочие товары")</f>
        <v/>
      </c>
    </row>
    <row r="723">
      <c r="A723" s="5">
        <f>IFERROR(__xludf.DUMMYFUNCTION("""COMPUTED_VALUE"""),"4690612036571")</f>
        <v/>
      </c>
      <c r="B723" s="5">
        <f>IFERROR(__xludf.DUMMYFUNCTION("""COMPUTED_VALUE"""),"ССО 09Б 12Вт 3000-6500К 600Лм сенсор-диммер, с беспр. зарядкой для тел, с адаптером БЕЛЫЙ IN HOME")</f>
        <v/>
      </c>
      <c r="C723" s="2">
        <f>IFERROR(__xludf.DUMMYFUNCTION("""COMPUTED_VALUE"""),0.6900000000000001)</f>
        <v/>
      </c>
      <c r="D723" s="2">
        <f>IFERROR(__xludf.DUMMYFUNCTION("""COMPUTED_VALUE"""),0.00367)</f>
        <v/>
      </c>
      <c r="E723" s="2">
        <f>IFERROR(__xludf.DUMMYFUNCTION("""COMPUTED_VALUE"""),971.52)</f>
        <v/>
      </c>
      <c r="F723" s="2">
        <f>IFERROR(__xludf.DUMMYFUNCTION("""COMPUTED_VALUE"""),1139.0)</f>
        <v/>
      </c>
      <c r="G723" s="2">
        <f>IFERROR(__xludf.DUMMYFUNCTION("""COMPUTED_VALUE"""),1282.0)</f>
        <v/>
      </c>
      <c r="H723" s="2">
        <f>IFERROR(__xludf.DUMMYFUNCTION("""COMPUTED_VALUE"""),1487.0)</f>
        <v/>
      </c>
      <c r="I723" s="2">
        <f>IFERROR(__xludf.DUMMYFUNCTION("""COMPUTED_VALUE"""),1709.0)</f>
        <v/>
      </c>
      <c r="J723" s="2">
        <f>IFERROR(__xludf.DUMMYFUNCTION("""COMPUTED_VALUE"""),855.0)</f>
        <v/>
      </c>
      <c r="K723" s="2">
        <f>IFERROR(__xludf.DUMMYFUNCTION("""COMPUTED_VALUE"""),4.0)</f>
        <v/>
      </c>
      <c r="L723" s="2">
        <f>IFERROR(__xludf.DUMMYFUNCTION("""COMPUTED_VALUE"""),"Светильники настольные светодиодные")</f>
        <v/>
      </c>
      <c r="M723" s="2">
        <f>IFERROR(__xludf.DUMMYFUNCTION("""COMPUTED_VALUE"""),"Светильники общего назначения (LED), Декоративные, LED Светильники")</f>
        <v/>
      </c>
    </row>
    <row r="724">
      <c r="A724" s="5">
        <f>IFERROR(__xludf.DUMMYFUNCTION("""COMPUTED_VALUE"""),"4260652193451")</f>
        <v/>
      </c>
      <c r="B724" s="5">
        <f>IFERROR(__xludf.DUMMYFUNCTION("""COMPUTED_VALUE"""),"LCL04-18W-R01-6K")</f>
        <v/>
      </c>
      <c r="C724" s="2">
        <f>IFERROR(__xludf.DUMMYFUNCTION("""COMPUTED_VALUE"""),0.146)</f>
        <v/>
      </c>
      <c r="D724" s="2">
        <f>IFERROR(__xludf.DUMMYFUNCTION("""COMPUTED_VALUE"""),0.08176000000000001)</f>
        <v/>
      </c>
      <c r="E724" s="2">
        <f>IFERROR(__xludf.DUMMYFUNCTION("""COMPUTED_VALUE"""),261.0)</f>
        <v/>
      </c>
      <c r="F724" s="2">
        <f>IFERROR(__xludf.DUMMYFUNCTION("""COMPUTED_VALUE"""),317.0)</f>
        <v/>
      </c>
      <c r="G724" s="2">
        <f>IFERROR(__xludf.DUMMYFUNCTION("""COMPUTED_VALUE"""),328.0)</f>
        <v/>
      </c>
      <c r="H724" s="2">
        <f>IFERROR(__xludf.DUMMYFUNCTION("""COMPUTED_VALUE"""),430.0)</f>
        <v/>
      </c>
      <c r="I724" s="2">
        <f>IFERROR(__xludf.DUMMYFUNCTION("""COMPUTED_VALUE"""),538.0)</f>
        <v/>
      </c>
      <c r="J724" s="2">
        <f>IFERROR(__xludf.DUMMYFUNCTION("""COMPUTED_VALUE"""),269.0)</f>
        <v/>
      </c>
      <c r="K724" s="2">
        <f>IFERROR(__xludf.DUMMYFUNCTION("""COMPUTED_VALUE"""),31.0)</f>
        <v/>
      </c>
      <c r="L724" s="2">
        <f>IFERROR(__xludf.DUMMYFUNCTION("""COMPUTED_VALUE"""),"Wolta ЖКХ")</f>
        <v/>
      </c>
      <c r="M724" s="2">
        <f>IFERROR(__xludf.DUMMYFUNCTION("""COMPUTED_VALUE"""),"Для ЖКХ, дома, дачи, LED Светильники")</f>
        <v/>
      </c>
    </row>
    <row r="725">
      <c r="A725" s="5">
        <f>IFERROR(__xludf.DUMMYFUNCTION("""COMPUTED_VALUE"""),"4690612007298")</f>
        <v/>
      </c>
      <c r="B725" s="5">
        <f>IFERROR(__xludf.DUMMYFUNCTION("""COMPUTED_VALUE"""),"LED-JCDR-ECO 7Вт 230В GU5.3 4000К 525Лм (5шт в упаковке) IN HOME")</f>
        <v/>
      </c>
      <c r="C725" s="2">
        <f>IFERROR(__xludf.DUMMYFUNCTION("""COMPUTED_VALUE"""),0.19)</f>
        <v/>
      </c>
      <c r="D725" s="2">
        <f>IFERROR(__xludf.DUMMYFUNCTION("""COMPUTED_VALUE"""),7.5E-4)</f>
        <v/>
      </c>
      <c r="E725" s="2">
        <f>IFERROR(__xludf.DUMMYFUNCTION("""COMPUTED_VALUE"""),240.76)</f>
        <v/>
      </c>
      <c r="F725" s="2">
        <f>IFERROR(__xludf.DUMMYFUNCTION("""COMPUTED_VALUE"""),1.0)</f>
        <v/>
      </c>
      <c r="G725" s="2">
        <f>IFERROR(__xludf.DUMMYFUNCTION("""COMPUTED_VALUE"""),1.0)</f>
        <v/>
      </c>
      <c r="H725" s="2">
        <f>IFERROR(__xludf.DUMMYFUNCTION("""COMPUTED_VALUE"""),1.0)</f>
        <v/>
      </c>
      <c r="I725" s="2">
        <f>IFERROR(__xludf.DUMMYFUNCTION("""COMPUTED_VALUE"""),1.5)</f>
        <v/>
      </c>
      <c r="J725" s="2">
        <f>IFERROR(__xludf.DUMMYFUNCTION("""COMPUTED_VALUE"""),1.5)</f>
        <v/>
      </c>
      <c r="K725" s="2">
        <f>IFERROR(__xludf.DUMMYFUNCTION("""COMPUTED_VALUE"""),2.0)</f>
        <v/>
      </c>
      <c r="L725" s="2">
        <f>IFERROR(__xludf.DUMMYFUNCTION("""COMPUTED_VALUE"""),"Лампа светодиодная LED-JCDR-standard")</f>
        <v/>
      </c>
      <c r="M725" s="2">
        <f>IFERROR(__xludf.DUMMYFUNCTION("""COMPUTED_VALUE"""),"Лампы")</f>
        <v/>
      </c>
    </row>
    <row r="726">
      <c r="A726" s="5">
        <f>IFERROR(__xludf.DUMMYFUNCTION("""COMPUTED_VALUE"""),"4690612030814")</f>
        <v/>
      </c>
      <c r="B726" s="5">
        <f>IFERROR(__xludf.DUMMYFUNCTION("""COMPUTED_VALUE"""),"LED-GX53-VC 6Вт 230В 6500К 570Лм IN HOME")</f>
        <v/>
      </c>
      <c r="C726" s="2">
        <f>IFERROR(__xludf.DUMMYFUNCTION("""COMPUTED_VALUE"""),0.033)</f>
        <v/>
      </c>
      <c r="D726" s="2">
        <f>IFERROR(__xludf.DUMMYFUNCTION("""COMPUTED_VALUE"""),2.1E-4)</f>
        <v/>
      </c>
      <c r="E726" s="2">
        <f>IFERROR(__xludf.DUMMYFUNCTION("""COMPUTED_VALUE"""),32.4)</f>
        <v/>
      </c>
      <c r="F726" s="2">
        <f>IFERROR(__xludf.DUMMYFUNCTION("""COMPUTED_VALUE"""),36.0)</f>
        <v/>
      </c>
      <c r="G726" s="2">
        <f>IFERROR(__xludf.DUMMYFUNCTION("""COMPUTED_VALUE"""),41.0)</f>
        <v/>
      </c>
      <c r="H726" s="2">
        <f>IFERROR(__xludf.DUMMYFUNCTION("""COMPUTED_VALUE"""),47.0)</f>
        <v/>
      </c>
      <c r="I726" s="2">
        <f>IFERROR(__xludf.DUMMYFUNCTION("""COMPUTED_VALUE"""),54.5)</f>
        <v/>
      </c>
      <c r="J726" s="2">
        <f>IFERROR(__xludf.DUMMYFUNCTION("""COMPUTED_VALUE"""),27.0)</f>
        <v/>
      </c>
      <c r="K726" s="2">
        <f>IFERROR(__xludf.DUMMYFUNCTION("""COMPUTED_VALUE"""),63.0)</f>
        <v/>
      </c>
      <c r="L726" s="2">
        <f>IFERROR(__xludf.DUMMYFUNCTION("""COMPUTED_VALUE"""),"Лампа светодиодная LED-GX53-standard")</f>
        <v/>
      </c>
      <c r="M726" s="2">
        <f>IFERROR(__xludf.DUMMYFUNCTION("""COMPUTED_VALUE"""),"Лампы")</f>
        <v/>
      </c>
    </row>
    <row r="727">
      <c r="A727" s="5">
        <f>IFERROR(__xludf.DUMMYFUNCTION("""COMPUTED_VALUE"""),"4680005959754")</f>
        <v/>
      </c>
      <c r="B727" s="5">
        <f>IFERROR(__xludf.DUMMYFUNCTION("""COMPUTED_VALUE"""),"BOLLETO Выключатель белый накладной 7121 IN HOME")</f>
        <v/>
      </c>
      <c r="C727" s="2">
        <f>IFERROR(__xludf.DUMMYFUNCTION("""COMPUTED_VALUE"""),0.05)</f>
        <v/>
      </c>
      <c r="D727" s="2">
        <f>IFERROR(__xludf.DUMMYFUNCTION("""COMPUTED_VALUE"""),2.5E-4)</f>
        <v/>
      </c>
      <c r="E727" s="2">
        <f>IFERROR(__xludf.DUMMYFUNCTION("""COMPUTED_VALUE"""),50.35)</f>
        <v/>
      </c>
      <c r="F727" s="2">
        <f>IFERROR(__xludf.DUMMYFUNCTION("""COMPUTED_VALUE"""),56.0)</f>
        <v/>
      </c>
      <c r="G727" s="2">
        <f>IFERROR(__xludf.DUMMYFUNCTION("""COMPUTED_VALUE"""),64.0)</f>
        <v/>
      </c>
      <c r="H727" s="2">
        <f>IFERROR(__xludf.DUMMYFUNCTION("""COMPUTED_VALUE"""),74.0)</f>
        <v/>
      </c>
      <c r="I727" s="2">
        <f>IFERROR(__xludf.DUMMYFUNCTION("""COMPUTED_VALUE"""),85.0)</f>
        <v/>
      </c>
      <c r="J727" s="2">
        <f>IFERROR(__xludf.DUMMYFUNCTION("""COMPUTED_VALUE"""),64.0)</f>
        <v/>
      </c>
      <c r="K727" s="2">
        <f>IFERROR(__xludf.DUMMYFUNCTION("""COMPUTED_VALUE"""),7.0)</f>
        <v/>
      </c>
      <c r="L727" s="2">
        <f>IFERROR(__xludf.DUMMYFUNCTION("""COMPUTED_VALUE"""),"Выключатель")</f>
        <v/>
      </c>
      <c r="M727" s="2">
        <f>IFERROR(__xludf.DUMMYFUNCTION("""COMPUTED_VALUE"""),"Прочие товары")</f>
        <v/>
      </c>
    </row>
    <row r="728">
      <c r="A728" s="5">
        <f>IFERROR(__xludf.DUMMYFUNCTION("""COMPUTED_VALUE"""),"ves2011")</f>
        <v/>
      </c>
      <c r="B728" s="5">
        <f>IFERROR(__xludf.DUMMYFUNCTION("""COMPUTED_VALUE"""),"Вилка переносная SBE-32-PP3-220")</f>
        <v/>
      </c>
      <c r="C728" s="2">
        <f>IFERROR(__xludf.DUMMYFUNCTION("""COMPUTED_VALUE"""),0.0)</f>
        <v/>
      </c>
      <c r="D728" s="2">
        <f>IFERROR(__xludf.DUMMYFUNCTION("""COMPUTED_VALUE"""),0.0)</f>
        <v/>
      </c>
      <c r="E728" s="2">
        <f>IFERROR(__xludf.DUMMYFUNCTION("""COMPUTED_VALUE"""),181.21)</f>
        <v/>
      </c>
      <c r="F728" s="2">
        <f>IFERROR(__xludf.DUMMYFUNCTION("""COMPUTED_VALUE"""),260.0)</f>
        <v/>
      </c>
      <c r="G728" s="2">
        <f>IFERROR(__xludf.DUMMYFUNCTION("""COMPUTED_VALUE"""),277.0)</f>
        <v/>
      </c>
      <c r="H728" s="2">
        <f>IFERROR(__xludf.DUMMYFUNCTION("""COMPUTED_VALUE"""),312.0)</f>
        <v/>
      </c>
      <c r="I728" s="2">
        <f>IFERROR(__xludf.DUMMYFUNCTION("""COMPUTED_VALUE"""),346.56)</f>
        <v/>
      </c>
      <c r="J728" s="2">
        <f>IFERROR(__xludf.DUMMYFUNCTION("""COMPUTED_VALUE"""),173.0)</f>
        <v/>
      </c>
      <c r="K728" s="2">
        <f>IFERROR(__xludf.DUMMYFUNCTION("""COMPUTED_VALUE"""),4.0)</f>
        <v/>
      </c>
      <c r="L728" s="2">
        <f>IFERROR(__xludf.DUMMYFUNCTION("""COMPUTED_VALUE"""),"ves2 (тендер)")</f>
        <v/>
      </c>
      <c r="M728" s="2">
        <f>IFERROR(__xludf.DUMMYFUNCTION("""COMPUTED_VALUE"""),"Прочие товары")</f>
        <v/>
      </c>
    </row>
    <row r="729">
      <c r="A729" s="5">
        <f>IFERROR(__xludf.DUMMYFUNCTION("""COMPUTED_VALUE"""),"12-0183-1")</f>
        <v/>
      </c>
      <c r="B729" s="5">
        <f>IFERROR(__xludf.DUMMYFUNCTION("""COMPUTED_VALUE"""),"Набор паяльник-выжигатель (19 насадок) ПРОФИ 220 V/30 Вт REXANT")</f>
        <v/>
      </c>
      <c r="C729" s="2">
        <f>IFERROR(__xludf.DUMMYFUNCTION("""COMPUTED_VALUE"""),0.0)</f>
        <v/>
      </c>
      <c r="D729" s="2">
        <f>IFERROR(__xludf.DUMMYFUNCTION("""COMPUTED_VALUE"""),0.0)</f>
        <v/>
      </c>
      <c r="E729" s="2">
        <f>IFERROR(__xludf.DUMMYFUNCTION("""COMPUTED_VALUE"""),1.0)</f>
        <v/>
      </c>
      <c r="F729" s="2">
        <f>IFERROR(__xludf.DUMMYFUNCTION("""COMPUTED_VALUE"""),1343.0)</f>
        <v/>
      </c>
      <c r="G729" s="2">
        <f>IFERROR(__xludf.DUMMYFUNCTION("""COMPUTED_VALUE"""),1432.0)</f>
        <v/>
      </c>
      <c r="H729" s="2">
        <f>IFERROR(__xludf.DUMMYFUNCTION("""COMPUTED_VALUE"""),1611.0)</f>
        <v/>
      </c>
      <c r="I729" s="2">
        <f>IFERROR(__xludf.DUMMYFUNCTION("""COMPUTED_VALUE"""),1790.21)</f>
        <v/>
      </c>
      <c r="J729" s="2">
        <f>IFERROR(__xludf.DUMMYFUNCTION("""COMPUTED_VALUE"""),895.0)</f>
        <v/>
      </c>
      <c r="K729" s="2">
        <f>IFERROR(__xludf.DUMMYFUNCTION("""COMPUTED_VALUE"""),1.0)</f>
        <v/>
      </c>
      <c r="L729" s="2">
        <f>IFERROR(__xludf.DUMMYFUNCTION("""COMPUTED_VALUE"""),"Rexant")</f>
        <v/>
      </c>
      <c r="M729" s="2">
        <f>IFERROR(__xludf.DUMMYFUNCTION("""COMPUTED_VALUE"""),"Прочие товары")</f>
        <v/>
      </c>
    </row>
    <row r="730">
      <c r="A730" s="5">
        <f>IFERROR(__xludf.DUMMYFUNCTION("""COMPUTED_VALUE"""),"4690612013480")</f>
        <v/>
      </c>
      <c r="B730" s="5">
        <f>IFERROR(__xludf.DUMMYFUNCTION("""COMPUTED_VALUE"""),"ССО 02Ч 10Вт 4000К 625Лм сенсор-диммер, с адаптером ЧЕРНЫЙ IN HOME")</f>
        <v/>
      </c>
      <c r="C730" s="2">
        <f>IFERROR(__xludf.DUMMYFUNCTION("""COMPUTED_VALUE"""),0.65)</f>
        <v/>
      </c>
      <c r="D730" s="2">
        <f>IFERROR(__xludf.DUMMYFUNCTION("""COMPUTED_VALUE"""),0.004500000000000001)</f>
        <v/>
      </c>
      <c r="E730" s="2">
        <f>IFERROR(__xludf.DUMMYFUNCTION("""COMPUTED_VALUE"""),678.0)</f>
        <v/>
      </c>
      <c r="F730" s="2">
        <f>IFERROR(__xludf.DUMMYFUNCTION("""COMPUTED_VALUE"""),986.0)</f>
        <v/>
      </c>
      <c r="G730" s="2">
        <f>IFERROR(__xludf.DUMMYFUNCTION("""COMPUTED_VALUE"""),1110.0)</f>
        <v/>
      </c>
      <c r="H730" s="2">
        <f>IFERROR(__xludf.DUMMYFUNCTION("""COMPUTED_VALUE"""),1287.0)</f>
        <v/>
      </c>
      <c r="I730" s="2">
        <f>IFERROR(__xludf.DUMMYFUNCTION("""COMPUTED_VALUE"""),1480.0)</f>
        <v/>
      </c>
      <c r="J730" s="2">
        <f>IFERROR(__xludf.DUMMYFUNCTION("""COMPUTED_VALUE"""),740.0)</f>
        <v/>
      </c>
      <c r="K730" s="2">
        <f>IFERROR(__xludf.DUMMYFUNCTION("""COMPUTED_VALUE"""),1.0)</f>
        <v/>
      </c>
      <c r="L730" s="2">
        <f>IFERROR(__xludf.DUMMYFUNCTION("""COMPUTED_VALUE"""),"Светильники настольные светодиодные")</f>
        <v/>
      </c>
      <c r="M730" s="2">
        <f>IFERROR(__xludf.DUMMYFUNCTION("""COMPUTED_VALUE"""),"Светильники общего назначения (LED), Декоративные, LED Светильники")</f>
        <v/>
      </c>
    </row>
    <row r="731">
      <c r="A731" s="5">
        <f>IFERROR(__xludf.DUMMYFUNCTION("""COMPUTED_VALUE"""),"4690612013497")</f>
        <v/>
      </c>
      <c r="B731" s="5">
        <f>IFERROR(__xludf.DUMMYFUNCTION("""COMPUTED_VALUE"""),"ССО-03Б 9Вт сенсор-диммер ночник адаптер БЕЛЫЙ IN HOME")</f>
        <v/>
      </c>
      <c r="C731" s="2">
        <f>IFERROR(__xludf.DUMMYFUNCTION("""COMPUTED_VALUE"""),0.62)</f>
        <v/>
      </c>
      <c r="D731" s="2">
        <f>IFERROR(__xludf.DUMMYFUNCTION("""COMPUTED_VALUE"""),0.004500000000000001)</f>
        <v/>
      </c>
      <c r="E731" s="2">
        <f>IFERROR(__xludf.DUMMYFUNCTION("""COMPUTED_VALUE"""),1090.33)</f>
        <v/>
      </c>
      <c r="F731" s="2">
        <f>IFERROR(__xludf.DUMMYFUNCTION("""COMPUTED_VALUE"""),813.0)</f>
        <v/>
      </c>
      <c r="G731" s="2">
        <f>IFERROR(__xludf.DUMMYFUNCTION("""COMPUTED_VALUE"""),915.0)</f>
        <v/>
      </c>
      <c r="H731" s="2">
        <f>IFERROR(__xludf.DUMMYFUNCTION("""COMPUTED_VALUE"""),1061.0)</f>
        <v/>
      </c>
      <c r="I731" s="2">
        <f>IFERROR(__xludf.DUMMYFUNCTION("""COMPUTED_VALUE"""),1220.0)</f>
        <v/>
      </c>
      <c r="J731" s="2">
        <f>IFERROR(__xludf.DUMMYFUNCTION("""COMPUTED_VALUE"""),610.0)</f>
        <v/>
      </c>
      <c r="K731" s="2">
        <f>IFERROR(__xludf.DUMMYFUNCTION("""COMPUTED_VALUE"""),6.0)</f>
        <v/>
      </c>
      <c r="L731" s="2">
        <f>IFERROR(__xludf.DUMMYFUNCTION("""COMPUTED_VALUE"""),"Светильники настольные светодиодные")</f>
        <v/>
      </c>
      <c r="M731" s="2">
        <f>IFERROR(__xludf.DUMMYFUNCTION("""COMPUTED_VALUE"""),"Светильники общего назначения (LED), Декоративные, LED Светильники")</f>
        <v/>
      </c>
    </row>
    <row r="732">
      <c r="A732" s="5">
        <f>IFERROR(__xludf.DUMMYFUNCTION("""COMPUTED_VALUE"""),"GL81211")</f>
        <v/>
      </c>
      <c r="B732" s="5">
        <f>IFERROR(__xludf.DUMMYFUNCTION("""COMPUTED_VALUE"""),"GLERIO Office Casual 30 Вт 4000K 81P-30D-4V-P")</f>
        <v/>
      </c>
      <c r="C732" s="2">
        <f>IFERROR(__xludf.DUMMYFUNCTION("""COMPUTED_VALUE"""),1.14)</f>
        <v/>
      </c>
      <c r="D732" s="2">
        <f>IFERROR(__xludf.DUMMYFUNCTION("""COMPUTED_VALUE"""),0.008190000000000001)</f>
        <v/>
      </c>
      <c r="E732" s="2">
        <f>IFERROR(__xludf.DUMMYFUNCTION("""COMPUTED_VALUE"""),2095.2)</f>
        <v/>
      </c>
      <c r="F732" s="2">
        <f>IFERROR(__xludf.DUMMYFUNCTION("""COMPUTED_VALUE"""),2420.0)</f>
        <v/>
      </c>
      <c r="G732" s="2">
        <f>IFERROR(__xludf.DUMMYFUNCTION("""COMPUTED_VALUE"""),3047.0)</f>
        <v/>
      </c>
      <c r="H732" s="2">
        <f>IFERROR(__xludf.DUMMYFUNCTION("""COMPUTED_VALUE"""),3422.0)</f>
        <v/>
      </c>
      <c r="I732" s="2">
        <f>IFERROR(__xludf.DUMMYFUNCTION("""COMPUTED_VALUE"""),3796.0)</f>
        <v/>
      </c>
      <c r="J732" s="2">
        <f>IFERROR(__xludf.DUMMYFUNCTION("""COMPUTED_VALUE"""),3047.0)</f>
        <v/>
      </c>
      <c r="K732" s="2">
        <f>IFERROR(__xludf.DUMMYFUNCTION("""COMPUTED_VALUE"""),25.0)</f>
        <v/>
      </c>
      <c r="L732" s="2">
        <f>IFERROR(__xludf.DUMMYFUNCTION("""COMPUTED_VALUE"""),"Office Casual+ GLERIO (Офис)")</f>
        <v/>
      </c>
      <c r="M732" s="2">
        <f>IFERROR(__xludf.DUMMYFUNCTION("""COMPUTED_VALUE"""),"С равномерной засветкой, LED Светильники")</f>
        <v/>
      </c>
    </row>
    <row r="733">
      <c r="A733" s="5">
        <f>IFERROR(__xludf.DUMMYFUNCTION("""COMPUTED_VALUE"""),"4690626052659")</f>
        <v/>
      </c>
      <c r="B733" s="5">
        <f>IFERROR(__xludf.DUMMYFUNCTION("""COMPUTED_VALUE"""),"SBL-P45-9_5-40K-E14")</f>
        <v/>
      </c>
      <c r="C733" s="2">
        <f>IFERROR(__xludf.DUMMYFUNCTION("""COMPUTED_VALUE"""),0.035)</f>
        <v/>
      </c>
      <c r="D733" s="2">
        <f>IFERROR(__xludf.DUMMYFUNCTION("""COMPUTED_VALUE"""),2.5E-4)</f>
        <v/>
      </c>
      <c r="E733" s="2">
        <f>IFERROR(__xludf.DUMMYFUNCTION("""COMPUTED_VALUE"""),44.98)</f>
        <v/>
      </c>
      <c r="F733" s="2">
        <f>IFERROR(__xludf.DUMMYFUNCTION("""COMPUTED_VALUE"""),47.0)</f>
        <v/>
      </c>
      <c r="G733" s="2">
        <f>IFERROR(__xludf.DUMMYFUNCTION("""COMPUTED_VALUE"""),52.0)</f>
        <v/>
      </c>
      <c r="H733" s="2">
        <f>IFERROR(__xludf.DUMMYFUNCTION("""COMPUTED_VALUE"""),57.0)</f>
        <v/>
      </c>
      <c r="I733" s="2">
        <f>IFERROR(__xludf.DUMMYFUNCTION("""COMPUTED_VALUE"""),63.0)</f>
        <v/>
      </c>
      <c r="J733" s="2">
        <f>IFERROR(__xludf.DUMMYFUNCTION("""COMPUTED_VALUE"""),32.0)</f>
        <v/>
      </c>
      <c r="K733" s="2">
        <f>IFERROR(__xludf.DUMMYFUNCTION("""COMPUTED_VALUE"""),1.0)</f>
        <v/>
      </c>
      <c r="L733" s="2">
        <f>IFERROR(__xludf.DUMMYFUNCTION("""COMPUTED_VALUE"""),"Smartbuy лампы LED")</f>
        <v/>
      </c>
      <c r="M733" s="2">
        <f>IFERROR(__xludf.DUMMYFUNCTION("""COMPUTED_VALUE"""),"Лампы")</f>
        <v/>
      </c>
    </row>
    <row r="734">
      <c r="A734" s="5">
        <f>IFERROR(__xludf.DUMMYFUNCTION("""COMPUTED_VALUE"""),"4690612038803-1")</f>
        <v/>
      </c>
      <c r="B734" s="5">
        <f>IFERROR(__xludf.DUMMYFUNCTION("""COMPUTED_VALUE"""),"ДВО-02 4040-ОПАЛ 40Вт 230В 4000К 3600Лм 595х595х25 NEOX (в индивид. упак.)")</f>
        <v/>
      </c>
      <c r="C734" s="2">
        <f>IFERROR(__xludf.DUMMYFUNCTION("""COMPUTED_VALUE"""),1.2925)</f>
        <v/>
      </c>
      <c r="D734" s="2">
        <f>IFERROR(__xludf.DUMMYFUNCTION("""COMPUTED_VALUE"""),0.00885)</f>
        <v/>
      </c>
      <c r="E734" s="2">
        <f>IFERROR(__xludf.DUMMYFUNCTION("""COMPUTED_VALUE"""),717.53)</f>
        <v/>
      </c>
      <c r="F734" s="2">
        <f>IFERROR(__xludf.DUMMYFUNCTION("""COMPUTED_VALUE"""),787.0)</f>
        <v/>
      </c>
      <c r="G734" s="2">
        <f>IFERROR(__xludf.DUMMYFUNCTION("""COMPUTED_VALUE"""),918.0)</f>
        <v/>
      </c>
      <c r="H734" s="2">
        <f>IFERROR(__xludf.DUMMYFUNCTION("""COMPUTED_VALUE"""),1033.0)</f>
        <v/>
      </c>
      <c r="I734" s="2">
        <f>IFERROR(__xludf.DUMMYFUNCTION("""COMPUTED_VALUE"""),1148.0)</f>
        <v/>
      </c>
      <c r="J734" s="2">
        <f>IFERROR(__xludf.DUMMYFUNCTION("""COMPUTED_VALUE"""),574.0)</f>
        <v/>
      </c>
      <c r="K734" s="2">
        <f>IFERROR(__xludf.DUMMYFUNCTION("""COMPUTED_VALUE"""),4.0)</f>
        <v/>
      </c>
      <c r="L734" s="2">
        <f>IFERROR(__xludf.DUMMYFUNCTION("""COMPUTED_VALUE"""),"NEOX Светильники LED ДВО - Опал производство, упаковка")</f>
        <v/>
      </c>
      <c r="M734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/>
      </c>
    </row>
    <row r="735">
      <c r="A735" s="5">
        <f>IFERROR(__xludf.DUMMYFUNCTION("""COMPUTED_VALUE"""),"4690612005102")</f>
        <v/>
      </c>
      <c r="B735" s="5">
        <f>IFERROR(__xludf.DUMMYFUNCTION("""COMPUTED_VALUE"""),"LED-GX53-standard 8Вт 160-260В 4000К 640Лм ASD")</f>
        <v/>
      </c>
      <c r="C735" s="2">
        <f>IFERROR(__xludf.DUMMYFUNCTION("""COMPUTED_VALUE"""),0.05)</f>
        <v/>
      </c>
      <c r="D735" s="2">
        <f>IFERROR(__xludf.DUMMYFUNCTION("""COMPUTED_VALUE"""),1.9E-4)</f>
        <v/>
      </c>
      <c r="E735" s="2">
        <f>IFERROR(__xludf.DUMMYFUNCTION("""COMPUTED_VALUE"""),50.25)</f>
        <v/>
      </c>
      <c r="F735" s="2">
        <f>IFERROR(__xludf.DUMMYFUNCTION("""COMPUTED_VALUE"""),53.0)</f>
        <v/>
      </c>
      <c r="G735" s="2">
        <f>IFERROR(__xludf.DUMMYFUNCTION("""COMPUTED_VALUE"""),59.0)</f>
        <v/>
      </c>
      <c r="H735" s="2">
        <f>IFERROR(__xludf.DUMMYFUNCTION("""COMPUTED_VALUE"""),69.0)</f>
        <v/>
      </c>
      <c r="I735" s="2">
        <f>IFERROR(__xludf.DUMMYFUNCTION("""COMPUTED_VALUE"""),79.5)</f>
        <v/>
      </c>
      <c r="J735" s="2">
        <f>IFERROR(__xludf.DUMMYFUNCTION("""COMPUTED_VALUE"""),40.0)</f>
        <v/>
      </c>
      <c r="K735" s="2">
        <f>IFERROR(__xludf.DUMMYFUNCTION("""COMPUTED_VALUE"""),1.0)</f>
        <v/>
      </c>
      <c r="L735" s="2">
        <f>IFERROR(__xludf.DUMMYFUNCTION("""COMPUTED_VALUE"""),"Лампа светодиодная LED-GX53-standard")</f>
        <v/>
      </c>
      <c r="M735" s="2">
        <f>IFERROR(__xludf.DUMMYFUNCTION("""COMPUTED_VALUE"""),"Лампы")</f>
        <v/>
      </c>
    </row>
    <row r="736">
      <c r="A736" s="5">
        <f>IFERROR(__xludf.DUMMYFUNCTION("""COMPUTED_VALUE"""),"GL51301")</f>
        <v/>
      </c>
      <c r="B736" s="5">
        <f>IFERROR(__xludf.DUMMYFUNCTION("""COMPUTED_VALUE"""),"GLERIO Practical 64 Вт 5000К 6A-64D-5U+")</f>
        <v/>
      </c>
      <c r="C736" s="2">
        <f>IFERROR(__xludf.DUMMYFUNCTION("""COMPUTED_VALUE"""),1.2)</f>
        <v/>
      </c>
      <c r="D736" s="2">
        <f>IFERROR(__xludf.DUMMYFUNCTION("""COMPUTED_VALUE"""),0.00357)</f>
        <v/>
      </c>
      <c r="E736" s="2">
        <f>IFERROR(__xludf.DUMMYFUNCTION("""COMPUTED_VALUE"""),2095.2)</f>
        <v/>
      </c>
      <c r="F736" s="2">
        <f>IFERROR(__xludf.DUMMYFUNCTION("""COMPUTED_VALUE"""),2400.0)</f>
        <v/>
      </c>
      <c r="G736" s="2">
        <f>IFERROR(__xludf.DUMMYFUNCTION("""COMPUTED_VALUE"""),3000.0)</f>
        <v/>
      </c>
      <c r="H736" s="2">
        <f>IFERROR(__xludf.DUMMYFUNCTION("""COMPUTED_VALUE"""),3375.0)</f>
        <v/>
      </c>
      <c r="I736" s="2">
        <f>IFERROR(__xludf.DUMMYFUNCTION("""COMPUTED_VALUE"""),3750.0)</f>
        <v/>
      </c>
      <c r="J736" s="2">
        <f>IFERROR(__xludf.DUMMYFUNCTION("""COMPUTED_VALUE"""),3750.0)</f>
        <v/>
      </c>
      <c r="K736" s="2">
        <f>IFERROR(__xludf.DUMMYFUNCTION("""COMPUTED_VALUE"""),0.0)</f>
        <v/>
      </c>
      <c r="L736" s="2">
        <f>IFERROR(__xludf.DUMMYFUNCTION("""COMPUTED_VALUE"""),"Practical+ Уличные GLERIO")</f>
        <v/>
      </c>
      <c r="M736" s="2">
        <f>IFERROR(__xludf.DUMMYFUNCTION("""COMPUTED_VALUE"""),"Для обычных дорог, LED Светильники")</f>
        <v/>
      </c>
    </row>
    <row r="737">
      <c r="A737" s="5">
        <f>IFERROR(__xludf.DUMMYFUNCTION("""COMPUTED_VALUE"""),"4690612034782")</f>
        <v/>
      </c>
      <c r="B737" s="5">
        <f>IFERROR(__xludf.DUMMYFUNCTION("""COMPUTED_VALUE"""),"COMFORT CRYSTAL 75Вт 230В 3000-6500K 6000Лм 505x125мм с пультом ДУ IN HOME")</f>
        <v/>
      </c>
      <c r="C737" s="2">
        <f>IFERROR(__xludf.DUMMYFUNCTION("""COMPUTED_VALUE"""),2.14)</f>
        <v/>
      </c>
      <c r="D737" s="2">
        <f>IFERROR(__xludf.DUMMYFUNCTION("""COMPUTED_VALUE"""),0.03800000000000001)</f>
        <v/>
      </c>
      <c r="E737" s="2">
        <f>IFERROR(__xludf.DUMMYFUNCTION("""COMPUTED_VALUE"""),0.0)</f>
        <v/>
      </c>
      <c r="F737" s="2">
        <f>IFERROR(__xludf.DUMMYFUNCTION("""COMPUTED_VALUE"""),1829.0)</f>
        <v/>
      </c>
      <c r="G737" s="2">
        <f>IFERROR(__xludf.DUMMYFUNCTION("""COMPUTED_VALUE"""),2058.0)</f>
        <v/>
      </c>
      <c r="H737" s="2">
        <f>IFERROR(__xludf.DUMMYFUNCTION("""COMPUTED_VALUE"""),2387.0)</f>
        <v/>
      </c>
      <c r="I737" s="2">
        <f>IFERROR(__xludf.DUMMYFUNCTION("""COMPUTED_VALUE"""),2744.0)</f>
        <v/>
      </c>
      <c r="J737" s="2">
        <f>IFERROR(__xludf.DUMMYFUNCTION("""COMPUTED_VALUE"""),1372.0)</f>
        <v/>
      </c>
      <c r="K737" s="2">
        <f>IFERROR(__xludf.DUMMYFUNCTION("""COMPUTED_VALUE"""),1.0)</f>
        <v/>
      </c>
      <c r="L737" s="2">
        <f>IFERROR(__xludf.DUMMYFUNCTION("""COMPUTED_VALUE"""),"Светильники светодиодные COMFORT")</f>
        <v/>
      </c>
      <c r="M737" s="2">
        <f>IFERROR(__xludf.DUMMYFUNCTION("""COMPUTED_VALUE"""),"Накладные, Декоративные, LED Светильники")</f>
        <v/>
      </c>
    </row>
    <row r="738">
      <c r="A738" s="5">
        <f>IFERROR(__xludf.DUMMYFUNCTION("""COMPUTED_VALUE"""),"Fefco/0201-8")</f>
        <v/>
      </c>
      <c r="B738" s="5">
        <f>IFERROR(__xludf.DUMMYFUNCTION("""COMPUTED_VALUE"""),"Короб 300х300х200 (картон Т-24 ""В"" бурый)")</f>
        <v/>
      </c>
      <c r="C738" s="2">
        <f>IFERROR(__xludf.DUMMYFUNCTION("""COMPUTED_VALUE"""),0.0)</f>
        <v/>
      </c>
      <c r="D738" s="2">
        <f>IFERROR(__xludf.DUMMYFUNCTION("""COMPUTED_VALUE"""),0.0)</f>
        <v/>
      </c>
      <c r="E738" s="2">
        <f>IFERROR(__xludf.DUMMYFUNCTION("""COMPUTED_VALUE"""),71.0)</f>
        <v/>
      </c>
      <c r="F738" s="2">
        <f>IFERROR(__xludf.DUMMYFUNCTION("""COMPUTED_VALUE"""),1.0)</f>
        <v/>
      </c>
      <c r="G738" s="2">
        <f>IFERROR(__xludf.DUMMYFUNCTION("""COMPUTED_VALUE"""),1.0)</f>
        <v/>
      </c>
      <c r="H738" s="2">
        <f>IFERROR(__xludf.DUMMYFUNCTION("""COMPUTED_VALUE"""),1.0)</f>
        <v/>
      </c>
      <c r="I738" s="2">
        <f>IFERROR(__xludf.DUMMYFUNCTION("""COMPUTED_VALUE"""),1.5)</f>
        <v/>
      </c>
      <c r="J738" s="2">
        <f>IFERROR(__xludf.DUMMYFUNCTION("""COMPUTED_VALUE"""),1.5)</f>
        <v/>
      </c>
      <c r="K738" s="2">
        <f>IFERROR(__xludf.DUMMYFUNCTION("""COMPUTED_VALUE"""),12.0)</f>
        <v/>
      </c>
      <c r="L738" s="2">
        <f>IFERROR(__xludf.DUMMYFUNCTION("""COMPUTED_VALUE"""),"Упаковка")</f>
        <v/>
      </c>
      <c r="M738" s="2">
        <f>IFERROR(__xludf.DUMMYFUNCTION("""COMPUTED_VALUE"""),"Прочие товары")</f>
        <v/>
      </c>
    </row>
    <row r="739">
      <c r="A739" s="5">
        <f>IFERROR(__xludf.DUMMYFUNCTION("""COMPUTED_VALUE"""),"4690612029887")</f>
        <v/>
      </c>
      <c r="B739" s="5">
        <f>IFERROR(__xludf.DUMMYFUNCTION("""COMPUTED_VALUE"""),"LPU-02 40Вт ОПАЛ 230В 4000К 3600Лм 595х595х25мм IP40 IN HOME")</f>
        <v/>
      </c>
      <c r="C739" s="2">
        <f>IFERROR(__xludf.DUMMYFUNCTION("""COMPUTED_VALUE"""),1.2)</f>
        <v/>
      </c>
      <c r="D739" s="2">
        <f>IFERROR(__xludf.DUMMYFUNCTION("""COMPUTED_VALUE"""),0.00975)</f>
        <v/>
      </c>
      <c r="E739" s="2">
        <f>IFERROR(__xludf.DUMMYFUNCTION("""COMPUTED_VALUE"""),697.82)</f>
        <v/>
      </c>
      <c r="F739" s="2">
        <f>IFERROR(__xludf.DUMMYFUNCTION("""COMPUTED_VALUE"""),690.0)</f>
        <v/>
      </c>
      <c r="G739" s="2">
        <f>IFERROR(__xludf.DUMMYFUNCTION("""COMPUTED_VALUE"""),776.0)</f>
        <v/>
      </c>
      <c r="H739" s="2">
        <f>IFERROR(__xludf.DUMMYFUNCTION("""COMPUTED_VALUE"""),900.0)</f>
        <v/>
      </c>
      <c r="I739" s="2">
        <f>IFERROR(__xludf.DUMMYFUNCTION("""COMPUTED_VALUE"""),1035.0)</f>
        <v/>
      </c>
      <c r="J739" s="2">
        <f>IFERROR(__xludf.DUMMYFUNCTION("""COMPUTED_VALUE"""),518.0)</f>
        <v/>
      </c>
      <c r="K739" s="2">
        <f>IFERROR(__xludf.DUMMYFUNCTION("""COMPUTED_VALUE"""),2.0)</f>
        <v/>
      </c>
      <c r="L739" s="2">
        <f>IFERROR(__xludf.DUMMYFUNCTION("""COMPUTED_VALUE"""),"Панели светодиодные LP серии ОПАЛ")</f>
        <v/>
      </c>
      <c r="M739" s="2">
        <f>IFERROR(__xludf.DUMMYFUNCTION("""COMPUTED_VALUE"""),"Встраиваемые, Накладные, LED Светильники")</f>
        <v/>
      </c>
    </row>
    <row r="740">
      <c r="A740" s="5">
        <f>IFERROR(__xludf.DUMMYFUNCTION("""COMPUTED_VALUE"""),"4680005959884")</f>
        <v/>
      </c>
      <c r="B740" s="5">
        <f>IFERROR(__xludf.DUMMYFUNCTION("""COMPUTED_VALUE"""),"Вт CLASSICO белый 2111 IN HOME")</f>
        <v/>
      </c>
      <c r="C740" s="2">
        <f>IFERROR(__xludf.DUMMYFUNCTION("""COMPUTED_VALUE"""),0.08700000000000001)</f>
        <v/>
      </c>
      <c r="D740" s="2">
        <f>IFERROR(__xludf.DUMMYFUNCTION("""COMPUTED_VALUE"""),4.0E-4)</f>
        <v/>
      </c>
      <c r="E740" s="2">
        <f>IFERROR(__xludf.DUMMYFUNCTION("""COMPUTED_VALUE"""),159.74)</f>
        <v/>
      </c>
      <c r="F740" s="2">
        <f>IFERROR(__xludf.DUMMYFUNCTION("""COMPUTED_VALUE"""),264.0)</f>
        <v/>
      </c>
      <c r="G740" s="2">
        <f>IFERROR(__xludf.DUMMYFUNCTION("""COMPUTED_VALUE"""),297.0)</f>
        <v/>
      </c>
      <c r="H740" s="2">
        <f>IFERROR(__xludf.DUMMYFUNCTION("""COMPUTED_VALUE"""),345.0)</f>
        <v/>
      </c>
      <c r="I740" s="2">
        <f>IFERROR(__xludf.DUMMYFUNCTION("""COMPUTED_VALUE"""),396.0)</f>
        <v/>
      </c>
      <c r="J740" s="2">
        <f>IFERROR(__xludf.DUMMYFUNCTION("""COMPUTED_VALUE"""),198.0)</f>
        <v/>
      </c>
      <c r="K740" s="2">
        <f>IFERROR(__xludf.DUMMYFUNCTION("""COMPUTED_VALUE"""),10.0)</f>
        <v/>
      </c>
      <c r="L740" s="2">
        <f>IFERROR(__xludf.DUMMYFUNCTION("""COMPUTED_VALUE"""),"Выключатель")</f>
        <v/>
      </c>
      <c r="M740" s="2">
        <f>IFERROR(__xludf.DUMMYFUNCTION("""COMPUTED_VALUE"""),"Прочие товары")</f>
        <v/>
      </c>
    </row>
    <row r="741">
      <c r="A741" s="5">
        <f>IFERROR(__xludf.DUMMYFUNCTION("""COMPUTED_VALUE"""),"06-0080-A2")</f>
        <v/>
      </c>
      <c r="B741" s="5">
        <f>IFERROR(__xludf.DUMMYFUNCTION("""COMPUTED_VALUE"""),"Разъем телефонный на кабель, штекер 6Р4С (Rj-11), под обжим (2шт.) REXANT")</f>
        <v/>
      </c>
      <c r="C741" s="2">
        <f>IFERROR(__xludf.DUMMYFUNCTION("""COMPUTED_VALUE"""),0.0)</f>
        <v/>
      </c>
      <c r="D741" s="2">
        <f>IFERROR(__xludf.DUMMYFUNCTION("""COMPUTED_VALUE"""),0.0)</f>
        <v/>
      </c>
      <c r="E741" s="2">
        <f>IFERROR(__xludf.DUMMYFUNCTION("""COMPUTED_VALUE"""),1.0)</f>
        <v/>
      </c>
      <c r="F741" s="2">
        <f>IFERROR(__xludf.DUMMYFUNCTION("""COMPUTED_VALUE"""),18.0)</f>
        <v/>
      </c>
      <c r="G741" s="2">
        <f>IFERROR(__xludf.DUMMYFUNCTION("""COMPUTED_VALUE"""),19.0)</f>
        <v/>
      </c>
      <c r="H741" s="2">
        <f>IFERROR(__xludf.DUMMYFUNCTION("""COMPUTED_VALUE"""),21.0)</f>
        <v/>
      </c>
      <c r="I741" s="2">
        <f>IFERROR(__xludf.DUMMYFUNCTION("""COMPUTED_VALUE"""),23.4)</f>
        <v/>
      </c>
      <c r="J741" s="2">
        <f>IFERROR(__xludf.DUMMYFUNCTION("""COMPUTED_VALUE"""),12.0)</f>
        <v/>
      </c>
      <c r="K741" s="2">
        <f>IFERROR(__xludf.DUMMYFUNCTION("""COMPUTED_VALUE"""),10.0)</f>
        <v/>
      </c>
      <c r="L741" s="2">
        <f>IFERROR(__xludf.DUMMYFUNCTION("""COMPUTED_VALUE"""),"Rexant")</f>
        <v/>
      </c>
      <c r="M741" s="2">
        <f>IFERROR(__xludf.DUMMYFUNCTION("""COMPUTED_VALUE"""),"Прочие товары")</f>
        <v/>
      </c>
    </row>
    <row r="742">
      <c r="A742" s="5">
        <f>IFERROR(__xludf.DUMMYFUNCTION("""COMPUTED_VALUE"""),"4690626031821")</f>
        <v/>
      </c>
      <c r="B742" s="5">
        <f>IFERROR(__xludf.DUMMYFUNCTION("""COMPUTED_VALUE"""),"SBL-FLSen-10-65K")</f>
        <v/>
      </c>
      <c r="C742" s="2">
        <f>IFERROR(__xludf.DUMMYFUNCTION("""COMPUTED_VALUE"""),0.33)</f>
        <v/>
      </c>
      <c r="D742" s="2">
        <f>IFERROR(__xludf.DUMMYFUNCTION("""COMPUTED_VALUE"""),4.0E-5)</f>
        <v/>
      </c>
      <c r="E742" s="2">
        <f>IFERROR(__xludf.DUMMYFUNCTION("""COMPUTED_VALUE"""),462.0)</f>
        <v/>
      </c>
      <c r="F742" s="2">
        <f>IFERROR(__xludf.DUMMYFUNCTION("""COMPUTED_VALUE"""),588.0)</f>
        <v/>
      </c>
      <c r="G742" s="2">
        <f>IFERROR(__xludf.DUMMYFUNCTION("""COMPUTED_VALUE"""),645.0)</f>
        <v/>
      </c>
      <c r="H742" s="2">
        <f>IFERROR(__xludf.DUMMYFUNCTION("""COMPUTED_VALUE"""),717.0)</f>
        <v/>
      </c>
      <c r="I742" s="2">
        <f>IFERROR(__xludf.DUMMYFUNCTION("""COMPUTED_VALUE"""),788.0)</f>
        <v/>
      </c>
      <c r="J742" s="2">
        <f>IFERROR(__xludf.DUMMYFUNCTION("""COMPUTED_VALUE"""),394.0)</f>
        <v/>
      </c>
      <c r="K742" s="2">
        <f>IFERROR(__xludf.DUMMYFUNCTION("""COMPUTED_VALUE"""),2.0)</f>
        <v/>
      </c>
      <c r="L742" s="2">
        <f>IFERROR(__xludf.DUMMYFUNCTION("""COMPUTED_VALUE"""),"Smartbuy LED светильники")</f>
        <v/>
      </c>
      <c r="M742" s="2">
        <f>IFERROR(__xludf.DUMMYFUNCTION("""COMPUTED_VALUE"""),"Бытовые (недорогие), С датчиками, LED Светильники")</f>
        <v/>
      </c>
    </row>
    <row r="743">
      <c r="A743" s="5">
        <f>IFERROR(__xludf.DUMMYFUNCTION("""COMPUTED_VALUE"""),"GL51311")</f>
        <v/>
      </c>
      <c r="B743" s="5">
        <f>IFERROR(__xludf.DUMMYFUNCTION("""COMPUTED_VALUE"""),"GLERIO Practical 64 Вт 5000К 6A-64D-5K+")</f>
        <v/>
      </c>
      <c r="C743" s="2">
        <f>IFERROR(__xludf.DUMMYFUNCTION("""COMPUTED_VALUE"""),1.2)</f>
        <v/>
      </c>
      <c r="D743" s="2">
        <f>IFERROR(__xludf.DUMMYFUNCTION("""COMPUTED_VALUE"""),0.004200000000000001)</f>
        <v/>
      </c>
      <c r="E743" s="2">
        <f>IFERROR(__xludf.DUMMYFUNCTION("""COMPUTED_VALUE"""),2095.2)</f>
        <v/>
      </c>
      <c r="F743" s="2">
        <f>IFERROR(__xludf.DUMMYFUNCTION("""COMPUTED_VALUE"""),2400.0)</f>
        <v/>
      </c>
      <c r="G743" s="2">
        <f>IFERROR(__xludf.DUMMYFUNCTION("""COMPUTED_VALUE"""),3000.0)</f>
        <v/>
      </c>
      <c r="H743" s="2">
        <f>IFERROR(__xludf.DUMMYFUNCTION("""COMPUTED_VALUE"""),3375.0)</f>
        <v/>
      </c>
      <c r="I743" s="2">
        <f>IFERROR(__xludf.DUMMYFUNCTION("""COMPUTED_VALUE"""),3750.0)</f>
        <v/>
      </c>
      <c r="J743" s="2">
        <f>IFERROR(__xludf.DUMMYFUNCTION("""COMPUTED_VALUE"""),3750.0)</f>
        <v/>
      </c>
      <c r="K743" s="2">
        <f>IFERROR(__xludf.DUMMYFUNCTION("""COMPUTED_VALUE"""),10.0)</f>
        <v/>
      </c>
      <c r="L743" s="2">
        <f>IFERROR(__xludf.DUMMYFUNCTION("""COMPUTED_VALUE"""),"Practical+ Уличные GLERIO")</f>
        <v/>
      </c>
      <c r="M743" s="2">
        <f>IFERROR(__xludf.DUMMYFUNCTION("""COMPUTED_VALUE"""),"Для обычных дорог, LED Светильники")</f>
        <v/>
      </c>
    </row>
    <row r="744">
      <c r="A744" s="5">
        <f>IFERROR(__xludf.DUMMYFUNCTION("""COMPUTED_VALUE"""),"GL81111")</f>
        <v/>
      </c>
      <c r="B744" s="5">
        <f>IFERROR(__xludf.DUMMYFUNCTION("""COMPUTED_VALUE"""),"GLERIO Office Casual 20 Вт 4000K 81P-20D-4V-P")</f>
        <v/>
      </c>
      <c r="C744" s="2">
        <f>IFERROR(__xludf.DUMMYFUNCTION("""COMPUTED_VALUE"""),1.04)</f>
        <v/>
      </c>
      <c r="D744" s="2">
        <f>IFERROR(__xludf.DUMMYFUNCTION("""COMPUTED_VALUE"""),0.008190000000000001)</f>
        <v/>
      </c>
      <c r="E744" s="2">
        <f>IFERROR(__xludf.DUMMYFUNCTION("""COMPUTED_VALUE"""),1461.68)</f>
        <v/>
      </c>
      <c r="F744" s="2">
        <f>IFERROR(__xludf.DUMMYFUNCTION("""COMPUTED_VALUE"""),1700.0)</f>
        <v/>
      </c>
      <c r="G744" s="2">
        <f>IFERROR(__xludf.DUMMYFUNCTION("""COMPUTED_VALUE"""),2140.0)</f>
        <v/>
      </c>
      <c r="H744" s="2">
        <f>IFERROR(__xludf.DUMMYFUNCTION("""COMPUTED_VALUE"""),2404.0)</f>
        <v/>
      </c>
      <c r="I744" s="2">
        <f>IFERROR(__xludf.DUMMYFUNCTION("""COMPUTED_VALUE"""),2667.0)</f>
        <v/>
      </c>
      <c r="J744" s="2">
        <f>IFERROR(__xludf.DUMMYFUNCTION("""COMPUTED_VALUE"""),2667.0)</f>
        <v/>
      </c>
      <c r="K744" s="2">
        <f>IFERROR(__xludf.DUMMYFUNCTION("""COMPUTED_VALUE"""),30.0)</f>
        <v/>
      </c>
      <c r="L744" s="2">
        <f>IFERROR(__xludf.DUMMYFUNCTION("""COMPUTED_VALUE"""),"Office Casual+ GLERIO (Офис)")</f>
        <v/>
      </c>
      <c r="M744" s="2">
        <f>IFERROR(__xludf.DUMMYFUNCTION("""COMPUTED_VALUE"""),"С равномерной засветкой, LED Светильники")</f>
        <v/>
      </c>
    </row>
    <row r="745">
      <c r="A745" s="5">
        <f>IFERROR(__xludf.DUMMYFUNCTION("""COMPUTED_VALUE"""),"Fefco/0201-9")</f>
        <v/>
      </c>
      <c r="B745" s="5">
        <f>IFERROR(__xludf.DUMMYFUNCTION("""COMPUTED_VALUE"""),"Короб 450х320х320 (картон Т-24 ""В"" бурый)")</f>
        <v/>
      </c>
      <c r="C745" s="2">
        <f>IFERROR(__xludf.DUMMYFUNCTION("""COMPUTED_VALUE"""),0.0)</f>
        <v/>
      </c>
      <c r="D745" s="2">
        <f>IFERROR(__xludf.DUMMYFUNCTION("""COMPUTED_VALUE"""),0.0)</f>
        <v/>
      </c>
      <c r="E745" s="2">
        <f>IFERROR(__xludf.DUMMYFUNCTION("""COMPUTED_VALUE"""),99.0)</f>
        <v/>
      </c>
      <c r="F745" s="2">
        <f>IFERROR(__xludf.DUMMYFUNCTION("""COMPUTED_VALUE"""),1.0)</f>
        <v/>
      </c>
      <c r="G745" s="2">
        <f>IFERROR(__xludf.DUMMYFUNCTION("""COMPUTED_VALUE"""),1.0)</f>
        <v/>
      </c>
      <c r="H745" s="2">
        <f>IFERROR(__xludf.DUMMYFUNCTION("""COMPUTED_VALUE"""),1.0)</f>
        <v/>
      </c>
      <c r="I745" s="2">
        <f>IFERROR(__xludf.DUMMYFUNCTION("""COMPUTED_VALUE"""),1.5)</f>
        <v/>
      </c>
      <c r="J745" s="2">
        <f>IFERROR(__xludf.DUMMYFUNCTION("""COMPUTED_VALUE"""),1.5)</f>
        <v/>
      </c>
      <c r="K745" s="2">
        <f>IFERROR(__xludf.DUMMYFUNCTION("""COMPUTED_VALUE"""),41.0)</f>
        <v/>
      </c>
      <c r="L745" s="2">
        <f>IFERROR(__xludf.DUMMYFUNCTION("""COMPUTED_VALUE"""),"Упаковка")</f>
        <v/>
      </c>
      <c r="M745" s="2">
        <f>IFERROR(__xludf.DUMMYFUNCTION("""COMPUTED_VALUE"""),"Прочие товары")</f>
        <v/>
      </c>
    </row>
    <row r="746">
      <c r="A746" s="5">
        <f>IFERROR(__xludf.DUMMYFUNCTION("""COMPUTED_VALUE"""),"4690612030753")</f>
        <v/>
      </c>
      <c r="B746" s="5">
        <f>IFERROR(__xludf.DUMMYFUNCTION("""COMPUTED_VALUE"""),"LED-JCDRC-VC 6Вт 230В GU10 6500К 530Лм IN HOME")</f>
        <v/>
      </c>
      <c r="C746" s="2">
        <f>IFERROR(__xludf.DUMMYFUNCTION("""COMPUTED_VALUE"""),0.035)</f>
        <v/>
      </c>
      <c r="D746" s="2">
        <f>IFERROR(__xludf.DUMMYFUNCTION("""COMPUTED_VALUE"""),2.1E-4)</f>
        <v/>
      </c>
      <c r="E746" s="2">
        <f>IFERROR(__xludf.DUMMYFUNCTION("""COMPUTED_VALUE"""),30.19)</f>
        <v/>
      </c>
      <c r="F746" s="2">
        <f>IFERROR(__xludf.DUMMYFUNCTION("""COMPUTED_VALUE"""),35.0)</f>
        <v/>
      </c>
      <c r="G746" s="2">
        <f>IFERROR(__xludf.DUMMYFUNCTION("""COMPUTED_VALUE"""),40.0)</f>
        <v/>
      </c>
      <c r="H746" s="2">
        <f>IFERROR(__xludf.DUMMYFUNCTION("""COMPUTED_VALUE"""),46.0)</f>
        <v/>
      </c>
      <c r="I746" s="2">
        <f>IFERROR(__xludf.DUMMYFUNCTION("""COMPUTED_VALUE"""),53.5)</f>
        <v/>
      </c>
      <c r="J746" s="2">
        <f>IFERROR(__xludf.DUMMYFUNCTION("""COMPUTED_VALUE"""),27.0)</f>
        <v/>
      </c>
      <c r="K746" s="2">
        <f>IFERROR(__xludf.DUMMYFUNCTION("""COMPUTED_VALUE"""),69.0)</f>
        <v/>
      </c>
      <c r="L746" s="2">
        <f>IFERROR(__xludf.DUMMYFUNCTION("""COMPUTED_VALUE"""),"Лампа светодиодная LED-JCDR-standard")</f>
        <v/>
      </c>
      <c r="M746" s="2">
        <f>IFERROR(__xludf.DUMMYFUNCTION("""COMPUTED_VALUE"""),"Лампы")</f>
        <v/>
      </c>
    </row>
    <row r="747">
      <c r="A747" s="5">
        <f>IFERROR(__xludf.DUMMYFUNCTION("""COMPUTED_VALUE"""),"R100343")</f>
        <v/>
      </c>
      <c r="B747" s="5">
        <f>IFERROR(__xludf.DUMMYFUNCTION("""COMPUTED_VALUE"""),"RSV-A65-20W-4000K-E27 P")</f>
        <v/>
      </c>
      <c r="C747" s="2">
        <f>IFERROR(__xludf.DUMMYFUNCTION("""COMPUTED_VALUE"""),0.0727)</f>
        <v/>
      </c>
      <c r="D747" s="2">
        <f>IFERROR(__xludf.DUMMYFUNCTION("""COMPUTED_VALUE"""),7.5E-4)</f>
        <v/>
      </c>
      <c r="E747" s="2">
        <f>IFERROR(__xludf.DUMMYFUNCTION("""COMPUTED_VALUE"""),77.82000000000001)</f>
        <v/>
      </c>
      <c r="F747" s="2">
        <f>IFERROR(__xludf.DUMMYFUNCTION("""COMPUTED_VALUE"""),108.0)</f>
        <v/>
      </c>
      <c r="G747" s="2">
        <f>IFERROR(__xludf.DUMMYFUNCTION("""COMPUTED_VALUE"""),116.0)</f>
        <v/>
      </c>
      <c r="H747" s="2">
        <f>IFERROR(__xludf.DUMMYFUNCTION("""COMPUTED_VALUE"""),130.0)</f>
        <v/>
      </c>
      <c r="I747" s="2">
        <f>IFERROR(__xludf.DUMMYFUNCTION("""COMPUTED_VALUE"""),144.38)</f>
        <v/>
      </c>
      <c r="J747" s="2">
        <f>IFERROR(__xludf.DUMMYFUNCTION("""COMPUTED_VALUE"""),72.0)</f>
        <v/>
      </c>
      <c r="K747" s="2">
        <f>IFERROR(__xludf.DUMMYFUNCTION("""COMPUTED_VALUE"""),20.0)</f>
        <v/>
      </c>
      <c r="L747" s="2">
        <f>IFERROR(__xludf.DUMMYFUNCTION("""COMPUTED_VALUE"""),"Светодиодные лампы A60")</f>
        <v/>
      </c>
      <c r="M747" s="2">
        <f>IFERROR(__xludf.DUMMYFUNCTION("""COMPUTED_VALUE"""),"Лампы")</f>
        <v/>
      </c>
    </row>
    <row r="748">
      <c r="A748" s="5">
        <f>IFERROR(__xludf.DUMMYFUNCTION("""COMPUTED_VALUE"""),"4690612026145")</f>
        <v/>
      </c>
      <c r="B748" s="5">
        <f>IFERROR(__xludf.DUMMYFUNCTION("""COMPUTED_VALUE"""),"LED-A60-deco 11Вт 230В Е27 4000К 1160Лм прозрачная IN HOME")</f>
        <v/>
      </c>
      <c r="C748" s="2">
        <f>IFERROR(__xludf.DUMMYFUNCTION("""COMPUTED_VALUE"""),0.044)</f>
        <v/>
      </c>
      <c r="D748" s="2">
        <f>IFERROR(__xludf.DUMMYFUNCTION("""COMPUTED_VALUE"""),5.600000000000001E-4)</f>
        <v/>
      </c>
      <c r="E748" s="2">
        <f>IFERROR(__xludf.DUMMYFUNCTION("""COMPUTED_VALUE"""),81.0)</f>
        <v/>
      </c>
      <c r="F748" s="2">
        <f>IFERROR(__xludf.DUMMYFUNCTION("""COMPUTED_VALUE"""),98.0)</f>
        <v/>
      </c>
      <c r="G748" s="2">
        <f>IFERROR(__xludf.DUMMYFUNCTION("""COMPUTED_VALUE"""),110.0)</f>
        <v/>
      </c>
      <c r="H748" s="2">
        <f>IFERROR(__xludf.DUMMYFUNCTION("""COMPUTED_VALUE"""),128.0)</f>
        <v/>
      </c>
      <c r="I748" s="2">
        <f>IFERROR(__xludf.DUMMYFUNCTION("""COMPUTED_VALUE"""),147.5)</f>
        <v/>
      </c>
      <c r="J748" s="2">
        <f>IFERROR(__xludf.DUMMYFUNCTION("""COMPUTED_VALUE"""),74.0)</f>
        <v/>
      </c>
      <c r="K748" s="2">
        <f>IFERROR(__xludf.DUMMYFUNCTION("""COMPUTED_VALUE"""),4.0)</f>
        <v/>
      </c>
      <c r="L748" s="2">
        <f>IFERROR(__xludf.DUMMYFUNCTION("""COMPUTED_VALUE"""),"Лампа светодиодная LED-A60 DECO")</f>
        <v/>
      </c>
      <c r="M748" s="2">
        <f>IFERROR(__xludf.DUMMYFUNCTION("""COMPUTED_VALUE"""),"Лампы")</f>
        <v/>
      </c>
    </row>
    <row r="749">
      <c r="A749" s="5">
        <f>IFERROR(__xludf.DUMMYFUNCTION("""COMPUTED_VALUE"""),"GL5166")</f>
        <v/>
      </c>
      <c r="B749" s="5">
        <f>IFERROR(__xludf.DUMMYFUNCTION("""COMPUTED_VALUE"""),"GLERIO Practical Галочка 128 Вт 5000K 6A-128D-5U-21G")</f>
        <v/>
      </c>
      <c r="C749" s="2">
        <f>IFERROR(__xludf.DUMMYFUNCTION("""COMPUTED_VALUE"""),2.2)</f>
        <v/>
      </c>
      <c r="D749" s="2">
        <f>IFERROR(__xludf.DUMMYFUNCTION("""COMPUTED_VALUE"""),0.009500000000000001)</f>
        <v/>
      </c>
      <c r="E749" s="2">
        <f>IFERROR(__xludf.DUMMYFUNCTION("""COMPUTED_VALUE"""),4320.0)</f>
        <v/>
      </c>
      <c r="F749" s="2">
        <f>IFERROR(__xludf.DUMMYFUNCTION("""COMPUTED_VALUE"""),4800.0)</f>
        <v/>
      </c>
      <c r="G749" s="2">
        <f>IFERROR(__xludf.DUMMYFUNCTION("""COMPUTED_VALUE"""),6000.0)</f>
        <v/>
      </c>
      <c r="H749" s="2">
        <f>IFERROR(__xludf.DUMMYFUNCTION("""COMPUTED_VALUE"""),6750.0)</f>
        <v/>
      </c>
      <c r="I749" s="2">
        <f>IFERROR(__xludf.DUMMYFUNCTION("""COMPUTED_VALUE"""),7500.0)</f>
        <v/>
      </c>
      <c r="J749" s="2">
        <f>IFERROR(__xludf.DUMMYFUNCTION("""COMPUTED_VALUE"""),3750.0)</f>
        <v/>
      </c>
      <c r="K749" s="2">
        <f>IFERROR(__xludf.DUMMYFUNCTION("""COMPUTED_VALUE"""),2.0)</f>
        <v/>
      </c>
      <c r="L749" s="2">
        <f>IFERROR(__xludf.DUMMYFUNCTION("""COMPUTED_VALUE"""),"Practical Уличные GLERIO до 10.2025")</f>
        <v/>
      </c>
      <c r="M749" s="2">
        <f>IFERROR(__xludf.DUMMYFUNCTION("""COMPUTED_VALUE"""),"Для обычных дорог, LED Светильники")</f>
        <v/>
      </c>
    </row>
    <row r="750">
      <c r="A750" s="5">
        <f>IFERROR(__xludf.DUMMYFUNCTION("""COMPUTED_VALUE"""),"4690612010182")</f>
        <v/>
      </c>
      <c r="B750" s="5">
        <f>IFERROR(__xludf.DUMMYFUNCTION("""COMPUTED_VALUE"""),"РШ/ВШ карболитовый 25А 380В черный 9112 IN HOME")</f>
        <v/>
      </c>
      <c r="C750" s="2">
        <f>IFERROR(__xludf.DUMMYFUNCTION("""COMPUTED_VALUE"""),0.20694)</f>
        <v/>
      </c>
      <c r="D750" s="2">
        <f>IFERROR(__xludf.DUMMYFUNCTION("""COMPUTED_VALUE"""),5.0E-4)</f>
        <v/>
      </c>
      <c r="E750" s="2">
        <f>IFERROR(__xludf.DUMMYFUNCTION("""COMPUTED_VALUE"""),139.9)</f>
        <v/>
      </c>
      <c r="F750" s="2">
        <f>IFERROR(__xludf.DUMMYFUNCTION("""COMPUTED_VALUE"""),172.0)</f>
        <v/>
      </c>
      <c r="G750" s="2">
        <f>IFERROR(__xludf.DUMMYFUNCTION("""COMPUTED_VALUE"""),194.0)</f>
        <v/>
      </c>
      <c r="H750" s="2">
        <f>IFERROR(__xludf.DUMMYFUNCTION("""COMPUTED_VALUE"""),224.0)</f>
        <v/>
      </c>
      <c r="I750" s="2">
        <f>IFERROR(__xludf.DUMMYFUNCTION("""COMPUTED_VALUE"""),258.0)</f>
        <v/>
      </c>
      <c r="J750" s="2">
        <f>IFERROR(__xludf.DUMMYFUNCTION("""COMPUTED_VALUE"""),129.0)</f>
        <v/>
      </c>
      <c r="K750" s="2">
        <f>IFERROR(__xludf.DUMMYFUNCTION("""COMPUTED_VALUE"""),6.0)</f>
        <v/>
      </c>
      <c r="L750" s="2">
        <f>IFERROR(__xludf.DUMMYFUNCTION("""COMPUTED_VALUE"""),"Розетки, вилки и колодки")</f>
        <v/>
      </c>
      <c r="M750" s="2">
        <f>IFERROR(__xludf.DUMMYFUNCTION("""COMPUTED_VALUE"""),"Прочие товары")</f>
        <v/>
      </c>
    </row>
    <row r="751">
      <c r="A751" s="5">
        <f>IFERROR(__xludf.DUMMYFUNCTION("""COMPUTED_VALUE"""),"4690612035581-10")</f>
        <v/>
      </c>
      <c r="B751" s="5">
        <f>IFERROR(__xludf.DUMMYFUNCTION("""COMPUTED_VALUE"""),"10 шт. Лампа LED-A60-deco 13Вт 230В Е27 3000К 1370Лм прозрачная IN HOME (Комплект 10 шт)")</f>
        <v/>
      </c>
      <c r="C751" s="2">
        <f>IFERROR(__xludf.DUMMYFUNCTION("""COMPUTED_VALUE"""),0.04)</f>
        <v/>
      </c>
      <c r="D751" s="2">
        <f>IFERROR(__xludf.DUMMYFUNCTION("""COMPUTED_VALUE"""),0.0028)</f>
        <v/>
      </c>
      <c r="E751" s="2">
        <f>IFERROR(__xludf.DUMMYFUNCTION("""COMPUTED_VALUE"""),1019.8)</f>
        <v/>
      </c>
      <c r="F751" s="2">
        <f>IFERROR(__xludf.DUMMYFUNCTION("""COMPUTED_VALUE"""),1119.0)</f>
        <v/>
      </c>
      <c r="G751" s="2">
        <f>IFERROR(__xludf.DUMMYFUNCTION("""COMPUTED_VALUE"""),1306.0)</f>
        <v/>
      </c>
      <c r="H751" s="2">
        <f>IFERROR(__xludf.DUMMYFUNCTION("""COMPUTED_VALUE"""),1469.0)</f>
        <v/>
      </c>
      <c r="I751" s="2">
        <f>IFERROR(__xludf.DUMMYFUNCTION("""COMPUTED_VALUE"""),1632.0)</f>
        <v/>
      </c>
      <c r="J751" s="2">
        <f>IFERROR(__xludf.DUMMYFUNCTION("""COMPUTED_VALUE"""),816.0)</f>
        <v/>
      </c>
      <c r="K751" s="2">
        <f>IFERROR(__xludf.DUMMYFUNCTION("""COMPUTED_VALUE"""),4.0)</f>
        <v/>
      </c>
      <c r="L751" s="2">
        <f>IFERROR(__xludf.DUMMYFUNCTION("""COMPUTED_VALUE"""),"Лампы производство, упаковка")</f>
        <v/>
      </c>
      <c r="M751" s="2">
        <f>IFERROR(__xludf.DUMMYFUNCTION("""COMPUTED_VALUE"""),"Лампы")</f>
        <v/>
      </c>
    </row>
    <row r="752">
      <c r="A752" s="5">
        <f>IFERROR(__xludf.DUMMYFUNCTION("""COMPUTED_VALUE"""),"ZUK77")</f>
        <v/>
      </c>
      <c r="B752" s="5">
        <f>IFERROR(__xludf.DUMMYFUNCTION("""COMPUTED_VALUE"""),"Защитный уголок из картона 40х40х4х1200")</f>
        <v/>
      </c>
      <c r="C752" s="2">
        <f>IFERROR(__xludf.DUMMYFUNCTION("""COMPUTED_VALUE"""),0.0)</f>
        <v/>
      </c>
      <c r="D752" s="2">
        <f>IFERROR(__xludf.DUMMYFUNCTION("""COMPUTED_VALUE"""),0.0)</f>
        <v/>
      </c>
      <c r="E752" s="2">
        <f>IFERROR(__xludf.DUMMYFUNCTION("""COMPUTED_VALUE"""),30.33)</f>
        <v/>
      </c>
      <c r="F752" s="2">
        <f>IFERROR(__xludf.DUMMYFUNCTION("""COMPUTED_VALUE"""),1.0)</f>
        <v/>
      </c>
      <c r="G752" s="2">
        <f>IFERROR(__xludf.DUMMYFUNCTION("""COMPUTED_VALUE"""),1.0)</f>
        <v/>
      </c>
      <c r="H752" s="2">
        <f>IFERROR(__xludf.DUMMYFUNCTION("""COMPUTED_VALUE"""),1.0)</f>
        <v/>
      </c>
      <c r="I752" s="2">
        <f>IFERROR(__xludf.DUMMYFUNCTION("""COMPUTED_VALUE"""),1.5)</f>
        <v/>
      </c>
      <c r="J752" s="2">
        <f>IFERROR(__xludf.DUMMYFUNCTION("""COMPUTED_VALUE"""),1.5)</f>
        <v/>
      </c>
      <c r="K752" s="2">
        <f>IFERROR(__xludf.DUMMYFUNCTION("""COMPUTED_VALUE"""),942.0)</f>
        <v/>
      </c>
      <c r="L752" s="2">
        <f>IFERROR(__xludf.DUMMYFUNCTION("""COMPUTED_VALUE"""),"Упаковка")</f>
        <v/>
      </c>
      <c r="M752" s="2">
        <f>IFERROR(__xludf.DUMMYFUNCTION("""COMPUTED_VALUE"""),"Прочие товары")</f>
        <v/>
      </c>
    </row>
    <row r="753">
      <c r="A753" s="5">
        <f>IFERROR(__xludf.DUMMYFUNCTION("""COMPUTED_VALUE"""),"4690612042701-2")</f>
        <v/>
      </c>
      <c r="B753" s="5">
        <f>IFERROR(__xludf.DUMMYFUNCTION("""COMPUTED_VALUE"""),"ДВО-01 3640-ПРИЗМА 36 Вт 230В 4000K 3600Лм 180х1195х19мм NEOX (2 штуки в упаковке)")</f>
        <v/>
      </c>
      <c r="C753" s="2">
        <f>IFERROR(__xludf.DUMMYFUNCTION("""COMPUTED_VALUE"""),1.35)</f>
        <v/>
      </c>
      <c r="D753" s="2">
        <f>IFERROR(__xludf.DUMMYFUNCTION("""COMPUTED_VALUE"""),0.0)</f>
        <v/>
      </c>
      <c r="E753" s="2">
        <f>IFERROR(__xludf.DUMMYFUNCTION("""COMPUTED_VALUE"""),1147.76)</f>
        <v/>
      </c>
      <c r="F753" s="2">
        <f>IFERROR(__xludf.DUMMYFUNCTION("""COMPUTED_VALUE"""),1259.0)</f>
        <v/>
      </c>
      <c r="G753" s="2">
        <f>IFERROR(__xludf.DUMMYFUNCTION("""COMPUTED_VALUE"""),1469.0)</f>
        <v/>
      </c>
      <c r="H753" s="2">
        <f>IFERROR(__xludf.DUMMYFUNCTION("""COMPUTED_VALUE"""),1652.0)</f>
        <v/>
      </c>
      <c r="I753" s="2">
        <f>IFERROR(__xludf.DUMMYFUNCTION("""COMPUTED_VALUE"""),1836.0)</f>
        <v/>
      </c>
      <c r="J753" s="2">
        <f>IFERROR(__xludf.DUMMYFUNCTION("""COMPUTED_VALUE"""),918.0)</f>
        <v/>
      </c>
      <c r="K753" s="2">
        <f>IFERROR(__xludf.DUMMYFUNCTION("""COMPUTED_VALUE"""),7.0)</f>
        <v/>
      </c>
      <c r="L753" s="2">
        <f>IFERROR(__xludf.DUMMYFUNCTION("""COMPUTED_VALUE"""),"NEOX Светильники LED ДВО - Призма производство, упаковка")</f>
        <v/>
      </c>
      <c r="M753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754">
      <c r="A754" s="5">
        <f>IFERROR(__xludf.DUMMYFUNCTION("""COMPUTED_VALUE"""),"4690612014111")</f>
        <v/>
      </c>
      <c r="B754" s="5">
        <f>IFERROR(__xludf.DUMMYFUNCTION("""COMPUTED_VALUE"""),"GX53R-glass SMT под лампу GX53 КВАДРАТ СТЕКЛО 230B матовый IN HOME")</f>
        <v/>
      </c>
      <c r="C754" s="2">
        <f>IFERROR(__xludf.DUMMYFUNCTION("""COMPUTED_VALUE"""),0.294)</f>
        <v/>
      </c>
      <c r="D754" s="2">
        <f>IFERROR(__xludf.DUMMYFUNCTION("""COMPUTED_VALUE"""),0.001)</f>
        <v/>
      </c>
      <c r="E754" s="2">
        <f>IFERROR(__xludf.DUMMYFUNCTION("""COMPUTED_VALUE"""),178.97)</f>
        <v/>
      </c>
      <c r="F754" s="2">
        <f>IFERROR(__xludf.DUMMYFUNCTION("""COMPUTED_VALUE"""),181.0)</f>
        <v/>
      </c>
      <c r="G754" s="2">
        <f>IFERROR(__xludf.DUMMYFUNCTION("""COMPUTED_VALUE"""),203.0)</f>
        <v/>
      </c>
      <c r="H754" s="2">
        <f>IFERROR(__xludf.DUMMYFUNCTION("""COMPUTED_VALUE"""),236.0)</f>
        <v/>
      </c>
      <c r="I754" s="2">
        <f>IFERROR(__xludf.DUMMYFUNCTION("""COMPUTED_VALUE"""),271.0)</f>
        <v/>
      </c>
      <c r="J754" s="2">
        <f>IFERROR(__xludf.DUMMYFUNCTION("""COMPUTED_VALUE"""),136.0)</f>
        <v/>
      </c>
      <c r="K754" s="2">
        <f>IFERROR(__xludf.DUMMYFUNCTION("""COMPUTED_VALUE"""),5.0)</f>
        <v/>
      </c>
      <c r="L754" s="2">
        <f>IFERROR(__xludf.DUMMYFUNCTION("""COMPUTED_VALUE"""),"Под лампу GX53")</f>
        <v/>
      </c>
      <c r="M754" s="2">
        <f>IFERROR(__xludf.DUMMYFUNCTION("""COMPUTED_VALUE"""),"Точечные круглые Downlight, Ламповые светильники")</f>
        <v/>
      </c>
    </row>
    <row r="755">
      <c r="A755" s="5">
        <f>IFERROR(__xludf.DUMMYFUNCTION("""COMPUTED_VALUE"""),"426052929244723")</f>
        <v/>
      </c>
      <c r="B755" s="5">
        <f>IFERROR(__xludf.DUMMYFUNCTION("""COMPUTED_VALUE"""),"WT5S10W60 10 Вт 4000К IP20 700 Лм 32x23x570 мм 1/30")</f>
        <v/>
      </c>
      <c r="C755" s="2">
        <f>IFERROR(__xludf.DUMMYFUNCTION("""COMPUTED_VALUE"""),0.186)</f>
        <v/>
      </c>
      <c r="D755" s="2">
        <f>IFERROR(__xludf.DUMMYFUNCTION("""COMPUTED_VALUE"""),7.700000000000001E-4)</f>
        <v/>
      </c>
      <c r="E755" s="2">
        <f>IFERROR(__xludf.DUMMYFUNCTION("""COMPUTED_VALUE"""),235.52)</f>
        <v/>
      </c>
      <c r="F755" s="2">
        <f>IFERROR(__xludf.DUMMYFUNCTION("""COMPUTED_VALUE"""),214.0)</f>
        <v/>
      </c>
      <c r="G755" s="2">
        <f>IFERROR(__xludf.DUMMYFUNCTION("""COMPUTED_VALUE"""),221.0)</f>
        <v/>
      </c>
      <c r="H755" s="2">
        <f>IFERROR(__xludf.DUMMYFUNCTION("""COMPUTED_VALUE"""),290.0)</f>
        <v/>
      </c>
      <c r="I755" s="2">
        <f>IFERROR(__xludf.DUMMYFUNCTION("""COMPUTED_VALUE"""),363.0)</f>
        <v/>
      </c>
      <c r="J755" s="2">
        <f>IFERROR(__xludf.DUMMYFUNCTION("""COMPUTED_VALUE"""),182.0)</f>
        <v/>
      </c>
      <c r="K755" s="2">
        <f>IFERROR(__xludf.DUMMYFUNCTION("""COMPUTED_VALUE"""),58.0)</f>
        <v/>
      </c>
      <c r="L755" s="2">
        <f>IFERROR(__xludf.DUMMYFUNCTION("""COMPUTED_VALUE"""),"Wolta")</f>
        <v/>
      </c>
      <c r="M755" s="2">
        <f>IFERROR(__xludf.DUMMYFUNCTION("""COMPUTED_VALUE"""),"Пластиковые (линейные), LED Светильники")</f>
        <v/>
      </c>
    </row>
    <row r="756">
      <c r="A756" s="5">
        <f>IFERROR(__xludf.DUMMYFUNCTION("""COMPUTED_VALUE"""),"4690612008462")</f>
        <v/>
      </c>
      <c r="B756" s="5">
        <f>IFERROR(__xludf.DUMMYFUNCTION("""COMPUTED_VALUE"""),"GX53R-mini RG ультратонкий металл под лампу GX53 230В золото IN HOME")</f>
        <v/>
      </c>
      <c r="C756" s="2">
        <f>IFERROR(__xludf.DUMMYFUNCTION("""COMPUTED_VALUE"""),0.05300000000000001)</f>
        <v/>
      </c>
      <c r="D756" s="2">
        <f>IFERROR(__xludf.DUMMYFUNCTION("""COMPUTED_VALUE"""),2.5E-4)</f>
        <v/>
      </c>
      <c r="E756" s="2">
        <f>IFERROR(__xludf.DUMMYFUNCTION("""COMPUTED_VALUE"""),52.89)</f>
        <v/>
      </c>
      <c r="F756" s="2">
        <f>IFERROR(__xludf.DUMMYFUNCTION("""COMPUTED_VALUE"""),65.0)</f>
        <v/>
      </c>
      <c r="G756" s="2">
        <f>IFERROR(__xludf.DUMMYFUNCTION("""COMPUTED_VALUE"""),74.0)</f>
        <v/>
      </c>
      <c r="H756" s="2">
        <f>IFERROR(__xludf.DUMMYFUNCTION("""COMPUTED_VALUE"""),85.0)</f>
        <v/>
      </c>
      <c r="I756" s="2">
        <f>IFERROR(__xludf.DUMMYFUNCTION("""COMPUTED_VALUE"""),98.0)</f>
        <v/>
      </c>
      <c r="J756" s="2">
        <f>IFERROR(__xludf.DUMMYFUNCTION("""COMPUTED_VALUE"""),49.0)</f>
        <v/>
      </c>
      <c r="K756" s="2">
        <f>IFERROR(__xludf.DUMMYFUNCTION("""COMPUTED_VALUE"""),6.0)</f>
        <v/>
      </c>
      <c r="L756" s="2">
        <f>IFERROR(__xludf.DUMMYFUNCTION("""COMPUTED_VALUE"""),"Под лампу GX53")</f>
        <v/>
      </c>
      <c r="M756" s="2">
        <f>IFERROR(__xludf.DUMMYFUNCTION("""COMPUTED_VALUE"""),"Точечные круглые Downlight, Ламповые светильники")</f>
        <v/>
      </c>
    </row>
    <row r="757">
      <c r="A757" s="5">
        <f>IFERROR(__xludf.DUMMYFUNCTION("""COMPUTED_VALUE"""),"4690612013466")</f>
        <v/>
      </c>
      <c r="B757" s="5">
        <f>IFERROR(__xludf.DUMMYFUNCTION("""COMPUTED_VALUE"""),"ССО-01Б 8Вт сенсор-диммер RGB-ночник адаптер БЕЛЫЙ IN HOME")</f>
        <v/>
      </c>
      <c r="C757" s="2">
        <f>IFERROR(__xludf.DUMMYFUNCTION("""COMPUTED_VALUE"""),0.64)</f>
        <v/>
      </c>
      <c r="D757" s="2">
        <f>IFERROR(__xludf.DUMMYFUNCTION("""COMPUTED_VALUE"""),0.004750000000000001)</f>
        <v/>
      </c>
      <c r="E757" s="2">
        <f>IFERROR(__xludf.DUMMYFUNCTION("""COMPUTED_VALUE"""),919.26)</f>
        <v/>
      </c>
      <c r="F757" s="2">
        <f>IFERROR(__xludf.DUMMYFUNCTION("""COMPUTED_VALUE"""),820.0)</f>
        <v/>
      </c>
      <c r="G757" s="2">
        <f>IFERROR(__xludf.DUMMYFUNCTION("""COMPUTED_VALUE"""),923.0)</f>
        <v/>
      </c>
      <c r="H757" s="2">
        <f>IFERROR(__xludf.DUMMYFUNCTION("""COMPUTED_VALUE"""),1070.0)</f>
        <v/>
      </c>
      <c r="I757" s="2">
        <f>IFERROR(__xludf.DUMMYFUNCTION("""COMPUTED_VALUE"""),1230.0)</f>
        <v/>
      </c>
      <c r="J757" s="2">
        <f>IFERROR(__xludf.DUMMYFUNCTION("""COMPUTED_VALUE"""),615.0)</f>
        <v/>
      </c>
      <c r="K757" s="2">
        <f>IFERROR(__xludf.DUMMYFUNCTION("""COMPUTED_VALUE"""),3.0)</f>
        <v/>
      </c>
      <c r="L757" s="2">
        <f>IFERROR(__xludf.DUMMYFUNCTION("""COMPUTED_VALUE"""),"Светильники настольные светодиодные")</f>
        <v/>
      </c>
      <c r="M757" s="2">
        <f>IFERROR(__xludf.DUMMYFUNCTION("""COMPUTED_VALUE"""),"Светильники общего назначения (LED), Декоративные, LED Светильники")</f>
        <v/>
      </c>
    </row>
    <row r="758">
      <c r="A758" s="5">
        <f>IFERROR(__xludf.DUMMYFUNCTION("""COMPUTED_VALUE"""),"4690626071278")</f>
        <v/>
      </c>
      <c r="B758" s="5">
        <f>IFERROR(__xludf.DUMMYFUNCTION("""COMPUTED_VALUE"""),"Светодиодный (LED) прожектор FL ФИТО Smartbuy-30W/1300K/IP65 (SBL-FLFITO-30-65K)")</f>
        <v/>
      </c>
      <c r="C758" s="2">
        <f>IFERROR(__xludf.DUMMYFUNCTION("""COMPUTED_VALUE"""),0.0)</f>
        <v/>
      </c>
      <c r="D758" s="2">
        <f>IFERROR(__xludf.DUMMYFUNCTION("""COMPUTED_VALUE"""),0.0)</f>
        <v/>
      </c>
      <c r="E758" s="2">
        <f>IFERROR(__xludf.DUMMYFUNCTION("""COMPUTED_VALUE"""),561.7)</f>
        <v/>
      </c>
      <c r="F758" s="2">
        <f>IFERROR(__xludf.DUMMYFUNCTION("""COMPUTED_VALUE"""),606.0)</f>
        <v/>
      </c>
      <c r="G758" s="2">
        <f>IFERROR(__xludf.DUMMYFUNCTION("""COMPUTED_VALUE"""),665.0)</f>
        <v/>
      </c>
      <c r="H758" s="2">
        <f>IFERROR(__xludf.DUMMYFUNCTION("""COMPUTED_VALUE"""),739.0)</f>
        <v/>
      </c>
      <c r="I758" s="2">
        <f>IFERROR(__xludf.DUMMYFUNCTION("""COMPUTED_VALUE"""),813.0)</f>
        <v/>
      </c>
      <c r="J758" s="2">
        <f>IFERROR(__xludf.DUMMYFUNCTION("""COMPUTED_VALUE"""),407.0)</f>
        <v/>
      </c>
      <c r="K758" s="2">
        <f>IFERROR(__xludf.DUMMYFUNCTION("""COMPUTED_VALUE"""),9.0)</f>
        <v/>
      </c>
      <c r="L758" s="2">
        <f>IFERROR(__xludf.DUMMYFUNCTION("""COMPUTED_VALUE"""),"Smartbuy LED светильники")</f>
        <v/>
      </c>
      <c r="M758" s="2">
        <f>IFERROR(__xludf.DUMMYFUNCTION("""COMPUTED_VALUE"""),"Фито светильники (для растений), LED Светильники")</f>
        <v/>
      </c>
    </row>
    <row r="759">
      <c r="A759" s="5">
        <f>IFERROR(__xludf.DUMMYFUNCTION("""COMPUTED_VALUE"""),"G103101207-10")</f>
        <v/>
      </c>
      <c r="B759" s="5">
        <f>IFERROR(__xludf.DUMMYFUNCTION("""COMPUTED_VALUE"""),"10 шт. Лампа Candle E14 6.5W 4100К 1/10/50 (Комплект 10 шт)")</f>
        <v/>
      </c>
      <c r="C759" s="2">
        <f>IFERROR(__xludf.DUMMYFUNCTION("""COMPUTED_VALUE"""),0.03)</f>
        <v/>
      </c>
      <c r="D759" s="2">
        <f>IFERROR(__xludf.DUMMYFUNCTION("""COMPUTED_VALUE"""),0.0)</f>
        <v/>
      </c>
      <c r="E759" s="2">
        <f>IFERROR(__xludf.DUMMYFUNCTION("""COMPUTED_VALUE"""),788.7)</f>
        <v/>
      </c>
      <c r="F759" s="2">
        <f>IFERROR(__xludf.DUMMYFUNCTION("""COMPUTED_VALUE"""),865.0)</f>
        <v/>
      </c>
      <c r="G759" s="2">
        <f>IFERROR(__xludf.DUMMYFUNCTION("""COMPUTED_VALUE"""),1010.0)</f>
        <v/>
      </c>
      <c r="H759" s="2">
        <f>IFERROR(__xludf.DUMMYFUNCTION("""COMPUTED_VALUE"""),1136.0)</f>
        <v/>
      </c>
      <c r="I759" s="2">
        <f>IFERROR(__xludf.DUMMYFUNCTION("""COMPUTED_VALUE"""),1262.0)</f>
        <v/>
      </c>
      <c r="J759" s="2">
        <f>IFERROR(__xludf.DUMMYFUNCTION("""COMPUTED_VALUE"""),631.0)</f>
        <v/>
      </c>
      <c r="K759" s="2">
        <f>IFERROR(__xludf.DUMMYFUNCTION("""COMPUTED_VALUE"""),8.0)</f>
        <v/>
      </c>
      <c r="L759" s="2">
        <f>IFERROR(__xludf.DUMMYFUNCTION("""COMPUTED_VALUE"""),"Лампы производство, упаковка")</f>
        <v/>
      </c>
      <c r="M759" s="2">
        <f>IFERROR(__xludf.DUMMYFUNCTION("""COMPUTED_VALUE"""),"Лампы")</f>
        <v/>
      </c>
    </row>
    <row r="760">
      <c r="A760" s="5">
        <f>IFERROR(__xludf.DUMMYFUNCTION("""COMPUTED_VALUE"""),"4690612029849")</f>
        <v/>
      </c>
      <c r="B760" s="5">
        <f>IFERROR(__xludf.DUMMYFUNCTION("""COMPUTED_VALUE"""),"LPU-01 75Вт ПРИЗМА 230В 4000K 7125Лм 180х1195х19мм IP40 IN HOME")</f>
        <v/>
      </c>
      <c r="C760" s="2">
        <f>IFERROR(__xludf.DUMMYFUNCTION("""COMPUTED_VALUE"""),1.225)</f>
        <v/>
      </c>
      <c r="D760" s="2">
        <f>IFERROR(__xludf.DUMMYFUNCTION("""COMPUTED_VALUE"""),0.00525)</f>
        <v/>
      </c>
      <c r="E760" s="2">
        <f>IFERROR(__xludf.DUMMYFUNCTION("""COMPUTED_VALUE"""),718.0600000000001)</f>
        <v/>
      </c>
      <c r="F760" s="2">
        <f>IFERROR(__xludf.DUMMYFUNCTION("""COMPUTED_VALUE"""),808.0)</f>
        <v/>
      </c>
      <c r="G760" s="2">
        <f>IFERROR(__xludf.DUMMYFUNCTION("""COMPUTED_VALUE"""),909.0)</f>
        <v/>
      </c>
      <c r="H760" s="2">
        <f>IFERROR(__xludf.DUMMYFUNCTION("""COMPUTED_VALUE"""),1054.0)</f>
        <v/>
      </c>
      <c r="I760" s="2">
        <f>IFERROR(__xludf.DUMMYFUNCTION("""COMPUTED_VALUE"""),1212.0)</f>
        <v/>
      </c>
      <c r="J760" s="2">
        <f>IFERROR(__xludf.DUMMYFUNCTION("""COMPUTED_VALUE"""),606.0)</f>
        <v/>
      </c>
      <c r="K760" s="2">
        <f>IFERROR(__xludf.DUMMYFUNCTION("""COMPUTED_VALUE"""),9.0)</f>
        <v/>
      </c>
      <c r="L760" s="2">
        <f>IFERROR(__xludf.DUMMYFUNCTION("""COMPUTED_VALUE"""),"Панели светодиодные LP серии ПРИЗМА")</f>
        <v/>
      </c>
      <c r="M760" s="2">
        <f>IFERROR(__xludf.DUMMYFUNCTION("""COMPUTED_VALUE"""),"Встраиваемые, Накладные, LED Светильники")</f>
        <v/>
      </c>
    </row>
    <row r="761">
      <c r="A761" s="5">
        <f>IFERROR(__xludf.DUMMYFUNCTION("""COMPUTED_VALUE"""),"4260652193222")</f>
        <v/>
      </c>
      <c r="B761" s="5">
        <f>IFERROR(__xludf.DUMMYFUNCTION("""COMPUTED_VALUE"""),"LCL04-8W-R21-4K-SM")</f>
        <v/>
      </c>
      <c r="C761" s="2">
        <f>IFERROR(__xludf.DUMMYFUNCTION("""COMPUTED_VALUE"""),0.09000000000000001)</f>
        <v/>
      </c>
      <c r="D761" s="2">
        <f>IFERROR(__xludf.DUMMYFUNCTION("""COMPUTED_VALUE"""),0.0353)</f>
        <v/>
      </c>
      <c r="E761" s="2">
        <f>IFERROR(__xludf.DUMMYFUNCTION("""COMPUTED_VALUE"""),434.9)</f>
        <v/>
      </c>
      <c r="F761" s="2">
        <f>IFERROR(__xludf.DUMMYFUNCTION("""COMPUTED_VALUE"""),431.0)</f>
        <v/>
      </c>
      <c r="G761" s="2">
        <f>IFERROR(__xludf.DUMMYFUNCTION("""COMPUTED_VALUE"""),446.0)</f>
        <v/>
      </c>
      <c r="H761" s="2">
        <f>IFERROR(__xludf.DUMMYFUNCTION("""COMPUTED_VALUE"""),585.0)</f>
        <v/>
      </c>
      <c r="I761" s="2">
        <f>IFERROR(__xludf.DUMMYFUNCTION("""COMPUTED_VALUE"""),731.0)</f>
        <v/>
      </c>
      <c r="J761" s="2">
        <f>IFERROR(__xludf.DUMMYFUNCTION("""COMPUTED_VALUE"""),366.0)</f>
        <v/>
      </c>
      <c r="K761" s="2">
        <f>IFERROR(__xludf.DUMMYFUNCTION("""COMPUTED_VALUE"""),17.0)</f>
        <v/>
      </c>
      <c r="L761" s="2">
        <f>IFERROR(__xludf.DUMMYFUNCTION("""COMPUTED_VALUE"""),"Wolta ЖКХ")</f>
        <v/>
      </c>
      <c r="M761" s="2">
        <f>IFERROR(__xludf.DUMMYFUNCTION("""COMPUTED_VALUE"""),"Для ЖКХ, дома, дачи, LED Светильники")</f>
        <v/>
      </c>
    </row>
    <row r="762">
      <c r="A762" s="5">
        <f>IFERROR(__xludf.DUMMYFUNCTION("""COMPUTED_VALUE"""),"4690612035109")</f>
        <v/>
      </c>
      <c r="B762" s="5">
        <f>IFERROR(__xludf.DUMMYFUNCTION("""COMPUTED_VALUE"""),"COMFORT Loft-G 75Вт 230В 3000-6500K 6000Лм 500x100мм с пультом ДУ IN HOME")</f>
        <v/>
      </c>
      <c r="C762" s="2">
        <f>IFERROR(__xludf.DUMMYFUNCTION("""COMPUTED_VALUE"""),1.72)</f>
        <v/>
      </c>
      <c r="D762" s="2">
        <f>IFERROR(__xludf.DUMMYFUNCTION("""COMPUTED_VALUE"""),0.034)</f>
        <v/>
      </c>
      <c r="E762" s="2">
        <f>IFERROR(__xludf.DUMMYFUNCTION("""COMPUTED_VALUE"""),2271.72)</f>
        <v/>
      </c>
      <c r="F762" s="2">
        <f>IFERROR(__xludf.DUMMYFUNCTION("""COMPUTED_VALUE"""),1518.0)</f>
        <v/>
      </c>
      <c r="G762" s="2">
        <f>IFERROR(__xludf.DUMMYFUNCTION("""COMPUTED_VALUE"""),1708.0)</f>
        <v/>
      </c>
      <c r="H762" s="2">
        <f>IFERROR(__xludf.DUMMYFUNCTION("""COMPUTED_VALUE"""),1981.0)</f>
        <v/>
      </c>
      <c r="I762" s="2">
        <f>IFERROR(__xludf.DUMMYFUNCTION("""COMPUTED_VALUE"""),2277.0)</f>
        <v/>
      </c>
      <c r="J762" s="2">
        <f>IFERROR(__xludf.DUMMYFUNCTION("""COMPUTED_VALUE"""),1139.0)</f>
        <v/>
      </c>
      <c r="K762" s="2">
        <f>IFERROR(__xludf.DUMMYFUNCTION("""COMPUTED_VALUE"""),1.0)</f>
        <v/>
      </c>
      <c r="L762" s="2">
        <f>IFERROR(__xludf.DUMMYFUNCTION("""COMPUTED_VALUE"""),"Светильники светодиодные COMFORT")</f>
        <v/>
      </c>
      <c r="M762" s="2">
        <f>IFERROR(__xludf.DUMMYFUNCTION("""COMPUTED_VALUE"""),"Накладные, Декоративные, LED Светильники")</f>
        <v/>
      </c>
    </row>
    <row r="763">
      <c r="A763" s="5">
        <f>IFERROR(__xludf.DUMMYFUNCTION("""COMPUTED_VALUE"""),"4690612048291-1")</f>
        <v/>
      </c>
      <c r="B763" s="5">
        <f>IFERROR(__xludf.DUMMYFUNCTION("""COMPUTED_VALUE"""),"SPO-108 PRIZMA 50Вт 4000К 4500Лм 1200мм IP40 IN HOME (в индивидуальной упаковке)")</f>
        <v/>
      </c>
      <c r="C763" s="2">
        <f>IFERROR(__xludf.DUMMYFUNCTION("""COMPUTED_VALUE"""),0.0)</f>
        <v/>
      </c>
      <c r="D763" s="2">
        <f>IFERROR(__xludf.DUMMYFUNCTION("""COMPUTED_VALUE"""),0.00293)</f>
        <v/>
      </c>
      <c r="E763" s="2">
        <f>IFERROR(__xludf.DUMMYFUNCTION("""COMPUTED_VALUE"""),374.3)</f>
        <v/>
      </c>
      <c r="F763" s="2">
        <f>IFERROR(__xludf.DUMMYFUNCTION("""COMPUTED_VALUE"""),411.0)</f>
        <v/>
      </c>
      <c r="G763" s="2">
        <f>IFERROR(__xludf.DUMMYFUNCTION("""COMPUTED_VALUE"""),479.0)</f>
        <v/>
      </c>
      <c r="H763" s="2">
        <f>IFERROR(__xludf.DUMMYFUNCTION("""COMPUTED_VALUE"""),539.0)</f>
        <v/>
      </c>
      <c r="I763" s="2">
        <f>IFERROR(__xludf.DUMMYFUNCTION("""COMPUTED_VALUE"""),599.0)</f>
        <v/>
      </c>
      <c r="J763" s="2">
        <f>IFERROR(__xludf.DUMMYFUNCTION("""COMPUTED_VALUE"""),300.0)</f>
        <v/>
      </c>
      <c r="K763" s="2">
        <f>IFERROR(__xludf.DUMMYFUNCTION("""COMPUTED_VALUE"""),1.0)</f>
        <v/>
      </c>
      <c r="L763" s="2">
        <f>IFERROR(__xludf.DUMMYFUNCTION("""COMPUTED_VALUE"""),"InHome Светильники LED SPO-108, SPO-110 производство, упаковка (1 штука)")</f>
        <v/>
      </c>
      <c r="M763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/>
      </c>
    </row>
    <row r="764">
      <c r="A764" s="5">
        <f>IFERROR(__xludf.DUMMYFUNCTION("""COMPUTED_VALUE"""),"4690612037653-1")</f>
        <v/>
      </c>
      <c r="B764" s="5">
        <f>IFERROR(__xludf.DUMMYFUNCTION("""COMPUTED_VALUE"""),"ДВО-02 4565-ПРИЗМА 45Вт 230В 6500К 4500Лм 100Лм/Вт 595х595х19 NEOX (в индивид. уп)")</f>
        <v/>
      </c>
      <c r="C764" s="2">
        <f>IFERROR(__xludf.DUMMYFUNCTION("""COMPUTED_VALUE"""),1.35)</f>
        <v/>
      </c>
      <c r="D764" s="2">
        <f>IFERROR(__xludf.DUMMYFUNCTION("""COMPUTED_VALUE"""),0.006730000000000001)</f>
        <v/>
      </c>
      <c r="E764" s="2">
        <f>IFERROR(__xludf.DUMMYFUNCTION("""COMPUTED_VALUE"""),613.88)</f>
        <v/>
      </c>
      <c r="F764" s="2">
        <f>IFERROR(__xludf.DUMMYFUNCTION("""COMPUTED_VALUE"""),674.0)</f>
        <v/>
      </c>
      <c r="G764" s="2">
        <f>IFERROR(__xludf.DUMMYFUNCTION("""COMPUTED_VALUE"""),786.0)</f>
        <v/>
      </c>
      <c r="H764" s="2">
        <f>IFERROR(__xludf.DUMMYFUNCTION("""COMPUTED_VALUE"""),884.0)</f>
        <v/>
      </c>
      <c r="I764" s="2">
        <f>IFERROR(__xludf.DUMMYFUNCTION("""COMPUTED_VALUE"""),982.0)</f>
        <v/>
      </c>
      <c r="J764" s="2">
        <f>IFERROR(__xludf.DUMMYFUNCTION("""COMPUTED_VALUE"""),491.0)</f>
        <v/>
      </c>
      <c r="K764" s="2">
        <f>IFERROR(__xludf.DUMMYFUNCTION("""COMPUTED_VALUE"""),2.0)</f>
        <v/>
      </c>
      <c r="L764" s="2">
        <f>IFERROR(__xludf.DUMMYFUNCTION("""COMPUTED_VALUE"""),"NEOX Светильники LED ДВО - Призма производство, упаковка")</f>
        <v/>
      </c>
      <c r="M764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765">
      <c r="A765" s="5">
        <f>IFERROR(__xludf.DUMMYFUNCTION("""COMPUTED_VALUE"""),"4262356474317")</f>
        <v/>
      </c>
      <c r="B765" s="5">
        <f>IFERROR(__xludf.DUMMYFUNCTION("""COMPUTED_VALUE"""),"WTL-GX53/01W")</f>
        <v/>
      </c>
      <c r="C765" s="2">
        <f>IFERROR(__xludf.DUMMYFUNCTION("""COMPUTED_VALUE"""),0.209)</f>
        <v/>
      </c>
      <c r="D765" s="2">
        <f>IFERROR(__xludf.DUMMYFUNCTION("""COMPUTED_VALUE"""),0.0)</f>
        <v/>
      </c>
      <c r="E765" s="2">
        <f>IFERROR(__xludf.DUMMYFUNCTION("""COMPUTED_VALUE"""),395.5)</f>
        <v/>
      </c>
      <c r="F765" s="2">
        <f>IFERROR(__xludf.DUMMYFUNCTION("""COMPUTED_VALUE"""),480.0)</f>
        <v/>
      </c>
      <c r="G765" s="2">
        <f>IFERROR(__xludf.DUMMYFUNCTION("""COMPUTED_VALUE"""),497.0)</f>
        <v/>
      </c>
      <c r="H765" s="2">
        <f>IFERROR(__xludf.DUMMYFUNCTION("""COMPUTED_VALUE"""),651.0)</f>
        <v/>
      </c>
      <c r="I765" s="2">
        <f>IFERROR(__xludf.DUMMYFUNCTION("""COMPUTED_VALUE"""),814.0)</f>
        <v/>
      </c>
      <c r="J765" s="2">
        <f>IFERROR(__xludf.DUMMYFUNCTION("""COMPUTED_VALUE"""),407.0)</f>
        <v/>
      </c>
      <c r="K765" s="2">
        <f>IFERROR(__xludf.DUMMYFUNCTION("""COMPUTED_VALUE"""),1.0)</f>
        <v/>
      </c>
      <c r="L765" s="2">
        <f>IFERROR(__xludf.DUMMYFUNCTION("""COMPUTED_VALUE"""),"Wolta трековые")</f>
        <v/>
      </c>
      <c r="M765" s="2">
        <f>IFERROR(__xludf.DUMMYFUNCTION("""COMPUTED_VALUE"""),"Трековые, LED Светильники")</f>
        <v/>
      </c>
    </row>
    <row r="766">
      <c r="A766" s="5">
        <f>IFERROR(__xludf.DUMMYFUNCTION("""COMPUTED_VALUE"""),"4690612053004-1")</f>
        <v/>
      </c>
      <c r="B766" s="5">
        <f>IFERROR(__xludf.DUMMYFUNCTION("""COMPUTED_VALUE"""),"ДВО-01 7565-ПРИЗМА 75Вт 6500К 180х1195х19 NEOX (в индивидуальной упаковке)")</f>
        <v/>
      </c>
      <c r="C766" s="2">
        <f>IFERROR(__xludf.DUMMYFUNCTION("""COMPUTED_VALUE"""),0.0)</f>
        <v/>
      </c>
      <c r="D766" s="2">
        <f>IFERROR(__xludf.DUMMYFUNCTION("""COMPUTED_VALUE"""),0.0)</f>
        <v/>
      </c>
      <c r="E766" s="2">
        <f>IFERROR(__xludf.DUMMYFUNCTION("""COMPUTED_VALUE"""),786.53)</f>
        <v/>
      </c>
      <c r="F766" s="2">
        <f>IFERROR(__xludf.DUMMYFUNCTION("""COMPUTED_VALUE"""),863.0)</f>
        <v/>
      </c>
      <c r="G766" s="2">
        <f>IFERROR(__xludf.DUMMYFUNCTION("""COMPUTED_VALUE"""),1006.0)</f>
        <v/>
      </c>
      <c r="H766" s="2">
        <f>IFERROR(__xludf.DUMMYFUNCTION("""COMPUTED_VALUE"""),1132.0)</f>
        <v/>
      </c>
      <c r="I766" s="2">
        <f>IFERROR(__xludf.DUMMYFUNCTION("""COMPUTED_VALUE"""),1258.0)</f>
        <v/>
      </c>
      <c r="J766" s="2">
        <f>IFERROR(__xludf.DUMMYFUNCTION("""COMPUTED_VALUE"""),629.0)</f>
        <v/>
      </c>
      <c r="K766" s="2">
        <f>IFERROR(__xludf.DUMMYFUNCTION("""COMPUTED_VALUE"""),18.0)</f>
        <v/>
      </c>
      <c r="L766" s="2">
        <f>IFERROR(__xludf.DUMMYFUNCTION("""COMPUTED_VALUE"""),"NEOX Светильники LED ДВО - Призма производство, упаковка")</f>
        <v/>
      </c>
      <c r="M766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767">
      <c r="A767" s="5">
        <f>IFERROR(__xludf.DUMMYFUNCTION("""COMPUTED_VALUE"""),"V12020")</f>
        <v/>
      </c>
      <c r="B767" s="5">
        <f>IFERROR(__xludf.DUMMYFUNCTION("""COMPUTED_VALUE"""),"VRN-LME136X78-128D-A50K67-K, 128Вт, Консольный")</f>
        <v/>
      </c>
      <c r="C767" s="2">
        <f>IFERROR(__xludf.DUMMYFUNCTION("""COMPUTED_VALUE"""),0.0)</f>
        <v/>
      </c>
      <c r="D767" s="2">
        <f>IFERROR(__xludf.DUMMYFUNCTION("""COMPUTED_VALUE"""),0.0)</f>
        <v/>
      </c>
      <c r="E767" s="2">
        <f>IFERROR(__xludf.DUMMYFUNCTION("""COMPUTED_VALUE"""),6500.0)</f>
        <v/>
      </c>
      <c r="F767" s="2">
        <f>IFERROR(__xludf.DUMMYFUNCTION("""COMPUTED_VALUE"""),7515.0)</f>
        <v/>
      </c>
      <c r="G767" s="2">
        <f>IFERROR(__xludf.DUMMYFUNCTION("""COMPUTED_VALUE"""),9770.0)</f>
        <v/>
      </c>
      <c r="H767" s="2">
        <f>IFERROR(__xludf.DUMMYFUNCTION("""COMPUTED_VALUE"""),10258.0)</f>
        <v/>
      </c>
      <c r="I767" s="2">
        <f>IFERROR(__xludf.DUMMYFUNCTION("""COMPUTED_VALUE"""),10746.0)</f>
        <v/>
      </c>
      <c r="J767" s="2">
        <f>IFERROR(__xludf.DUMMYFUNCTION("""COMPUTED_VALUE"""),5373.0)</f>
        <v/>
      </c>
      <c r="K767" s="2">
        <f>IFERROR(__xludf.DUMMYFUNCTION("""COMPUTED_VALUE"""),1.0)</f>
        <v/>
      </c>
      <c r="L767" s="2">
        <f>IFERROR(__xludf.DUMMYFUNCTION("""COMPUTED_VALUE"""),"Магистраль Эконом")</f>
        <v/>
      </c>
      <c r="M767" s="2">
        <f>IFERROR(__xludf.DUMMYFUNCTION("""COMPUTED_VALUE"""),"Для автомагистралей, LED Светильники")</f>
        <v/>
      </c>
    </row>
    <row r="768">
      <c r="A768" s="5">
        <f>IFERROR(__xludf.DUMMYFUNCTION("""COMPUTED_VALUE"""),"14690612038817")</f>
        <v/>
      </c>
      <c r="B768" s="5">
        <f>IFERROR(__xludf.DUMMYFUNCTION("""COMPUTED_VALUE"""),"ДВО-02 4065-ОПАЛ 40Вт 230В 6500К 3600Лм 595х595х25 NEOX (4 шт в упак.)")</f>
        <v/>
      </c>
      <c r="C768" s="2">
        <f>IFERROR(__xludf.DUMMYFUNCTION("""COMPUTED_VALUE"""),1.3)</f>
        <v/>
      </c>
      <c r="D768" s="2">
        <f>IFERROR(__xludf.DUMMYFUNCTION("""COMPUTED_VALUE"""),0.0)</f>
        <v/>
      </c>
      <c r="E768" s="2">
        <f>IFERROR(__xludf.DUMMYFUNCTION("""COMPUTED_VALUE"""),2481.64)</f>
        <v/>
      </c>
      <c r="F768" s="2">
        <f>IFERROR(__xludf.DUMMYFUNCTION("""COMPUTED_VALUE"""),2723.0)</f>
        <v/>
      </c>
      <c r="G768" s="2">
        <f>IFERROR(__xludf.DUMMYFUNCTION("""COMPUTED_VALUE"""),3177.0)</f>
        <v/>
      </c>
      <c r="H768" s="2">
        <f>IFERROR(__xludf.DUMMYFUNCTION("""COMPUTED_VALUE"""),3574.0)</f>
        <v/>
      </c>
      <c r="I768" s="2">
        <f>IFERROR(__xludf.DUMMYFUNCTION("""COMPUTED_VALUE"""),3971.0)</f>
        <v/>
      </c>
      <c r="J768" s="2">
        <f>IFERROR(__xludf.DUMMYFUNCTION("""COMPUTED_VALUE"""),1986.0)</f>
        <v/>
      </c>
      <c r="K768" s="2">
        <f>IFERROR(__xludf.DUMMYFUNCTION("""COMPUTED_VALUE"""),2.0)</f>
        <v/>
      </c>
      <c r="L768" s="2">
        <f>IFERROR(__xludf.DUMMYFUNCTION("""COMPUTED_VALUE"""),"NEOX Светильники LED ДВО - Опал производство, упаковка")</f>
        <v/>
      </c>
      <c r="M768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/>
      </c>
    </row>
    <row r="769">
      <c r="A769" s="5">
        <f>IFERROR(__xludf.DUMMYFUNCTION("""COMPUTED_VALUE"""),"4690612042718-2")</f>
        <v/>
      </c>
      <c r="B769" s="5">
        <f>IFERROR(__xludf.DUMMYFUNCTION("""COMPUTED_VALUE"""),"ДВО-01 4040-ОПАЛ 40Вт 230В 4000К 3600Лм 180х1195х25мм NEOX (2 штуки в упаковке)")</f>
        <v/>
      </c>
      <c r="C769" s="2">
        <f>IFERROR(__xludf.DUMMYFUNCTION("""COMPUTED_VALUE"""),1.36)</f>
        <v/>
      </c>
      <c r="D769" s="2">
        <f>IFERROR(__xludf.DUMMYFUNCTION("""COMPUTED_VALUE"""),0.0)</f>
        <v/>
      </c>
      <c r="E769" s="2">
        <f>IFERROR(__xludf.DUMMYFUNCTION("""COMPUTED_VALUE"""),1298.81)</f>
        <v/>
      </c>
      <c r="F769" s="2">
        <f>IFERROR(__xludf.DUMMYFUNCTION("""COMPUTED_VALUE"""),1425.0)</f>
        <v/>
      </c>
      <c r="G769" s="2">
        <f>IFERROR(__xludf.DUMMYFUNCTION("""COMPUTED_VALUE"""),1662.0)</f>
        <v/>
      </c>
      <c r="H769" s="2">
        <f>IFERROR(__xludf.DUMMYFUNCTION("""COMPUTED_VALUE"""),1870.0)</f>
        <v/>
      </c>
      <c r="I769" s="2">
        <f>IFERROR(__xludf.DUMMYFUNCTION("""COMPUTED_VALUE"""),2078.0)</f>
        <v/>
      </c>
      <c r="J769" s="2">
        <f>IFERROR(__xludf.DUMMYFUNCTION("""COMPUTED_VALUE"""),1039.0)</f>
        <v/>
      </c>
      <c r="K769" s="2">
        <f>IFERROR(__xludf.DUMMYFUNCTION("""COMPUTED_VALUE"""),6.0)</f>
        <v/>
      </c>
      <c r="L769" s="2">
        <f>IFERROR(__xludf.DUMMYFUNCTION("""COMPUTED_VALUE"""),"NEOX Светильники LED ДВО - Опал производство, упаковка")</f>
        <v/>
      </c>
      <c r="M769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Прочие товары")</f>
        <v/>
      </c>
    </row>
    <row r="770">
      <c r="A770" s="5">
        <f>IFERROR(__xludf.DUMMYFUNCTION("""COMPUTED_VALUE"""),"CS16")</f>
        <v/>
      </c>
      <c r="B770" s="5">
        <f>IFERROR(__xludf.DUMMYFUNCTION("""COMPUTED_VALUE"""),"Светодиодный светильник СПЕЦСВЕТ 01-009-104 [142] АС 36 В подвесной ЖЕЛУДЬ с решеткой ГУ (ДСП)")</f>
        <v/>
      </c>
      <c r="C770" s="2">
        <f>IFERROR(__xludf.DUMMYFUNCTION("""COMPUTED_VALUE"""),0.0)</f>
        <v/>
      </c>
      <c r="D770" s="2">
        <f>IFERROR(__xludf.DUMMYFUNCTION("""COMPUTED_VALUE"""),0.0)</f>
        <v/>
      </c>
      <c r="E770" s="2">
        <f>IFERROR(__xludf.DUMMYFUNCTION("""COMPUTED_VALUE"""),734.3000000000001)</f>
        <v/>
      </c>
      <c r="F770" s="2">
        <f>IFERROR(__xludf.DUMMYFUNCTION("""COMPUTED_VALUE"""),309.0)</f>
        <v/>
      </c>
      <c r="G770" s="2">
        <f>IFERROR(__xludf.DUMMYFUNCTION("""COMPUTED_VALUE"""),330.0)</f>
        <v/>
      </c>
      <c r="H770" s="2">
        <f>IFERROR(__xludf.DUMMYFUNCTION("""COMPUTED_VALUE"""),371.0)</f>
        <v/>
      </c>
      <c r="I770" s="2">
        <f>IFERROR(__xludf.DUMMYFUNCTION("""COMPUTED_VALUE"""),412.44)</f>
        <v/>
      </c>
      <c r="J770" s="2">
        <f>IFERROR(__xludf.DUMMYFUNCTION("""COMPUTED_VALUE"""),206.0)</f>
        <v/>
      </c>
      <c r="K770" s="2">
        <f>IFERROR(__xludf.DUMMYFUNCTION("""COMPUTED_VALUE"""),2.0)</f>
        <v/>
      </c>
      <c r="L770" s="2">
        <f>IFERROR(__xludf.DUMMYFUNCTION("""COMPUTED_VALUE"""),"CS")</f>
        <v/>
      </c>
      <c r="M770" s="2">
        <f>IFERROR(__xludf.DUMMYFUNCTION("""COMPUTED_VALUE"""),"Промышленные светильники (LED), Для ЖКХ, дома, дачи, LED Светильники")</f>
        <v/>
      </c>
    </row>
    <row r="771">
      <c r="A771" s="5">
        <f>IFERROR(__xludf.DUMMYFUNCTION("""COMPUTED_VALUE"""),"4690612035369")</f>
        <v/>
      </c>
      <c r="B771" s="5">
        <f>IFERROR(__xludf.DUMMYFUNCTION("""COMPUTED_VALUE"""),"ELEGANT SANSA-W 90Вт 230В 3000-6500K 7000Лм 650х650х130мм c пультом ДУ белый IN HOME")</f>
        <v/>
      </c>
      <c r="C771" s="2">
        <f>IFERROR(__xludf.DUMMYFUNCTION("""COMPUTED_VALUE"""),2.0)</f>
        <v/>
      </c>
      <c r="D771" s="2">
        <f>IFERROR(__xludf.DUMMYFUNCTION("""COMPUTED_VALUE"""),0.016)</f>
        <v/>
      </c>
      <c r="E771" s="2">
        <f>IFERROR(__xludf.DUMMYFUNCTION("""COMPUTED_VALUE"""),4391.08)</f>
        <v/>
      </c>
      <c r="F771" s="2">
        <f>IFERROR(__xludf.DUMMYFUNCTION("""COMPUTED_VALUE"""),2421.0)</f>
        <v/>
      </c>
      <c r="G771" s="2">
        <f>IFERROR(__xludf.DUMMYFUNCTION("""COMPUTED_VALUE"""),2723.0)</f>
        <v/>
      </c>
      <c r="H771" s="2">
        <f>IFERROR(__xludf.DUMMYFUNCTION("""COMPUTED_VALUE"""),3159.0)</f>
        <v/>
      </c>
      <c r="I771" s="2">
        <f>IFERROR(__xludf.DUMMYFUNCTION("""COMPUTED_VALUE"""),3631.0)</f>
        <v/>
      </c>
      <c r="J771" s="2">
        <f>IFERROR(__xludf.DUMMYFUNCTION("""COMPUTED_VALUE"""),1816.0)</f>
        <v/>
      </c>
      <c r="K771" s="2">
        <f>IFERROR(__xludf.DUMMYFUNCTION("""COMPUTED_VALUE"""),2.0)</f>
        <v/>
      </c>
      <c r="L771" s="2">
        <f>IFERROR(__xludf.DUMMYFUNCTION("""COMPUTED_VALUE"""),"Светильники светодиодные серии ELEGANT IN HOME")</f>
        <v/>
      </c>
      <c r="M771" s="2">
        <f>IFERROR(__xludf.DUMMYFUNCTION("""COMPUTED_VALUE"""),"Накладные, Декоративные, LED Светильники")</f>
        <v/>
      </c>
    </row>
    <row r="772">
      <c r="A772" s="5">
        <f>IFERROR(__xludf.DUMMYFUNCTION("""COMPUTED_VALUE"""),"4260529295639")</f>
        <v/>
      </c>
      <c r="B772" s="5">
        <f>IFERROR(__xludf.DUMMYFUNCTION("""COMPUTED_VALUE"""),"WT5S6W30")</f>
        <v/>
      </c>
      <c r="C772" s="2">
        <f>IFERROR(__xludf.DUMMYFUNCTION("""COMPUTED_VALUE"""),0.14)</f>
        <v/>
      </c>
      <c r="D772" s="2">
        <f>IFERROR(__xludf.DUMMYFUNCTION("""COMPUTED_VALUE"""),0.014)</f>
        <v/>
      </c>
      <c r="E772" s="2">
        <f>IFERROR(__xludf.DUMMYFUNCTION("""COMPUTED_VALUE"""),192.7)</f>
        <v/>
      </c>
      <c r="F772" s="2">
        <f>IFERROR(__xludf.DUMMYFUNCTION("""COMPUTED_VALUE"""),227.0)</f>
        <v/>
      </c>
      <c r="G772" s="2">
        <f>IFERROR(__xludf.DUMMYFUNCTION("""COMPUTED_VALUE"""),235.0)</f>
        <v/>
      </c>
      <c r="H772" s="2">
        <f>IFERROR(__xludf.DUMMYFUNCTION("""COMPUTED_VALUE"""),308.0)</f>
        <v/>
      </c>
      <c r="I772" s="2">
        <f>IFERROR(__xludf.DUMMYFUNCTION("""COMPUTED_VALUE"""),385.0)</f>
        <v/>
      </c>
      <c r="J772" s="2">
        <f>IFERROR(__xludf.DUMMYFUNCTION("""COMPUTED_VALUE"""),193.0)</f>
        <v/>
      </c>
      <c r="K772" s="2">
        <f>IFERROR(__xludf.DUMMYFUNCTION("""COMPUTED_VALUE"""),23.0)</f>
        <v/>
      </c>
      <c r="L772" s="2">
        <f>IFERROR(__xludf.DUMMYFUNCTION("""COMPUTED_VALUE"""),"Wolta светильники бытовые WT4, WT5, WT8")</f>
        <v/>
      </c>
      <c r="M772" s="2">
        <f>IFERROR(__xludf.DUMMYFUNCTION("""COMPUTED_VALUE"""),"Светильники общего назначения (LED), Прочие товары")</f>
        <v/>
      </c>
    </row>
    <row r="773">
      <c r="A773" s="5">
        <f>IFERROR(__xludf.DUMMYFUNCTION("""COMPUTED_VALUE"""),"4260652193185")</f>
        <v/>
      </c>
      <c r="B773" s="5">
        <f>IFERROR(__xludf.DUMMYFUNCTION("""COMPUTED_VALUE"""),"LCL04-8W-R01-4K")</f>
        <v/>
      </c>
      <c r="C773" s="2">
        <f>IFERROR(__xludf.DUMMYFUNCTION("""COMPUTED_VALUE"""),0.09000000000000001)</f>
        <v/>
      </c>
      <c r="D773" s="2">
        <f>IFERROR(__xludf.DUMMYFUNCTION("""COMPUTED_VALUE"""),0.0012)</f>
        <v/>
      </c>
      <c r="E773" s="2">
        <f>IFERROR(__xludf.DUMMYFUNCTION("""COMPUTED_VALUE"""),208.21)</f>
        <v/>
      </c>
      <c r="F773" s="2">
        <f>IFERROR(__xludf.DUMMYFUNCTION("""COMPUTED_VALUE"""),179.0)</f>
        <v/>
      </c>
      <c r="G773" s="2">
        <f>IFERROR(__xludf.DUMMYFUNCTION("""COMPUTED_VALUE"""),185.0)</f>
        <v/>
      </c>
      <c r="H773" s="2">
        <f>IFERROR(__xludf.DUMMYFUNCTION("""COMPUTED_VALUE"""),242.0)</f>
        <v/>
      </c>
      <c r="I773" s="2">
        <f>IFERROR(__xludf.DUMMYFUNCTION("""COMPUTED_VALUE"""),303.0)</f>
        <v/>
      </c>
      <c r="J773" s="2">
        <f>IFERROR(__xludf.DUMMYFUNCTION("""COMPUTED_VALUE"""),242.0)</f>
        <v/>
      </c>
      <c r="K773" s="2">
        <f>IFERROR(__xludf.DUMMYFUNCTION("""COMPUTED_VALUE"""),2.0)</f>
        <v/>
      </c>
      <c r="L773" s="2">
        <f>IFERROR(__xludf.DUMMYFUNCTION("""COMPUTED_VALUE"""),"Wolta ЖКХ")</f>
        <v/>
      </c>
      <c r="M773" s="2">
        <f>IFERROR(__xludf.DUMMYFUNCTION("""COMPUTED_VALUE"""),"Для ЖКХ, дома, дачи, LED Светильники")</f>
        <v/>
      </c>
    </row>
    <row r="774">
      <c r="A774" s="5">
        <f>IFERROR(__xludf.DUMMYFUNCTION("""COMPUTED_VALUE"""),"GL5130")</f>
        <v/>
      </c>
      <c r="B774" s="5">
        <f>IFERROR(__xludf.DUMMYFUNCTION("""COMPUTED_VALUE"""),"GLERIO Practical 64 Вт 5000K 6A-64D-5U")</f>
        <v/>
      </c>
      <c r="C774" s="2">
        <f>IFERROR(__xludf.DUMMYFUNCTION("""COMPUTED_VALUE"""),1.2)</f>
        <v/>
      </c>
      <c r="D774" s="2">
        <f>IFERROR(__xludf.DUMMYFUNCTION("""COMPUTED_VALUE"""),0.00357)</f>
        <v/>
      </c>
      <c r="E774" s="2">
        <f>IFERROR(__xludf.DUMMYFUNCTION("""COMPUTED_VALUE"""),2084.81)</f>
        <v/>
      </c>
      <c r="F774" s="2">
        <f>IFERROR(__xludf.DUMMYFUNCTION("""COMPUTED_VALUE"""),2400.0)</f>
        <v/>
      </c>
      <c r="G774" s="2">
        <f>IFERROR(__xludf.DUMMYFUNCTION("""COMPUTED_VALUE"""),3000.0)</f>
        <v/>
      </c>
      <c r="H774" s="2">
        <f>IFERROR(__xludf.DUMMYFUNCTION("""COMPUTED_VALUE"""),3375.0)</f>
        <v/>
      </c>
      <c r="I774" s="2">
        <f>IFERROR(__xludf.DUMMYFUNCTION("""COMPUTED_VALUE"""),3750.0)</f>
        <v/>
      </c>
      <c r="J774" s="2">
        <f>IFERROR(__xludf.DUMMYFUNCTION("""COMPUTED_VALUE"""),2400.0)</f>
        <v/>
      </c>
      <c r="K774" s="2">
        <f>IFERROR(__xludf.DUMMYFUNCTION("""COMPUTED_VALUE"""),3.0)</f>
        <v/>
      </c>
      <c r="L774" s="2">
        <f>IFERROR(__xludf.DUMMYFUNCTION("""COMPUTED_VALUE"""),"Practical Уличные GLERIO до 10.2025")</f>
        <v/>
      </c>
      <c r="M774" s="2">
        <f>IFERROR(__xludf.DUMMYFUNCTION("""COMPUTED_VALUE"""),"Для обычных дорог, LED Светильники")</f>
        <v/>
      </c>
    </row>
    <row r="775">
      <c r="A775" s="5">
        <f>IFERROR(__xludf.DUMMYFUNCTION("""COMPUTED_VALUE"""),"4260529296704")</f>
        <v/>
      </c>
      <c r="B775" s="5">
        <f>IFERROR(__xludf.DUMMYFUNCTION("""COMPUTED_VALUE"""),"ДПП01-12-021-4К-ОА")</f>
        <v/>
      </c>
      <c r="C775" s="2">
        <f>IFERROR(__xludf.DUMMYFUNCTION("""COMPUTED_VALUE"""),0.14)</f>
        <v/>
      </c>
      <c r="D775" s="2">
        <f>IFERROR(__xludf.DUMMYFUNCTION("""COMPUTED_VALUE"""),0.04029000000000001)</f>
        <v/>
      </c>
      <c r="E775" s="2">
        <f>IFERROR(__xludf.DUMMYFUNCTION("""COMPUTED_VALUE"""),374.5)</f>
        <v/>
      </c>
      <c r="F775" s="2">
        <f>IFERROR(__xludf.DUMMYFUNCTION("""COMPUTED_VALUE"""),913.0)</f>
        <v/>
      </c>
      <c r="G775" s="2">
        <f>IFERROR(__xludf.DUMMYFUNCTION("""COMPUTED_VALUE"""),944.0)</f>
        <v/>
      </c>
      <c r="H775" s="2">
        <f>IFERROR(__xludf.DUMMYFUNCTION("""COMPUTED_VALUE"""),1238.0)</f>
        <v/>
      </c>
      <c r="I775" s="2">
        <f>IFERROR(__xludf.DUMMYFUNCTION("""COMPUTED_VALUE"""),1547.0)</f>
        <v/>
      </c>
      <c r="J775" s="2">
        <f>IFERROR(__xludf.DUMMYFUNCTION("""COMPUTED_VALUE"""),774.0)</f>
        <v/>
      </c>
      <c r="K775" s="2">
        <f>IFERROR(__xludf.DUMMYFUNCTION("""COMPUTED_VALUE"""),1.0)</f>
        <v/>
      </c>
      <c r="L775" s="2">
        <f>IFERROR(__xludf.DUMMYFUNCTION("""COMPUTED_VALUE"""),"Wolta ЖКХ")</f>
        <v/>
      </c>
      <c r="M775" s="2">
        <f>IFERROR(__xludf.DUMMYFUNCTION("""COMPUTED_VALUE"""),"Для ЖКХ, дома, дачи, LED Светильники")</f>
        <v/>
      </c>
    </row>
    <row r="776">
      <c r="A776" s="5">
        <f>IFERROR(__xludf.DUMMYFUNCTION("""COMPUTED_VALUE"""),"R100088")</f>
        <v/>
      </c>
      <c r="B776" s="5">
        <f>IFERROR(__xludf.DUMMYFUNCTION("""COMPUTED_VALUE"""),"RSV-STP-50-6500K-IP66")</f>
        <v/>
      </c>
      <c r="C776" s="2">
        <f>IFERROR(__xludf.DUMMYFUNCTION("""COMPUTED_VALUE"""),1.15)</f>
        <v/>
      </c>
      <c r="D776" s="2">
        <f>IFERROR(__xludf.DUMMYFUNCTION("""COMPUTED_VALUE"""),5.600000000000001E-4)</f>
        <v/>
      </c>
      <c r="E776" s="2">
        <f>IFERROR(__xludf.DUMMYFUNCTION("""COMPUTED_VALUE"""),1411.09)</f>
        <v/>
      </c>
      <c r="F776" s="2">
        <f>IFERROR(__xludf.DUMMYFUNCTION("""COMPUTED_VALUE"""),1937.0)</f>
        <v/>
      </c>
      <c r="G776" s="2">
        <f>IFERROR(__xludf.DUMMYFUNCTION("""COMPUTED_VALUE"""),2279.0)</f>
        <v/>
      </c>
      <c r="H776" s="2">
        <f>IFERROR(__xludf.DUMMYFUNCTION("""COMPUTED_VALUE"""),2348.0)</f>
        <v/>
      </c>
      <c r="I776" s="2">
        <f>IFERROR(__xludf.DUMMYFUNCTION("""COMPUTED_VALUE"""),2700.0)</f>
        <v/>
      </c>
      <c r="J776" s="2">
        <f>IFERROR(__xludf.DUMMYFUNCTION("""COMPUTED_VALUE"""),1350.0)</f>
        <v/>
      </c>
      <c r="K776" s="2">
        <f>IFERROR(__xludf.DUMMYFUNCTION("""COMPUTED_VALUE"""),3.0)</f>
        <v/>
      </c>
      <c r="L776" s="2">
        <f>IFERROR(__xludf.DUMMYFUNCTION("""COMPUTED_VALUE"""),"Уличное освещение RSV")</f>
        <v/>
      </c>
      <c r="M776" s="2">
        <f>IFERROR(__xludf.DUMMYFUNCTION("""COMPUTED_VALUE"""),"Для обычных дорог, LED Светильники")</f>
        <v/>
      </c>
    </row>
    <row r="777">
      <c r="A777" s="5">
        <f>IFERROR(__xludf.DUMMYFUNCTION("""COMPUTED_VALUE"""),"V1007")</f>
        <v/>
      </c>
      <c r="B777" s="5">
        <f>IFERROR(__xludf.DUMMYFUNCTION("""COMPUTED_VALUE"""),"VRN-UN-48-G50K67-U, 48Вт, Универсальный")</f>
        <v/>
      </c>
      <c r="C777" s="2">
        <f>IFERROR(__xludf.DUMMYFUNCTION("""COMPUTED_VALUE"""),0.11)</f>
        <v/>
      </c>
      <c r="D777" s="2">
        <f>IFERROR(__xludf.DUMMYFUNCTION("""COMPUTED_VALUE"""),0.00483)</f>
        <v/>
      </c>
      <c r="E777" s="2">
        <f>IFERROR(__xludf.DUMMYFUNCTION("""COMPUTED_VALUE"""),2529.01)</f>
        <v/>
      </c>
      <c r="F777" s="2">
        <f>IFERROR(__xludf.DUMMYFUNCTION("""COMPUTED_VALUE"""),2895.0)</f>
        <v/>
      </c>
      <c r="G777" s="2">
        <f>IFERROR(__xludf.DUMMYFUNCTION("""COMPUTED_VALUE"""),3764.0)</f>
        <v/>
      </c>
      <c r="H777" s="2">
        <f>IFERROR(__xludf.DUMMYFUNCTION("""COMPUTED_VALUE"""),3952.0)</f>
        <v/>
      </c>
      <c r="I777" s="2">
        <f>IFERROR(__xludf.DUMMYFUNCTION("""COMPUTED_VALUE"""),4140.0)</f>
        <v/>
      </c>
      <c r="J777" s="2">
        <f>IFERROR(__xludf.DUMMYFUNCTION("""COMPUTED_VALUE"""),4140.0)</f>
        <v/>
      </c>
      <c r="K777" s="2">
        <f>IFERROR(__xludf.DUMMYFUNCTION("""COMPUTED_VALUE"""),9.0)</f>
        <v/>
      </c>
      <c r="L777" s="2">
        <f>IFERROR(__xludf.DUMMYFUNCTION("""COMPUTED_VALUE"""),"Универсал")</f>
        <v/>
      </c>
      <c r="M777" s="2">
        <f>IFERROR(__xludf.DUMMYFUNCTION("""COMPUTED_VALUE"""),"Для обычных дорог, Модульные, LED Светильники")</f>
        <v/>
      </c>
    </row>
    <row r="778">
      <c r="A778" s="5">
        <f>IFERROR(__xludf.DUMMYFUNCTION("""COMPUTED_VALUE"""),"4690626079649")</f>
        <v/>
      </c>
      <c r="B778" s="5">
        <f>IFERROR(__xludf.DUMMYFUNCTION("""COMPUTED_VALUE"""),"Светодиодная (LED) Лампа ФИТО Smartbuy-5 лепестков-40W/E27 (SBL-5-leaves-40-fito-E27)/25")</f>
        <v/>
      </c>
      <c r="C778" s="2">
        <f>IFERROR(__xludf.DUMMYFUNCTION("""COMPUTED_VALUE"""),0.0)</f>
        <v/>
      </c>
      <c r="D778" s="2">
        <f>IFERROR(__xludf.DUMMYFUNCTION("""COMPUTED_VALUE"""),0.0)</f>
        <v/>
      </c>
      <c r="E778" s="2">
        <f>IFERROR(__xludf.DUMMYFUNCTION("""COMPUTED_VALUE"""),807.9300000000001)</f>
        <v/>
      </c>
      <c r="F778" s="2">
        <f>IFERROR(__xludf.DUMMYFUNCTION("""COMPUTED_VALUE"""),772.0)</f>
        <v/>
      </c>
      <c r="G778" s="2">
        <f>IFERROR(__xludf.DUMMYFUNCTION("""COMPUTED_VALUE"""),847.0)</f>
        <v/>
      </c>
      <c r="H778" s="2">
        <f>IFERROR(__xludf.DUMMYFUNCTION("""COMPUTED_VALUE"""),941.0)</f>
        <v/>
      </c>
      <c r="I778" s="2">
        <f>IFERROR(__xludf.DUMMYFUNCTION("""COMPUTED_VALUE"""),1035.0)</f>
        <v/>
      </c>
      <c r="J778" s="2">
        <f>IFERROR(__xludf.DUMMYFUNCTION("""COMPUTED_VALUE"""),847.0)</f>
        <v/>
      </c>
      <c r="K778" s="2">
        <f>IFERROR(__xludf.DUMMYFUNCTION("""COMPUTED_VALUE"""),2.0)</f>
        <v/>
      </c>
      <c r="L778" s="2">
        <f>IFERROR(__xludf.DUMMYFUNCTION("""COMPUTED_VALUE"""),"Smartbuy лампы LED")</f>
        <v/>
      </c>
      <c r="M778" s="2">
        <f>IFERROR(__xludf.DUMMYFUNCTION("""COMPUTED_VALUE"""),"Лампы")</f>
        <v/>
      </c>
    </row>
    <row r="779">
      <c r="A779" s="5">
        <f>IFERROR(__xludf.DUMMYFUNCTION("""COMPUTED_VALUE"""),"4690612020464")</f>
        <v/>
      </c>
      <c r="B779" s="5">
        <f>IFERROR(__xludf.DUMMYFUNCTION("""COMPUTED_VALUE"""),"LED-СВЕЧА-VC 11Вт 230В Е14 3000К 1050Лм IN HOME")</f>
        <v/>
      </c>
      <c r="C779" s="2">
        <f>IFERROR(__xludf.DUMMYFUNCTION("""COMPUTED_VALUE"""),0.035)</f>
        <v/>
      </c>
      <c r="D779" s="2">
        <f>IFERROR(__xludf.DUMMYFUNCTION("""COMPUTED_VALUE"""),1.9E-4)</f>
        <v/>
      </c>
      <c r="E779" s="2">
        <f>IFERROR(__xludf.DUMMYFUNCTION("""COMPUTED_VALUE"""),40.2)</f>
        <v/>
      </c>
      <c r="F779" s="2">
        <f>IFERROR(__xludf.DUMMYFUNCTION("""COMPUTED_VALUE"""),46.0)</f>
        <v/>
      </c>
      <c r="G779" s="2">
        <f>IFERROR(__xludf.DUMMYFUNCTION("""COMPUTED_VALUE"""),52.0)</f>
        <v/>
      </c>
      <c r="H779" s="2">
        <f>IFERROR(__xludf.DUMMYFUNCTION("""COMPUTED_VALUE"""),60.0)</f>
        <v/>
      </c>
      <c r="I779" s="2">
        <f>IFERROR(__xludf.DUMMYFUNCTION("""COMPUTED_VALUE"""),69.8)</f>
        <v/>
      </c>
      <c r="J779" s="2">
        <f>IFERROR(__xludf.DUMMYFUNCTION("""COMPUTED_VALUE"""),35.0)</f>
        <v/>
      </c>
      <c r="K779" s="2">
        <f>IFERROR(__xludf.DUMMYFUNCTION("""COMPUTED_VALUE"""),36.0)</f>
        <v/>
      </c>
      <c r="L779" s="2">
        <f>IFERROR(__xludf.DUMMYFUNCTION("""COMPUTED_VALUE"""),"Лампа светодиодная LED-СВЕЧА-standard")</f>
        <v/>
      </c>
      <c r="M779" s="2">
        <f>IFERROR(__xludf.DUMMYFUNCTION("""COMPUTED_VALUE"""),"Лампы")</f>
        <v/>
      </c>
    </row>
    <row r="780">
      <c r="A780" s="5">
        <f>IFERROR(__xludf.DUMMYFUNCTION("""COMPUTED_VALUE"""),"Fefco/0203-1")</f>
        <v/>
      </c>
      <c r="B780" s="5">
        <f>IFERROR(__xludf.DUMMYFUNCTION("""COMPUTED_VALUE"""),"Короб 605х30х605 (картон Т-24 ""В"" бурый)")</f>
        <v/>
      </c>
      <c r="C780" s="2">
        <f>IFERROR(__xludf.DUMMYFUNCTION("""COMPUTED_VALUE"""),0.36)</f>
        <v/>
      </c>
      <c r="D780" s="2">
        <f>IFERROR(__xludf.DUMMYFUNCTION("""COMPUTED_VALUE"""),0.004)</f>
        <v/>
      </c>
      <c r="E780" s="2">
        <f>IFERROR(__xludf.DUMMYFUNCTION("""COMPUTED_VALUE"""),55.4)</f>
        <v/>
      </c>
      <c r="F780" s="2">
        <f>IFERROR(__xludf.DUMMYFUNCTION("""COMPUTED_VALUE"""),1.0)</f>
        <v/>
      </c>
      <c r="G780" s="2">
        <f>IFERROR(__xludf.DUMMYFUNCTION("""COMPUTED_VALUE"""),1.0)</f>
        <v/>
      </c>
      <c r="H780" s="2">
        <f>IFERROR(__xludf.DUMMYFUNCTION("""COMPUTED_VALUE"""),1.0)</f>
        <v/>
      </c>
      <c r="I780" s="2">
        <f>IFERROR(__xludf.DUMMYFUNCTION("""COMPUTED_VALUE"""),1.5)</f>
        <v/>
      </c>
      <c r="J780" s="2">
        <f>IFERROR(__xludf.DUMMYFUNCTION("""COMPUTED_VALUE"""),1.5)</f>
        <v/>
      </c>
      <c r="K780" s="2">
        <f>IFERROR(__xludf.DUMMYFUNCTION("""COMPUTED_VALUE"""),-276.0)</f>
        <v/>
      </c>
      <c r="L780" s="2">
        <f>IFERROR(__xludf.DUMMYFUNCTION("""COMPUTED_VALUE"""),"Упаковка")</f>
        <v/>
      </c>
      <c r="M780" s="2">
        <f>IFERROR(__xludf.DUMMYFUNCTION("""COMPUTED_VALUE"""),"Прочие товары")</f>
        <v/>
      </c>
    </row>
    <row r="781">
      <c r="A781" s="5">
        <f>IFERROR(__xludf.DUMMYFUNCTION("""COMPUTED_VALUE"""),"4690612050829-10")</f>
        <v/>
      </c>
      <c r="B781" s="5">
        <f>IFERROR(__xludf.DUMMYFUNCTION("""COMPUTED_VALUE"""),"10 шт. Лампа LED-ST64-deco 9Вт 230В Е27 4000К 1140Лм прозрачная IN HOME (Комплект 10 шт)")</f>
        <v/>
      </c>
      <c r="C781" s="2">
        <f>IFERROR(__xludf.DUMMYFUNCTION("""COMPUTED_VALUE"""),0.07)</f>
        <v/>
      </c>
      <c r="D781" s="2">
        <f>IFERROR(__xludf.DUMMYFUNCTION("""COMPUTED_VALUE"""),0.004200000000000001)</f>
        <v/>
      </c>
      <c r="E781" s="2">
        <f>IFERROR(__xludf.DUMMYFUNCTION("""COMPUTED_VALUE"""),1164.0)</f>
        <v/>
      </c>
      <c r="F781" s="2">
        <f>IFERROR(__xludf.DUMMYFUNCTION("""COMPUTED_VALUE"""),1277.0)</f>
        <v/>
      </c>
      <c r="G781" s="2">
        <f>IFERROR(__xludf.DUMMYFUNCTION("""COMPUTED_VALUE"""),1490.0)</f>
        <v/>
      </c>
      <c r="H781" s="2">
        <f>IFERROR(__xludf.DUMMYFUNCTION("""COMPUTED_VALUE"""),1676.0)</f>
        <v/>
      </c>
      <c r="I781" s="2">
        <f>IFERROR(__xludf.DUMMYFUNCTION("""COMPUTED_VALUE"""),1862.0)</f>
        <v/>
      </c>
      <c r="J781" s="2">
        <f>IFERROR(__xludf.DUMMYFUNCTION("""COMPUTED_VALUE"""),931.0)</f>
        <v/>
      </c>
      <c r="K781" s="2">
        <f>IFERROR(__xludf.DUMMYFUNCTION("""COMPUTED_VALUE"""),5.0)</f>
        <v/>
      </c>
      <c r="L781" s="2">
        <f>IFERROR(__xludf.DUMMYFUNCTION("""COMPUTED_VALUE"""),"Лампы производство, упаковка")</f>
        <v/>
      </c>
      <c r="M781" s="2">
        <f>IFERROR(__xludf.DUMMYFUNCTION("""COMPUTED_VALUE"""),"Лампы")</f>
        <v/>
      </c>
    </row>
    <row r="782">
      <c r="A782" s="5">
        <f>IFERROR(__xludf.DUMMYFUNCTION("""COMPUTED_VALUE"""),"4690612026107")</f>
        <v/>
      </c>
      <c r="B782" s="5">
        <f>IFERROR(__xludf.DUMMYFUNCTION("""COMPUTED_VALUE"""),"LED-A60-deco 9Вт 230В Е27 6500К 1040Лм прозрачная IN HOME")</f>
        <v/>
      </c>
      <c r="C782" s="2">
        <f>IFERROR(__xludf.DUMMYFUNCTION("""COMPUTED_VALUE"""),0.044)</f>
        <v/>
      </c>
      <c r="D782" s="2">
        <f>IFERROR(__xludf.DUMMYFUNCTION("""COMPUTED_VALUE"""),5.600000000000001E-4)</f>
        <v/>
      </c>
      <c r="E782" s="2">
        <f>IFERROR(__xludf.DUMMYFUNCTION("""COMPUTED_VALUE"""),68.34)</f>
        <v/>
      </c>
      <c r="F782" s="2">
        <f>IFERROR(__xludf.DUMMYFUNCTION("""COMPUTED_VALUE"""),69.0)</f>
        <v/>
      </c>
      <c r="G782" s="2">
        <f>IFERROR(__xludf.DUMMYFUNCTION("""COMPUTED_VALUE"""),77.0)</f>
        <v/>
      </c>
      <c r="H782" s="2">
        <f>IFERROR(__xludf.DUMMYFUNCTION("""COMPUTED_VALUE"""),90.0)</f>
        <v/>
      </c>
      <c r="I782" s="2">
        <f>IFERROR(__xludf.DUMMYFUNCTION("""COMPUTED_VALUE"""),103.5)</f>
        <v/>
      </c>
      <c r="J782" s="2">
        <f>IFERROR(__xludf.DUMMYFUNCTION("""COMPUTED_VALUE"""),52.0)</f>
        <v/>
      </c>
      <c r="K782" s="2">
        <f>IFERROR(__xludf.DUMMYFUNCTION("""COMPUTED_VALUE"""),40.0)</f>
        <v/>
      </c>
      <c r="L782" s="2">
        <f>IFERROR(__xludf.DUMMYFUNCTION("""COMPUTED_VALUE"""),"Лампа светодиодная LED-A60 DECO")</f>
        <v/>
      </c>
      <c r="M782" s="2">
        <f>IFERROR(__xludf.DUMMYFUNCTION("""COMPUTED_VALUE"""),"Лампы")</f>
        <v/>
      </c>
    </row>
    <row r="783">
      <c r="A783" s="5">
        <f>IFERROR(__xludf.DUMMYFUNCTION("""COMPUTED_VALUE"""),"4690612029412")</f>
        <v/>
      </c>
      <c r="B783" s="5">
        <f>IFERROR(__xludf.DUMMYFUNCTION("""COMPUTED_VALUE"""),"Ввод питания шинопровода P-B-TL черный серии TOP-LINE IN HOME")</f>
        <v/>
      </c>
      <c r="C783" s="2">
        <f>IFERROR(__xludf.DUMMYFUNCTION("""COMPUTED_VALUE"""),0.018)</f>
        <v/>
      </c>
      <c r="D783" s="2">
        <f>IFERROR(__xludf.DUMMYFUNCTION("""COMPUTED_VALUE"""),3.0E-5)</f>
        <v/>
      </c>
      <c r="E783" s="2">
        <f>IFERROR(__xludf.DUMMYFUNCTION("""COMPUTED_VALUE"""),31.9)</f>
        <v/>
      </c>
      <c r="F783" s="2">
        <f>IFERROR(__xludf.DUMMYFUNCTION("""COMPUTED_VALUE"""),33.0)</f>
        <v/>
      </c>
      <c r="G783" s="2">
        <f>IFERROR(__xludf.DUMMYFUNCTION("""COMPUTED_VALUE"""),37.0)</f>
        <v/>
      </c>
      <c r="H783" s="2">
        <f>IFERROR(__xludf.DUMMYFUNCTION("""COMPUTED_VALUE"""),43.0)</f>
        <v/>
      </c>
      <c r="I783" s="2">
        <f>IFERROR(__xludf.DUMMYFUNCTION("""COMPUTED_VALUE"""),49.0)</f>
        <v/>
      </c>
      <c r="J783" s="2">
        <f>IFERROR(__xludf.DUMMYFUNCTION("""COMPUTED_VALUE"""),25.0)</f>
        <v/>
      </c>
      <c r="K783" s="2">
        <f>IFERROR(__xludf.DUMMYFUNCTION("""COMPUTED_VALUE"""),10.0)</f>
        <v/>
      </c>
      <c r="L783" s="2">
        <f>IFERROR(__xludf.DUMMYFUNCTION("""COMPUTED_VALUE"""),"Шинопровод и комплектующие")</f>
        <v/>
      </c>
      <c r="M783" s="2">
        <f>IFERROR(__xludf.DUMMYFUNCTION("""COMPUTED_VALUE"""),"Прочие товары")</f>
        <v/>
      </c>
    </row>
    <row r="784">
      <c r="A784" s="5">
        <f>IFERROR(__xludf.DUMMYFUNCTION("""COMPUTED_VALUE"""),"4690612007267")</f>
        <v/>
      </c>
      <c r="B784" s="5">
        <f>IFERROR(__xludf.DUMMYFUNCTION("""COMPUTED_VALUE"""),"LED-ШАР-ECO 5Вт 230В Е14 4000К 375Лм (5шт в упаковке) IN HOME")</f>
        <v/>
      </c>
      <c r="C784" s="2">
        <f>IFERROR(__xludf.DUMMYFUNCTION("""COMPUTED_VALUE"""),0.21)</f>
        <v/>
      </c>
      <c r="D784" s="2">
        <f>IFERROR(__xludf.DUMMYFUNCTION("""COMPUTED_VALUE"""),8.500000000000001E-4)</f>
        <v/>
      </c>
      <c r="E784" s="2">
        <f>IFERROR(__xludf.DUMMYFUNCTION("""COMPUTED_VALUE"""),193.92)</f>
        <v/>
      </c>
      <c r="F784" s="2">
        <f>IFERROR(__xludf.DUMMYFUNCTION("""COMPUTED_VALUE"""),1.0)</f>
        <v/>
      </c>
      <c r="G784" s="2">
        <f>IFERROR(__xludf.DUMMYFUNCTION("""COMPUTED_VALUE"""),1.0)</f>
        <v/>
      </c>
      <c r="H784" s="2">
        <f>IFERROR(__xludf.DUMMYFUNCTION("""COMPUTED_VALUE"""),1.0)</f>
        <v/>
      </c>
      <c r="I784" s="2">
        <f>IFERROR(__xludf.DUMMYFUNCTION("""COMPUTED_VALUE"""),1.5)</f>
        <v/>
      </c>
      <c r="J784" s="2">
        <f>IFERROR(__xludf.DUMMYFUNCTION("""COMPUTED_VALUE"""),1.5)</f>
        <v/>
      </c>
      <c r="K784" s="2">
        <f>IFERROR(__xludf.DUMMYFUNCTION("""COMPUTED_VALUE"""),13.0)</f>
        <v/>
      </c>
      <c r="L784" s="2">
        <f>IFERROR(__xludf.DUMMYFUNCTION("""COMPUTED_VALUE"""),"Лампа светодиодная LED-ШАР-standard")</f>
        <v/>
      </c>
      <c r="M784" s="2">
        <f>IFERROR(__xludf.DUMMYFUNCTION("""COMPUTED_VALUE"""),"Лампы")</f>
        <v/>
      </c>
    </row>
    <row r="785">
      <c r="A785" s="5">
        <f>IFERROR(__xludf.DUMMYFUNCTION("""COMPUTED_VALUE"""),"4690612057286-1")</f>
        <v/>
      </c>
      <c r="B785" s="5">
        <f>IFERROR(__xludf.DUMMYFUNCTION("""COMPUTED_VALUE"""),"ДВО-PRO 4065-ОПАЛ 40Вт 6500К 120лм/Вт CRI80 IP40 595х595х30мм NEOX (в индивид. уп)")</f>
        <v/>
      </c>
      <c r="C785" s="2">
        <f>IFERROR(__xludf.DUMMYFUNCTION("""COMPUTED_VALUE"""),0.0)</f>
        <v/>
      </c>
      <c r="D785" s="2">
        <f>IFERROR(__xludf.DUMMYFUNCTION("""COMPUTED_VALUE"""),0.0)</f>
        <v/>
      </c>
      <c r="E785" s="2">
        <f>IFERROR(__xludf.DUMMYFUNCTION("""COMPUTED_VALUE"""),990.86)</f>
        <v/>
      </c>
      <c r="F785" s="2">
        <f>IFERROR(__xludf.DUMMYFUNCTION("""COMPUTED_VALUE"""),1087.0)</f>
        <v/>
      </c>
      <c r="G785" s="2">
        <f>IFERROR(__xludf.DUMMYFUNCTION("""COMPUTED_VALUE"""),1268.0)</f>
        <v/>
      </c>
      <c r="H785" s="2">
        <f>IFERROR(__xludf.DUMMYFUNCTION("""COMPUTED_VALUE"""),1427.0)</f>
        <v/>
      </c>
      <c r="I785" s="2">
        <f>IFERROR(__xludf.DUMMYFUNCTION("""COMPUTED_VALUE"""),1585.0)</f>
        <v/>
      </c>
      <c r="J785" s="2">
        <f>IFERROR(__xludf.DUMMYFUNCTION("""COMPUTED_VALUE"""),793.0)</f>
        <v/>
      </c>
      <c r="K785" s="2">
        <f>IFERROR(__xludf.DUMMYFUNCTION("""COMPUTED_VALUE"""),4.0)</f>
        <v/>
      </c>
      <c r="L785" s="2">
        <f>IFERROR(__xludf.DUMMYFUNCTION("""COMPUTED_VALUE"""),"NEOX Светильники LED ДВО-PRO производство, упаковка")</f>
        <v/>
      </c>
      <c r="M785" s="2">
        <f>IFERROR(__xludf.DUMMYFUNCTION("""COMPUTED_VALUE"""),"Светильники общего назначения (LED), Встраиваемые, Накладные, Светильники для торговых помещений (LED), Встраиваемые, LED Светильники")</f>
        <v/>
      </c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4"/>
  <sheetViews>
    <sheetView workbookViewId="0">
      <selection activeCell="A1" sqref="A1"/>
    </sheetView>
  </sheetViews>
  <sheetFormatPr baseColWidth="8" defaultColWidth="12.63" defaultRowHeight="15.75" customHeight="1"/>
  <cols>
    <col width="56.88" customWidth="1" style="9" min="1" max="1"/>
  </cols>
  <sheetData>
    <row r="1">
      <c r="C1" s="2" t="inlineStr">
        <is>
          <t>Цена столб.</t>
        </is>
      </c>
      <c r="D1" s="2" t="inlineStr">
        <is>
          <t>Остаток столб.</t>
        </is>
      </c>
    </row>
    <row r="2">
      <c r="A2" s="6" t="inlineStr">
        <is>
          <t>Остатки СПБ запасы</t>
        </is>
      </c>
      <c r="B2" s="7" t="inlineStr">
        <is>
          <t>https://docs.google.com/spreadsheets/d/1UY1NZ9G0sT7F7W35hU8I1i7IYmRb6JNVmytW6Of_o14/edit?usp=sharing</t>
        </is>
      </c>
      <c r="C2" s="2" t="inlineStr">
        <is>
          <t>J</t>
        </is>
      </c>
      <c r="D2" s="2" t="inlineStr">
        <is>
          <t>K</t>
        </is>
      </c>
    </row>
    <row r="3">
      <c r="A3" s="2" t="inlineStr">
        <is>
          <t>Avito API. Список объявлений, Экспорт Остатки, Экспорт цены на Авито</t>
        </is>
      </c>
      <c r="B3" s="8" t="inlineStr">
        <is>
          <t>https://docs.google.com/spreadsheets/d/1Mrmt5ErbNUpzAE8fcLlO5TCd07vho-RGL586zulCSoc/edit?usp=sharing</t>
        </is>
      </c>
    </row>
    <row r="4">
      <c r="A4" s="2" t="inlineStr">
        <is>
          <t>Авито БД товаров подготовка для XML файл</t>
        </is>
      </c>
      <c r="B4" s="8" t="inlineStr">
        <is>
          <t>https://docs.google.com/spreadsheets/d/1ExDjS6UjKsniJPLGl9Zy98mzx6uyZHIo94a5iAIX8Ug/edit?usp=sharing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Основные характеристики</t>
        </is>
      </c>
      <c r="V1" s="0" t="inlineStr">
        <is>
          <t>Габаритные размеры</t>
        </is>
      </c>
      <c r="AD1" s="0" t="inlineStr">
        <is>
          <t>Дополнительные характеристики</t>
        </is>
      </c>
      <c r="AS1" s="0" t="inlineStr">
        <is>
          <t>Упаковка</t>
        </is>
      </c>
      <c r="BI1" s="0" t="n">
        <v>27</v>
      </c>
    </row>
    <row r="2">
      <c r="A2" s="0" t="inlineStr">
        <is>
          <t>Артикул</t>
        </is>
      </c>
      <c r="B2" s="0" t="inlineStr">
        <is>
          <t>Наименование</t>
        </is>
      </c>
      <c r="C2" s="0" t="inlineStr">
        <is>
          <t>Категория продукции</t>
        </is>
      </c>
      <c r="D2" s="0" t="inlineStr">
        <is>
          <t>Штрих-код EAN 13</t>
        </is>
      </c>
      <c r="E2" s="0" t="inlineStr">
        <is>
          <t>Изображение товара</t>
        </is>
      </c>
      <c r="F2" s="0" t="inlineStr">
        <is>
          <t>Гарантия, лет</t>
        </is>
      </c>
      <c r="G2" s="0" t="inlineStr">
        <is>
          <t>Страна производитель</t>
        </is>
      </c>
      <c r="H2" s="0" t="inlineStr">
        <is>
          <t>Торговая марка</t>
        </is>
      </c>
      <c r="I2" s="0" t="inlineStr">
        <is>
          <t>Способ установки</t>
        </is>
      </c>
      <c r="J2" s="0" t="inlineStr">
        <is>
          <t>Область применения</t>
        </is>
      </c>
      <c r="K2" s="0" t="inlineStr">
        <is>
          <t>Тип источника света</t>
        </is>
      </c>
      <c r="L2" s="0" t="inlineStr">
        <is>
          <t>Количество ламп</t>
        </is>
      </c>
      <c r="M2" s="0" t="inlineStr">
        <is>
          <t>Мощность, Вт</t>
        </is>
      </c>
      <c r="N2" s="0" t="inlineStr">
        <is>
          <t>Цоколь</t>
        </is>
      </c>
      <c r="O2" s="0" t="inlineStr">
        <is>
          <t>Тип матрицы LED</t>
        </is>
      </c>
      <c r="P2" s="0" t="inlineStr">
        <is>
          <t>Световой поток, лм</t>
        </is>
      </c>
      <c r="Q2" s="0" t="inlineStr">
        <is>
          <t>Цветовая температура, К</t>
        </is>
      </c>
      <c r="R2" s="0" t="inlineStr">
        <is>
          <t>Индекс цветопередачи, Ra ≥</t>
        </is>
      </c>
      <c r="S2" s="0" t="inlineStr">
        <is>
          <t>Степень защиты IP</t>
        </is>
      </c>
      <c r="T2" s="0" t="inlineStr">
        <is>
          <t>Тип КСС</t>
        </is>
      </c>
      <c r="U2" s="0" t="inlineStr">
        <is>
          <t>Срок службы (не менее)</t>
        </is>
      </c>
      <c r="V2" s="0" t="inlineStr">
        <is>
          <t>A</t>
        </is>
      </c>
      <c r="W2" s="0" t="inlineStr">
        <is>
          <t>B</t>
        </is>
      </c>
      <c r="X2" s="0" t="inlineStr">
        <is>
          <t>C</t>
        </is>
      </c>
      <c r="Y2" s="0" t="inlineStr">
        <is>
          <t>D</t>
        </is>
      </c>
      <c r="Z2" s="0" t="inlineStr">
        <is>
          <t>d</t>
        </is>
      </c>
      <c r="AA2" s="0" t="inlineStr">
        <is>
          <t>H</t>
        </is>
      </c>
      <c r="AB2" s="0" t="inlineStr">
        <is>
          <t>Масса нетто, кг</t>
        </is>
      </c>
      <c r="AC2" s="0" t="inlineStr">
        <is>
          <t>Габаритные размеры (изображение)</t>
        </is>
      </c>
      <c r="AD2" s="0" t="inlineStr">
        <is>
          <t>Материал корпуса</t>
        </is>
      </c>
      <c r="AE2" s="0" t="inlineStr">
        <is>
          <t>Материал рассеивателя</t>
        </is>
      </c>
      <c r="AF2" s="0" t="inlineStr">
        <is>
          <t>Конструкция</t>
        </is>
      </c>
      <c r="AG2" s="0" t="inlineStr">
        <is>
          <t>Оптическая часть</t>
        </is>
      </c>
      <c r="AH2" s="0" t="inlineStr">
        <is>
          <t>Дополнительные характеристики</t>
        </is>
      </c>
      <c r="AI2" s="0" t="inlineStr">
        <is>
          <t>Тип ПРА</t>
        </is>
      </c>
      <c r="AJ2" s="0" t="inlineStr">
        <is>
          <t>Класс по мощности</t>
        </is>
      </c>
      <c r="AK2" s="0" t="inlineStr">
        <is>
          <t>cos φ ≥</t>
        </is>
      </c>
      <c r="AL2" s="0" t="inlineStr">
        <is>
          <t>Коэффициент пульсации светового потока (не более), %</t>
        </is>
      </c>
      <c r="AM2" s="0" t="inlineStr">
        <is>
          <t>Номинальный ток, A</t>
        </is>
      </c>
      <c r="AN2" s="0" t="inlineStr">
        <is>
          <t>Диапазон напряжения питания, В от</t>
        </is>
      </c>
      <c r="AO2" s="0" t="inlineStr">
        <is>
          <t>Диапазон напряжения питания, В до</t>
        </is>
      </c>
      <c r="AP2" s="0" t="inlineStr">
        <is>
          <t>Диапазон температуры окружающей среды, °C от</t>
        </is>
      </c>
      <c r="AQ2" s="0" t="inlineStr">
        <is>
          <t>Диапазон температуры окружающей среды, °C до</t>
        </is>
      </c>
      <c r="AR2" s="0" t="inlineStr">
        <is>
          <t>Климатическое исполнение</t>
        </is>
      </c>
      <c r="AS2" s="0" t="inlineStr">
        <is>
          <t>Тип упаковки</t>
        </is>
      </c>
      <c r="AT2" s="0" t="inlineStr">
        <is>
          <t>Индивидуальная упаковка</t>
        </is>
      </c>
      <c r="AU2" s="0" t="inlineStr">
        <is>
          <t>Объем 1 шт., м³</t>
        </is>
      </c>
      <c r="AV2" s="0" t="inlineStr">
        <is>
          <t>Масса брутто 1 шт., кг</t>
        </is>
      </c>
      <c r="AW2" s="0" t="inlineStr">
        <is>
          <t>Кол-во в упаковке, шт.</t>
        </is>
      </c>
      <c r="AX2" s="0" t="inlineStr">
        <is>
          <t>A уп.</t>
        </is>
      </c>
      <c r="AY2" s="0" t="inlineStr">
        <is>
          <t>B уп.</t>
        </is>
      </c>
      <c r="AZ2" s="0" t="inlineStr">
        <is>
          <t>C уп.</t>
        </is>
      </c>
      <c r="BA2" s="0" t="inlineStr">
        <is>
          <t>Объём упаковки, м³</t>
        </is>
      </c>
      <c r="BB2" s="0" t="inlineStr">
        <is>
          <t>Масса упаковки, кг</t>
        </is>
      </c>
      <c r="BC2" s="0" t="inlineStr">
        <is>
          <t>Штрих код упаковки</t>
        </is>
      </c>
      <c r="BD2" s="0" t="inlineStr">
        <is>
          <t>Доп. изображения</t>
        </is>
      </c>
      <c r="BE2" s="0" t="inlineStr">
        <is>
          <t>Ссылка на товар на сайте</t>
        </is>
      </c>
      <c r="BF2" s="0" t="inlineStr">
        <is>
          <t>Сертификат соответствия</t>
        </is>
      </c>
      <c r="BG2" s="0" t="inlineStr">
        <is>
          <t>Технический паспорт</t>
        </is>
      </c>
      <c r="BH2" s="0" t="inlineStr">
        <is>
          <t>*.ies файл для Dialux</t>
        </is>
      </c>
      <c r="BI2" s="0" t="inlineStr">
        <is>
          <t>Кол-во свободно</t>
        </is>
      </c>
      <c r="BJ2" s="0" t="inlineStr">
        <is>
          <t>Прайс-лист распродажи</t>
        </is>
      </c>
    </row>
    <row r="3">
      <c r="A3" s="0" t="n">
        <v>14690612038169</v>
      </c>
      <c r="B3" s="0" t="inlineStr">
        <is>
          <t>Панель светодиодная универсальная ДВО-02 3640-ПРИЗМА 36Вт 230В 4000К 4020Лм 110Лм/Вт 595х595х19 NEOX (4 шт в упак.)</t>
        </is>
      </c>
      <c r="C3" s="0" t="inlineStr">
        <is>
          <t>NEOX Светильники LED ДВО - Призма производство, упаковка</t>
        </is>
      </c>
      <c r="E3" s="0" t="inlineStr">
        <is>
          <t>http://darion-svet.com/web/binary/image?model=product.product&amp;id=23969&amp;field=image</t>
        </is>
      </c>
      <c r="F3" s="0" t="n">
        <v>3</v>
      </c>
      <c r="G3" s="0" t="inlineStr">
        <is>
          <t>Китай</t>
        </is>
      </c>
      <c r="H3" s="0" t="inlineStr">
        <is>
          <t>NEOX</t>
        </is>
      </c>
      <c r="I3" s="0" t="inlineStr">
        <is>
          <t>встраиваемый в Армстронг; накладной; подвесной</t>
        </is>
      </c>
      <c r="J3" s="0" t="inlineStr">
        <is>
          <t>общественные помещения</t>
        </is>
      </c>
      <c r="K3" s="0" t="inlineStr">
        <is>
          <t>LED</t>
        </is>
      </c>
      <c r="M3" s="0" t="n">
        <v>36</v>
      </c>
      <c r="O3" s="0" t="inlineStr">
        <is>
          <t>SMD</t>
        </is>
      </c>
      <c r="P3" s="0" t="n">
        <v>4020</v>
      </c>
      <c r="Q3" s="0" t="n">
        <v>4000</v>
      </c>
      <c r="R3" s="0" t="n">
        <v>80</v>
      </c>
      <c r="S3" s="0" t="n">
        <v>40</v>
      </c>
      <c r="T3" s="0" t="inlineStr">
        <is>
          <t>Д</t>
        </is>
      </c>
      <c r="U3" s="0" t="inlineStr">
        <is>
          <t>30 000 ч.</t>
        </is>
      </c>
      <c r="V3" s="0" t="n">
        <v>595</v>
      </c>
      <c r="W3" s="0" t="n">
        <v>595</v>
      </c>
      <c r="X3" s="0" t="n">
        <v>19</v>
      </c>
      <c r="AB3" s="0" t="n">
        <v>1.14</v>
      </c>
      <c r="AD3" s="0" t="inlineStr">
        <is>
          <t>сталь</t>
        </is>
      </c>
      <c r="AE3" s="0" t="inlineStr">
        <is>
          <t>ABS пластик</t>
        </is>
      </c>
      <c r="AG3" s="0" t="inlineStr">
        <is>
          <t>призматический рассеиватель</t>
        </is>
      </c>
      <c r="AI3" s="0" t="inlineStr">
        <is>
          <t>LED-driver</t>
        </is>
      </c>
      <c r="AJ3" s="0" t="inlineStr">
        <is>
          <t>A</t>
        </is>
      </c>
      <c r="AK3" s="0" t="n">
        <v>0.9</v>
      </c>
      <c r="AL3" s="0" t="n">
        <v>5</v>
      </c>
      <c r="AM3" s="0" t="n">
        <v>0.18</v>
      </c>
      <c r="AN3" s="0" t="n">
        <v>220</v>
      </c>
      <c r="AO3" s="0" t="n">
        <v>240</v>
      </c>
      <c r="AP3" s="0" t="n">
        <v>1</v>
      </c>
      <c r="AQ3" s="0" t="n">
        <v>55</v>
      </c>
      <c r="AR3" s="0" t="inlineStr">
        <is>
          <t>УХЛ4</t>
        </is>
      </c>
      <c r="AS3" s="0" t="inlineStr">
        <is>
          <t>Картон</t>
        </is>
      </c>
      <c r="AT3" s="0" t="inlineStr">
        <is>
          <t>Да</t>
        </is>
      </c>
      <c r="AU3" s="0" t="n">
        <v>0.01</v>
      </c>
      <c r="AV3" s="0" t="n">
        <v>1.075</v>
      </c>
      <c r="AW3" s="0" t="n">
        <v>4</v>
      </c>
      <c r="AX3" s="0" t="n">
        <v>610</v>
      </c>
      <c r="AY3" s="0" t="n">
        <v>610</v>
      </c>
      <c r="AZ3" s="0" t="n">
        <v>85</v>
      </c>
      <c r="BA3" s="0" t="n">
        <v>0.04</v>
      </c>
      <c r="BB3" s="0" t="n">
        <v>4.3</v>
      </c>
      <c r="BC3" s="0" t="n">
        <v>4690612038162</v>
      </c>
      <c r="BE3" s="0" t="inlineStr">
        <is>
          <t>http://darion-svet.com/shop/product/14690612038169-dvo-02-3640-prizma-36vt-230v-4000k-4020lm-110lmvt-595h595h19-neox-4-shtuki-v-upakovke</t>
        </is>
      </c>
      <c r="BF3" s="0" t="inlineStr">
        <is>
          <t>http://darion-svet.com/web/binary/saveas?model=product.product&amp;field=conformity_cert&amp;filename_field=conformity_cert_filename&amp;id=23969</t>
        </is>
      </c>
      <c r="BG3" s="0" t="inlineStr">
        <is>
          <t>http://darion-svet.com/web/binary/saveas?model=product.product&amp;field=datasheet&amp;filename_field=datasheet_filename&amp;id=23969</t>
        </is>
      </c>
      <c r="BI3" s="0" t="n">
        <v>13</v>
      </c>
      <c r="BJ3" s="0" t="n">
        <v>1540</v>
      </c>
    </row>
    <row r="4">
      <c r="A4" s="0" t="n">
        <v>14690612038176</v>
      </c>
      <c r="B4" s="0" t="inlineStr">
        <is>
          <t>Панель светодиодная универсальная ДВО-02 3665-ПРИЗМА 36Вт 230В 6500К 4020Лм 110Лм/Вт 595х595х19 NEOX (4 шт в упак.)</t>
        </is>
      </c>
      <c r="C4" s="0" t="inlineStr">
        <is>
          <t>NEOX Светильники LED ДВО - Призма производство, упаковка</t>
        </is>
      </c>
      <c r="E4" s="0" t="inlineStr">
        <is>
          <t>http://darion-svet.com/web/binary/image?model=product.product&amp;id=24238&amp;field=image</t>
        </is>
      </c>
      <c r="F4" s="0" t="n">
        <v>3</v>
      </c>
      <c r="G4" s="0" t="inlineStr">
        <is>
          <t>Китай</t>
        </is>
      </c>
      <c r="H4" s="0" t="inlineStr">
        <is>
          <t>NEOX</t>
        </is>
      </c>
      <c r="I4" s="0" t="inlineStr">
        <is>
          <t>встраиваемый в Армстронг; накладной; подвесной</t>
        </is>
      </c>
      <c r="J4" s="0" t="inlineStr">
        <is>
          <t>общественные помещения</t>
        </is>
      </c>
      <c r="K4" s="0" t="inlineStr">
        <is>
          <t>LED</t>
        </is>
      </c>
      <c r="L4" s="0" t="n">
        <v>4</v>
      </c>
      <c r="M4" s="0" t="n">
        <v>36</v>
      </c>
      <c r="O4" s="0" t="inlineStr">
        <is>
          <t>SMD</t>
        </is>
      </c>
      <c r="P4" s="0" t="n">
        <v>4020</v>
      </c>
      <c r="Q4" s="0" t="n">
        <v>6500</v>
      </c>
      <c r="R4" s="0" t="n">
        <v>80</v>
      </c>
      <c r="S4" s="0" t="n">
        <v>40</v>
      </c>
      <c r="T4" s="0" t="inlineStr">
        <is>
          <t>Д</t>
        </is>
      </c>
      <c r="U4" s="0" t="inlineStr">
        <is>
          <t>30 000 ч.</t>
        </is>
      </c>
      <c r="V4" s="0" t="n">
        <v>595</v>
      </c>
      <c r="W4" s="0" t="n">
        <v>595</v>
      </c>
      <c r="X4" s="0" t="n">
        <v>19</v>
      </c>
      <c r="AB4" s="0" t="n">
        <v>1.14</v>
      </c>
      <c r="AD4" s="0" t="inlineStr">
        <is>
          <t>сталь</t>
        </is>
      </c>
      <c r="AE4" s="0" t="inlineStr">
        <is>
          <t>ABS пластик</t>
        </is>
      </c>
      <c r="AG4" s="0" t="inlineStr">
        <is>
          <t>призматический рассеиватель</t>
        </is>
      </c>
      <c r="AJ4" s="0" t="inlineStr">
        <is>
          <t>A</t>
        </is>
      </c>
      <c r="AK4" s="0" t="n">
        <v>0.9</v>
      </c>
      <c r="AL4" s="0" t="n">
        <v>5</v>
      </c>
      <c r="AM4" s="0" t="n">
        <v>0.18</v>
      </c>
      <c r="AN4" s="0" t="n">
        <v>220</v>
      </c>
      <c r="AO4" s="0" t="n">
        <v>240</v>
      </c>
      <c r="AP4" s="0" t="n">
        <v>1</v>
      </c>
      <c r="AQ4" s="0" t="n">
        <v>55</v>
      </c>
      <c r="AR4" s="0" t="inlineStr">
        <is>
          <t>УХЛ4</t>
        </is>
      </c>
      <c r="AS4" s="0" t="inlineStr">
        <is>
          <t>Картон</t>
        </is>
      </c>
      <c r="AT4" s="0" t="inlineStr">
        <is>
          <t>Да</t>
        </is>
      </c>
      <c r="AV4" s="0" t="n">
        <v>1.075</v>
      </c>
      <c r="AW4" s="0" t="n">
        <v>4</v>
      </c>
      <c r="AX4" s="0" t="n">
        <v>610</v>
      </c>
      <c r="AY4" s="0" t="n">
        <v>610</v>
      </c>
      <c r="AZ4" s="0" t="n">
        <v>85</v>
      </c>
      <c r="BB4" s="0" t="n">
        <v>4.3</v>
      </c>
      <c r="BE4" s="0" t="inlineStr">
        <is>
          <t>http://darion-svet.com/shop/product/14690612038176-dvo-02-3665-prizma-36vt-230v-6500k-4020lm-110lmvt-595h595h19-neox-4-shtuki-v-upakovke</t>
        </is>
      </c>
      <c r="BI4" s="0" t="n">
        <v>0</v>
      </c>
      <c r="BJ4" s="0" t="n">
        <v>0</v>
      </c>
    </row>
    <row r="5">
      <c r="A5" s="0" t="n">
        <v>14690612039203</v>
      </c>
      <c r="B5" s="0" t="inlineStr">
        <is>
          <t>Панель светодиодная универсальная ДВО-02 7265-ПРИЗМА 72Вт 230В 6500К 6120Лм 595х595х19 NEOX (4 шт в упак.)</t>
        </is>
      </c>
      <c r="C5" s="0" t="inlineStr">
        <is>
          <t>NEOX Светильники LED ДВО - Призма производство, упаковка</t>
        </is>
      </c>
      <c r="E5" s="0" t="inlineStr">
        <is>
          <t>http://darion-svet.com/web/binary/image?model=product.product&amp;id=24240&amp;field=image</t>
        </is>
      </c>
      <c r="F5" s="0" t="n">
        <v>3</v>
      </c>
      <c r="G5" s="0" t="inlineStr">
        <is>
          <t>Китай</t>
        </is>
      </c>
      <c r="H5" s="0" t="inlineStr">
        <is>
          <t>NEOX</t>
        </is>
      </c>
      <c r="I5" s="0" t="inlineStr">
        <is>
          <t>встраиваемый в Армстронг; накладной; подвесной</t>
        </is>
      </c>
      <c r="J5" s="0" t="inlineStr">
        <is>
          <t>общественные помещения</t>
        </is>
      </c>
      <c r="K5" s="0" t="inlineStr">
        <is>
          <t>LED</t>
        </is>
      </c>
      <c r="M5" s="0" t="n">
        <v>72</v>
      </c>
      <c r="O5" s="0" t="inlineStr">
        <is>
          <t>SMD</t>
        </is>
      </c>
      <c r="P5" s="0" t="n">
        <v>6120</v>
      </c>
      <c r="Q5" s="0" t="n">
        <v>6500</v>
      </c>
      <c r="R5" s="0" t="n">
        <v>80</v>
      </c>
      <c r="S5" s="0" t="n">
        <v>40</v>
      </c>
      <c r="T5" s="0" t="inlineStr">
        <is>
          <t>Д</t>
        </is>
      </c>
      <c r="U5" s="0" t="n">
        <v>30000</v>
      </c>
      <c r="V5" s="0" t="n">
        <v>595</v>
      </c>
      <c r="W5" s="0" t="n">
        <v>595</v>
      </c>
      <c r="X5" s="0" t="n">
        <v>19</v>
      </c>
      <c r="AB5" s="0" t="n">
        <v>1.105</v>
      </c>
      <c r="AD5" s="0" t="inlineStr">
        <is>
          <t>сталь</t>
        </is>
      </c>
      <c r="AE5" s="0" t="inlineStr">
        <is>
          <t>полимерный материал</t>
        </is>
      </c>
      <c r="AG5" s="0" t="inlineStr">
        <is>
          <t>призматический рассеиватель</t>
        </is>
      </c>
      <c r="AI5" s="0" t="inlineStr">
        <is>
          <t>LED-driver</t>
        </is>
      </c>
      <c r="AJ5" s="0" t="inlineStr">
        <is>
          <t>A</t>
        </is>
      </c>
      <c r="AK5" s="0" t="n">
        <v>0.9</v>
      </c>
      <c r="AL5" s="0" t="n">
        <v>5</v>
      </c>
      <c r="AM5" s="0" t="n">
        <v>0.35</v>
      </c>
      <c r="AN5" s="0" t="n">
        <v>170</v>
      </c>
      <c r="AO5" s="0" t="n">
        <v>265</v>
      </c>
      <c r="AP5" s="0" t="n">
        <v>1</v>
      </c>
      <c r="AQ5" s="0" t="n">
        <v>55</v>
      </c>
      <c r="AR5" s="0" t="inlineStr">
        <is>
          <t>УХЛ4</t>
        </is>
      </c>
      <c r="AS5" s="0" t="inlineStr">
        <is>
          <t>Картон</t>
        </is>
      </c>
      <c r="AW5" s="0" t="n">
        <v>4</v>
      </c>
      <c r="BI5" s="0" t="n">
        <v>0</v>
      </c>
      <c r="BJ5" s="0" t="n">
        <v>0</v>
      </c>
    </row>
    <row r="6">
      <c r="A6" s="0" t="n">
        <v>14690612042326</v>
      </c>
      <c r="B6" s="0" t="inlineStr">
        <is>
          <t>Панель светодиодная универсальная ДВО-01 3665-ПРИЗМА 36Вт 230В 6500K 3600Лм 180х1195х19мм NEOX (4 шт в упак.)</t>
        </is>
      </c>
      <c r="C6" s="0" t="inlineStr">
        <is>
          <t>NEOX Светильники LED ДВО - Призма производство, упаковка</t>
        </is>
      </c>
      <c r="E6" s="0" t="inlineStr">
        <is>
          <t>http://darion-svet.com/web/binary/image?model=product.product&amp;id=25910&amp;field=image</t>
        </is>
      </c>
      <c r="F6" s="0" t="n">
        <v>2</v>
      </c>
      <c r="G6" s="0" t="inlineStr">
        <is>
          <t>Китай</t>
        </is>
      </c>
      <c r="H6" s="0" t="inlineStr">
        <is>
          <t>NEOX</t>
        </is>
      </c>
      <c r="I6" s="0" t="inlineStr">
        <is>
          <t>встраиваемый в Армстронг; накладной; подвесной</t>
        </is>
      </c>
      <c r="J6" s="0" t="inlineStr">
        <is>
          <t>общественные помещения</t>
        </is>
      </c>
      <c r="K6" s="0" t="inlineStr">
        <is>
          <t>LED</t>
        </is>
      </c>
      <c r="L6" s="0" t="n">
        <v>4</v>
      </c>
      <c r="M6" s="0" t="n">
        <v>36</v>
      </c>
      <c r="O6" s="0" t="inlineStr">
        <is>
          <t>SMD</t>
        </is>
      </c>
      <c r="P6" s="0" t="n">
        <v>3600</v>
      </c>
      <c r="Q6" s="0" t="n">
        <v>6500</v>
      </c>
      <c r="R6" s="0" t="n">
        <v>80</v>
      </c>
      <c r="S6" s="0" t="n">
        <v>40</v>
      </c>
      <c r="T6" s="0" t="inlineStr">
        <is>
          <t>Д</t>
        </is>
      </c>
      <c r="U6" s="0" t="inlineStr">
        <is>
          <t>30 000 ч.</t>
        </is>
      </c>
      <c r="V6" s="0" t="n">
        <v>1200</v>
      </c>
      <c r="W6" s="0" t="n">
        <v>180</v>
      </c>
      <c r="X6" s="0" t="n">
        <v>19</v>
      </c>
      <c r="AB6" s="0" t="n">
        <v>1.21</v>
      </c>
      <c r="AD6" s="0" t="inlineStr">
        <is>
          <t>сталь</t>
        </is>
      </c>
      <c r="AE6" s="0" t="inlineStr">
        <is>
          <t>ABS пластик</t>
        </is>
      </c>
      <c r="AG6" s="0" t="inlineStr">
        <is>
          <t>призматический рассеиватель</t>
        </is>
      </c>
      <c r="AJ6" s="0" t="inlineStr">
        <is>
          <t>A</t>
        </is>
      </c>
      <c r="AK6" s="0" t="n">
        <v>0.9</v>
      </c>
      <c r="AL6" s="0" t="n">
        <v>5</v>
      </c>
      <c r="AN6" s="0" t="n">
        <v>220</v>
      </c>
      <c r="AO6" s="0" t="n">
        <v>240</v>
      </c>
      <c r="AP6" s="0" t="n">
        <v>1</v>
      </c>
      <c r="AQ6" s="0" t="n">
        <v>55</v>
      </c>
      <c r="AR6" s="0" t="inlineStr">
        <is>
          <t>УХЛ4</t>
        </is>
      </c>
      <c r="AS6" s="0" t="inlineStr">
        <is>
          <t>Картон</t>
        </is>
      </c>
      <c r="AT6" s="0" t="inlineStr">
        <is>
          <t>Да</t>
        </is>
      </c>
      <c r="AV6" s="0" t="n">
        <v>1.275</v>
      </c>
      <c r="AW6" s="0" t="n">
        <v>4</v>
      </c>
      <c r="AX6" s="0" t="n">
        <v>1210</v>
      </c>
      <c r="AY6" s="0" t="n">
        <v>195</v>
      </c>
      <c r="AZ6" s="0" t="n">
        <v>90</v>
      </c>
      <c r="BB6" s="0" t="n">
        <v>5.1</v>
      </c>
      <c r="BE6" s="0" t="inlineStr">
        <is>
          <t>http://darion-svet.com/shop/product/14690612042326-dvo-01-3665-prizma-36vt-230v-6500k-3600lm-180h1195h19mm-neox-4-shtuki-v-upakovke</t>
        </is>
      </c>
      <c r="BI6" s="0" t="n">
        <v>5</v>
      </c>
      <c r="BJ6" s="0" t="n">
        <v>1743</v>
      </c>
    </row>
    <row r="7">
      <c r="A7" s="0" t="n">
        <v>14690612042708</v>
      </c>
      <c r="B7" s="0" t="inlineStr">
        <is>
          <t>Панель светодиодная универсальная ДВО-01 3640-ПРИЗМА 36 Вт 230В 4000K 3600Лм 180х1195х19мм NEOX (4 шт в упак.)</t>
        </is>
      </c>
      <c r="C7" s="0" t="inlineStr">
        <is>
          <t>NEOX Светильники LED ДВО - Призма производство, упаковка</t>
        </is>
      </c>
      <c r="E7" s="0" t="inlineStr">
        <is>
          <t>http://darion-svet.com/web/binary/image?model=product.product&amp;id=25912&amp;field=image</t>
        </is>
      </c>
      <c r="F7" s="0" t="n">
        <v>2</v>
      </c>
      <c r="G7" s="0" t="inlineStr">
        <is>
          <t>Китай</t>
        </is>
      </c>
      <c r="H7" s="0" t="inlineStr">
        <is>
          <t>NEOX</t>
        </is>
      </c>
      <c r="I7" s="0" t="inlineStr">
        <is>
          <t>встраиваемый в Армстронг; накладной; подвесной</t>
        </is>
      </c>
      <c r="J7" s="0" t="inlineStr">
        <is>
          <t>общественные помещения</t>
        </is>
      </c>
      <c r="K7" s="0" t="inlineStr">
        <is>
          <t>LED</t>
        </is>
      </c>
      <c r="L7" s="0" t="n">
        <v>4</v>
      </c>
      <c r="M7" s="0" t="n">
        <v>36</v>
      </c>
      <c r="O7" s="0" t="inlineStr">
        <is>
          <t>SMD</t>
        </is>
      </c>
      <c r="P7" s="0" t="n">
        <v>3600</v>
      </c>
      <c r="Q7" s="0" t="n">
        <v>4000</v>
      </c>
      <c r="R7" s="0" t="n">
        <v>80</v>
      </c>
      <c r="S7" s="0" t="n">
        <v>40</v>
      </c>
      <c r="T7" s="0" t="inlineStr">
        <is>
          <t>Д</t>
        </is>
      </c>
      <c r="U7" s="0" t="inlineStr">
        <is>
          <t>30 000 ч.</t>
        </is>
      </c>
      <c r="V7" s="0" t="n">
        <v>1200</v>
      </c>
      <c r="W7" s="0" t="n">
        <v>180</v>
      </c>
      <c r="X7" s="0" t="n">
        <v>19</v>
      </c>
      <c r="AB7" s="0" t="n">
        <v>1.21</v>
      </c>
      <c r="AD7" s="0" t="inlineStr">
        <is>
          <t>сталь</t>
        </is>
      </c>
      <c r="AE7" s="0" t="inlineStr">
        <is>
          <t>ABS пластик</t>
        </is>
      </c>
      <c r="AG7" s="0" t="inlineStr">
        <is>
          <t>призматический рассеиватель</t>
        </is>
      </c>
      <c r="AJ7" s="0" t="inlineStr">
        <is>
          <t>A</t>
        </is>
      </c>
      <c r="AK7" s="0" t="n">
        <v>0.9</v>
      </c>
      <c r="AL7" s="0" t="n">
        <v>5</v>
      </c>
      <c r="AN7" s="0" t="n">
        <v>220</v>
      </c>
      <c r="AO7" s="0" t="n">
        <v>240</v>
      </c>
      <c r="AP7" s="0" t="n">
        <v>1</v>
      </c>
      <c r="AQ7" s="0" t="n">
        <v>55</v>
      </c>
      <c r="AR7" s="0" t="inlineStr">
        <is>
          <t>УХЛ4</t>
        </is>
      </c>
      <c r="AS7" s="0" t="inlineStr">
        <is>
          <t>Картон</t>
        </is>
      </c>
      <c r="AT7" s="0" t="inlineStr">
        <is>
          <t>Да</t>
        </is>
      </c>
      <c r="AV7" s="0" t="n">
        <v>1.275</v>
      </c>
      <c r="AW7" s="0" t="n">
        <v>4</v>
      </c>
      <c r="AX7" s="0" t="n">
        <v>1210</v>
      </c>
      <c r="AY7" s="0" t="n">
        <v>195</v>
      </c>
      <c r="AZ7" s="0" t="n">
        <v>90</v>
      </c>
      <c r="BB7" s="0" t="n">
        <v>5.1</v>
      </c>
      <c r="BE7" s="0" t="inlineStr">
        <is>
          <t>http://darion-svet.com/shop/product/14690612042708-dvo-01-3640-prizma-36-vt-230v-4000k-3600lm-180h1195h19mm-neox-4-shtuki-v-upakovke</t>
        </is>
      </c>
      <c r="BI7" s="0" t="n">
        <v>8</v>
      </c>
      <c r="BJ7" s="0" t="n">
        <v>1779</v>
      </c>
    </row>
    <row r="8">
      <c r="A8" s="0" t="n">
        <v>14690612052998</v>
      </c>
      <c r="B8" s="0" t="inlineStr">
        <is>
          <t>Панель светодиодная универсальная ДВО-01 4565-ПРИЗМА 45Вт 6500К 180х1195х19 NEOX (4 шт в упак.)</t>
        </is>
      </c>
      <c r="C8" s="0" t="inlineStr">
        <is>
          <t>NEOX Светильники LED ДВО - Призма производство, упаковка</t>
        </is>
      </c>
      <c r="E8" s="0" t="inlineStr">
        <is>
          <t>http://darion-svet.com/web/binary/image?model=product.product&amp;id=25915&amp;field=image</t>
        </is>
      </c>
      <c r="F8" s="0" t="n">
        <v>2</v>
      </c>
      <c r="G8" s="0" t="inlineStr">
        <is>
          <t>Китай</t>
        </is>
      </c>
      <c r="H8" s="0" t="inlineStr">
        <is>
          <t>NEOX</t>
        </is>
      </c>
      <c r="I8" s="0" t="inlineStr">
        <is>
          <t>встраиваемый в Армстронг; накладной; подвесной</t>
        </is>
      </c>
      <c r="K8" s="0" t="inlineStr">
        <is>
          <t>LED</t>
        </is>
      </c>
      <c r="M8" s="0" t="n">
        <v>45</v>
      </c>
      <c r="O8" s="0" t="inlineStr">
        <is>
          <t>SMD</t>
        </is>
      </c>
      <c r="P8" s="0" t="n">
        <v>4500</v>
      </c>
      <c r="Q8" s="0" t="n">
        <v>6500</v>
      </c>
      <c r="R8" s="0" t="n">
        <v>80</v>
      </c>
      <c r="S8" s="0" t="n">
        <v>40</v>
      </c>
      <c r="T8" s="0" t="inlineStr">
        <is>
          <t>Д</t>
        </is>
      </c>
      <c r="U8" s="0" t="inlineStr">
        <is>
          <t>30 000 ч.</t>
        </is>
      </c>
      <c r="V8" s="0" t="n">
        <v>1200</v>
      </c>
      <c r="W8" s="0" t="n">
        <v>180</v>
      </c>
      <c r="X8" s="0" t="n">
        <v>19</v>
      </c>
      <c r="AB8" s="0" t="n">
        <v>1.21</v>
      </c>
      <c r="AD8" s="0" t="inlineStr">
        <is>
          <t>сталь</t>
        </is>
      </c>
      <c r="AE8" s="0" t="inlineStr">
        <is>
          <t>ABS пластик</t>
        </is>
      </c>
      <c r="AG8" s="0" t="inlineStr">
        <is>
          <t>призматический рассеиватель</t>
        </is>
      </c>
      <c r="AJ8" s="0" t="inlineStr">
        <is>
          <t>A</t>
        </is>
      </c>
      <c r="AK8" s="0" t="n">
        <v>0.9</v>
      </c>
      <c r="AL8" s="0" t="n">
        <v>5</v>
      </c>
      <c r="AN8" s="0" t="n">
        <v>220</v>
      </c>
      <c r="AO8" s="0" t="n">
        <v>240</v>
      </c>
      <c r="AP8" s="0" t="n">
        <v>1</v>
      </c>
      <c r="AQ8" s="0" t="n">
        <v>55</v>
      </c>
      <c r="AR8" s="0" t="inlineStr">
        <is>
          <t>УХЛ4</t>
        </is>
      </c>
      <c r="AS8" s="0" t="inlineStr">
        <is>
          <t>Картон</t>
        </is>
      </c>
      <c r="AT8" s="0" t="inlineStr">
        <is>
          <t>Да</t>
        </is>
      </c>
      <c r="AV8" s="0" t="n">
        <v>1.275</v>
      </c>
      <c r="AW8" s="0" t="n">
        <v>4</v>
      </c>
      <c r="AX8" s="0" t="n">
        <v>1210</v>
      </c>
      <c r="AY8" s="0" t="n">
        <v>195</v>
      </c>
      <c r="AZ8" s="0" t="n">
        <v>90</v>
      </c>
      <c r="BB8" s="0" t="n">
        <v>5.1</v>
      </c>
      <c r="BE8" s="0" t="inlineStr">
        <is>
          <t>http://darion-svet.com/shop/product/14690612052998-dvo-01-4565-prizma-45vt-6500k-180h1195h19-neox-4-shtuki-v-upakovke</t>
        </is>
      </c>
      <c r="BI8" s="0" t="n">
        <v>5</v>
      </c>
      <c r="BJ8" s="0" t="n">
        <v>2055</v>
      </c>
    </row>
    <row r="9">
      <c r="A9" s="0" t="n">
        <v>14690612053001</v>
      </c>
      <c r="B9" s="0" t="inlineStr">
        <is>
          <t>Панель светодиодная универсальная ДВО-01 7565-ПРИЗМА 75Вт 6500К 180х1195х19 NEOX (4 шт в упак.)</t>
        </is>
      </c>
      <c r="C9" s="0" t="inlineStr">
        <is>
          <t>NEOX Светильники LED ДВО - Призма производство, упаковка</t>
        </is>
      </c>
      <c r="E9" s="0" t="inlineStr">
        <is>
          <t>http://darion-svet.com/web/binary/image?model=product.product&amp;id=25916&amp;field=image</t>
        </is>
      </c>
      <c r="F9" s="0" t="n">
        <v>2</v>
      </c>
      <c r="G9" s="0" t="inlineStr">
        <is>
          <t>Китай</t>
        </is>
      </c>
      <c r="H9" s="0" t="inlineStr">
        <is>
          <t>NEOX</t>
        </is>
      </c>
      <c r="I9" s="0" t="inlineStr">
        <is>
          <t>встраиваемый в Армстронг; накладной; подвесной</t>
        </is>
      </c>
      <c r="K9" s="0" t="inlineStr">
        <is>
          <t>LED</t>
        </is>
      </c>
      <c r="M9" s="0" t="n">
        <v>75</v>
      </c>
      <c r="O9" s="0" t="inlineStr">
        <is>
          <t>SMD</t>
        </is>
      </c>
      <c r="P9" s="0" t="n">
        <v>6300</v>
      </c>
      <c r="Q9" s="0" t="n">
        <v>6500</v>
      </c>
      <c r="R9" s="0" t="n">
        <v>80</v>
      </c>
      <c r="S9" s="0" t="n">
        <v>40</v>
      </c>
      <c r="T9" s="0" t="inlineStr">
        <is>
          <t>Д</t>
        </is>
      </c>
      <c r="U9" s="0" t="inlineStr">
        <is>
          <t>30 000 ч.</t>
        </is>
      </c>
      <c r="V9" s="0" t="n">
        <v>1200</v>
      </c>
      <c r="W9" s="0" t="n">
        <v>180</v>
      </c>
      <c r="X9" s="0" t="n">
        <v>19</v>
      </c>
      <c r="AB9" s="0" t="n">
        <v>1.23</v>
      </c>
      <c r="AD9" s="0" t="inlineStr">
        <is>
          <t>сталь</t>
        </is>
      </c>
      <c r="AE9" s="0" t="inlineStr">
        <is>
          <t>ABS пластик</t>
        </is>
      </c>
      <c r="AG9" s="0" t="inlineStr">
        <is>
          <t>призматический рассеиватель</t>
        </is>
      </c>
      <c r="AJ9" s="0" t="inlineStr">
        <is>
          <t>A</t>
        </is>
      </c>
      <c r="AK9" s="0" t="n">
        <v>0.9</v>
      </c>
      <c r="AL9" s="0" t="n">
        <v>5</v>
      </c>
      <c r="AN9" s="0" t="n">
        <v>220</v>
      </c>
      <c r="AO9" s="0" t="n">
        <v>240</v>
      </c>
      <c r="AP9" s="0" t="n">
        <v>1</v>
      </c>
      <c r="AQ9" s="0" t="n">
        <v>55</v>
      </c>
      <c r="AR9" s="0" t="inlineStr">
        <is>
          <t>УХЛ4</t>
        </is>
      </c>
      <c r="AS9" s="0" t="inlineStr">
        <is>
          <t>Картон</t>
        </is>
      </c>
      <c r="AT9" s="0" t="inlineStr">
        <is>
          <t>Да</t>
        </is>
      </c>
      <c r="AV9" s="0" t="n">
        <v>1.375</v>
      </c>
      <c r="AW9" s="0" t="n">
        <v>4</v>
      </c>
      <c r="AX9" s="0" t="n">
        <v>1210</v>
      </c>
      <c r="AY9" s="0" t="n">
        <v>195</v>
      </c>
      <c r="AZ9" s="0" t="n">
        <v>90</v>
      </c>
      <c r="BB9" s="0" t="n">
        <v>5.5</v>
      </c>
      <c r="BE9" s="0" t="inlineStr">
        <is>
          <t>http://darion-svet.com/shop/product/14690612053001-dvo-01-7565-prizma-75vt-6500k-180h1195h19-neox-4-shtuki-v-upakovke</t>
        </is>
      </c>
      <c r="BI9" s="0" t="n">
        <v>2</v>
      </c>
      <c r="BJ9" s="0" t="n">
        <v>3866</v>
      </c>
    </row>
    <row r="10">
      <c r="A10" s="0" t="n">
        <v>14690612053018</v>
      </c>
      <c r="B10" s="0" t="inlineStr">
        <is>
          <t>Панель светодиодная универсальная ДВО-02-EMERGENCY 3640-ПРИЗМА 36Вт 4000К 595х595х19 NEOX без БАП-10W90 (4 шт в упак.)</t>
        </is>
      </c>
      <c r="C10" s="0" t="inlineStr">
        <is>
          <t>NEOX Светильники LED ДВО - Призма производство, упаковка</t>
        </is>
      </c>
      <c r="D10" s="0" t="n">
        <v>1469061205301</v>
      </c>
      <c r="E10" s="0" t="inlineStr">
        <is>
          <t>http://darion-svet.com/web/binary/image?model=product.product&amp;id=25901&amp;field=image</t>
        </is>
      </c>
      <c r="F10" s="0" t="n">
        <v>2</v>
      </c>
      <c r="G10" s="0" t="inlineStr">
        <is>
          <t>Китай</t>
        </is>
      </c>
      <c r="H10" s="0" t="inlineStr">
        <is>
          <t>NEOX</t>
        </is>
      </c>
      <c r="I10" s="0" t="inlineStr">
        <is>
          <t>встраиваемый в Армстронг; накладной; подвесной</t>
        </is>
      </c>
      <c r="K10" s="0" t="inlineStr">
        <is>
          <t>LED</t>
        </is>
      </c>
      <c r="M10" s="0" t="n">
        <v>36</v>
      </c>
      <c r="O10" s="0" t="inlineStr">
        <is>
          <t>SMD</t>
        </is>
      </c>
      <c r="P10" s="0" t="n">
        <v>3800</v>
      </c>
      <c r="Q10" s="0" t="n">
        <v>4000</v>
      </c>
      <c r="R10" s="0" t="n">
        <v>80</v>
      </c>
      <c r="S10" s="0" t="n">
        <v>40</v>
      </c>
      <c r="T10" s="0" t="inlineStr">
        <is>
          <t>Д</t>
        </is>
      </c>
      <c r="U10" s="0" t="inlineStr">
        <is>
          <t>30 000 ч.</t>
        </is>
      </c>
      <c r="V10" s="0" t="n">
        <v>595</v>
      </c>
      <c r="W10" s="0" t="n">
        <v>595</v>
      </c>
      <c r="X10" s="0" t="n">
        <v>19</v>
      </c>
      <c r="AB10" s="0" t="n">
        <v>1.14</v>
      </c>
      <c r="AD10" s="0" t="inlineStr">
        <is>
          <t>сталь</t>
        </is>
      </c>
      <c r="AE10" s="0" t="inlineStr">
        <is>
          <t>ABS пластик</t>
        </is>
      </c>
      <c r="AG10" s="0" t="inlineStr">
        <is>
          <t>призматический рассеиватель</t>
        </is>
      </c>
      <c r="AJ10" s="0" t="inlineStr">
        <is>
          <t>A</t>
        </is>
      </c>
      <c r="AK10" s="0" t="n">
        <v>0.9</v>
      </c>
      <c r="AL10" s="0" t="n">
        <v>5</v>
      </c>
      <c r="AN10" s="0" t="n">
        <v>220</v>
      </c>
      <c r="AO10" s="0" t="n">
        <v>240</v>
      </c>
      <c r="AP10" s="0" t="n">
        <v>1</v>
      </c>
      <c r="AQ10" s="0" t="n">
        <v>55</v>
      </c>
      <c r="AR10" s="0" t="inlineStr">
        <is>
          <t>УХЛ4</t>
        </is>
      </c>
      <c r="AS10" s="0" t="inlineStr">
        <is>
          <t>Картон</t>
        </is>
      </c>
      <c r="AT10" s="0" t="inlineStr">
        <is>
          <t>Да</t>
        </is>
      </c>
      <c r="AV10" s="0" t="n">
        <v>1.075</v>
      </c>
      <c r="AW10" s="0" t="n">
        <v>4</v>
      </c>
      <c r="AX10" s="0" t="n">
        <v>610</v>
      </c>
      <c r="AY10" s="0" t="n">
        <v>610</v>
      </c>
      <c r="AZ10" s="0" t="n">
        <v>85</v>
      </c>
      <c r="BB10" s="0" t="n">
        <v>4.3</v>
      </c>
      <c r="BE10" s="0" t="inlineStr">
        <is>
          <t>http://darion-svet.com/shop/product/14690612053018-dvo-02-emergency-3640-prizma-36vt-4000k-595h595h19-neox-bez-bap-10w90-4-sht-v-upak</t>
        </is>
      </c>
      <c r="BI10" s="0" t="n">
        <v>4</v>
      </c>
      <c r="BJ10" s="0" t="n">
        <v>1710</v>
      </c>
    </row>
    <row r="11">
      <c r="A11" s="0" t="n">
        <v>14690612053025</v>
      </c>
      <c r="B11" s="0" t="inlineStr">
        <is>
          <t>Панель светодиодная универсальная ДВО-02-EMERGENCY 3665-ПРИЗМА 36Вт 6500К 595х595х19 NEOX без БАП-10W90 (4 шт в упак.)</t>
        </is>
      </c>
      <c r="C11" s="0" t="inlineStr">
        <is>
          <t>NEOX Светильники LED ДВО - Призма производство, упаковка</t>
        </is>
      </c>
      <c r="F11" s="0" t="n">
        <v>2</v>
      </c>
      <c r="G11" s="0" t="inlineStr">
        <is>
          <t>Китай</t>
        </is>
      </c>
      <c r="H11" s="0" t="inlineStr">
        <is>
          <t>NEOX</t>
        </is>
      </c>
      <c r="I11" s="0" t="inlineStr">
        <is>
          <t>встраиваемый в Армстронг; накладной; подвесной</t>
        </is>
      </c>
      <c r="K11" s="0" t="inlineStr">
        <is>
          <t>LED</t>
        </is>
      </c>
      <c r="M11" s="0" t="n">
        <v>36</v>
      </c>
      <c r="O11" s="0" t="inlineStr">
        <is>
          <t>SMD</t>
        </is>
      </c>
      <c r="P11" s="0" t="n">
        <v>3800</v>
      </c>
      <c r="Q11" s="0" t="n">
        <v>6500</v>
      </c>
      <c r="R11" s="0" t="n">
        <v>80</v>
      </c>
      <c r="S11" s="0" t="n">
        <v>40</v>
      </c>
      <c r="T11" s="0" t="inlineStr">
        <is>
          <t>Д</t>
        </is>
      </c>
      <c r="U11" s="0" t="inlineStr">
        <is>
          <t>30 000 ч.</t>
        </is>
      </c>
      <c r="V11" s="0" t="n">
        <v>595</v>
      </c>
      <c r="W11" s="0" t="n">
        <v>595</v>
      </c>
      <c r="X11" s="0" t="n">
        <v>19</v>
      </c>
      <c r="AB11" s="0" t="n">
        <v>1.14</v>
      </c>
      <c r="AD11" s="0" t="inlineStr">
        <is>
          <t>сталь</t>
        </is>
      </c>
      <c r="AE11" s="0" t="inlineStr">
        <is>
          <t>ABS пластик</t>
        </is>
      </c>
      <c r="AG11" s="0" t="inlineStr">
        <is>
          <t>призматический рассеиватель</t>
        </is>
      </c>
      <c r="AJ11" s="0" t="inlineStr">
        <is>
          <t>A</t>
        </is>
      </c>
      <c r="AK11" s="0" t="n">
        <v>0.9</v>
      </c>
      <c r="AL11" s="0" t="n">
        <v>5</v>
      </c>
      <c r="AN11" s="0" t="n">
        <v>220</v>
      </c>
      <c r="AO11" s="0" t="n">
        <v>240</v>
      </c>
      <c r="AP11" s="0" t="n">
        <v>1</v>
      </c>
      <c r="AQ11" s="0" t="n">
        <v>55</v>
      </c>
      <c r="AR11" s="0" t="inlineStr">
        <is>
          <t>УХЛ4</t>
        </is>
      </c>
      <c r="AS11" s="0" t="inlineStr">
        <is>
          <t>Картон</t>
        </is>
      </c>
      <c r="AT11" s="0" t="inlineStr">
        <is>
          <t>Да</t>
        </is>
      </c>
      <c r="AV11" s="0" t="n">
        <v>1.075</v>
      </c>
      <c r="AW11" s="0" t="n">
        <v>4</v>
      </c>
      <c r="AX11" s="0" t="n">
        <v>610</v>
      </c>
      <c r="AY11" s="0" t="n">
        <v>610</v>
      </c>
      <c r="AZ11" s="0" t="n">
        <v>85</v>
      </c>
      <c r="BB11" s="0" t="n">
        <v>4.3</v>
      </c>
      <c r="BI11" s="0" t="n">
        <v>1</v>
      </c>
      <c r="BJ11" s="0" t="n">
        <v>1766</v>
      </c>
    </row>
    <row r="12">
      <c r="A12" s="0" t="n">
        <v>14690612053841</v>
      </c>
      <c r="B12" s="0" t="inlineStr">
        <is>
          <t>Панель светодиодная универсальная ДВО-02 4540-ПРИЗМА 45Вт 230В 4000К 4500Лм 100Лм/Вт 595х595х19 NEOX (4 шт в упак.)</t>
        </is>
      </c>
      <c r="C12" s="0" t="inlineStr">
        <is>
          <t>NEOX Светильники LED ДВО - Призма производство, упаковка</t>
        </is>
      </c>
      <c r="E12" s="0" t="inlineStr">
        <is>
          <t>http://darion-svet.com/web/binary/image?model=product.product&amp;id=25908&amp;field=image</t>
        </is>
      </c>
      <c r="F12" s="0" t="n">
        <v>2</v>
      </c>
      <c r="G12" s="0" t="inlineStr">
        <is>
          <t>Китай</t>
        </is>
      </c>
      <c r="H12" s="0" t="inlineStr">
        <is>
          <t>NEOX</t>
        </is>
      </c>
      <c r="I12" s="0" t="inlineStr">
        <is>
          <t>встраиваемый в Армстронг; накладной; подвесной</t>
        </is>
      </c>
      <c r="K12" s="0" t="inlineStr">
        <is>
          <t>LED</t>
        </is>
      </c>
      <c r="M12" s="0" t="n">
        <v>45</v>
      </c>
      <c r="O12" s="0" t="inlineStr">
        <is>
          <t>SMD</t>
        </is>
      </c>
      <c r="P12" s="0" t="n">
        <v>4500</v>
      </c>
      <c r="Q12" s="0" t="n">
        <v>4000</v>
      </c>
      <c r="R12" s="0" t="n">
        <v>80</v>
      </c>
      <c r="S12" s="0" t="n">
        <v>40</v>
      </c>
      <c r="T12" s="0" t="inlineStr">
        <is>
          <t>Д</t>
        </is>
      </c>
      <c r="U12" s="0" t="inlineStr">
        <is>
          <t>30 000 ч.</t>
        </is>
      </c>
      <c r="V12" s="0" t="n">
        <v>595</v>
      </c>
      <c r="W12" s="0" t="n">
        <v>595</v>
      </c>
      <c r="X12" s="0" t="n">
        <v>19</v>
      </c>
      <c r="AB12" s="0" t="n">
        <v>1.09</v>
      </c>
      <c r="AD12" s="0" t="inlineStr">
        <is>
          <t>сталь</t>
        </is>
      </c>
      <c r="AE12" s="0" t="inlineStr">
        <is>
          <t>ABS пластик</t>
        </is>
      </c>
      <c r="AG12" s="0" t="inlineStr">
        <is>
          <t>призматический рассеиватель</t>
        </is>
      </c>
      <c r="AJ12" s="0" t="inlineStr">
        <is>
          <t>A</t>
        </is>
      </c>
      <c r="AK12" s="0" t="n">
        <v>0.9</v>
      </c>
      <c r="AL12" s="0" t="n">
        <v>5</v>
      </c>
      <c r="AN12" s="0" t="n">
        <v>220</v>
      </c>
      <c r="AO12" s="0" t="n">
        <v>240</v>
      </c>
      <c r="AP12" s="0" t="n">
        <v>1</v>
      </c>
      <c r="AQ12" s="0" t="n">
        <v>55</v>
      </c>
      <c r="AR12" s="0" t="inlineStr">
        <is>
          <t>УХЛ4</t>
        </is>
      </c>
      <c r="AS12" s="0" t="inlineStr">
        <is>
          <t>Картон</t>
        </is>
      </c>
      <c r="AT12" s="0" t="inlineStr">
        <is>
          <t>Да</t>
        </is>
      </c>
      <c r="AV12" s="0" t="n">
        <v>1.075</v>
      </c>
      <c r="AW12" s="0" t="n">
        <v>4</v>
      </c>
      <c r="AX12" s="0" t="n">
        <v>610</v>
      </c>
      <c r="AY12" s="0" t="n">
        <v>610</v>
      </c>
      <c r="AZ12" s="0" t="n">
        <v>85</v>
      </c>
      <c r="BB12" s="0" t="n">
        <v>4.3</v>
      </c>
      <c r="BE12" s="0" t="inlineStr">
        <is>
          <t>http://darion-svet.com/shop/product/14690612053841-dvo-02-4540-prizma-45vt-230v-4000k-4500lm-100lmvt-595h595h19-neox-4-shtuki-v-upakovke</t>
        </is>
      </c>
      <c r="BI12" s="0" t="n">
        <v>0</v>
      </c>
      <c r="BJ12" s="0" t="n">
        <v>0</v>
      </c>
    </row>
    <row r="13">
      <c r="A13" s="0" t="n">
        <v>14690612053858</v>
      </c>
      <c r="B13" s="0" t="inlineStr">
        <is>
          <t>Панель светодиодная универсальная ДВО-02 4565-ПРИЗМА 45Вт 230В 6500К 4500Лм 100Лм/Вт 595х595х19 NEOX (4 шт в упак.)</t>
        </is>
      </c>
      <c r="C13" s="0" t="inlineStr">
        <is>
          <t>NEOX Светильники LED ДВО - Призма производство, упаковка</t>
        </is>
      </c>
      <c r="E13" s="0" t="inlineStr">
        <is>
          <t>http://darion-svet.com/web/binary/image?model=product.product&amp;id=25909&amp;field=image</t>
        </is>
      </c>
      <c r="F13" s="0" t="n">
        <v>2</v>
      </c>
      <c r="G13" s="0" t="inlineStr">
        <is>
          <t>Китай</t>
        </is>
      </c>
      <c r="H13" s="0" t="inlineStr">
        <is>
          <t>NEOX</t>
        </is>
      </c>
      <c r="I13" s="0" t="inlineStr">
        <is>
          <t>встраиваемый в Армстронг; накладной; подвесной</t>
        </is>
      </c>
      <c r="K13" s="0" t="inlineStr">
        <is>
          <t>LED</t>
        </is>
      </c>
      <c r="M13" s="0" t="n">
        <v>45</v>
      </c>
      <c r="O13" s="0" t="inlineStr">
        <is>
          <t>SMD</t>
        </is>
      </c>
      <c r="P13" s="0" t="n">
        <v>4500</v>
      </c>
      <c r="Q13" s="0" t="n">
        <v>6500</v>
      </c>
      <c r="R13" s="0" t="n">
        <v>80</v>
      </c>
      <c r="S13" s="0" t="n">
        <v>40</v>
      </c>
      <c r="T13" s="0" t="inlineStr">
        <is>
          <t>Д</t>
        </is>
      </c>
      <c r="U13" s="0" t="inlineStr">
        <is>
          <t>30 000 ч.</t>
        </is>
      </c>
      <c r="V13" s="0" t="n">
        <v>595</v>
      </c>
      <c r="W13" s="0" t="n">
        <v>595</v>
      </c>
      <c r="X13" s="0" t="n">
        <v>19</v>
      </c>
      <c r="AB13" s="0" t="n">
        <v>1.09</v>
      </c>
      <c r="AD13" s="0" t="inlineStr">
        <is>
          <t>сталь</t>
        </is>
      </c>
      <c r="AE13" s="0" t="inlineStr">
        <is>
          <t>ABS пластик</t>
        </is>
      </c>
      <c r="AG13" s="0" t="inlineStr">
        <is>
          <t>призматический рассеиватель</t>
        </is>
      </c>
      <c r="AJ13" s="0" t="inlineStr">
        <is>
          <t>A</t>
        </is>
      </c>
      <c r="AK13" s="0" t="n">
        <v>0.9</v>
      </c>
      <c r="AL13" s="0" t="n">
        <v>5</v>
      </c>
      <c r="AN13" s="0" t="n">
        <v>220</v>
      </c>
      <c r="AO13" s="0" t="n">
        <v>240</v>
      </c>
      <c r="AP13" s="0" t="n">
        <v>1</v>
      </c>
      <c r="AQ13" s="0" t="n">
        <v>55</v>
      </c>
      <c r="AR13" s="0" t="inlineStr">
        <is>
          <t>УХЛ4</t>
        </is>
      </c>
      <c r="AS13" s="0" t="inlineStr">
        <is>
          <t>Картон</t>
        </is>
      </c>
      <c r="AT13" s="0" t="inlineStr">
        <is>
          <t>Да</t>
        </is>
      </c>
      <c r="AV13" s="0" t="n">
        <v>1.075</v>
      </c>
      <c r="AW13" s="0" t="n">
        <v>4</v>
      </c>
      <c r="AX13" s="0" t="n">
        <v>610</v>
      </c>
      <c r="AY13" s="0" t="n">
        <v>610</v>
      </c>
      <c r="AZ13" s="0" t="n">
        <v>85</v>
      </c>
      <c r="BB13" s="0" t="n">
        <v>4.3</v>
      </c>
      <c r="BE13" s="0" t="inlineStr">
        <is>
          <t>http://darion-svet.com/shop/product/14690612053858-dvo-02-4565-prizma-45vt-230v-6500k-4500lm-100lmvt-595h595h19-neox-4-shtuki-v-upakovke</t>
        </is>
      </c>
      <c r="BI13" s="0" t="n">
        <v>0</v>
      </c>
      <c r="BJ13" s="0" t="n">
        <v>3615</v>
      </c>
    </row>
    <row r="14">
      <c r="A14" s="0" t="n">
        <v>14690612053865</v>
      </c>
      <c r="B14" s="0" t="inlineStr">
        <is>
          <t>Панель светодиодная универсальная ДВО-02 7565-ПРИЗМА 75Вт 6500К 595х595х19 NEOX (4 шт в упак.)</t>
        </is>
      </c>
      <c r="C14" s="0" t="inlineStr">
        <is>
          <t>NEOX Светильники LED ДВО - Призма производство, упаковка</t>
        </is>
      </c>
      <c r="E14" s="0" t="inlineStr">
        <is>
          <t>http://darion-svet.com/web/binary/image?model=product.product&amp;id=25914&amp;field=image</t>
        </is>
      </c>
      <c r="F14" s="0" t="n">
        <v>2</v>
      </c>
      <c r="G14" s="0" t="inlineStr">
        <is>
          <t>Китай</t>
        </is>
      </c>
      <c r="H14" s="0" t="inlineStr">
        <is>
          <t>NEOX</t>
        </is>
      </c>
      <c r="I14" s="0" t="inlineStr">
        <is>
          <t>встраиваемый в Армстронг; накладной; подвесной</t>
        </is>
      </c>
      <c r="J14" s="0" t="inlineStr">
        <is>
          <t>общественные помещения</t>
        </is>
      </c>
      <c r="K14" s="0" t="inlineStr">
        <is>
          <t>LED</t>
        </is>
      </c>
      <c r="M14" s="0" t="n">
        <v>75</v>
      </c>
      <c r="O14" s="0" t="inlineStr">
        <is>
          <t>SMD</t>
        </is>
      </c>
      <c r="P14" s="0" t="n">
        <v>3600</v>
      </c>
      <c r="Q14" s="0" t="n">
        <v>6500</v>
      </c>
      <c r="R14" s="0" t="n">
        <v>80</v>
      </c>
      <c r="S14" s="0" t="n">
        <v>40</v>
      </c>
      <c r="T14" s="0" t="inlineStr">
        <is>
          <t>Д</t>
        </is>
      </c>
      <c r="U14" s="0" t="inlineStr">
        <is>
          <t>30 000 ч.</t>
        </is>
      </c>
      <c r="V14" s="0" t="n">
        <v>595</v>
      </c>
      <c r="W14" s="0" t="n">
        <v>595</v>
      </c>
      <c r="X14" s="0" t="n">
        <v>19</v>
      </c>
      <c r="AB14" s="0" t="n">
        <v>1.2</v>
      </c>
      <c r="AD14" s="0" t="inlineStr">
        <is>
          <t>сталь</t>
        </is>
      </c>
      <c r="AE14" s="0" t="inlineStr">
        <is>
          <t>ABS пластик</t>
        </is>
      </c>
      <c r="AG14" s="0" t="inlineStr">
        <is>
          <t>призматический рассеиватель</t>
        </is>
      </c>
      <c r="AJ14" s="0" t="inlineStr">
        <is>
          <t>A</t>
        </is>
      </c>
      <c r="AK14" s="0" t="n">
        <v>0.9</v>
      </c>
      <c r="AL14" s="0" t="n">
        <v>5</v>
      </c>
      <c r="AN14" s="0" t="n">
        <v>220</v>
      </c>
      <c r="AO14" s="0" t="n">
        <v>240</v>
      </c>
      <c r="AP14" s="0" t="n">
        <v>1</v>
      </c>
      <c r="AQ14" s="0" t="n">
        <v>55</v>
      </c>
      <c r="AR14" s="0" t="inlineStr">
        <is>
          <t>УХЛ4</t>
        </is>
      </c>
      <c r="AS14" s="0" t="inlineStr">
        <is>
          <t>Картон</t>
        </is>
      </c>
      <c r="AT14" s="0" t="inlineStr">
        <is>
          <t>Да</t>
        </is>
      </c>
      <c r="AV14" s="0" t="n">
        <v>1.075</v>
      </c>
      <c r="AW14" s="0" t="n">
        <v>4</v>
      </c>
      <c r="AX14" s="0" t="n">
        <v>610</v>
      </c>
      <c r="AY14" s="0" t="n">
        <v>610</v>
      </c>
      <c r="AZ14" s="0" t="n">
        <v>85</v>
      </c>
      <c r="BB14" s="0" t="n">
        <v>4.3</v>
      </c>
      <c r="BE14" s="0" t="inlineStr">
        <is>
          <t>http://darion-svet.com/shop/product/14690612053865-dvo-02-7565-prizma-75vt-6500k-595h595h19-neox-4-shtuki-v-upakovke</t>
        </is>
      </c>
      <c r="BI14" s="0" t="n">
        <v>0</v>
      </c>
      <c r="BJ14" s="0" t="n">
        <v>0</v>
      </c>
    </row>
    <row r="15">
      <c r="A15" s="0" t="inlineStr">
        <is>
          <t>4690612037646-1</t>
        </is>
      </c>
      <c r="B15" s="0" t="inlineStr">
        <is>
          <t>Панель светодиодная универсальная ДВО-02 4540-ПРИЗМА 45Вт 230В 4000К 4500Лм 100Лм/Вт 595х595х19 NEOX (в индивид. упак.)</t>
        </is>
      </c>
      <c r="C15" s="0" t="inlineStr">
        <is>
          <t>NEOX Светильники LED ДВО - Призма производство, упаковка</t>
        </is>
      </c>
      <c r="D15" s="0" t="n">
        <v>4690612037646</v>
      </c>
      <c r="E15" s="0" t="inlineStr">
        <is>
          <t>http://darion-svet.com/web/binary/image?model=product.product&amp;id=25947&amp;field=image</t>
        </is>
      </c>
      <c r="F15" s="0" t="n">
        <v>2</v>
      </c>
      <c r="G15" s="0" t="inlineStr">
        <is>
          <t>Китай</t>
        </is>
      </c>
      <c r="H15" s="0" t="inlineStr">
        <is>
          <t>NEOX</t>
        </is>
      </c>
      <c r="I15" s="0" t="inlineStr">
        <is>
          <t>встраиваемый в Армстронг; накладной; подвесной</t>
        </is>
      </c>
      <c r="J15" s="0" t="inlineStr">
        <is>
          <t>общественные помещения</t>
        </is>
      </c>
      <c r="K15" s="0" t="inlineStr">
        <is>
          <t>LED</t>
        </is>
      </c>
      <c r="M15" s="0" t="n">
        <v>45</v>
      </c>
      <c r="O15" s="0" t="inlineStr">
        <is>
          <t>SMD</t>
        </is>
      </c>
      <c r="P15" s="0" t="n">
        <v>4500</v>
      </c>
      <c r="Q15" s="0" t="n">
        <v>4000</v>
      </c>
      <c r="R15" s="0" t="n">
        <v>80</v>
      </c>
      <c r="S15" s="0" t="n">
        <v>40</v>
      </c>
      <c r="T15" s="0" t="inlineStr">
        <is>
          <t>Д</t>
        </is>
      </c>
      <c r="U15" s="0" t="inlineStr">
        <is>
          <t>30 000 ч.</t>
        </is>
      </c>
      <c r="V15" s="0" t="n">
        <v>595</v>
      </c>
      <c r="W15" s="0" t="n">
        <v>595</v>
      </c>
      <c r="X15" s="0" t="n">
        <v>19</v>
      </c>
      <c r="AB15" s="0" t="n">
        <v>1.09</v>
      </c>
      <c r="AD15" s="0" t="inlineStr">
        <is>
          <t>сталь</t>
        </is>
      </c>
      <c r="AE15" s="0" t="inlineStr">
        <is>
          <t>ABS пластик</t>
        </is>
      </c>
      <c r="AG15" s="0" t="inlineStr">
        <is>
          <t>призматический рассеиватель</t>
        </is>
      </c>
      <c r="AH15" s="0" t="inlineStr">
        <is>
          <t>Универсальные панели ДВО-02 от ТМ NEOX предназначены для основного и дополнительного освещения коммерческих помещений различного назначения: офисов, торговых залов, административных зданий, мест общественного питания. Могут устанавливаться разными способами: встраиваемый монтаж в потолки типа «Армстронг», накладным способом к поверхности потолка или стены при помощи имеющихся в металлическом корпусе отверстий, а также подвешиваться к потолку при помощи комплекта подвесов (актуально в случае необходимости увеличить освещенность при высоких потолках). • СВЕТООТДАЧА БОЛЕЕ 100Лм/Вт • ОТСУТСТВИЕ ПУЛЬСАЦИИ • ЗАЩИТА ОТ СКАЧКОВ НАПРЯЖЕНИЯ • ДВА ТИПА РАССЕИВАТЕЛЯ: ПРИЗМА И ОПАЛ • ЦВЕТОВАЯ ТЕМПЕРАТУРА 4000К, 6500К</t>
        </is>
      </c>
      <c r="AI15" s="0" t="inlineStr">
        <is>
          <t>LED-driver</t>
        </is>
      </c>
      <c r="AJ15" s="0" t="inlineStr">
        <is>
          <t>A</t>
        </is>
      </c>
      <c r="AK15" s="0" t="n">
        <v>0.9</v>
      </c>
      <c r="AL15" s="0" t="n">
        <v>5</v>
      </c>
      <c r="AM15" s="0" t="n">
        <v>0.22</v>
      </c>
      <c r="AN15" s="0" t="n">
        <v>220</v>
      </c>
      <c r="AO15" s="0" t="n">
        <v>240</v>
      </c>
      <c r="AP15" s="0" t="n">
        <v>1</v>
      </c>
      <c r="AQ15" s="0" t="n">
        <v>55</v>
      </c>
      <c r="AR15" s="0" t="inlineStr">
        <is>
          <t>УХЛ4</t>
        </is>
      </c>
      <c r="AS15" s="0" t="inlineStr">
        <is>
          <t>Картон</t>
        </is>
      </c>
      <c r="AT15" s="0" t="inlineStr">
        <is>
          <t>Да</t>
        </is>
      </c>
      <c r="AU15" s="0" t="n">
        <v>0.00673</v>
      </c>
      <c r="AV15" s="0" t="n">
        <v>1.35</v>
      </c>
      <c r="AW15" s="0" t="n">
        <v>1</v>
      </c>
      <c r="BA15" s="0" t="n">
        <v>0.00673</v>
      </c>
      <c r="BB15" s="0" t="n">
        <v>1.35</v>
      </c>
      <c r="BC15" s="0" t="inlineStr">
        <is>
          <t>4690612037653-1</t>
        </is>
      </c>
      <c r="BE15" s="0" t="inlineStr">
        <is>
          <t>http://darion-svet.com/shop/product/4690612037646-1-dvo-02-4540-prizma-45vt-230v-4000k-4500lm-100lmvt-595h595h19-neox-v-individualnoj-upakovke</t>
        </is>
      </c>
      <c r="BI15" s="0" t="n">
        <v>1</v>
      </c>
      <c r="BJ15" s="0" t="n">
        <v>484</v>
      </c>
    </row>
    <row r="16">
      <c r="A16" s="0" t="inlineStr">
        <is>
          <t>4690612037646-2</t>
        </is>
      </c>
      <c r="B16" s="0" t="inlineStr">
        <is>
          <t>Панель светодиодная универсальная ДВО-02 4540-ПРИЗМА 45Вт 230В 4000К 4500Лм 100Лм/Вт 595х595х19 NEOX (2 шт в упак.)</t>
        </is>
      </c>
      <c r="C16" s="0" t="inlineStr">
        <is>
          <t>NEOX Светильники LED ДВО - Призма производство, упаковка</t>
        </is>
      </c>
      <c r="D16" s="0" t="n">
        <v>4690612037646</v>
      </c>
      <c r="E16" s="0" t="inlineStr">
        <is>
          <t>http://darion-svet.com/web/binary/image?model=product.product&amp;id=25873&amp;field=image</t>
        </is>
      </c>
      <c r="F16" s="0" t="n">
        <v>2</v>
      </c>
      <c r="G16" s="0" t="inlineStr">
        <is>
          <t>Китай</t>
        </is>
      </c>
      <c r="H16" s="0" t="inlineStr">
        <is>
          <t>NEOX</t>
        </is>
      </c>
      <c r="I16" s="0" t="inlineStr">
        <is>
          <t>встраиваемый в Армстронг; накладной; подвесной</t>
        </is>
      </c>
      <c r="K16" s="0" t="inlineStr">
        <is>
          <t>LED</t>
        </is>
      </c>
      <c r="M16" s="0" t="n">
        <v>45</v>
      </c>
      <c r="O16" s="0" t="inlineStr">
        <is>
          <t>SMD</t>
        </is>
      </c>
      <c r="P16" s="0" t="n">
        <v>4500</v>
      </c>
      <c r="Q16" s="0" t="n">
        <v>4000</v>
      </c>
      <c r="R16" s="0" t="n">
        <v>80</v>
      </c>
      <c r="S16" s="0" t="n">
        <v>40</v>
      </c>
      <c r="T16" s="0" t="inlineStr">
        <is>
          <t>Д</t>
        </is>
      </c>
      <c r="U16" s="0" t="inlineStr">
        <is>
          <t>30 000 ч.</t>
        </is>
      </c>
      <c r="V16" s="0" t="n">
        <v>595</v>
      </c>
      <c r="W16" s="0" t="n">
        <v>595</v>
      </c>
      <c r="X16" s="0" t="n">
        <v>19</v>
      </c>
      <c r="AB16" s="0" t="n">
        <v>1.09</v>
      </c>
      <c r="AD16" s="0" t="inlineStr">
        <is>
          <t>сталь</t>
        </is>
      </c>
      <c r="AE16" s="0" t="inlineStr">
        <is>
          <t>ABS пластик</t>
        </is>
      </c>
      <c r="AG16" s="0" t="inlineStr">
        <is>
          <t>призматический рассеиватель</t>
        </is>
      </c>
      <c r="AJ16" s="0" t="inlineStr">
        <is>
          <t>A</t>
        </is>
      </c>
      <c r="AK16" s="0" t="n">
        <v>0.9</v>
      </c>
      <c r="AL16" s="0" t="n">
        <v>5</v>
      </c>
      <c r="AN16" s="0" t="n">
        <v>220</v>
      </c>
      <c r="AO16" s="0" t="n">
        <v>240</v>
      </c>
      <c r="AP16" s="0" t="n">
        <v>1</v>
      </c>
      <c r="AQ16" s="0" t="n">
        <v>55</v>
      </c>
      <c r="AR16" s="0" t="inlineStr">
        <is>
          <t>УХЛ4</t>
        </is>
      </c>
      <c r="AS16" s="0" t="inlineStr">
        <is>
          <t>Картон</t>
        </is>
      </c>
      <c r="AT16" s="0" t="inlineStr">
        <is>
          <t>Да</t>
        </is>
      </c>
      <c r="AV16" s="0" t="n">
        <v>1.24</v>
      </c>
      <c r="AW16" s="0" t="n">
        <v>2</v>
      </c>
      <c r="AX16" s="0" t="n">
        <v>610</v>
      </c>
      <c r="AY16" s="0" t="n">
        <v>610</v>
      </c>
      <c r="AZ16" s="0" t="n">
        <v>50</v>
      </c>
      <c r="BB16" s="0" t="n">
        <v>2.48</v>
      </c>
      <c r="BE16" s="0" t="inlineStr">
        <is>
          <t>http://darion-svet.com/shop/product/4690612037646-2-dvo-02-4540-prizma-45vt-230v-4000k-4500lm-100lmvt-595h595h19-neox-2-shtuki-v-upakovke</t>
        </is>
      </c>
      <c r="BI16" s="0" t="n">
        <v>0</v>
      </c>
      <c r="BJ16" s="0" t="n">
        <v>0</v>
      </c>
    </row>
    <row r="17">
      <c r="A17" s="0" t="inlineStr">
        <is>
          <t>4690612037653-1</t>
        </is>
      </c>
      <c r="B17" s="0" t="inlineStr">
        <is>
          <t>Панель светодиодная универсальная ДВО-02 4565-ПРИЗМА 45Вт 230В 6500К 4500Лм 100Лм/Вт 595х595х19 NEOX (в индивид. упак.)</t>
        </is>
      </c>
      <c r="C17" s="0" t="inlineStr">
        <is>
          <t>NEOX Светильники LED ДВО - Призма производство, упаковка</t>
        </is>
      </c>
      <c r="D17" s="0" t="n">
        <v>4690612037653</v>
      </c>
      <c r="E17" s="0" t="inlineStr">
        <is>
          <t>http://darion-svet.com/web/binary/image?model=product.product&amp;id=24183&amp;field=image</t>
        </is>
      </c>
      <c r="F17" s="0" t="n">
        <v>2</v>
      </c>
      <c r="G17" s="0" t="inlineStr">
        <is>
          <t>Китай</t>
        </is>
      </c>
      <c r="H17" s="0" t="inlineStr">
        <is>
          <t>NEOX</t>
        </is>
      </c>
      <c r="I17" s="0" t="inlineStr">
        <is>
          <t>встраиваемый в Армстронг; накладной; подвесной</t>
        </is>
      </c>
      <c r="J17" s="0" t="inlineStr">
        <is>
          <t>общественные помещения</t>
        </is>
      </c>
      <c r="K17" s="0" t="inlineStr">
        <is>
          <t>LED</t>
        </is>
      </c>
      <c r="M17" s="0" t="n">
        <v>45</v>
      </c>
      <c r="O17" s="0" t="inlineStr">
        <is>
          <t>SMD</t>
        </is>
      </c>
      <c r="P17" s="0" t="n">
        <v>4500</v>
      </c>
      <c r="Q17" s="0" t="n">
        <v>6500</v>
      </c>
      <c r="R17" s="0" t="n">
        <v>80</v>
      </c>
      <c r="S17" s="0" t="n">
        <v>40</v>
      </c>
      <c r="T17" s="0" t="inlineStr">
        <is>
          <t>Д</t>
        </is>
      </c>
      <c r="U17" s="0" t="inlineStr">
        <is>
          <t>30 000 ч.</t>
        </is>
      </c>
      <c r="V17" s="0" t="n">
        <v>595</v>
      </c>
      <c r="W17" s="0" t="n">
        <v>595</v>
      </c>
      <c r="X17" s="0" t="n">
        <v>19</v>
      </c>
      <c r="AB17" s="0" t="n">
        <v>1.09</v>
      </c>
      <c r="AD17" s="0" t="inlineStr">
        <is>
          <t>сталь</t>
        </is>
      </c>
      <c r="AE17" s="0" t="inlineStr">
        <is>
          <t>ABS пластик</t>
        </is>
      </c>
      <c r="AG17" s="0" t="inlineStr">
        <is>
          <t>призматический рассеиватель</t>
        </is>
      </c>
      <c r="AH17" s="0" t="inlineStr">
        <is>
          <t>Универсальные панели ДВО-02 от ТМ NEOX предназначены для основного и дополнительного освещения коммерческих помещений различного назначения: офисов, торговых залов, административных зданий, мест общественного питания. Могут устанавливаться разными способами: встраиваемый монтаж в потолки типа «Армстронг», накладным способом к поверхности потолка или стены при помощи имеющихся в металлическом корпусе отверстий, а также подвешиваться к потолку при помощи комплекта подвесов (актуально в случае необходимости увеличить освещенность при высоких потолках). • СВЕТООТДАЧА БОЛЕЕ 100Лм/Вт • ОТСУТСТВИЕ ПУЛЬСАЦИИ • ЗАЩИТА ОТ СКАЧКОВ НАПРЯЖЕНИЯ • ДВА ТИПА РАССЕИВАТЕЛЯ: ПРИЗМА И ОПАЛ • ЦВЕТОВАЯ ТЕМПЕРАТУРА 4000К, 6500К</t>
        </is>
      </c>
      <c r="AI17" s="0" t="inlineStr">
        <is>
          <t>LED-driver</t>
        </is>
      </c>
      <c r="AJ17" s="0" t="inlineStr">
        <is>
          <t>A</t>
        </is>
      </c>
      <c r="AK17" s="0" t="n">
        <v>0.9</v>
      </c>
      <c r="AL17" s="0" t="n">
        <v>5</v>
      </c>
      <c r="AM17" s="0" t="n">
        <v>0.22</v>
      </c>
      <c r="AN17" s="0" t="n">
        <v>220</v>
      </c>
      <c r="AO17" s="0" t="n">
        <v>240</v>
      </c>
      <c r="AP17" s="0" t="n">
        <v>1</v>
      </c>
      <c r="AQ17" s="0" t="n">
        <v>55</v>
      </c>
      <c r="AR17" s="0" t="inlineStr">
        <is>
          <t>УХЛ4</t>
        </is>
      </c>
      <c r="AS17" s="0" t="inlineStr">
        <is>
          <t>Картон</t>
        </is>
      </c>
      <c r="AT17" s="0" t="inlineStr">
        <is>
          <t>Да</t>
        </is>
      </c>
      <c r="AU17" s="0" t="n">
        <v>0.00673</v>
      </c>
      <c r="AV17" s="0" t="n">
        <v>1.35</v>
      </c>
      <c r="AW17" s="0" t="n">
        <v>1</v>
      </c>
      <c r="BA17" s="0" t="n">
        <v>0.00673</v>
      </c>
      <c r="BB17" s="0" t="n">
        <v>1.35</v>
      </c>
      <c r="BC17" s="0" t="inlineStr">
        <is>
          <t>4690612037653-1</t>
        </is>
      </c>
      <c r="BE17" s="0" t="inlineStr">
        <is>
          <t>http://darion-svet.com/shop/product/4690612037653-1-dvo-02-4565-prizma-45vt-230v-6500k-4500lm-100lmvt-595h595h19-neox-v-individualnoj-upakovke</t>
        </is>
      </c>
      <c r="BI17" s="0" t="n">
        <v>2</v>
      </c>
      <c r="BJ17" s="0" t="n">
        <v>491</v>
      </c>
    </row>
    <row r="18">
      <c r="A18" s="0" t="inlineStr">
        <is>
          <t>4690612037653-2</t>
        </is>
      </c>
      <c r="B18" s="0" t="inlineStr">
        <is>
          <t>Панель светодиодная универсальная ДВО-02 4565-ПРИЗМА 45Вт 230В 6500К 4500Лм 100Лм/Вт 595х595х19 NEOX (2 шт в упак.)</t>
        </is>
      </c>
      <c r="C18" s="0" t="inlineStr">
        <is>
          <t>NEOX Светильники LED ДВО - Призма производство, упаковка</t>
        </is>
      </c>
      <c r="D18" s="0" t="n">
        <v>4690612037653</v>
      </c>
      <c r="E18" s="0" t="inlineStr">
        <is>
          <t>http://darion-svet.com/web/binary/image?model=product.product&amp;id=25874&amp;field=image</t>
        </is>
      </c>
      <c r="F18" s="0" t="n">
        <v>2</v>
      </c>
      <c r="G18" s="0" t="inlineStr">
        <is>
          <t>Китай</t>
        </is>
      </c>
      <c r="H18" s="0" t="inlineStr">
        <is>
          <t>NEOX</t>
        </is>
      </c>
      <c r="I18" s="0" t="inlineStr">
        <is>
          <t>встраиваемый в Армстронг; накладной; подвесной</t>
        </is>
      </c>
      <c r="K18" s="0" t="inlineStr">
        <is>
          <t>LED</t>
        </is>
      </c>
      <c r="M18" s="0" t="n">
        <v>45</v>
      </c>
      <c r="O18" s="0" t="inlineStr">
        <is>
          <t>SMD</t>
        </is>
      </c>
      <c r="P18" s="0" t="n">
        <v>4500</v>
      </c>
      <c r="Q18" s="0" t="n">
        <v>6500</v>
      </c>
      <c r="R18" s="0" t="n">
        <v>80</v>
      </c>
      <c r="S18" s="0" t="n">
        <v>40</v>
      </c>
      <c r="T18" s="0" t="inlineStr">
        <is>
          <t>Д</t>
        </is>
      </c>
      <c r="U18" s="0" t="inlineStr">
        <is>
          <t>30 000 ч.</t>
        </is>
      </c>
      <c r="V18" s="0" t="n">
        <v>595</v>
      </c>
      <c r="W18" s="0" t="n">
        <v>595</v>
      </c>
      <c r="X18" s="0" t="n">
        <v>19</v>
      </c>
      <c r="AB18" s="0" t="n">
        <v>1.09</v>
      </c>
      <c r="AD18" s="0" t="inlineStr">
        <is>
          <t>сталь</t>
        </is>
      </c>
      <c r="AE18" s="0" t="inlineStr">
        <is>
          <t>ABS пластик</t>
        </is>
      </c>
      <c r="AG18" s="0" t="inlineStr">
        <is>
          <t>призматический рассеиватель</t>
        </is>
      </c>
      <c r="AJ18" s="0" t="inlineStr">
        <is>
          <t>A</t>
        </is>
      </c>
      <c r="AK18" s="0" t="n">
        <v>0.9</v>
      </c>
      <c r="AL18" s="0" t="n">
        <v>5</v>
      </c>
      <c r="AN18" s="0" t="n">
        <v>220</v>
      </c>
      <c r="AO18" s="0" t="n">
        <v>240</v>
      </c>
      <c r="AP18" s="0" t="n">
        <v>1</v>
      </c>
      <c r="AQ18" s="0" t="n">
        <v>55</v>
      </c>
      <c r="AR18" s="0" t="inlineStr">
        <is>
          <t>УХЛ4</t>
        </is>
      </c>
      <c r="AS18" s="0" t="inlineStr">
        <is>
          <t>Картон</t>
        </is>
      </c>
      <c r="AT18" s="0" t="inlineStr">
        <is>
          <t>Да</t>
        </is>
      </c>
      <c r="AV18" s="0" t="n">
        <v>1.24</v>
      </c>
      <c r="AW18" s="0" t="n">
        <v>2</v>
      </c>
      <c r="AX18" s="0" t="n">
        <v>610</v>
      </c>
      <c r="AY18" s="0" t="n">
        <v>610</v>
      </c>
      <c r="AZ18" s="0" t="n">
        <v>50</v>
      </c>
      <c r="BB18" s="0" t="n">
        <v>2.48</v>
      </c>
      <c r="BE18" s="0" t="inlineStr">
        <is>
          <t>http://darion-svet.com/shop/product/4690612037653-2-dvo-02-4565-prizma-45vt-230v-6500k-4500lm-100lmvt-595h595h19-neox-2-shtuki-v-upakovke</t>
        </is>
      </c>
      <c r="BI18" s="0" t="n">
        <v>12</v>
      </c>
      <c r="BJ18" s="0" t="n">
        <v>985</v>
      </c>
    </row>
    <row r="19">
      <c r="A19" s="0" t="inlineStr">
        <is>
          <t>4690612038162-1</t>
        </is>
      </c>
      <c r="B19" s="0" t="inlineStr">
        <is>
          <t>Панель светодиодная универсальная ДВО-02 3640-ПРИЗМА 36Вт 230В 4000К 4020Лм 110Лм/Вт 595х595х19 NEOX (в индивид. упак.)</t>
        </is>
      </c>
      <c r="C19" s="0" t="inlineStr">
        <is>
          <t>NEOX Светильники LED ДВО - Призма производство, упаковка</t>
        </is>
      </c>
      <c r="D19" s="0" t="n">
        <v>4690612038162</v>
      </c>
      <c r="E19" s="0" t="inlineStr">
        <is>
          <t>http://darion-svet.com/web/binary/image?model=product.product&amp;id=24161&amp;field=image</t>
        </is>
      </c>
      <c r="F19" s="0" t="n">
        <v>2</v>
      </c>
      <c r="G19" s="0" t="inlineStr">
        <is>
          <t>Китай</t>
        </is>
      </c>
      <c r="H19" s="0" t="inlineStr">
        <is>
          <t>NEOX</t>
        </is>
      </c>
      <c r="I19" s="0" t="inlineStr">
        <is>
          <t>встраиваемый в Армстронг; накладной; подвесной</t>
        </is>
      </c>
      <c r="J19" s="0" t="inlineStr">
        <is>
          <t>общественные помещения</t>
        </is>
      </c>
      <c r="K19" s="0" t="inlineStr">
        <is>
          <t>LED</t>
        </is>
      </c>
      <c r="M19" s="0" t="n">
        <v>36</v>
      </c>
      <c r="O19" s="0" t="inlineStr">
        <is>
          <t>SMD</t>
        </is>
      </c>
      <c r="P19" s="0" t="n">
        <v>4020</v>
      </c>
      <c r="Q19" s="0" t="n">
        <v>4000</v>
      </c>
      <c r="R19" s="0" t="n">
        <v>80</v>
      </c>
      <c r="S19" s="0" t="n">
        <v>40</v>
      </c>
      <c r="T19" s="0" t="inlineStr">
        <is>
          <t>Д</t>
        </is>
      </c>
      <c r="U19" s="0" t="inlineStr">
        <is>
          <t>30 000 ч.</t>
        </is>
      </c>
      <c r="V19" s="0" t="n">
        <v>595</v>
      </c>
      <c r="W19" s="0" t="n">
        <v>595</v>
      </c>
      <c r="X19" s="0" t="n">
        <v>19</v>
      </c>
      <c r="AB19" s="0" t="n">
        <v>1.14</v>
      </c>
      <c r="AD19" s="0" t="inlineStr">
        <is>
          <t>сталь</t>
        </is>
      </c>
      <c r="AE19" s="0" t="inlineStr">
        <is>
          <t>ABS пластик</t>
        </is>
      </c>
      <c r="AG19" s="0" t="inlineStr">
        <is>
          <t>призматический рассеиватель</t>
        </is>
      </c>
      <c r="AH19" s="0" t="inlineStr">
        <is>
          <t>Универсальные панели ДВО-02 от ТМ NEOX предназначены для основного и дополнительного освещения коммерческих помещений различного назначения: офисов, торговых залов, административных зданий, мест общественного питания. Могут устанавливаться разными способами: встраиваемый монтаж в потолки типа «Армстронг», накладным способом к поверхности потолка или стены при помощи имеющихся в металлическом корпусе отверстий, а также подвешиваться к потолку при помощи комплекта подвесов (актуально в случае необходимости увеличить освещенность при высоких потолках). • Светоотдача более 100Лм/Вт • Отсуствие пульсации • Защита от скачков напряжения • Два типа рассеивателя: призма и опал • Цветовая температура 4000К, 6500К</t>
        </is>
      </c>
      <c r="AJ19" s="0" t="inlineStr">
        <is>
          <t>A</t>
        </is>
      </c>
      <c r="AK19" s="0" t="n">
        <v>0.9</v>
      </c>
      <c r="AL19" s="0" t="n">
        <v>5</v>
      </c>
      <c r="AM19" s="0" t="n">
        <v>0.18</v>
      </c>
      <c r="AN19" s="0" t="n">
        <v>220</v>
      </c>
      <c r="AO19" s="0" t="n">
        <v>240</v>
      </c>
      <c r="AP19" s="0" t="n">
        <v>1</v>
      </c>
      <c r="AQ19" s="0" t="n">
        <v>55</v>
      </c>
      <c r="AR19" s="0" t="inlineStr">
        <is>
          <t>УХЛ4</t>
        </is>
      </c>
      <c r="AS19" s="0" t="inlineStr">
        <is>
          <t>Картон</t>
        </is>
      </c>
      <c r="AT19" s="0" t="inlineStr">
        <is>
          <t>Да</t>
        </is>
      </c>
      <c r="AU19" s="0" t="n">
        <v>0.00673</v>
      </c>
      <c r="AV19" s="0" t="n">
        <v>1.28</v>
      </c>
      <c r="AW19" s="0" t="n">
        <v>1</v>
      </c>
      <c r="BA19" s="0" t="n">
        <v>0.00673</v>
      </c>
      <c r="BB19" s="0" t="n">
        <v>1.28</v>
      </c>
      <c r="BC19" s="0" t="inlineStr">
        <is>
          <t>4690612038162-1</t>
        </is>
      </c>
      <c r="BE19" s="0" t="inlineStr">
        <is>
          <t>http://darion-svet.com/shop/product/4690612038162-1-dvo-02-3640-prizma-36vt-230v-4000k-4020lm-110lmvt-595h595h19-neox-v-individualnoj-upakovke</t>
        </is>
      </c>
      <c r="BI19" s="0" t="n">
        <v>88</v>
      </c>
      <c r="BJ19" s="0" t="n">
        <v>420</v>
      </c>
    </row>
    <row r="20">
      <c r="A20" s="0" t="inlineStr">
        <is>
          <t>4690612038162-2</t>
        </is>
      </c>
      <c r="B20" s="0" t="inlineStr">
        <is>
          <t>Панель светодиодная универсальная ДВО-02 3640-ПРИЗМА 36Вт 230В 4000К 4020Лм 110Лм/Вт 595х595х19 NEOX (2 шт в упак.)</t>
        </is>
      </c>
      <c r="C20" s="0" t="inlineStr">
        <is>
          <t>NEOX Светильники LED ДВО - Призма производство, упаковка</t>
        </is>
      </c>
      <c r="D20" s="0" t="n">
        <v>4690612038162</v>
      </c>
      <c r="E20" s="0" t="inlineStr">
        <is>
          <t>http://darion-svet.com/web/binary/image?model=product.product&amp;id=25875&amp;field=image</t>
        </is>
      </c>
      <c r="F20" s="0" t="n">
        <v>2</v>
      </c>
      <c r="G20" s="0" t="inlineStr">
        <is>
          <t>Китай</t>
        </is>
      </c>
      <c r="H20" s="0" t="inlineStr">
        <is>
          <t>NEOX</t>
        </is>
      </c>
      <c r="I20" s="0" t="inlineStr">
        <is>
          <t>встраиваемый в Армстронг; накладной; подвесной</t>
        </is>
      </c>
      <c r="K20" s="0" t="inlineStr">
        <is>
          <t>LED</t>
        </is>
      </c>
      <c r="M20" s="0" t="n">
        <v>36</v>
      </c>
      <c r="O20" s="0" t="inlineStr">
        <is>
          <t>SMD</t>
        </is>
      </c>
      <c r="P20" s="0" t="n">
        <v>4020</v>
      </c>
      <c r="Q20" s="0" t="n">
        <v>4000</v>
      </c>
      <c r="R20" s="0" t="n">
        <v>80</v>
      </c>
      <c r="S20" s="0" t="n">
        <v>40</v>
      </c>
      <c r="T20" s="0" t="inlineStr">
        <is>
          <t>Д</t>
        </is>
      </c>
      <c r="U20" s="0" t="inlineStr">
        <is>
          <t>30 000 ч.</t>
        </is>
      </c>
      <c r="V20" s="0" t="n">
        <v>595</v>
      </c>
      <c r="W20" s="0" t="n">
        <v>595</v>
      </c>
      <c r="X20" s="0" t="n">
        <v>19</v>
      </c>
      <c r="AB20" s="0" t="n">
        <v>1.14</v>
      </c>
      <c r="AD20" s="0" t="inlineStr">
        <is>
          <t>сталь</t>
        </is>
      </c>
      <c r="AE20" s="0" t="inlineStr">
        <is>
          <t>ABS пластик</t>
        </is>
      </c>
      <c r="AG20" s="0" t="inlineStr">
        <is>
          <t>призматический рассеиватель</t>
        </is>
      </c>
      <c r="AJ20" s="0" t="inlineStr">
        <is>
          <t>A</t>
        </is>
      </c>
      <c r="AK20" s="0" t="n">
        <v>0.9</v>
      </c>
      <c r="AL20" s="0" t="n">
        <v>5</v>
      </c>
      <c r="AN20" s="0" t="n">
        <v>220</v>
      </c>
      <c r="AO20" s="0" t="n">
        <v>240</v>
      </c>
      <c r="AP20" s="0" t="n">
        <v>1</v>
      </c>
      <c r="AQ20" s="0" t="n">
        <v>55</v>
      </c>
      <c r="AR20" s="0" t="inlineStr">
        <is>
          <t>УХЛ4</t>
        </is>
      </c>
      <c r="AS20" s="0" t="inlineStr">
        <is>
          <t>Картон</t>
        </is>
      </c>
      <c r="AT20" s="0" t="inlineStr">
        <is>
          <t>Да</t>
        </is>
      </c>
      <c r="AV20" s="0" t="n">
        <v>1.29</v>
      </c>
      <c r="AW20" s="0" t="n">
        <v>2</v>
      </c>
      <c r="AX20" s="0" t="n">
        <v>610</v>
      </c>
      <c r="AY20" s="0" t="n">
        <v>610</v>
      </c>
      <c r="AZ20" s="0" t="n">
        <v>50</v>
      </c>
      <c r="BB20" s="0" t="n">
        <v>2.58</v>
      </c>
      <c r="BI20" s="0" t="n">
        <v>21</v>
      </c>
      <c r="BJ20" s="0" t="n">
        <v>824</v>
      </c>
    </row>
    <row r="21">
      <c r="A21" s="0" t="inlineStr">
        <is>
          <t>4690612038179-1</t>
        </is>
      </c>
      <c r="B21" s="0" t="inlineStr">
        <is>
          <t>Панель светодиодная универсальная ДВО-02 3665-ПРИЗМА 36Вт 230В 6500К 4020Лм 110Лм/Вт 595х595х19 NEOX (в индивид. упак.)</t>
        </is>
      </c>
      <c r="C21" s="0" t="inlineStr">
        <is>
          <t>NEOX Светильники LED ДВО - Призма производство, упаковка</t>
        </is>
      </c>
      <c r="D21" s="0" t="n">
        <v>4690612038179</v>
      </c>
      <c r="E21" s="0" t="inlineStr">
        <is>
          <t>http://darion-svet.com/web/binary/image?model=product.product&amp;id=24162&amp;field=image</t>
        </is>
      </c>
      <c r="F21" s="0" t="n">
        <v>2</v>
      </c>
      <c r="G21" s="0" t="inlineStr">
        <is>
          <t>Китай</t>
        </is>
      </c>
      <c r="H21" s="0" t="inlineStr">
        <is>
          <t>NEOX</t>
        </is>
      </c>
      <c r="I21" s="0" t="inlineStr">
        <is>
          <t>встраиваемый в Армстронг; накладной; подвесной</t>
        </is>
      </c>
      <c r="J21" s="0" t="inlineStr">
        <is>
          <t>общественные помещения</t>
        </is>
      </c>
      <c r="K21" s="0" t="inlineStr">
        <is>
          <t>LED</t>
        </is>
      </c>
      <c r="M21" s="0" t="n">
        <v>36</v>
      </c>
      <c r="O21" s="0" t="inlineStr">
        <is>
          <t>SMD</t>
        </is>
      </c>
      <c r="P21" s="0" t="n">
        <v>4020</v>
      </c>
      <c r="Q21" s="0" t="n">
        <v>6500</v>
      </c>
      <c r="R21" s="0" t="n">
        <v>80</v>
      </c>
      <c r="S21" s="0" t="n">
        <v>40</v>
      </c>
      <c r="T21" s="0" t="inlineStr">
        <is>
          <t>Д</t>
        </is>
      </c>
      <c r="U21" s="0" t="inlineStr">
        <is>
          <t>30 000 ч.</t>
        </is>
      </c>
      <c r="V21" s="0" t="n">
        <v>595</v>
      </c>
      <c r="W21" s="0" t="n">
        <v>595</v>
      </c>
      <c r="X21" s="0" t="n">
        <v>19</v>
      </c>
      <c r="AB21" s="0" t="n">
        <v>1.14</v>
      </c>
      <c r="AD21" s="0" t="inlineStr">
        <is>
          <t>сталь</t>
        </is>
      </c>
      <c r="AE21" s="0" t="inlineStr">
        <is>
          <t>ABS пластик</t>
        </is>
      </c>
      <c r="AG21" s="0" t="inlineStr">
        <is>
          <t>призматический рассеиватель</t>
        </is>
      </c>
      <c r="AH21" s="0" t="inlineStr">
        <is>
          <t>Универсальные панели ДВО-02 от ТМ NEOX предназначены для основного и дополнительного освещения коммерческих помещений различного назначения: офисов, торговых залов, административных зданий, мест общественного питания. Могут устанавливаться разными способами: встраиваемый монтаж в потолки типа «Армстронг», накладным способом к поверхности потолка или стены при помощи имеющихся в металлическом корпусе отверстий, а также подвешиваться к потолку при помощи комплекта подвесов (актуально в случае необходимости увеличить освещенность при высоких потолках). • СВЕТООТДАЧА БОЛЕЕ 100Лм/Вт • ОТСУТСТВИЕ ПУЛЬСАЦИИ • ЗАЩИТА ОТ СКАЧКОВ НАПРЯЖЕНИЯ • ДВА ТИПА РАССЕИВАТЕЛЯ: ПРИЗМА И ОПАЛ • ЦВЕТОВАЯ ТЕМПЕРАТУРА 4000К, 6500К</t>
        </is>
      </c>
      <c r="AJ21" s="0" t="inlineStr">
        <is>
          <t>A</t>
        </is>
      </c>
      <c r="AK21" s="0" t="n">
        <v>0.9</v>
      </c>
      <c r="AL21" s="0" t="n">
        <v>5</v>
      </c>
      <c r="AM21" s="0" t="n">
        <v>0.18</v>
      </c>
      <c r="AN21" s="0" t="n">
        <v>220</v>
      </c>
      <c r="AO21" s="0" t="n">
        <v>240</v>
      </c>
      <c r="AP21" s="0" t="n">
        <v>1</v>
      </c>
      <c r="AQ21" s="0" t="n">
        <v>55</v>
      </c>
      <c r="AR21" s="0" t="inlineStr">
        <is>
          <t>УХЛ4</t>
        </is>
      </c>
      <c r="AS21" s="0" t="inlineStr">
        <is>
          <t>Картон</t>
        </is>
      </c>
      <c r="AT21" s="0" t="inlineStr">
        <is>
          <t>Да</t>
        </is>
      </c>
      <c r="AU21" s="0" t="n">
        <v>0.00673</v>
      </c>
      <c r="AV21" s="0" t="n">
        <v>1.28</v>
      </c>
      <c r="AW21" s="0" t="n">
        <v>1</v>
      </c>
      <c r="BA21" s="0" t="n">
        <v>0.00673</v>
      </c>
      <c r="BB21" s="0" t="n">
        <v>1.28</v>
      </c>
      <c r="BC21" s="0" t="inlineStr">
        <is>
          <t>4690612038179-1</t>
        </is>
      </c>
      <c r="BE21" s="0" t="inlineStr">
        <is>
          <t>http://darion-svet.com/shop/product/4690612038179-1-dvo-02-3665-prizma-36vt-230v-6500k-4020lm-110lmvt-595h595h19-neox-v-individualnoj-upakovke</t>
        </is>
      </c>
      <c r="BI21" s="0" t="n">
        <v>2</v>
      </c>
      <c r="BJ21" s="0" t="n">
        <v>431</v>
      </c>
    </row>
    <row r="22">
      <c r="A22" s="0" t="inlineStr">
        <is>
          <t>4690612038179-2</t>
        </is>
      </c>
      <c r="B22" s="0" t="inlineStr">
        <is>
          <t>Панель светодиодная универсальная ДВО-02 3665-ПРИЗМА 36Вт 230В 6500К 4020Лм 110Лм/Вт 595х595х19 NEOX (2 шт в упак.)</t>
        </is>
      </c>
      <c r="C22" s="0" t="inlineStr">
        <is>
          <t>NEOX Светильники LED ДВО - Призма производство, упаковка</t>
        </is>
      </c>
      <c r="D22" s="0" t="n">
        <v>4690612038179</v>
      </c>
      <c r="E22" s="0" t="inlineStr">
        <is>
          <t>http://darion-svet.com/web/binary/image?model=product.product&amp;id=25876&amp;field=image</t>
        </is>
      </c>
      <c r="F22" s="0" t="n">
        <v>2</v>
      </c>
      <c r="G22" s="0" t="inlineStr">
        <is>
          <t>Китай</t>
        </is>
      </c>
      <c r="H22" s="0" t="inlineStr">
        <is>
          <t>NEOX</t>
        </is>
      </c>
      <c r="I22" s="0" t="inlineStr">
        <is>
          <t>встраиваемый в Армстронг; накладной; подвесной</t>
        </is>
      </c>
      <c r="K22" s="0" t="inlineStr">
        <is>
          <t>LED</t>
        </is>
      </c>
      <c r="M22" s="0" t="n">
        <v>36</v>
      </c>
      <c r="O22" s="0" t="inlineStr">
        <is>
          <t>SMD</t>
        </is>
      </c>
      <c r="P22" s="0" t="n">
        <v>4020</v>
      </c>
      <c r="Q22" s="0" t="n">
        <v>6500</v>
      </c>
      <c r="R22" s="0" t="n">
        <v>80</v>
      </c>
      <c r="S22" s="0" t="n">
        <v>40</v>
      </c>
      <c r="T22" s="0" t="inlineStr">
        <is>
          <t>Д</t>
        </is>
      </c>
      <c r="U22" s="0" t="inlineStr">
        <is>
          <t>30 000 ч.</t>
        </is>
      </c>
      <c r="V22" s="0" t="n">
        <v>595</v>
      </c>
      <c r="W22" s="0" t="n">
        <v>595</v>
      </c>
      <c r="X22" s="0" t="n">
        <v>19</v>
      </c>
      <c r="AB22" s="0" t="n">
        <v>1.14</v>
      </c>
      <c r="AD22" s="0" t="inlineStr">
        <is>
          <t>сталь</t>
        </is>
      </c>
      <c r="AE22" s="0" t="inlineStr">
        <is>
          <t>ABS пластик</t>
        </is>
      </c>
      <c r="AG22" s="0" t="inlineStr">
        <is>
          <t>призматический рассеиватель</t>
        </is>
      </c>
      <c r="AJ22" s="0" t="inlineStr">
        <is>
          <t>A</t>
        </is>
      </c>
      <c r="AK22" s="0" t="n">
        <v>0.9</v>
      </c>
      <c r="AL22" s="0" t="n">
        <v>5</v>
      </c>
      <c r="AN22" s="0" t="n">
        <v>220</v>
      </c>
      <c r="AO22" s="0" t="n">
        <v>240</v>
      </c>
      <c r="AP22" s="0" t="n">
        <v>1</v>
      </c>
      <c r="AQ22" s="0" t="n">
        <v>55</v>
      </c>
      <c r="AR22" s="0" t="inlineStr">
        <is>
          <t>УХЛ4</t>
        </is>
      </c>
      <c r="AS22" s="0" t="inlineStr">
        <is>
          <t>Картон</t>
        </is>
      </c>
      <c r="AT22" s="0" t="inlineStr">
        <is>
          <t>Да</t>
        </is>
      </c>
      <c r="AV22" s="0" t="n">
        <v>1.29</v>
      </c>
      <c r="AW22" s="0" t="n">
        <v>2</v>
      </c>
      <c r="AX22" s="0" t="n">
        <v>610</v>
      </c>
      <c r="AY22" s="0" t="n">
        <v>610</v>
      </c>
      <c r="AZ22" s="0" t="n">
        <v>50</v>
      </c>
      <c r="BB22" s="0" t="n">
        <v>2.58</v>
      </c>
      <c r="BE22" s="0" t="inlineStr">
        <is>
          <t>http://darion-svet.com/shop/product/4690612038179-2-dvo-02-3665-prizma-36vt-230v-6500k-4020lm-110lmvt-595h595h19-neox-2-shtuki-v-upakovke</t>
        </is>
      </c>
      <c r="BI22" s="0" t="n">
        <v>6</v>
      </c>
      <c r="BJ22" s="0" t="n">
        <v>758</v>
      </c>
    </row>
    <row r="23">
      <c r="A23" s="0" t="inlineStr">
        <is>
          <t>4690612039206-1</t>
        </is>
      </c>
      <c r="B23" s="0" t="inlineStr">
        <is>
          <t>Панель светодиодная универсальная ДВО-02 7265-ПРИЗМА 72Вт 230В 6500К 6120Лм 595х595х19 NEOX (в индивид. упак.)</t>
        </is>
      </c>
      <c r="C23" s="0" t="inlineStr">
        <is>
          <t>NEOX Светильники LED ДВО - Призма производство, упаковка</t>
        </is>
      </c>
      <c r="D23" s="0" t="n">
        <v>4690612039206</v>
      </c>
      <c r="E23" s="0" t="inlineStr">
        <is>
          <t>http://darion-svet.com/web/binary/image?model=product.product&amp;id=24184&amp;field=image</t>
        </is>
      </c>
      <c r="F23" s="0" t="n">
        <v>2</v>
      </c>
      <c r="G23" s="0" t="inlineStr">
        <is>
          <t>Китай</t>
        </is>
      </c>
      <c r="H23" s="0" t="inlineStr">
        <is>
          <t>NEOX</t>
        </is>
      </c>
      <c r="I23" s="0" t="inlineStr">
        <is>
          <t>встраиваемый в Армстронг; накладной; подвесной</t>
        </is>
      </c>
      <c r="J23" s="0" t="inlineStr">
        <is>
          <t>общественные помещения</t>
        </is>
      </c>
      <c r="K23" s="0" t="inlineStr">
        <is>
          <t>LED</t>
        </is>
      </c>
      <c r="M23" s="0" t="n">
        <v>72</v>
      </c>
      <c r="O23" s="0" t="inlineStr">
        <is>
          <t>SMD</t>
        </is>
      </c>
      <c r="P23" s="0" t="n">
        <v>6120</v>
      </c>
      <c r="Q23" s="0" t="n">
        <v>6500</v>
      </c>
      <c r="R23" s="0" t="n">
        <v>80</v>
      </c>
      <c r="S23" s="0" t="n">
        <v>40</v>
      </c>
      <c r="T23" s="0" t="inlineStr">
        <is>
          <t>Д</t>
        </is>
      </c>
      <c r="U23" s="0" t="n">
        <v>30000</v>
      </c>
      <c r="V23" s="0" t="n">
        <v>595</v>
      </c>
      <c r="W23" s="0" t="n">
        <v>595</v>
      </c>
      <c r="X23" s="0" t="n">
        <v>19</v>
      </c>
      <c r="AB23" s="0" t="n">
        <v>1.105</v>
      </c>
      <c r="AD23" s="0" t="inlineStr">
        <is>
          <t>сталь</t>
        </is>
      </c>
      <c r="AE23" s="0" t="inlineStr">
        <is>
          <t>полимерный материал</t>
        </is>
      </c>
      <c r="AG23" s="0" t="inlineStr">
        <is>
          <t>призматический рассеиватель</t>
        </is>
      </c>
      <c r="AH23" s="0" t="inlineStr">
        <is>
          <t>Универсальные панели ДВО-02 от ТМ NEOX предназначены для основного и дополнительного освещения коммерческих помещений различного назначения: офисов, торговых залов, административных зданий, мест общественного питания. Могут устанавливаться разными способами: встраиваемый монтаж в потолки типа «Армстронг», накладным способом к поверхности потолка или стены при помощи имеющихся в металлическом корпусе отверстий, а также подвешиваться к потолку при помощи комплекта подвесов (актуально в случае необходимости увеличить освещенность при высоких потолках). • СВЕТООТДАЧА БОЛЕЕ 100Лм/Вт • ОТСУТСТВИЕ ПУЛЬСАЦИИ • ЗАЩИТА ОТ СКАЧКОВ НАПРЯЖЕНИЯ • ДВА ТИПА РАССЕИВАТЕЛЯ: ПРИЗМА И ОПАЛ • ЦВЕТОВАЯ ТЕМПЕРАТУРА 4000К, 6500К</t>
        </is>
      </c>
      <c r="AI23" s="0" t="inlineStr">
        <is>
          <t>LED-driver</t>
        </is>
      </c>
      <c r="AJ23" s="0" t="inlineStr">
        <is>
          <t>A</t>
        </is>
      </c>
      <c r="AK23" s="0" t="n">
        <v>0.9</v>
      </c>
      <c r="AL23" s="0" t="n">
        <v>5</v>
      </c>
      <c r="AM23" s="0" t="n">
        <v>0.35</v>
      </c>
      <c r="AN23" s="0" t="n">
        <v>170</v>
      </c>
      <c r="AO23" s="0" t="n">
        <v>265</v>
      </c>
      <c r="AP23" s="0" t="n">
        <v>1</v>
      </c>
      <c r="AQ23" s="0" t="n">
        <v>55</v>
      </c>
      <c r="AR23" s="0" t="inlineStr">
        <is>
          <t>УХЛ4</t>
        </is>
      </c>
      <c r="AS23" s="0" t="inlineStr">
        <is>
          <t>Без упаковки</t>
        </is>
      </c>
      <c r="AU23" s="0" t="n">
        <v>0.00673</v>
      </c>
      <c r="AV23" s="0" t="n">
        <v>1.265</v>
      </c>
      <c r="AW23" s="0" t="n">
        <v>1</v>
      </c>
      <c r="BA23" s="0" t="n">
        <v>0.00673</v>
      </c>
      <c r="BB23" s="0" t="n">
        <v>1.265</v>
      </c>
      <c r="BC23" s="0" t="inlineStr">
        <is>
          <t>4690612039206-1</t>
        </is>
      </c>
      <c r="BI23" s="0" t="n">
        <v>0</v>
      </c>
      <c r="BJ23" s="0" t="n">
        <v>0</v>
      </c>
    </row>
    <row r="24">
      <c r="A24" s="0" t="inlineStr">
        <is>
          <t>4690612042329-1</t>
        </is>
      </c>
      <c r="B24" s="0" t="inlineStr">
        <is>
          <t>Панель светодиодная универсальная ДВО-01 3665-ПРИЗМА 36Вт 230В 6500K 3600Лм 180х1195х19мм NEOX (в индивидуальной упаковке)</t>
        </is>
      </c>
      <c r="C24" s="0" t="inlineStr">
        <is>
          <t>NEOX Светильники LED ДВО - Призма производство, упаковка</t>
        </is>
      </c>
      <c r="D24" s="0" t="n">
        <v>4690612042329</v>
      </c>
      <c r="E24" s="0" t="inlineStr">
        <is>
          <t>http://darion-svet.com/web/binary/image?model=product.product&amp;id=25836&amp;field=image</t>
        </is>
      </c>
      <c r="F24" s="0" t="n">
        <v>2</v>
      </c>
      <c r="G24" s="0" t="inlineStr">
        <is>
          <t>Китай</t>
        </is>
      </c>
      <c r="H24" s="0" t="inlineStr">
        <is>
          <t>NEOX</t>
        </is>
      </c>
      <c r="I24" s="0" t="inlineStr">
        <is>
          <t>встраиваемый в Армстронг; накладной; подвесной</t>
        </is>
      </c>
      <c r="K24" s="0" t="inlineStr">
        <is>
          <t>LED</t>
        </is>
      </c>
      <c r="M24" s="0" t="n">
        <v>36</v>
      </c>
      <c r="O24" s="0" t="inlineStr">
        <is>
          <t>SMD</t>
        </is>
      </c>
      <c r="P24" s="0" t="n">
        <v>3600</v>
      </c>
      <c r="Q24" s="0" t="n">
        <v>6500</v>
      </c>
      <c r="R24" s="0" t="n">
        <v>80</v>
      </c>
      <c r="S24" s="0" t="n">
        <v>40</v>
      </c>
      <c r="T24" s="0" t="inlineStr">
        <is>
          <t>Д</t>
        </is>
      </c>
      <c r="U24" s="0" t="inlineStr">
        <is>
          <t>30 000 ч.</t>
        </is>
      </c>
      <c r="V24" s="0" t="n">
        <v>1200</v>
      </c>
      <c r="W24" s="0" t="n">
        <v>180</v>
      </c>
      <c r="X24" s="0" t="n">
        <v>19</v>
      </c>
      <c r="AB24" s="0" t="n">
        <v>1.21</v>
      </c>
      <c r="AD24" s="0" t="inlineStr">
        <is>
          <t>сталь</t>
        </is>
      </c>
      <c r="AE24" s="0" t="inlineStr">
        <is>
          <t>ABS пластик</t>
        </is>
      </c>
      <c r="AG24" s="0" t="inlineStr">
        <is>
          <t>призматический рассеиватель</t>
        </is>
      </c>
      <c r="AJ24" s="0" t="inlineStr">
        <is>
          <t>A</t>
        </is>
      </c>
      <c r="AK24" s="0" t="n">
        <v>0.9</v>
      </c>
      <c r="AL24" s="0" t="n">
        <v>5</v>
      </c>
      <c r="AN24" s="0" t="n">
        <v>220</v>
      </c>
      <c r="AO24" s="0" t="n">
        <v>240</v>
      </c>
      <c r="AP24" s="0" t="n">
        <v>1</v>
      </c>
      <c r="AQ24" s="0" t="n">
        <v>55</v>
      </c>
      <c r="AR24" s="0" t="inlineStr">
        <is>
          <t>УХЛ4</t>
        </is>
      </c>
      <c r="AS24" s="0" t="inlineStr">
        <is>
          <t>Картон</t>
        </is>
      </c>
      <c r="AT24" s="0" t="inlineStr">
        <is>
          <t>Да</t>
        </is>
      </c>
      <c r="AW24" s="0" t="n">
        <v>1</v>
      </c>
      <c r="BE24" s="0" t="inlineStr">
        <is>
          <t>http://darion-svet.com/shop/product/4690612042329-1-dvo-01-3665-prizma-36vt-230v-6500k-3600lm-180h1195h19mm-neox-v-individualnoj-upakovke</t>
        </is>
      </c>
      <c r="BI24" s="0" t="n">
        <v>15</v>
      </c>
      <c r="BJ24" s="0" t="n">
        <v>443</v>
      </c>
    </row>
    <row r="25">
      <c r="A25" s="0" t="inlineStr">
        <is>
          <t>4690612042329-2</t>
        </is>
      </c>
      <c r="B25" s="0" t="inlineStr">
        <is>
          <t>Панель светодиодная универсальная ДВО-01 3665-ПРИЗМА 36Вт 230В 6500K 3600Лм 180х1195х19мм NEOX (2 штуки в упаковке)</t>
        </is>
      </c>
      <c r="C25" s="0" t="inlineStr">
        <is>
          <t>NEOX Светильники LED ДВО - Призма производство, упаковка</t>
        </is>
      </c>
      <c r="D25" s="0" t="n">
        <v>4690612042329</v>
      </c>
      <c r="F25" s="0" t="n">
        <v>2</v>
      </c>
      <c r="G25" s="0" t="inlineStr">
        <is>
          <t>Китай</t>
        </is>
      </c>
      <c r="H25" s="0" t="inlineStr">
        <is>
          <t>NEOX</t>
        </is>
      </c>
      <c r="I25" s="0" t="inlineStr">
        <is>
          <t>встраиваемый в Армстронг; накладной; подвесной</t>
        </is>
      </c>
      <c r="K25" s="0" t="inlineStr">
        <is>
          <t>LED</t>
        </is>
      </c>
      <c r="M25" s="0" t="n">
        <v>36</v>
      </c>
      <c r="O25" s="0" t="inlineStr">
        <is>
          <t>SMD</t>
        </is>
      </c>
      <c r="P25" s="0" t="n">
        <v>3600</v>
      </c>
      <c r="Q25" s="0" t="n">
        <v>6500</v>
      </c>
      <c r="R25" s="0" t="n">
        <v>80</v>
      </c>
      <c r="S25" s="0" t="n">
        <v>40</v>
      </c>
      <c r="T25" s="0" t="inlineStr">
        <is>
          <t>Д</t>
        </is>
      </c>
      <c r="U25" s="0" t="inlineStr">
        <is>
          <t>30 000 ч.</t>
        </is>
      </c>
      <c r="V25" s="0" t="n">
        <v>1200</v>
      </c>
      <c r="W25" s="0" t="n">
        <v>180</v>
      </c>
      <c r="X25" s="0" t="n">
        <v>19</v>
      </c>
      <c r="AB25" s="0" t="n">
        <v>1.21</v>
      </c>
      <c r="AD25" s="0" t="inlineStr">
        <is>
          <t>сталь</t>
        </is>
      </c>
      <c r="AE25" s="0" t="inlineStr">
        <is>
          <t>ABS пластик</t>
        </is>
      </c>
      <c r="AG25" s="0" t="inlineStr">
        <is>
          <t>призматический рассеиватель</t>
        </is>
      </c>
      <c r="AJ25" s="0" t="inlineStr">
        <is>
          <t>A</t>
        </is>
      </c>
      <c r="AK25" s="0" t="n">
        <v>0.9</v>
      </c>
      <c r="AL25" s="0" t="n">
        <v>5</v>
      </c>
      <c r="AN25" s="0" t="n">
        <v>220</v>
      </c>
      <c r="AO25" s="0" t="n">
        <v>240</v>
      </c>
      <c r="AP25" s="0" t="n">
        <v>1</v>
      </c>
      <c r="AQ25" s="0" t="n">
        <v>55</v>
      </c>
      <c r="AR25" s="0" t="inlineStr">
        <is>
          <t>УХЛ4</t>
        </is>
      </c>
      <c r="AS25" s="0" t="inlineStr">
        <is>
          <t>Картон</t>
        </is>
      </c>
      <c r="AT25" s="0" t="inlineStr">
        <is>
          <t>Да</t>
        </is>
      </c>
      <c r="AV25" s="0" t="n">
        <v>1.255</v>
      </c>
      <c r="AW25" s="0" t="n">
        <v>2</v>
      </c>
      <c r="AX25" s="0" t="n">
        <v>1210</v>
      </c>
      <c r="AY25" s="0" t="n">
        <v>190</v>
      </c>
      <c r="AZ25" s="0" t="n">
        <v>50</v>
      </c>
      <c r="BB25" s="0" t="n">
        <v>2.51</v>
      </c>
      <c r="BI25" s="0" t="n">
        <v>0</v>
      </c>
      <c r="BJ25" s="0" t="n">
        <v>0</v>
      </c>
    </row>
    <row r="26">
      <c r="A26" s="0" t="inlineStr">
        <is>
          <t>4690612042701-1</t>
        </is>
      </c>
      <c r="B26" s="0" t="inlineStr">
        <is>
          <t>Панель светодиодная универсальная ДВО-01 3640-ПРИЗМА 36 Вт 230В 4000K 3600Лм 180х1195х19мм NEOX (в индивидуальной упаковке)</t>
        </is>
      </c>
      <c r="C26" s="0" t="inlineStr">
        <is>
          <t>NEOX Светильники LED ДВО - Призма производство, упаковка</t>
        </is>
      </c>
      <c r="D26" s="0" t="n">
        <v>4690612042701</v>
      </c>
      <c r="E26" s="0" t="inlineStr">
        <is>
          <t>http://darion-svet.com/web/binary/image?model=product.product&amp;id=25838&amp;field=image</t>
        </is>
      </c>
      <c r="F26" s="0" t="n">
        <v>2</v>
      </c>
      <c r="G26" s="0" t="inlineStr">
        <is>
          <t>Китай</t>
        </is>
      </c>
      <c r="H26" s="0" t="inlineStr">
        <is>
          <t>NEOX</t>
        </is>
      </c>
      <c r="I26" s="0" t="inlineStr">
        <is>
          <t>встраиваемый в Армстронг; накладной; подвесной</t>
        </is>
      </c>
      <c r="K26" s="0" t="inlineStr">
        <is>
          <t>LED</t>
        </is>
      </c>
      <c r="M26" s="0" t="n">
        <v>36</v>
      </c>
      <c r="O26" s="0" t="inlineStr">
        <is>
          <t>SMD</t>
        </is>
      </c>
      <c r="P26" s="0" t="n">
        <v>3600</v>
      </c>
      <c r="Q26" s="0" t="n">
        <v>4000</v>
      </c>
      <c r="R26" s="0" t="n">
        <v>80</v>
      </c>
      <c r="S26" s="0" t="n">
        <v>40</v>
      </c>
      <c r="T26" s="0" t="inlineStr">
        <is>
          <t>Д</t>
        </is>
      </c>
      <c r="U26" s="0" t="inlineStr">
        <is>
          <t>30 000 ч.</t>
        </is>
      </c>
      <c r="V26" s="0" t="n">
        <v>1200</v>
      </c>
      <c r="W26" s="0" t="n">
        <v>180</v>
      </c>
      <c r="X26" s="0" t="n">
        <v>19</v>
      </c>
      <c r="AB26" s="0" t="n">
        <v>1.21</v>
      </c>
      <c r="AD26" s="0" t="inlineStr">
        <is>
          <t>сталь</t>
        </is>
      </c>
      <c r="AE26" s="0" t="inlineStr">
        <is>
          <t>ABS пластик</t>
        </is>
      </c>
      <c r="AG26" s="0" t="inlineStr">
        <is>
          <t>призматический рассеиватель</t>
        </is>
      </c>
      <c r="AJ26" s="0" t="inlineStr">
        <is>
          <t>A</t>
        </is>
      </c>
      <c r="AK26" s="0" t="n">
        <v>0.9</v>
      </c>
      <c r="AL26" s="0" t="n">
        <v>5</v>
      </c>
      <c r="AN26" s="0" t="n">
        <v>220</v>
      </c>
      <c r="AO26" s="0" t="n">
        <v>240</v>
      </c>
      <c r="AP26" s="0" t="n">
        <v>1</v>
      </c>
      <c r="AQ26" s="0" t="n">
        <v>55</v>
      </c>
      <c r="AR26" s="0" t="inlineStr">
        <is>
          <t>УХЛ4</t>
        </is>
      </c>
      <c r="AS26" s="0" t="inlineStr">
        <is>
          <t>Картон</t>
        </is>
      </c>
      <c r="AT26" s="0" t="inlineStr">
        <is>
          <t>Да</t>
        </is>
      </c>
      <c r="AW26" s="0" t="n">
        <v>1</v>
      </c>
      <c r="BE26" s="0" t="inlineStr">
        <is>
          <t>http://darion-svet.com/shop/product/4690612042701-1-dvo-01-3640-prizma-36-vt-230v-4000k-3600lm-180h1195h19mm-neox-v-individualnoj-upakovke</t>
        </is>
      </c>
      <c r="BI26" s="0" t="n">
        <v>19</v>
      </c>
      <c r="BJ26" s="0" t="n">
        <v>417</v>
      </c>
    </row>
    <row r="27">
      <c r="A27" s="0" t="inlineStr">
        <is>
          <t>4690612042701-2</t>
        </is>
      </c>
      <c r="B27" s="0" t="inlineStr">
        <is>
          <t>Панель светодиодная универсальная ДВО-01 3640-ПРИЗМА 36 Вт 230В 4000K 3600Лм 180х1195х19мм NEOX (2 штуки в упаковке)</t>
        </is>
      </c>
      <c r="C27" s="0" t="inlineStr">
        <is>
          <t>NEOX Светильники LED ДВО - Призма производство, упаковка</t>
        </is>
      </c>
      <c r="D27" s="0" t="n">
        <v>4690612042701</v>
      </c>
      <c r="E27" s="0" t="inlineStr">
        <is>
          <t>http://darion-svet.com/web/binary/image?model=product.product&amp;id=25881&amp;field=image</t>
        </is>
      </c>
      <c r="F27" s="0" t="n">
        <v>2</v>
      </c>
      <c r="G27" s="0" t="inlineStr">
        <is>
          <t>Китай</t>
        </is>
      </c>
      <c r="H27" s="0" t="inlineStr">
        <is>
          <t>NEOX</t>
        </is>
      </c>
      <c r="I27" s="0" t="inlineStr">
        <is>
          <t>встраиваемый в Армстронг; накладной; подвесной</t>
        </is>
      </c>
      <c r="K27" s="0" t="inlineStr">
        <is>
          <t>LED</t>
        </is>
      </c>
      <c r="M27" s="0" t="n">
        <v>36</v>
      </c>
      <c r="O27" s="0" t="inlineStr">
        <is>
          <t>SMD</t>
        </is>
      </c>
      <c r="P27" s="0" t="n">
        <v>3600</v>
      </c>
      <c r="Q27" s="0" t="n">
        <v>4000</v>
      </c>
      <c r="R27" s="0" t="n">
        <v>80</v>
      </c>
      <c r="S27" s="0" t="n">
        <v>40</v>
      </c>
      <c r="T27" s="0" t="inlineStr">
        <is>
          <t>Д</t>
        </is>
      </c>
      <c r="U27" s="0" t="inlineStr">
        <is>
          <t>30 000 ч.</t>
        </is>
      </c>
      <c r="V27" s="0" t="n">
        <v>1200</v>
      </c>
      <c r="W27" s="0" t="n">
        <v>180</v>
      </c>
      <c r="X27" s="0" t="n">
        <v>19</v>
      </c>
      <c r="AB27" s="0" t="n">
        <v>1.21</v>
      </c>
      <c r="AD27" s="0" t="inlineStr">
        <is>
          <t>сталь</t>
        </is>
      </c>
      <c r="AE27" s="0" t="inlineStr">
        <is>
          <t>ABS пластик</t>
        </is>
      </c>
      <c r="AG27" s="0" t="inlineStr">
        <is>
          <t>призматический рассеиватель</t>
        </is>
      </c>
      <c r="AJ27" s="0" t="inlineStr">
        <is>
          <t>A</t>
        </is>
      </c>
      <c r="AK27" s="0" t="n">
        <v>0.9</v>
      </c>
      <c r="AL27" s="0" t="n">
        <v>5</v>
      </c>
      <c r="AN27" s="0" t="n">
        <v>220</v>
      </c>
      <c r="AO27" s="0" t="n">
        <v>240</v>
      </c>
      <c r="AP27" s="0" t="n">
        <v>1</v>
      </c>
      <c r="AQ27" s="0" t="n">
        <v>55</v>
      </c>
      <c r="AR27" s="0" t="inlineStr">
        <is>
          <t>УХЛ4</t>
        </is>
      </c>
      <c r="AS27" s="0" t="inlineStr">
        <is>
          <t>Картон</t>
        </is>
      </c>
      <c r="AT27" s="0" t="inlineStr">
        <is>
          <t>Да</t>
        </is>
      </c>
      <c r="AV27" s="0" t="n">
        <v>1.35</v>
      </c>
      <c r="AW27" s="0" t="n">
        <v>2</v>
      </c>
      <c r="AX27" s="0" t="n">
        <v>1210</v>
      </c>
      <c r="AY27" s="0" t="n">
        <v>190</v>
      </c>
      <c r="AZ27" s="0" t="n">
        <v>50</v>
      </c>
      <c r="BB27" s="0" t="n">
        <v>2.7</v>
      </c>
      <c r="BE27" s="0" t="inlineStr">
        <is>
          <t>http://darion-svet.com/shop/product/4690612042701-2-dvo-01-3640-prizma-36-vt-230v-4000k-3600lm-180h1195h19mm-neox-2-shtuki-v-upakovke</t>
        </is>
      </c>
      <c r="BI27" s="0" t="n">
        <v>7</v>
      </c>
      <c r="BJ27" s="0" t="n">
        <v>918</v>
      </c>
    </row>
    <row r="28">
      <c r="A28" s="0" t="inlineStr">
        <is>
          <t>4690612052984-1</t>
        </is>
      </c>
      <c r="B28" s="0" t="inlineStr">
        <is>
          <t>Панель светодиодная универсальная ДВО-02 7565-ПРИЗМА 75Вт 6500К 595х595х19 NEOX (в индивид. упак.)</t>
        </is>
      </c>
      <c r="C28" s="0" t="inlineStr">
        <is>
          <t>NEOX Светильники LED ДВО - Призма производство, упаковка</t>
        </is>
      </c>
      <c r="D28" s="0" t="n">
        <v>4690612052984</v>
      </c>
      <c r="E28" s="0" t="inlineStr">
        <is>
          <t>http://darion-svet.com/web/binary/image?model=product.product&amp;id=25840&amp;field=image</t>
        </is>
      </c>
      <c r="F28" s="0" t="n">
        <v>2</v>
      </c>
      <c r="G28" s="0" t="inlineStr">
        <is>
          <t>Китай</t>
        </is>
      </c>
      <c r="H28" s="0" t="inlineStr">
        <is>
          <t>NEOX</t>
        </is>
      </c>
      <c r="I28" s="0" t="inlineStr">
        <is>
          <t>встраиваемый в Армстронг; накладной; подвесной</t>
        </is>
      </c>
      <c r="K28" s="0" t="inlineStr">
        <is>
          <t>LED</t>
        </is>
      </c>
      <c r="M28" s="0" t="n">
        <v>75</v>
      </c>
      <c r="O28" s="0" t="inlineStr">
        <is>
          <t>SMD</t>
        </is>
      </c>
      <c r="P28" s="0" t="n">
        <v>3600</v>
      </c>
      <c r="Q28" s="0" t="n">
        <v>6500</v>
      </c>
      <c r="R28" s="0" t="n">
        <v>80</v>
      </c>
      <c r="S28" s="0" t="n">
        <v>40</v>
      </c>
      <c r="T28" s="0" t="inlineStr">
        <is>
          <t>Д</t>
        </is>
      </c>
      <c r="U28" s="0" t="inlineStr">
        <is>
          <t>30 000 ч.</t>
        </is>
      </c>
      <c r="V28" s="0" t="n">
        <v>595</v>
      </c>
      <c r="W28" s="0" t="n">
        <v>595</v>
      </c>
      <c r="X28" s="0" t="n">
        <v>19</v>
      </c>
      <c r="AB28" s="0" t="n">
        <v>1.2</v>
      </c>
      <c r="AD28" s="0" t="inlineStr">
        <is>
          <t>сталь</t>
        </is>
      </c>
      <c r="AE28" s="0" t="inlineStr">
        <is>
          <t>ABS пластик</t>
        </is>
      </c>
      <c r="AG28" s="0" t="inlineStr">
        <is>
          <t>призматический рассеиватель</t>
        </is>
      </c>
      <c r="AJ28" s="0" t="inlineStr">
        <is>
          <t>A</t>
        </is>
      </c>
      <c r="AK28" s="0" t="n">
        <v>0.9</v>
      </c>
      <c r="AL28" s="0" t="n">
        <v>5</v>
      </c>
      <c r="AN28" s="0" t="n">
        <v>220</v>
      </c>
      <c r="AO28" s="0" t="n">
        <v>240</v>
      </c>
      <c r="AP28" s="0" t="n">
        <v>1</v>
      </c>
      <c r="AQ28" s="0" t="n">
        <v>55</v>
      </c>
      <c r="AR28" s="0" t="inlineStr">
        <is>
          <t>УХЛ4</t>
        </is>
      </c>
      <c r="AS28" s="0" t="inlineStr">
        <is>
          <t>Картон</t>
        </is>
      </c>
      <c r="AT28" s="0" t="inlineStr">
        <is>
          <t>Да</t>
        </is>
      </c>
      <c r="AW28" s="0" t="n">
        <v>1</v>
      </c>
      <c r="BI28" s="0" t="n">
        <v>2</v>
      </c>
      <c r="BJ28" s="0" t="n">
        <v>688</v>
      </c>
    </row>
    <row r="29">
      <c r="A29" s="0" t="inlineStr">
        <is>
          <t>4690612052984-2</t>
        </is>
      </c>
      <c r="B29" s="0" t="inlineStr">
        <is>
          <t>Панель светодиодная универсальная ДВО-02 7565-ПРИЗМА 75Вт 6500К 595х595х19 NEOX (2 шт в упак.)</t>
        </is>
      </c>
      <c r="C29" s="0" t="inlineStr">
        <is>
          <t>NEOX Светильники LED ДВО - Призма производство, упаковка</t>
        </is>
      </c>
      <c r="D29" s="0" t="n">
        <v>4690612052984</v>
      </c>
      <c r="F29" s="0" t="n">
        <v>2</v>
      </c>
      <c r="G29" s="0" t="inlineStr">
        <is>
          <t>Китай</t>
        </is>
      </c>
      <c r="H29" s="0" t="inlineStr">
        <is>
          <t>NEOX</t>
        </is>
      </c>
      <c r="I29" s="0" t="inlineStr">
        <is>
          <t>встраиваемый в Армстронг; накладной; подвесной</t>
        </is>
      </c>
      <c r="K29" s="0" t="inlineStr">
        <is>
          <t>LED</t>
        </is>
      </c>
      <c r="M29" s="0" t="n">
        <v>75</v>
      </c>
      <c r="O29" s="0" t="inlineStr">
        <is>
          <t>SMD</t>
        </is>
      </c>
      <c r="P29" s="0" t="n">
        <v>3600</v>
      </c>
      <c r="Q29" s="0" t="n">
        <v>6500</v>
      </c>
      <c r="R29" s="0" t="n">
        <v>80</v>
      </c>
      <c r="S29" s="0" t="n">
        <v>40</v>
      </c>
      <c r="T29" s="0" t="inlineStr">
        <is>
          <t>Д</t>
        </is>
      </c>
      <c r="U29" s="0" t="inlineStr">
        <is>
          <t>30 000 ч.</t>
        </is>
      </c>
      <c r="V29" s="0" t="n">
        <v>595</v>
      </c>
      <c r="W29" s="0" t="n">
        <v>595</v>
      </c>
      <c r="X29" s="0" t="n">
        <v>19</v>
      </c>
      <c r="AB29" s="0" t="n">
        <v>1.2</v>
      </c>
      <c r="AD29" s="0" t="inlineStr">
        <is>
          <t>сталь</t>
        </is>
      </c>
      <c r="AE29" s="0" t="inlineStr">
        <is>
          <t>ABS пластик</t>
        </is>
      </c>
      <c r="AG29" s="0" t="inlineStr">
        <is>
          <t>призматический рассеиватель</t>
        </is>
      </c>
      <c r="AJ29" s="0" t="inlineStr">
        <is>
          <t>A</t>
        </is>
      </c>
      <c r="AK29" s="0" t="n">
        <v>0.9</v>
      </c>
      <c r="AL29" s="0" t="n">
        <v>5</v>
      </c>
      <c r="AN29" s="0" t="n">
        <v>220</v>
      </c>
      <c r="AO29" s="0" t="n">
        <v>240</v>
      </c>
      <c r="AP29" s="0" t="n">
        <v>1</v>
      </c>
      <c r="AQ29" s="0" t="n">
        <v>55</v>
      </c>
      <c r="AR29" s="0" t="inlineStr">
        <is>
          <t>УХЛ4</t>
        </is>
      </c>
      <c r="AS29" s="0" t="inlineStr">
        <is>
          <t>Картон</t>
        </is>
      </c>
      <c r="AT29" s="0" t="inlineStr">
        <is>
          <t>Да</t>
        </is>
      </c>
      <c r="AV29" s="0" t="n">
        <v>1.35</v>
      </c>
      <c r="AW29" s="0" t="n">
        <v>2</v>
      </c>
      <c r="AX29" s="0" t="n">
        <v>610</v>
      </c>
      <c r="AY29" s="0" t="n">
        <v>610</v>
      </c>
      <c r="AZ29" s="0" t="n">
        <v>50</v>
      </c>
      <c r="BB29" s="0" t="n">
        <v>2.7</v>
      </c>
      <c r="BI29" s="0" t="n">
        <v>1</v>
      </c>
      <c r="BJ29" s="0" t="n">
        <v>1290</v>
      </c>
    </row>
    <row r="30">
      <c r="A30" s="0" t="inlineStr">
        <is>
          <t>4690612052991-1</t>
        </is>
      </c>
      <c r="B30" s="0" t="inlineStr">
        <is>
          <t>Панель светодиодная универсальная ДВО-01 4565-ПРИЗМА 45Вт 6500К 180х1195х19 NEOX (в индивидуальной упаковке)</t>
        </is>
      </c>
      <c r="C30" s="0" t="inlineStr">
        <is>
          <t>NEOX Светильники LED ДВО - Призма производство, упаковка</t>
        </is>
      </c>
      <c r="D30" s="0" t="n">
        <v>4690612052991</v>
      </c>
      <c r="E30" s="0" t="inlineStr">
        <is>
          <t>http://darion-svet.com/web/binary/image?model=product.product&amp;id=25841&amp;field=image</t>
        </is>
      </c>
      <c r="F30" s="0" t="n">
        <v>2</v>
      </c>
      <c r="G30" s="0" t="inlineStr">
        <is>
          <t>Китай</t>
        </is>
      </c>
      <c r="H30" s="0" t="inlineStr">
        <is>
          <t>NEOX</t>
        </is>
      </c>
      <c r="I30" s="0" t="inlineStr">
        <is>
          <t>встраиваемый в Армстронг; накладной; подвесной</t>
        </is>
      </c>
      <c r="K30" s="0" t="inlineStr">
        <is>
          <t>LED</t>
        </is>
      </c>
      <c r="M30" s="0" t="n">
        <v>45</v>
      </c>
      <c r="O30" s="0" t="inlineStr">
        <is>
          <t>SMD</t>
        </is>
      </c>
      <c r="P30" s="0" t="n">
        <v>4500</v>
      </c>
      <c r="Q30" s="0" t="n">
        <v>6500</v>
      </c>
      <c r="R30" s="0" t="n">
        <v>80</v>
      </c>
      <c r="S30" s="0" t="n">
        <v>40</v>
      </c>
      <c r="T30" s="0" t="inlineStr">
        <is>
          <t>Д</t>
        </is>
      </c>
      <c r="U30" s="0" t="inlineStr">
        <is>
          <t>30 000 ч.</t>
        </is>
      </c>
      <c r="V30" s="0" t="n">
        <v>1200</v>
      </c>
      <c r="W30" s="0" t="n">
        <v>180</v>
      </c>
      <c r="X30" s="0" t="n">
        <v>19</v>
      </c>
      <c r="AB30" s="0" t="n">
        <v>1.21</v>
      </c>
      <c r="AD30" s="0" t="inlineStr">
        <is>
          <t>сталь</t>
        </is>
      </c>
      <c r="AE30" s="0" t="inlineStr">
        <is>
          <t>ABS пластик</t>
        </is>
      </c>
      <c r="AG30" s="0" t="inlineStr">
        <is>
          <t>призматический рассеиватель</t>
        </is>
      </c>
      <c r="AJ30" s="0" t="inlineStr">
        <is>
          <t>A</t>
        </is>
      </c>
      <c r="AK30" s="0" t="n">
        <v>0.9</v>
      </c>
      <c r="AL30" s="0" t="n">
        <v>5</v>
      </c>
      <c r="AN30" s="0" t="n">
        <v>220</v>
      </c>
      <c r="AO30" s="0" t="n">
        <v>240</v>
      </c>
      <c r="AP30" s="0" t="n">
        <v>1</v>
      </c>
      <c r="AQ30" s="0" t="n">
        <v>55</v>
      </c>
      <c r="AR30" s="0" t="inlineStr">
        <is>
          <t>УХЛ4</t>
        </is>
      </c>
      <c r="AS30" s="0" t="inlineStr">
        <is>
          <t>Картон</t>
        </is>
      </c>
      <c r="AT30" s="0" t="inlineStr">
        <is>
          <t>Да</t>
        </is>
      </c>
      <c r="AW30" s="0" t="n">
        <v>1</v>
      </c>
      <c r="BE30" s="0" t="inlineStr">
        <is>
          <t>http://darion-svet.com/shop/product/4690612052991-1-dvo-01-4565-prizma-45vt-6500k-180h1195h19-neox-v-individualnoj-upakovke</t>
        </is>
      </c>
      <c r="BI30" s="0" t="n">
        <v>23</v>
      </c>
      <c r="BJ30" s="0" t="n">
        <v>559</v>
      </c>
    </row>
    <row r="31">
      <c r="A31" s="0" t="inlineStr">
        <is>
          <t>4690612052991-2</t>
        </is>
      </c>
      <c r="B31" s="0" t="inlineStr">
        <is>
          <t>Панель светодиодная универсальная ДВО-01 4565-ПРИЗМА 45Вт 6500К 180х1195х19 NEOX (2 штуки в упаковке)</t>
        </is>
      </c>
      <c r="C31" s="0" t="inlineStr">
        <is>
          <t>NEOX Светильники LED ДВО - Призма производство, упаковка</t>
        </is>
      </c>
      <c r="D31" s="0" t="n">
        <v>4690612052991</v>
      </c>
      <c r="E31" s="0" t="inlineStr">
        <is>
          <t>http://darion-svet.com/web/binary/image?model=product.product&amp;id=25884&amp;field=image</t>
        </is>
      </c>
      <c r="F31" s="0" t="n">
        <v>2</v>
      </c>
      <c r="G31" s="0" t="inlineStr">
        <is>
          <t>Китай</t>
        </is>
      </c>
      <c r="H31" s="0" t="inlineStr">
        <is>
          <t>NEOX</t>
        </is>
      </c>
      <c r="I31" s="0" t="inlineStr">
        <is>
          <t>встраиваемый в Армстронг; накладной; подвесной</t>
        </is>
      </c>
      <c r="K31" s="0" t="inlineStr">
        <is>
          <t>LED</t>
        </is>
      </c>
      <c r="M31" s="0" t="n">
        <v>45</v>
      </c>
      <c r="O31" s="0" t="inlineStr">
        <is>
          <t>SMD</t>
        </is>
      </c>
      <c r="P31" s="0" t="n">
        <v>4500</v>
      </c>
      <c r="Q31" s="0" t="n">
        <v>6500</v>
      </c>
      <c r="R31" s="0" t="n">
        <v>80</v>
      </c>
      <c r="S31" s="0" t="n">
        <v>40</v>
      </c>
      <c r="T31" s="0" t="inlineStr">
        <is>
          <t>Д</t>
        </is>
      </c>
      <c r="U31" s="0" t="inlineStr">
        <is>
          <t>30 000 ч.</t>
        </is>
      </c>
      <c r="V31" s="0" t="n">
        <v>1200</v>
      </c>
      <c r="W31" s="0" t="n">
        <v>180</v>
      </c>
      <c r="X31" s="0" t="n">
        <v>19</v>
      </c>
      <c r="AB31" s="0" t="n">
        <v>1.21</v>
      </c>
      <c r="AD31" s="0" t="inlineStr">
        <is>
          <t>сталь</t>
        </is>
      </c>
      <c r="AE31" s="0" t="inlineStr">
        <is>
          <t>ABS пластик</t>
        </is>
      </c>
      <c r="AG31" s="0" t="inlineStr">
        <is>
          <t>призматический рассеиватель</t>
        </is>
      </c>
      <c r="AJ31" s="0" t="inlineStr">
        <is>
          <t>A</t>
        </is>
      </c>
      <c r="AK31" s="0" t="n">
        <v>0.9</v>
      </c>
      <c r="AL31" s="0" t="n">
        <v>5</v>
      </c>
      <c r="AN31" s="0" t="n">
        <v>220</v>
      </c>
      <c r="AO31" s="0" t="n">
        <v>240</v>
      </c>
      <c r="AP31" s="0" t="n">
        <v>1</v>
      </c>
      <c r="AQ31" s="0" t="n">
        <v>55</v>
      </c>
      <c r="AR31" s="0" t="inlineStr">
        <is>
          <t>УХЛ4</t>
        </is>
      </c>
      <c r="AS31" s="0" t="inlineStr">
        <is>
          <t>Картон</t>
        </is>
      </c>
      <c r="AT31" s="0" t="inlineStr">
        <is>
          <t>Да</t>
        </is>
      </c>
      <c r="AV31" s="0" t="n">
        <v>1.35</v>
      </c>
      <c r="AW31" s="0" t="n">
        <v>2</v>
      </c>
      <c r="AX31" s="0" t="n">
        <v>1210</v>
      </c>
      <c r="AY31" s="0" t="n">
        <v>190</v>
      </c>
      <c r="AZ31" s="0" t="n">
        <v>50</v>
      </c>
      <c r="BB31" s="0" t="n">
        <v>2.7</v>
      </c>
      <c r="BE31" s="0" t="inlineStr">
        <is>
          <t>http://darion-svet.com/shop/product/4690612052991-2-dvo-01-4565-prizma-45vt-6500k-180h1195h19-neox-2-shtuki-v-upakovke</t>
        </is>
      </c>
      <c r="BI31" s="0" t="n">
        <v>9</v>
      </c>
      <c r="BJ31" s="0" t="n">
        <v>1086</v>
      </c>
    </row>
    <row r="32">
      <c r="A32" s="0" t="inlineStr">
        <is>
          <t>4690612053004-1</t>
        </is>
      </c>
      <c r="B32" s="0" t="inlineStr">
        <is>
          <t>Панель светодиодная универсальная ДВО-01 7565-ПРИЗМА 75Вт 6500К 180х1195х19 NEOX (в индивидуальной упаковке)</t>
        </is>
      </c>
      <c r="C32" s="0" t="inlineStr">
        <is>
          <t>NEOX Светильники LED ДВО - Призма производство, упаковка</t>
        </is>
      </c>
      <c r="D32" s="0" t="n">
        <v>4690612053004</v>
      </c>
      <c r="F32" s="0" t="n">
        <v>2</v>
      </c>
      <c r="G32" s="0" t="inlineStr">
        <is>
          <t>Китай</t>
        </is>
      </c>
      <c r="H32" s="0" t="inlineStr">
        <is>
          <t>NEOX</t>
        </is>
      </c>
      <c r="I32" s="0" t="inlineStr">
        <is>
          <t>встраиваемый в Армстронг; накладной; подвесной</t>
        </is>
      </c>
      <c r="K32" s="0" t="inlineStr">
        <is>
          <t>LED</t>
        </is>
      </c>
      <c r="M32" s="0" t="n">
        <v>75</v>
      </c>
      <c r="O32" s="0" t="inlineStr">
        <is>
          <t>SMD</t>
        </is>
      </c>
      <c r="P32" s="0" t="n">
        <v>6300</v>
      </c>
      <c r="Q32" s="0" t="n">
        <v>6500</v>
      </c>
      <c r="R32" s="0" t="n">
        <v>80</v>
      </c>
      <c r="S32" s="0" t="n">
        <v>40</v>
      </c>
      <c r="T32" s="0" t="inlineStr">
        <is>
          <t>Д</t>
        </is>
      </c>
      <c r="U32" s="0" t="inlineStr">
        <is>
          <t>30 000 ч.</t>
        </is>
      </c>
      <c r="V32" s="0" t="n">
        <v>1200</v>
      </c>
      <c r="W32" s="0" t="n">
        <v>180</v>
      </c>
      <c r="X32" s="0" t="n">
        <v>19</v>
      </c>
      <c r="AB32" s="0" t="n">
        <v>1.23</v>
      </c>
      <c r="AD32" s="0" t="inlineStr">
        <is>
          <t>сталь</t>
        </is>
      </c>
      <c r="AE32" s="0" t="inlineStr">
        <is>
          <t>ABS пластик</t>
        </is>
      </c>
      <c r="AG32" s="0" t="inlineStr">
        <is>
          <t>призматический рассеиватель</t>
        </is>
      </c>
      <c r="AJ32" s="0" t="inlineStr">
        <is>
          <t>A</t>
        </is>
      </c>
      <c r="AK32" s="0" t="n">
        <v>0.9</v>
      </c>
      <c r="AL32" s="0" t="n">
        <v>5</v>
      </c>
      <c r="AN32" s="0" t="n">
        <v>220</v>
      </c>
      <c r="AO32" s="0" t="n">
        <v>240</v>
      </c>
      <c r="AP32" s="0" t="n">
        <v>1</v>
      </c>
      <c r="AQ32" s="0" t="n">
        <v>55</v>
      </c>
      <c r="AR32" s="0" t="inlineStr">
        <is>
          <t>УХЛ4</t>
        </is>
      </c>
      <c r="AS32" s="0" t="inlineStr">
        <is>
          <t>Картон</t>
        </is>
      </c>
      <c r="AT32" s="0" t="inlineStr">
        <is>
          <t>Да</t>
        </is>
      </c>
      <c r="AW32" s="0" t="n">
        <v>1</v>
      </c>
      <c r="BI32" s="0" t="n">
        <v>18</v>
      </c>
      <c r="BJ32" s="0" t="n">
        <v>629</v>
      </c>
    </row>
    <row r="33">
      <c r="A33" s="0" t="inlineStr">
        <is>
          <t>4690612053004-2</t>
        </is>
      </c>
      <c r="B33" s="0" t="inlineStr">
        <is>
          <t>Панель светодиодная универсальная ДВО-01 7565-ПРИЗМА 75Вт 6500К 180х1195х19 NEOX (2 штуки в упаковке)</t>
        </is>
      </c>
      <c r="C33" s="0" t="inlineStr">
        <is>
          <t>NEOX Светильники LED ДВО - Призма производство, упаковка</t>
        </is>
      </c>
      <c r="D33" s="0" t="n">
        <v>4690612053004</v>
      </c>
      <c r="F33" s="0" t="n">
        <v>2</v>
      </c>
      <c r="G33" s="0" t="inlineStr">
        <is>
          <t>Китай</t>
        </is>
      </c>
      <c r="H33" s="0" t="inlineStr">
        <is>
          <t>NEOX</t>
        </is>
      </c>
      <c r="I33" s="0" t="inlineStr">
        <is>
          <t>встраиваемый в Армстронг; накладной; подвесной</t>
        </is>
      </c>
      <c r="K33" s="0" t="inlineStr">
        <is>
          <t>LED</t>
        </is>
      </c>
      <c r="M33" s="0" t="n">
        <v>75</v>
      </c>
      <c r="O33" s="0" t="inlineStr">
        <is>
          <t>SMD</t>
        </is>
      </c>
      <c r="P33" s="0" t="n">
        <v>6300</v>
      </c>
      <c r="Q33" s="0" t="n">
        <v>6500</v>
      </c>
      <c r="R33" s="0" t="n">
        <v>80</v>
      </c>
      <c r="S33" s="0" t="n">
        <v>40</v>
      </c>
      <c r="T33" s="0" t="inlineStr">
        <is>
          <t>Д</t>
        </is>
      </c>
      <c r="U33" s="0" t="inlineStr">
        <is>
          <t>30 000 ч.</t>
        </is>
      </c>
      <c r="V33" s="0" t="n">
        <v>1200</v>
      </c>
      <c r="W33" s="0" t="n">
        <v>180</v>
      </c>
      <c r="X33" s="0" t="n">
        <v>19</v>
      </c>
      <c r="AB33" s="0" t="n">
        <v>1.23</v>
      </c>
      <c r="AD33" s="0" t="inlineStr">
        <is>
          <t>сталь</t>
        </is>
      </c>
      <c r="AE33" s="0" t="inlineStr">
        <is>
          <t>ABS пластик</t>
        </is>
      </c>
      <c r="AG33" s="0" t="inlineStr">
        <is>
          <t>призматический рассеиватель</t>
        </is>
      </c>
      <c r="AJ33" s="0" t="inlineStr">
        <is>
          <t>A</t>
        </is>
      </c>
      <c r="AK33" s="0" t="n">
        <v>0.9</v>
      </c>
      <c r="AL33" s="0" t="n">
        <v>5</v>
      </c>
      <c r="AN33" s="0" t="n">
        <v>220</v>
      </c>
      <c r="AO33" s="0" t="n">
        <v>240</v>
      </c>
      <c r="AP33" s="0" t="n">
        <v>1</v>
      </c>
      <c r="AQ33" s="0" t="n">
        <v>55</v>
      </c>
      <c r="AR33" s="0" t="inlineStr">
        <is>
          <t>УХЛ4</t>
        </is>
      </c>
      <c r="AS33" s="0" t="inlineStr">
        <is>
          <t>Картон</t>
        </is>
      </c>
      <c r="AT33" s="0" t="inlineStr">
        <is>
          <t>Да</t>
        </is>
      </c>
      <c r="AV33" s="0" t="n">
        <v>1.36</v>
      </c>
      <c r="AW33" s="0" t="n">
        <v>2</v>
      </c>
      <c r="AX33" s="0" t="n">
        <v>1210</v>
      </c>
      <c r="AY33" s="0" t="n">
        <v>190</v>
      </c>
      <c r="AZ33" s="0" t="n">
        <v>50</v>
      </c>
      <c r="BB33" s="0" t="n">
        <v>2.72</v>
      </c>
      <c r="BI33" s="0" t="n">
        <v>8</v>
      </c>
      <c r="BJ33" s="0" t="n">
        <v>1220</v>
      </c>
    </row>
    <row r="34">
      <c r="A34" s="0" t="inlineStr">
        <is>
          <t>4690612053011-1</t>
        </is>
      </c>
      <c r="B34" s="0" t="inlineStr">
        <is>
          <t>Панель светодиодная универсальная ДВО-02-EMERGENCY 3640-ПРИЗМА 36Вт 4000К 595х595х19 NEOX без БАП-10W90 (в индивид. упак.)</t>
        </is>
      </c>
      <c r="C34" s="0" t="inlineStr">
        <is>
          <t>NEOX Светильники LED ДВО - Призма производство, упаковка</t>
        </is>
      </c>
      <c r="D34" s="0" t="n">
        <v>4690612053011</v>
      </c>
      <c r="E34" s="0" t="inlineStr">
        <is>
          <t>http://darion-svet.com/web/binary/image?model=product.product&amp;id=25843&amp;field=image</t>
        </is>
      </c>
      <c r="F34" s="0" t="n">
        <v>2</v>
      </c>
      <c r="G34" s="0" t="inlineStr">
        <is>
          <t>Китай</t>
        </is>
      </c>
      <c r="H34" s="0" t="inlineStr">
        <is>
          <t>NEOX</t>
        </is>
      </c>
      <c r="I34" s="0" t="inlineStr">
        <is>
          <t>встраиваемый в Армстронг; накладной; подвесной</t>
        </is>
      </c>
      <c r="K34" s="0" t="inlineStr">
        <is>
          <t>LED</t>
        </is>
      </c>
      <c r="M34" s="0" t="n">
        <v>36</v>
      </c>
      <c r="O34" s="0" t="inlineStr">
        <is>
          <t>SMD</t>
        </is>
      </c>
      <c r="P34" s="0" t="n">
        <v>3800</v>
      </c>
      <c r="Q34" s="0" t="n">
        <v>4000</v>
      </c>
      <c r="R34" s="0" t="n">
        <v>80</v>
      </c>
      <c r="S34" s="0" t="n">
        <v>40</v>
      </c>
      <c r="T34" s="0" t="inlineStr">
        <is>
          <t>Д</t>
        </is>
      </c>
      <c r="U34" s="0" t="inlineStr">
        <is>
          <t>30 000 ч.</t>
        </is>
      </c>
      <c r="V34" s="0" t="n">
        <v>595</v>
      </c>
      <c r="W34" s="0" t="n">
        <v>595</v>
      </c>
      <c r="X34" s="0" t="n">
        <v>19</v>
      </c>
      <c r="AB34" s="0" t="n">
        <v>1.14</v>
      </c>
      <c r="AD34" s="0" t="inlineStr">
        <is>
          <t>сталь</t>
        </is>
      </c>
      <c r="AE34" s="0" t="inlineStr">
        <is>
          <t>ABS пластик</t>
        </is>
      </c>
      <c r="AG34" s="0" t="inlineStr">
        <is>
          <t>призматический рассеиватель</t>
        </is>
      </c>
      <c r="AJ34" s="0" t="inlineStr">
        <is>
          <t>A</t>
        </is>
      </c>
      <c r="AK34" s="0" t="n">
        <v>0.9</v>
      </c>
      <c r="AL34" s="0" t="n">
        <v>5</v>
      </c>
      <c r="AN34" s="0" t="n">
        <v>220</v>
      </c>
      <c r="AO34" s="0" t="n">
        <v>240</v>
      </c>
      <c r="AP34" s="0" t="n">
        <v>1</v>
      </c>
      <c r="AQ34" s="0" t="n">
        <v>55</v>
      </c>
      <c r="AR34" s="0" t="inlineStr">
        <is>
          <t>УХЛ4</t>
        </is>
      </c>
      <c r="AS34" s="0" t="inlineStr">
        <is>
          <t>Картон</t>
        </is>
      </c>
      <c r="AT34" s="0" t="inlineStr">
        <is>
          <t>Да</t>
        </is>
      </c>
      <c r="AW34" s="0" t="n">
        <v>1</v>
      </c>
      <c r="BE34" s="0" t="inlineStr">
        <is>
          <t>http://darion-svet.com/shop/product/4690612053011-1-dvo-02-emergency-3640-prizma-36vt-4000k-595h595h19-neox-bez-bap-10w90-v-indiv-up</t>
        </is>
      </c>
      <c r="BI34" s="0" t="n">
        <v>5</v>
      </c>
      <c r="BJ34" s="0" t="n">
        <v>456</v>
      </c>
    </row>
    <row r="35">
      <c r="A35" s="0" t="inlineStr">
        <is>
          <t>4690612053011-2</t>
        </is>
      </c>
      <c r="B35" s="0" t="inlineStr">
        <is>
          <t>Панель светодиодная универсальная ДВО-02-EMERGENCY 3640-ПРИЗМА 36Вт 4000К 595х595х19 NEOX без БАП-10W90 (2 шт в упак.)</t>
        </is>
      </c>
      <c r="C35" s="0" t="inlineStr">
        <is>
          <t>NEOX Светильники LED ДВО - Призма производство, упаковка</t>
        </is>
      </c>
      <c r="D35" s="0" t="n">
        <v>4690612053011</v>
      </c>
      <c r="F35" s="0" t="n">
        <v>2</v>
      </c>
      <c r="G35" s="0" t="inlineStr">
        <is>
          <t>Китай</t>
        </is>
      </c>
      <c r="H35" s="0" t="inlineStr">
        <is>
          <t>NEOX</t>
        </is>
      </c>
      <c r="I35" s="0" t="inlineStr">
        <is>
          <t>встраиваемый в Армстронг; накладной; подвесной</t>
        </is>
      </c>
      <c r="K35" s="0" t="inlineStr">
        <is>
          <t>LED</t>
        </is>
      </c>
      <c r="M35" s="0" t="n">
        <v>36</v>
      </c>
      <c r="O35" s="0" t="inlineStr">
        <is>
          <t>SMD</t>
        </is>
      </c>
      <c r="P35" s="0" t="n">
        <v>3800</v>
      </c>
      <c r="Q35" s="0" t="n">
        <v>4000</v>
      </c>
      <c r="R35" s="0" t="n">
        <v>80</v>
      </c>
      <c r="S35" s="0" t="n">
        <v>40</v>
      </c>
      <c r="T35" s="0" t="inlineStr">
        <is>
          <t>Д</t>
        </is>
      </c>
      <c r="U35" s="0" t="inlineStr">
        <is>
          <t>30 000 ч.</t>
        </is>
      </c>
      <c r="V35" s="0" t="n">
        <v>595</v>
      </c>
      <c r="W35" s="0" t="n">
        <v>595</v>
      </c>
      <c r="X35" s="0" t="n">
        <v>19</v>
      </c>
      <c r="AB35" s="0" t="n">
        <v>1.14</v>
      </c>
      <c r="AD35" s="0" t="inlineStr">
        <is>
          <t>сталь</t>
        </is>
      </c>
      <c r="AE35" s="0" t="inlineStr">
        <is>
          <t>ABS пластик</t>
        </is>
      </c>
      <c r="AG35" s="0" t="inlineStr">
        <is>
          <t>призматический рассеиватель</t>
        </is>
      </c>
      <c r="AJ35" s="0" t="inlineStr">
        <is>
          <t>A</t>
        </is>
      </c>
      <c r="AK35" s="0" t="n">
        <v>0.9</v>
      </c>
      <c r="AL35" s="0" t="n">
        <v>5</v>
      </c>
      <c r="AN35" s="0" t="n">
        <v>220</v>
      </c>
      <c r="AO35" s="0" t="n">
        <v>240</v>
      </c>
      <c r="AP35" s="0" t="n">
        <v>1</v>
      </c>
      <c r="AQ35" s="0" t="n">
        <v>55</v>
      </c>
      <c r="AR35" s="0" t="inlineStr">
        <is>
          <t>УХЛ4</t>
        </is>
      </c>
      <c r="AS35" s="0" t="inlineStr">
        <is>
          <t>Картон</t>
        </is>
      </c>
      <c r="AT35" s="0" t="inlineStr">
        <is>
          <t>Да</t>
        </is>
      </c>
      <c r="AV35" s="0" t="n">
        <v>1.38</v>
      </c>
      <c r="AW35" s="0" t="n">
        <v>2</v>
      </c>
      <c r="AX35" s="0" t="n">
        <v>610</v>
      </c>
      <c r="AY35" s="0" t="n">
        <v>610</v>
      </c>
      <c r="AZ35" s="0" t="n">
        <v>50</v>
      </c>
      <c r="BB35" s="0" t="n">
        <v>2.76</v>
      </c>
      <c r="BI35" s="0" t="n">
        <v>4</v>
      </c>
      <c r="BJ35" s="0" t="n">
        <v>880</v>
      </c>
    </row>
    <row r="36">
      <c r="A36" s="0" t="inlineStr">
        <is>
          <t>4690612053028-1</t>
        </is>
      </c>
      <c r="B36" s="0" t="inlineStr">
        <is>
          <t>Панель светодиодная универсальная ДВО-02-EMERGENCY 3665-ПРИЗМА 36Вт 6500К 595х595х19 NEOX без БАП-10W90 (в индивид. упак.)</t>
        </is>
      </c>
      <c r="C36" s="0" t="inlineStr">
        <is>
          <t>NEOX Светильники LED ДВО - Призма производство, упаковка</t>
        </is>
      </c>
      <c r="D36" s="0" t="n">
        <v>4690612053028</v>
      </c>
      <c r="F36" s="0" t="n">
        <v>2</v>
      </c>
      <c r="G36" s="0" t="inlineStr">
        <is>
          <t>Китай</t>
        </is>
      </c>
      <c r="H36" s="0" t="inlineStr">
        <is>
          <t>NEOX</t>
        </is>
      </c>
      <c r="I36" s="0" t="inlineStr">
        <is>
          <t>встраиваемый в Армстронг; накладной; подвесной</t>
        </is>
      </c>
      <c r="K36" s="0" t="inlineStr">
        <is>
          <t>LED</t>
        </is>
      </c>
      <c r="M36" s="0" t="n">
        <v>36</v>
      </c>
      <c r="O36" s="0" t="inlineStr">
        <is>
          <t>SMD</t>
        </is>
      </c>
      <c r="P36" s="0" t="n">
        <v>3800</v>
      </c>
      <c r="Q36" s="0" t="n">
        <v>6500</v>
      </c>
      <c r="R36" s="0" t="n">
        <v>80</v>
      </c>
      <c r="S36" s="0" t="n">
        <v>40</v>
      </c>
      <c r="T36" s="0" t="inlineStr">
        <is>
          <t>Д</t>
        </is>
      </c>
      <c r="U36" s="0" t="inlineStr">
        <is>
          <t>30 000 ч.</t>
        </is>
      </c>
      <c r="V36" s="0" t="n">
        <v>595</v>
      </c>
      <c r="W36" s="0" t="n">
        <v>595</v>
      </c>
      <c r="X36" s="0" t="n">
        <v>19</v>
      </c>
      <c r="AB36" s="0" t="n">
        <v>1.14</v>
      </c>
      <c r="AD36" s="0" t="inlineStr">
        <is>
          <t>сталь</t>
        </is>
      </c>
      <c r="AE36" s="0" t="inlineStr">
        <is>
          <t>ABS пластик</t>
        </is>
      </c>
      <c r="AG36" s="0" t="inlineStr">
        <is>
          <t>призматический рассеиватель</t>
        </is>
      </c>
      <c r="AJ36" s="0" t="inlineStr">
        <is>
          <t>A</t>
        </is>
      </c>
      <c r="AK36" s="0" t="n">
        <v>0.9</v>
      </c>
      <c r="AL36" s="0" t="n">
        <v>5</v>
      </c>
      <c r="AN36" s="0" t="n">
        <v>220</v>
      </c>
      <c r="AO36" s="0" t="n">
        <v>240</v>
      </c>
      <c r="AP36" s="0" t="n">
        <v>1</v>
      </c>
      <c r="AQ36" s="0" t="n">
        <v>55</v>
      </c>
      <c r="AR36" s="0" t="inlineStr">
        <is>
          <t>УХЛ4</t>
        </is>
      </c>
      <c r="AS36" s="0" t="inlineStr">
        <is>
          <t>Картон</t>
        </is>
      </c>
      <c r="AT36" s="0" t="inlineStr">
        <is>
          <t>Да</t>
        </is>
      </c>
      <c r="AW36" s="0" t="n">
        <v>1</v>
      </c>
      <c r="BI36" s="0" t="n">
        <v>2</v>
      </c>
      <c r="BJ36" s="0" t="n">
        <v>486</v>
      </c>
    </row>
    <row r="37">
      <c r="A37" s="0" t="inlineStr">
        <is>
          <t>4690612053028-2</t>
        </is>
      </c>
      <c r="B37" s="0" t="inlineStr">
        <is>
          <t>Панель светодиодная универсальная ДВО-02-EMERGENCY 3665-ПРИЗМА 36Вт 6500К 595х595х19 NEOX без БАП-10W90 (2 шт в упак.)</t>
        </is>
      </c>
      <c r="C37" s="0" t="inlineStr">
        <is>
          <t>NEOX Светильники LED ДВО - Призма производство, упаковка</t>
        </is>
      </c>
      <c r="D37" s="0" t="n">
        <v>4690612053028</v>
      </c>
      <c r="E37" s="0" t="inlineStr">
        <is>
          <t>http://darion-svet.com/web/binary/image?model=product.product&amp;id=25887&amp;field=image</t>
        </is>
      </c>
      <c r="F37" s="0" t="n">
        <v>2</v>
      </c>
      <c r="G37" s="0" t="inlineStr">
        <is>
          <t>Китай</t>
        </is>
      </c>
      <c r="H37" s="0" t="inlineStr">
        <is>
          <t>NEOX</t>
        </is>
      </c>
      <c r="I37" s="0" t="inlineStr">
        <is>
          <t>встраиваемый в Армстронг; накладной; подвесной</t>
        </is>
      </c>
      <c r="K37" s="0" t="inlineStr">
        <is>
          <t>LED</t>
        </is>
      </c>
      <c r="M37" s="0" t="n">
        <v>36</v>
      </c>
      <c r="O37" s="0" t="inlineStr">
        <is>
          <t>SMD</t>
        </is>
      </c>
      <c r="P37" s="0" t="n">
        <v>3800</v>
      </c>
      <c r="Q37" s="0" t="n">
        <v>6500</v>
      </c>
      <c r="R37" s="0" t="n">
        <v>80</v>
      </c>
      <c r="S37" s="0" t="n">
        <v>40</v>
      </c>
      <c r="T37" s="0" t="inlineStr">
        <is>
          <t>Д</t>
        </is>
      </c>
      <c r="U37" s="0" t="inlineStr">
        <is>
          <t>30 000 ч.</t>
        </is>
      </c>
      <c r="V37" s="0" t="n">
        <v>595</v>
      </c>
      <c r="W37" s="0" t="n">
        <v>595</v>
      </c>
      <c r="X37" s="0" t="n">
        <v>19</v>
      </c>
      <c r="AB37" s="0" t="n">
        <v>1.14</v>
      </c>
      <c r="AD37" s="0" t="inlineStr">
        <is>
          <t>сталь</t>
        </is>
      </c>
      <c r="AE37" s="0" t="inlineStr">
        <is>
          <t>ABS пластик</t>
        </is>
      </c>
      <c r="AG37" s="0" t="inlineStr">
        <is>
          <t>призматический рассеиватель</t>
        </is>
      </c>
      <c r="AJ37" s="0" t="inlineStr">
        <is>
          <t>A</t>
        </is>
      </c>
      <c r="AK37" s="0" t="n">
        <v>0.9</v>
      </c>
      <c r="AL37" s="0" t="n">
        <v>5</v>
      </c>
      <c r="AN37" s="0" t="n">
        <v>220</v>
      </c>
      <c r="AO37" s="0" t="n">
        <v>240</v>
      </c>
      <c r="AP37" s="0" t="n">
        <v>1</v>
      </c>
      <c r="AQ37" s="0" t="n">
        <v>55</v>
      </c>
      <c r="AR37" s="0" t="inlineStr">
        <is>
          <t>УХЛ4</t>
        </is>
      </c>
      <c r="AS37" s="0" t="inlineStr">
        <is>
          <t>Картон</t>
        </is>
      </c>
      <c r="AT37" s="0" t="inlineStr">
        <is>
          <t>Да</t>
        </is>
      </c>
      <c r="AV37" s="0" t="n">
        <v>1.29</v>
      </c>
      <c r="AW37" s="0" t="n">
        <v>2</v>
      </c>
      <c r="AX37" s="0" t="n">
        <v>610</v>
      </c>
      <c r="AY37" s="0" t="n">
        <v>610</v>
      </c>
      <c r="AZ37" s="0" t="n">
        <v>50</v>
      </c>
      <c r="BB37" s="0" t="n">
        <v>2.58</v>
      </c>
      <c r="BE37" s="0" t="inlineStr">
        <is>
          <t>http://darion-svet.com/shop/product/4690612053028-2-dvo-02-emergency-3665-prizma-36vt-6500k-595h595h19-neox-bez-bap-10w90-2-sht-v-upak</t>
        </is>
      </c>
      <c r="BI37" s="0" t="n">
        <v>3</v>
      </c>
      <c r="BJ37" s="0" t="n">
        <v>964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J13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Основные характеристики</t>
        </is>
      </c>
      <c r="V1" s="0" t="inlineStr">
        <is>
          <t>Габаритные размеры</t>
        </is>
      </c>
      <c r="AD1" s="0" t="inlineStr">
        <is>
          <t>Дополнительные характеристики</t>
        </is>
      </c>
      <c r="AS1" s="0" t="inlineStr">
        <is>
          <t>Упаковка</t>
        </is>
      </c>
      <c r="BI1" s="0" t="n">
        <v>8</v>
      </c>
    </row>
    <row r="2">
      <c r="A2" s="0" t="inlineStr">
        <is>
          <t>Артикул</t>
        </is>
      </c>
      <c r="B2" s="0" t="inlineStr">
        <is>
          <t>Наименование</t>
        </is>
      </c>
      <c r="C2" s="0" t="inlineStr">
        <is>
          <t>Категория продукции</t>
        </is>
      </c>
      <c r="D2" s="0" t="inlineStr">
        <is>
          <t>Штрих-код EAN 13</t>
        </is>
      </c>
      <c r="E2" s="0" t="inlineStr">
        <is>
          <t>Изображение товара</t>
        </is>
      </c>
      <c r="F2" s="0" t="inlineStr">
        <is>
          <t>Гарантия, лет</t>
        </is>
      </c>
      <c r="G2" s="0" t="inlineStr">
        <is>
          <t>Страна производитель</t>
        </is>
      </c>
      <c r="H2" s="0" t="inlineStr">
        <is>
          <t>Торговая марка</t>
        </is>
      </c>
      <c r="I2" s="0" t="inlineStr">
        <is>
          <t>Способ установки</t>
        </is>
      </c>
      <c r="J2" s="0" t="inlineStr">
        <is>
          <t>Область применения</t>
        </is>
      </c>
      <c r="K2" s="0" t="inlineStr">
        <is>
          <t>Тип источника света</t>
        </is>
      </c>
      <c r="L2" s="0" t="inlineStr">
        <is>
          <t>Количество ламп</t>
        </is>
      </c>
      <c r="M2" s="0" t="inlineStr">
        <is>
          <t>Мощность, Вт</t>
        </is>
      </c>
      <c r="N2" s="0" t="inlineStr">
        <is>
          <t>Цоколь</t>
        </is>
      </c>
      <c r="O2" s="0" t="inlineStr">
        <is>
          <t>Тип матрицы LED</t>
        </is>
      </c>
      <c r="P2" s="0" t="inlineStr">
        <is>
          <t>Световой поток, лм</t>
        </is>
      </c>
      <c r="Q2" s="0" t="inlineStr">
        <is>
          <t>Цветовая температура, К</t>
        </is>
      </c>
      <c r="R2" s="0" t="inlineStr">
        <is>
          <t>Индекс цветопередачи, Ra ≥</t>
        </is>
      </c>
      <c r="S2" s="0" t="inlineStr">
        <is>
          <t>Степень защиты IP</t>
        </is>
      </c>
      <c r="T2" s="0" t="inlineStr">
        <is>
          <t>Тип КСС</t>
        </is>
      </c>
      <c r="U2" s="0" t="inlineStr">
        <is>
          <t>Срок службы (не менее)</t>
        </is>
      </c>
      <c r="V2" s="0" t="inlineStr">
        <is>
          <t>A</t>
        </is>
      </c>
      <c r="W2" s="0" t="inlineStr">
        <is>
          <t>B</t>
        </is>
      </c>
      <c r="X2" s="0" t="inlineStr">
        <is>
          <t>C</t>
        </is>
      </c>
      <c r="Y2" s="0" t="inlineStr">
        <is>
          <t>D</t>
        </is>
      </c>
      <c r="Z2" s="0" t="inlineStr">
        <is>
          <t>d</t>
        </is>
      </c>
      <c r="AA2" s="0" t="inlineStr">
        <is>
          <t>H</t>
        </is>
      </c>
      <c r="AB2" s="0" t="inlineStr">
        <is>
          <t>Масса нетто, кг</t>
        </is>
      </c>
      <c r="AC2" s="0" t="inlineStr">
        <is>
          <t>Габаритные размеры (изображение)</t>
        </is>
      </c>
      <c r="AD2" s="0" t="inlineStr">
        <is>
          <t>Материал корпуса</t>
        </is>
      </c>
      <c r="AE2" s="0" t="inlineStr">
        <is>
          <t>Материал рассеивателя</t>
        </is>
      </c>
      <c r="AF2" s="0" t="inlineStr">
        <is>
          <t>Конструкция</t>
        </is>
      </c>
      <c r="AG2" s="0" t="inlineStr">
        <is>
          <t>Оптическая часть</t>
        </is>
      </c>
      <c r="AH2" s="0" t="inlineStr">
        <is>
          <t>Дополнительные характеристики</t>
        </is>
      </c>
      <c r="AI2" s="0" t="inlineStr">
        <is>
          <t>Тип ПРА</t>
        </is>
      </c>
      <c r="AJ2" s="0" t="inlineStr">
        <is>
          <t>Класс по мощности</t>
        </is>
      </c>
      <c r="AK2" s="0" t="inlineStr">
        <is>
          <t>cos φ ≥</t>
        </is>
      </c>
      <c r="AL2" s="0" t="inlineStr">
        <is>
          <t>Коэффициент пульсации светового потока (не более), %</t>
        </is>
      </c>
      <c r="AM2" s="0" t="inlineStr">
        <is>
          <t>Номинальный ток, A</t>
        </is>
      </c>
      <c r="AN2" s="0" t="inlineStr">
        <is>
          <t>Диапазон напряжения питания, В от</t>
        </is>
      </c>
      <c r="AO2" s="0" t="inlineStr">
        <is>
          <t>Диапазон напряжения питания, В до</t>
        </is>
      </c>
      <c r="AP2" s="0" t="inlineStr">
        <is>
          <t>Диапазон температуры окружающей среды, °C от</t>
        </is>
      </c>
      <c r="AQ2" s="0" t="inlineStr">
        <is>
          <t>Диапазон температуры окружающей среды, °C до</t>
        </is>
      </c>
      <c r="AR2" s="0" t="inlineStr">
        <is>
          <t>Климатическое исполнение</t>
        </is>
      </c>
      <c r="AS2" s="0" t="inlineStr">
        <is>
          <t>Тип упаковки</t>
        </is>
      </c>
      <c r="AT2" s="0" t="inlineStr">
        <is>
          <t>Индивидуальная упаковка</t>
        </is>
      </c>
      <c r="AU2" s="0" t="inlineStr">
        <is>
          <t>Объем 1 шт., м³</t>
        </is>
      </c>
      <c r="AV2" s="0" t="inlineStr">
        <is>
          <t>Масса брутто 1 шт., кг</t>
        </is>
      </c>
      <c r="AW2" s="0" t="inlineStr">
        <is>
          <t>Кол-во в упаковке, шт.</t>
        </is>
      </c>
      <c r="AX2" s="0" t="inlineStr">
        <is>
          <t>A уп.</t>
        </is>
      </c>
      <c r="AY2" s="0" t="inlineStr">
        <is>
          <t>B уп.</t>
        </is>
      </c>
      <c r="AZ2" s="0" t="inlineStr">
        <is>
          <t>C уп.</t>
        </is>
      </c>
      <c r="BA2" s="0" t="inlineStr">
        <is>
          <t>Объём упаковки, м³</t>
        </is>
      </c>
      <c r="BB2" s="0" t="inlineStr">
        <is>
          <t>Масса упаковки, кг</t>
        </is>
      </c>
      <c r="BC2" s="0" t="inlineStr">
        <is>
          <t>Штрих код упаковки</t>
        </is>
      </c>
      <c r="BD2" s="0" t="inlineStr">
        <is>
          <t>Доп. изображения</t>
        </is>
      </c>
      <c r="BE2" s="0" t="inlineStr">
        <is>
          <t>Ссылка на товар на сайте</t>
        </is>
      </c>
      <c r="BF2" s="0" t="inlineStr">
        <is>
          <t>Сертификат соответствия</t>
        </is>
      </c>
      <c r="BG2" s="0" t="inlineStr">
        <is>
          <t>Технический паспорт</t>
        </is>
      </c>
      <c r="BH2" s="0" t="inlineStr">
        <is>
          <t>*.ies файл для Dialux</t>
        </is>
      </c>
      <c r="BI2" s="0" t="inlineStr">
        <is>
          <t>Кол-во свободно</t>
        </is>
      </c>
      <c r="BJ2" s="0" t="inlineStr">
        <is>
          <t>Прайс-лист распродажи</t>
        </is>
      </c>
    </row>
    <row r="3">
      <c r="A3" s="0" t="n">
        <v>4690612013213</v>
      </c>
      <c r="B3" s="0" t="inlineStr">
        <is>
          <t>Светильник уличный светодиодный СКУ-02 50Вт 230В 6500К 4500Лм IP65 LLT</t>
        </is>
      </c>
      <c r="C3" s="0" t="inlineStr">
        <is>
          <t>Светильники светодиодные уличные СКУ</t>
        </is>
      </c>
      <c r="G3" s="0" t="inlineStr">
        <is>
          <t>Китай</t>
        </is>
      </c>
      <c r="H3" s="0" t="inlineStr">
        <is>
          <t>LLT</t>
        </is>
      </c>
      <c r="AB3" s="0" t="n">
        <v>1.7</v>
      </c>
      <c r="AS3" s="0" t="inlineStr">
        <is>
          <t>Картон</t>
        </is>
      </c>
      <c r="AT3" s="0" t="inlineStr">
        <is>
          <t>Да</t>
        </is>
      </c>
      <c r="AU3" s="0" t="n">
        <v>0.007</v>
      </c>
      <c r="AV3" s="0" t="n">
        <v>1.7</v>
      </c>
      <c r="AW3" s="0" t="n">
        <v>1</v>
      </c>
      <c r="BA3" s="0" t="n">
        <v>0.007</v>
      </c>
      <c r="BB3" s="0" t="n">
        <v>1.7</v>
      </c>
      <c r="BE3" s="0" t="inlineStr">
        <is>
          <t>http://darion-svet.com/shop/product/4690612013213-sku-02-50vt-230v-6500k-4500lm-ip65-llt</t>
        </is>
      </c>
      <c r="BI3" s="0" t="n">
        <v>0</v>
      </c>
      <c r="BJ3" s="0" t="n">
        <v>0</v>
      </c>
    </row>
    <row r="4">
      <c r="A4" s="0" t="n">
        <v>4690612013220</v>
      </c>
      <c r="B4" s="0" t="inlineStr">
        <is>
          <t>Светильник уличный светодиодный СКУ-02 100Вт 230В 6500К 9000Лм IP65 LLT</t>
        </is>
      </c>
      <c r="C4" s="0" t="inlineStr">
        <is>
          <t>Светильники светодиодные уличные СКУ</t>
        </is>
      </c>
      <c r="G4" s="0" t="inlineStr">
        <is>
          <t>Китай</t>
        </is>
      </c>
      <c r="H4" s="0" t="inlineStr">
        <is>
          <t>LLT</t>
        </is>
      </c>
      <c r="AB4" s="0" t="n">
        <v>5.1</v>
      </c>
      <c r="AS4" s="0" t="inlineStr">
        <is>
          <t>Картон</t>
        </is>
      </c>
      <c r="AT4" s="0" t="inlineStr">
        <is>
          <t>Да</t>
        </is>
      </c>
      <c r="AU4" s="0" t="n">
        <v>0.012</v>
      </c>
      <c r="AV4" s="0" t="n">
        <v>5.1</v>
      </c>
      <c r="AW4" s="0" t="n">
        <v>1</v>
      </c>
      <c r="BA4" s="0" t="n">
        <v>0.012</v>
      </c>
      <c r="BB4" s="0" t="n">
        <v>5.1</v>
      </c>
      <c r="BE4" s="0" t="inlineStr">
        <is>
          <t>http://darion-svet.com/shop/product/4690612013220-sku-02-100vt-230v-6500k-9000lm-ip65-llt</t>
        </is>
      </c>
      <c r="BI4" s="0" t="n">
        <v>0</v>
      </c>
      <c r="BJ4" s="0" t="n">
        <v>0</v>
      </c>
    </row>
    <row r="5">
      <c r="A5" s="0" t="n">
        <v>4690612013237</v>
      </c>
      <c r="B5" s="0" t="inlineStr">
        <is>
          <t>Светильник уличный светодиодный СКУ-02 150Вт 230В 6500К 13000Лм IP65 LLT</t>
        </is>
      </c>
      <c r="C5" s="0" t="inlineStr">
        <is>
          <t>Светильники светодиодные уличные СКУ</t>
        </is>
      </c>
      <c r="G5" s="0" t="inlineStr">
        <is>
          <t>Китай</t>
        </is>
      </c>
      <c r="H5" s="0" t="inlineStr">
        <is>
          <t>LLT</t>
        </is>
      </c>
      <c r="AB5" s="0" t="n">
        <v>6.5</v>
      </c>
      <c r="AS5" s="0" t="inlineStr">
        <is>
          <t>Картон</t>
        </is>
      </c>
      <c r="AT5" s="0" t="inlineStr">
        <is>
          <t>Да</t>
        </is>
      </c>
      <c r="AU5" s="0" t="n">
        <v>0.032</v>
      </c>
      <c r="AV5" s="0" t="n">
        <v>6.5</v>
      </c>
      <c r="AW5" s="0" t="n">
        <v>1</v>
      </c>
      <c r="BA5" s="0" t="n">
        <v>0.032</v>
      </c>
      <c r="BB5" s="0" t="n">
        <v>6.5</v>
      </c>
      <c r="BE5" s="0" t="inlineStr">
        <is>
          <t>http://darion-svet.com/shop/product/4690612013237-sku-02-150vt-230v-6500k-13000lm-ip65-llt</t>
        </is>
      </c>
      <c r="BI5" s="0" t="n">
        <v>0</v>
      </c>
      <c r="BJ5" s="0" t="n">
        <v>0</v>
      </c>
    </row>
    <row r="6">
      <c r="A6" s="0" t="n">
        <v>4690612015323</v>
      </c>
      <c r="B6" s="0" t="inlineStr">
        <is>
          <t>Светильник уличный светодиодный СКУ-02 серии PRO 70Вт 230В 6500К IP65 LLT</t>
        </is>
      </c>
      <c r="C6" s="0" t="inlineStr">
        <is>
          <t>Светильники светодиодные уличные СКУ</t>
        </is>
      </c>
      <c r="D6" s="0" t="n">
        <v>4690612015323</v>
      </c>
      <c r="E6" s="0" t="inlineStr">
        <is>
          <t>http://darion-svet.com/web/binary/image?model=product.product&amp;id=11311&amp;field=image</t>
        </is>
      </c>
      <c r="G6" s="0" t="inlineStr">
        <is>
          <t>Китай</t>
        </is>
      </c>
      <c r="H6" s="0" t="inlineStr">
        <is>
          <t>LLT</t>
        </is>
      </c>
      <c r="I6" s="0" t="inlineStr">
        <is>
          <t>консольный</t>
        </is>
      </c>
      <c r="J6" s="0" t="inlineStr">
        <is>
          <t>улицы (дороги, тротуары); промышленные помещения, склады и цеха</t>
        </is>
      </c>
      <c r="K6" s="0" t="inlineStr">
        <is>
          <t>LED</t>
        </is>
      </c>
      <c r="M6" s="0" t="n">
        <v>70</v>
      </c>
      <c r="O6" s="0" t="inlineStr">
        <is>
          <t>SMD</t>
        </is>
      </c>
      <c r="P6" s="0" t="n">
        <v>6500</v>
      </c>
      <c r="Q6" s="0" t="n">
        <v>6500</v>
      </c>
      <c r="R6" s="0" t="n">
        <v>70</v>
      </c>
      <c r="S6" s="0" t="n">
        <v>65</v>
      </c>
      <c r="T6" s="0" t="inlineStr">
        <is>
          <t>Д</t>
        </is>
      </c>
      <c r="U6" s="0" t="inlineStr">
        <is>
          <t>30 000 часов</t>
        </is>
      </c>
      <c r="V6" s="0" t="n">
        <v>396</v>
      </c>
      <c r="W6" s="0" t="n">
        <v>170</v>
      </c>
      <c r="X6" s="0" t="n">
        <v>88</v>
      </c>
      <c r="AD6" s="0" t="inlineStr">
        <is>
          <t>алюминий</t>
        </is>
      </c>
      <c r="AE6" s="0" t="inlineStr">
        <is>
          <t>поликарбонат</t>
        </is>
      </c>
      <c r="AG6" s="0" t="inlineStr">
        <is>
          <t>прозрачный рассеиватель</t>
        </is>
      </c>
      <c r="AK6" s="0" t="n">
        <v>0.9</v>
      </c>
      <c r="AL6" s="0" t="n">
        <v>5</v>
      </c>
      <c r="AN6" s="0" t="n">
        <v>207</v>
      </c>
      <c r="AO6" s="0" t="n">
        <v>253</v>
      </c>
      <c r="AP6" s="0" t="n">
        <v>-40</v>
      </c>
      <c r="AQ6" s="0" t="n">
        <v>60</v>
      </c>
      <c r="AR6" s="0" t="inlineStr">
        <is>
          <t>УХЛ1</t>
        </is>
      </c>
      <c r="AS6" s="0" t="inlineStr">
        <is>
          <t>Картон</t>
        </is>
      </c>
      <c r="AT6" s="0" t="inlineStr">
        <is>
          <t>Да</t>
        </is>
      </c>
      <c r="AU6" s="0" t="n">
        <v>0.008999999999999999</v>
      </c>
      <c r="AV6" s="0" t="n">
        <v>1.3</v>
      </c>
      <c r="AW6" s="0" t="n">
        <v>1</v>
      </c>
      <c r="BA6" s="0" t="n">
        <v>0.008999999999999999</v>
      </c>
      <c r="BB6" s="0" t="n">
        <v>1.3</v>
      </c>
      <c r="BD6" s="0" t="inlineStr">
        <is>
          <t>http://darion-svet.com/web/binary/saveas_archive?model=product.picture&amp;ids=[1373]&amp;field=image&amp;name_field=name&amp;archive_name=4690612015323_image</t>
        </is>
      </c>
      <c r="BE6" s="0" t="inlineStr">
        <is>
          <t>http://darion-svet.com/shop/product/4690612015323-sku-02-pro-70vt-230v-6500k-ip65-llt</t>
        </is>
      </c>
      <c r="BI6" s="0" t="n">
        <v>0</v>
      </c>
      <c r="BJ6" s="0" t="n">
        <v>0</v>
      </c>
    </row>
    <row r="7">
      <c r="A7" s="0" t="n">
        <v>4690612015330</v>
      </c>
      <c r="B7" s="0" t="inlineStr">
        <is>
          <t>Светильник уличный светодиодный СКУ-02 серии PRO 125Вт 230В 6500К P65 LLT</t>
        </is>
      </c>
      <c r="C7" s="0" t="inlineStr">
        <is>
          <t>Светильники светодиодные уличные СКУ</t>
        </is>
      </c>
      <c r="D7" s="0" t="n">
        <v>4690612015330</v>
      </c>
      <c r="E7" s="0" t="inlineStr">
        <is>
          <t>http://darion-svet.com/web/binary/image?model=product.product&amp;id=11312&amp;field=image</t>
        </is>
      </c>
      <c r="G7" s="0" t="inlineStr">
        <is>
          <t>Китай</t>
        </is>
      </c>
      <c r="H7" s="0" t="inlineStr">
        <is>
          <t>LLT</t>
        </is>
      </c>
      <c r="I7" s="0" t="inlineStr">
        <is>
          <t>консольный</t>
        </is>
      </c>
      <c r="J7" s="0" t="inlineStr">
        <is>
          <t>улицы (дороги, тротуары); промышленные помещения, склады и цеха</t>
        </is>
      </c>
      <c r="K7" s="0" t="inlineStr">
        <is>
          <t>LED</t>
        </is>
      </c>
      <c r="M7" s="0" t="n">
        <v>125</v>
      </c>
      <c r="O7" s="0" t="inlineStr">
        <is>
          <t>SMD</t>
        </is>
      </c>
      <c r="P7" s="0" t="n">
        <v>10500</v>
      </c>
      <c r="Q7" s="0" t="n">
        <v>6500</v>
      </c>
      <c r="R7" s="0" t="n">
        <v>70</v>
      </c>
      <c r="S7" s="0" t="n">
        <v>65</v>
      </c>
      <c r="T7" s="0" t="inlineStr">
        <is>
          <t>Д</t>
        </is>
      </c>
      <c r="U7" s="0" t="inlineStr">
        <is>
          <t>30 000 часов</t>
        </is>
      </c>
      <c r="V7" s="0" t="n">
        <v>460</v>
      </c>
      <c r="W7" s="0" t="n">
        <v>220</v>
      </c>
      <c r="X7" s="0" t="n">
        <v>88</v>
      </c>
      <c r="AD7" s="0" t="inlineStr">
        <is>
          <t>алюминий</t>
        </is>
      </c>
      <c r="AE7" s="0" t="inlineStr">
        <is>
          <t>поликарбонат</t>
        </is>
      </c>
      <c r="AG7" s="0" t="inlineStr">
        <is>
          <t>прозрачный рассеиватель</t>
        </is>
      </c>
      <c r="AK7" s="0" t="n">
        <v>0.9</v>
      </c>
      <c r="AL7" s="0" t="n">
        <v>5</v>
      </c>
      <c r="AN7" s="0" t="n">
        <v>207</v>
      </c>
      <c r="AO7" s="0" t="n">
        <v>253</v>
      </c>
      <c r="AP7" s="0" t="n">
        <v>-40</v>
      </c>
      <c r="AQ7" s="0" t="n">
        <v>60</v>
      </c>
      <c r="AR7" s="0" t="inlineStr">
        <is>
          <t>УХЛ1</t>
        </is>
      </c>
      <c r="AS7" s="0" t="inlineStr">
        <is>
          <t>Картон</t>
        </is>
      </c>
      <c r="AT7" s="0" t="inlineStr">
        <is>
          <t>Да</t>
        </is>
      </c>
      <c r="AU7" s="0" t="n">
        <v>0.013</v>
      </c>
      <c r="AV7" s="0" t="n">
        <v>2.05</v>
      </c>
      <c r="AW7" s="0" t="n">
        <v>1</v>
      </c>
      <c r="BA7" s="0" t="n">
        <v>0.013</v>
      </c>
      <c r="BB7" s="0" t="n">
        <v>2.05</v>
      </c>
      <c r="BD7" s="0" t="inlineStr">
        <is>
          <t>http://darion-svet.com/web/binary/saveas_archive?model=product.picture&amp;ids=[1373]&amp;field=image&amp;name_field=name&amp;archive_name=4690612015330_image</t>
        </is>
      </c>
      <c r="BE7" s="0" t="inlineStr">
        <is>
          <t>http://darion-svet.com/shop/product/4690612015330-sku-02-pro-125vt-230v-6500k-p65-llt</t>
        </is>
      </c>
      <c r="BI7" s="0" t="n">
        <v>0</v>
      </c>
      <c r="BJ7" s="0" t="n">
        <v>0</v>
      </c>
    </row>
    <row r="8">
      <c r="A8" s="0" t="n">
        <v>4690612023335</v>
      </c>
      <c r="B8" s="0" t="inlineStr">
        <is>
          <t>Светильник уличный светодиодный СКУ-02 серии PRO 45Вт 230В 6500К IP65 LLT</t>
        </is>
      </c>
      <c r="C8" s="0" t="inlineStr">
        <is>
          <t>Светильники светодиодные уличные СКУ</t>
        </is>
      </c>
      <c r="E8" s="0" t="inlineStr">
        <is>
          <t>http://darion-svet.com/web/binary/image?model=product.product&amp;id=16159&amp;field=image</t>
        </is>
      </c>
      <c r="G8" s="0" t="inlineStr">
        <is>
          <t>Китай</t>
        </is>
      </c>
      <c r="H8" s="0" t="inlineStr">
        <is>
          <t>LLT</t>
        </is>
      </c>
      <c r="I8" s="0" t="inlineStr">
        <is>
          <t>консольный</t>
        </is>
      </c>
      <c r="J8" s="0" t="inlineStr">
        <is>
          <t>улицы (дороги, тротуары); промышленные помещения, склады и цеха</t>
        </is>
      </c>
      <c r="K8" s="0" t="inlineStr">
        <is>
          <t>LED</t>
        </is>
      </c>
      <c r="M8" s="0" t="n">
        <v>45</v>
      </c>
      <c r="O8" s="0" t="inlineStr">
        <is>
          <t>SMD</t>
        </is>
      </c>
      <c r="P8" s="0" t="n">
        <v>3700</v>
      </c>
      <c r="Q8" s="0" t="n">
        <v>6500</v>
      </c>
      <c r="R8" s="0" t="n">
        <v>70</v>
      </c>
      <c r="S8" s="0" t="n">
        <v>65</v>
      </c>
      <c r="T8" s="0" t="inlineStr">
        <is>
          <t>Д</t>
        </is>
      </c>
      <c r="U8" s="0" t="inlineStr">
        <is>
          <t>30 000 часов</t>
        </is>
      </c>
      <c r="V8" s="0" t="n">
        <v>302</v>
      </c>
      <c r="W8" s="0" t="n">
        <v>130</v>
      </c>
      <c r="X8" s="0" t="n">
        <v>58</v>
      </c>
      <c r="AD8" s="0" t="inlineStr">
        <is>
          <t>алюминий</t>
        </is>
      </c>
      <c r="AE8" s="0" t="inlineStr">
        <is>
          <t>поликарбонат</t>
        </is>
      </c>
      <c r="AG8" s="0" t="inlineStr">
        <is>
          <t>прозрачный рассеиватель</t>
        </is>
      </c>
      <c r="AK8" s="0" t="n">
        <v>0.9</v>
      </c>
      <c r="AL8" s="0" t="n">
        <v>5</v>
      </c>
      <c r="AN8" s="0" t="n">
        <v>207</v>
      </c>
      <c r="AO8" s="0" t="n">
        <v>253</v>
      </c>
      <c r="AP8" s="0" t="n">
        <v>-40</v>
      </c>
      <c r="AQ8" s="0" t="n">
        <v>60</v>
      </c>
      <c r="AR8" s="0" t="inlineStr">
        <is>
          <t>УХЛ1</t>
        </is>
      </c>
      <c r="AS8" s="0" t="inlineStr">
        <is>
          <t>Картон</t>
        </is>
      </c>
      <c r="AT8" s="0" t="inlineStr">
        <is>
          <t>Да</t>
        </is>
      </c>
      <c r="AU8" s="0" t="n">
        <v>0.005</v>
      </c>
      <c r="AV8" s="0" t="n">
        <v>0.6</v>
      </c>
      <c r="AW8" s="0" t="n">
        <v>1</v>
      </c>
      <c r="BA8" s="0" t="n">
        <v>0.005</v>
      </c>
      <c r="BB8" s="0" t="n">
        <v>0.6</v>
      </c>
      <c r="BE8" s="0" t="inlineStr">
        <is>
          <t>http://darion-svet.com/shop/product/4690612023335-sku-02-pro-45vt-230v-6500k-ip65-llt</t>
        </is>
      </c>
      <c r="BI8" s="0" t="n">
        <v>0</v>
      </c>
      <c r="BJ8" s="0" t="n">
        <v>0</v>
      </c>
    </row>
    <row r="9">
      <c r="A9" s="0" t="n">
        <v>4690612024714</v>
      </c>
      <c r="B9" s="0" t="inlineStr">
        <is>
          <t>Светильник уличный светодиодный СКУ-02 серии PRO 175Вт 230В 6500К IP65 LLT</t>
        </is>
      </c>
      <c r="C9" s="0" t="inlineStr">
        <is>
          <t>Светильники светодиодные уличные СКУ</t>
        </is>
      </c>
      <c r="E9" s="0" t="inlineStr">
        <is>
          <t>http://darion-svet.com/web/binary/image?model=product.product&amp;id=16163&amp;field=image</t>
        </is>
      </c>
      <c r="G9" s="0" t="inlineStr">
        <is>
          <t>Китай</t>
        </is>
      </c>
      <c r="H9" s="0" t="inlineStr">
        <is>
          <t>LLT</t>
        </is>
      </c>
      <c r="I9" s="0" t="inlineStr">
        <is>
          <t>консольный</t>
        </is>
      </c>
      <c r="J9" s="0" t="inlineStr">
        <is>
          <t>улицы (дороги, тротуары); промышленные помещения, склады и цеха</t>
        </is>
      </c>
      <c r="K9" s="0" t="inlineStr">
        <is>
          <t>LED</t>
        </is>
      </c>
      <c r="M9" s="0" t="n">
        <v>175</v>
      </c>
      <c r="O9" s="0" t="inlineStr">
        <is>
          <t>SMD</t>
        </is>
      </c>
      <c r="P9" s="0" t="n">
        <v>14800</v>
      </c>
      <c r="Q9" s="0" t="n">
        <v>6500</v>
      </c>
      <c r="R9" s="0" t="n">
        <v>70</v>
      </c>
      <c r="S9" s="0" t="n">
        <v>65</v>
      </c>
      <c r="T9" s="0" t="inlineStr">
        <is>
          <t>Д</t>
        </is>
      </c>
      <c r="U9" s="0" t="inlineStr">
        <is>
          <t>30 000 часов</t>
        </is>
      </c>
      <c r="V9" s="0" t="n">
        <v>520</v>
      </c>
      <c r="W9" s="0" t="n">
        <v>250</v>
      </c>
      <c r="X9" s="0" t="n">
        <v>82</v>
      </c>
      <c r="AD9" s="0" t="inlineStr">
        <is>
          <t>алюминий</t>
        </is>
      </c>
      <c r="AE9" s="0" t="inlineStr">
        <is>
          <t>поликарбонат</t>
        </is>
      </c>
      <c r="AG9" s="0" t="inlineStr">
        <is>
          <t>прозрачный рассеиватель</t>
        </is>
      </c>
      <c r="AK9" s="0" t="n">
        <v>0.9</v>
      </c>
      <c r="AL9" s="0" t="n">
        <v>5</v>
      </c>
      <c r="AN9" s="0" t="n">
        <v>207</v>
      </c>
      <c r="AO9" s="0" t="n">
        <v>253</v>
      </c>
      <c r="AP9" s="0" t="n">
        <v>-40</v>
      </c>
      <c r="AQ9" s="0" t="n">
        <v>60</v>
      </c>
      <c r="AR9" s="0" t="inlineStr">
        <is>
          <t>УХЛ1</t>
        </is>
      </c>
      <c r="AS9" s="0" t="inlineStr">
        <is>
          <t>Картон</t>
        </is>
      </c>
      <c r="AT9" s="0" t="inlineStr">
        <is>
          <t>Да</t>
        </is>
      </c>
      <c r="AU9" s="0" t="n">
        <v>0.014</v>
      </c>
      <c r="AV9" s="0" t="n">
        <v>2.45</v>
      </c>
      <c r="AW9" s="0" t="n">
        <v>1</v>
      </c>
      <c r="BA9" s="0" t="n">
        <v>0.014</v>
      </c>
      <c r="BB9" s="0" t="n">
        <v>2.45</v>
      </c>
      <c r="BE9" s="0" t="inlineStr">
        <is>
          <t>http://darion-svet.com/shop/product/4690612024714-sku-02-pro-175vt-230v-6500k-ip65-llt</t>
        </is>
      </c>
      <c r="BF9" s="0" t="inlineStr">
        <is>
          <t>http://darion-svet.com/web/binary/saveas?model=product.product&amp;field=conformity_cert&amp;filename_field=conformity_cert_filename&amp;id=16163</t>
        </is>
      </c>
      <c r="BG9" s="0" t="inlineStr">
        <is>
          <t>http://darion-svet.com/web/binary/saveas?model=product.product&amp;field=datasheet&amp;filename_field=datasheet_filename&amp;id=16163</t>
        </is>
      </c>
      <c r="BI9" s="0" t="n">
        <v>0</v>
      </c>
      <c r="BJ9" s="0" t="n">
        <v>0</v>
      </c>
    </row>
    <row r="10">
      <c r="A10" s="0" t="n">
        <v>4690612027128</v>
      </c>
      <c r="B10" s="0" t="inlineStr">
        <is>
          <t>Светильник уличный светодиодный СКУ-02 серии PRO 45Вт 230В 5000К IP65 LLT</t>
        </is>
      </c>
      <c r="C10" s="0" t="inlineStr">
        <is>
          <t>Светильники светодиодные уличные СКУ</t>
        </is>
      </c>
      <c r="E10" s="0" t="inlineStr">
        <is>
          <t>http://darion-svet.com/web/binary/image?model=product.product&amp;id=16158&amp;field=image</t>
        </is>
      </c>
      <c r="G10" s="0" t="inlineStr">
        <is>
          <t>Китай</t>
        </is>
      </c>
      <c r="H10" s="0" t="inlineStr">
        <is>
          <t>LLT</t>
        </is>
      </c>
      <c r="I10" s="0" t="inlineStr">
        <is>
          <t>консольный</t>
        </is>
      </c>
      <c r="J10" s="0" t="inlineStr">
        <is>
          <t>улицы (дороги, тротуары); промышленные помещения, склады и цеха</t>
        </is>
      </c>
      <c r="K10" s="0" t="inlineStr">
        <is>
          <t>LED</t>
        </is>
      </c>
      <c r="M10" s="0" t="n">
        <v>45</v>
      </c>
      <c r="O10" s="0" t="inlineStr">
        <is>
          <t>SMD</t>
        </is>
      </c>
      <c r="P10" s="0" t="n">
        <v>3700</v>
      </c>
      <c r="Q10" s="0" t="n">
        <v>5000</v>
      </c>
      <c r="R10" s="0" t="n">
        <v>70</v>
      </c>
      <c r="S10" s="0" t="n">
        <v>65</v>
      </c>
      <c r="T10" s="0" t="inlineStr">
        <is>
          <t>Д</t>
        </is>
      </c>
      <c r="U10" s="0" t="inlineStr">
        <is>
          <t>30 000 часов</t>
        </is>
      </c>
      <c r="V10" s="0" t="n">
        <v>302</v>
      </c>
      <c r="W10" s="0" t="n">
        <v>130</v>
      </c>
      <c r="X10" s="0" t="n">
        <v>58</v>
      </c>
      <c r="AD10" s="0" t="inlineStr">
        <is>
          <t>алюминий</t>
        </is>
      </c>
      <c r="AE10" s="0" t="inlineStr">
        <is>
          <t>поликарбонат</t>
        </is>
      </c>
      <c r="AG10" s="0" t="inlineStr">
        <is>
          <t>прозрачный рассеиватель</t>
        </is>
      </c>
      <c r="AK10" s="0" t="n">
        <v>0.9</v>
      </c>
      <c r="AL10" s="0" t="n">
        <v>5</v>
      </c>
      <c r="AN10" s="0" t="n">
        <v>207</v>
      </c>
      <c r="AO10" s="0" t="n">
        <v>253</v>
      </c>
      <c r="AP10" s="0" t="n">
        <v>-40</v>
      </c>
      <c r="AQ10" s="0" t="n">
        <v>60</v>
      </c>
      <c r="AR10" s="0" t="inlineStr">
        <is>
          <t>УХЛ1</t>
        </is>
      </c>
      <c r="AS10" s="0" t="inlineStr">
        <is>
          <t>Картон</t>
        </is>
      </c>
      <c r="AT10" s="0" t="inlineStr">
        <is>
          <t>Да</t>
        </is>
      </c>
      <c r="AU10" s="0" t="n">
        <v>0.005</v>
      </c>
      <c r="AV10" s="0" t="n">
        <v>0.6</v>
      </c>
      <c r="AW10" s="0" t="n">
        <v>1</v>
      </c>
      <c r="BA10" s="0" t="n">
        <v>0.005</v>
      </c>
      <c r="BB10" s="0" t="n">
        <v>0.6</v>
      </c>
      <c r="BE10" s="0" t="inlineStr">
        <is>
          <t>http://darion-svet.com/shop/product/4690612027128-sku-02-pro-45vt-230v-5000k-ip65-llt</t>
        </is>
      </c>
      <c r="BI10" s="0" t="n">
        <v>0</v>
      </c>
      <c r="BJ10" s="0" t="n">
        <v>0</v>
      </c>
    </row>
    <row r="11">
      <c r="A11" s="0" t="n">
        <v>4690612027135</v>
      </c>
      <c r="B11" s="0" t="inlineStr">
        <is>
          <t>Светильник уличный светодиодный СКУ-02 серии PRO 70Вт 230В 5000К IP65 LLT</t>
        </is>
      </c>
      <c r="C11" s="0" t="inlineStr">
        <is>
          <t>Светильники светодиодные уличные СКУ</t>
        </is>
      </c>
      <c r="E11" s="0" t="inlineStr">
        <is>
          <t>http://darion-svet.com/web/binary/image?model=product.product&amp;id=16160&amp;field=image</t>
        </is>
      </c>
      <c r="G11" s="0" t="inlineStr">
        <is>
          <t>Китай</t>
        </is>
      </c>
      <c r="H11" s="0" t="inlineStr">
        <is>
          <t>LLT</t>
        </is>
      </c>
      <c r="I11" s="0" t="inlineStr">
        <is>
          <t>консольный</t>
        </is>
      </c>
      <c r="J11" s="0" t="inlineStr">
        <is>
          <t>улицы (дороги, тротуары); промышленные помещения, склады и цеха</t>
        </is>
      </c>
      <c r="K11" s="0" t="inlineStr">
        <is>
          <t>LED</t>
        </is>
      </c>
      <c r="M11" s="0" t="n">
        <v>70</v>
      </c>
      <c r="O11" s="0" t="inlineStr">
        <is>
          <t>SMD</t>
        </is>
      </c>
      <c r="P11" s="0" t="n">
        <v>6500</v>
      </c>
      <c r="Q11" s="0" t="n">
        <v>5000</v>
      </c>
      <c r="R11" s="0" t="n">
        <v>70</v>
      </c>
      <c r="S11" s="0" t="n">
        <v>65</v>
      </c>
      <c r="T11" s="0" t="inlineStr">
        <is>
          <t>Д</t>
        </is>
      </c>
      <c r="U11" s="0" t="inlineStr">
        <is>
          <t>30 000 часов</t>
        </is>
      </c>
      <c r="V11" s="0" t="n">
        <v>396</v>
      </c>
      <c r="W11" s="0" t="n">
        <v>170</v>
      </c>
      <c r="X11" s="0" t="n">
        <v>88</v>
      </c>
      <c r="AD11" s="0" t="inlineStr">
        <is>
          <t>алюминий</t>
        </is>
      </c>
      <c r="AE11" s="0" t="inlineStr">
        <is>
          <t>поликарбонат</t>
        </is>
      </c>
      <c r="AG11" s="0" t="inlineStr">
        <is>
          <t>прозрачный рассеиватель</t>
        </is>
      </c>
      <c r="AK11" s="0" t="n">
        <v>0.9</v>
      </c>
      <c r="AL11" s="0" t="n">
        <v>5</v>
      </c>
      <c r="AN11" s="0" t="n">
        <v>207</v>
      </c>
      <c r="AO11" s="0" t="n">
        <v>253</v>
      </c>
      <c r="AP11" s="0" t="n">
        <v>-40</v>
      </c>
      <c r="AQ11" s="0" t="n">
        <v>60</v>
      </c>
      <c r="AR11" s="0" t="inlineStr">
        <is>
          <t>УХЛ1</t>
        </is>
      </c>
      <c r="AS11" s="0" t="inlineStr">
        <is>
          <t>Картон</t>
        </is>
      </c>
      <c r="AT11" s="0" t="inlineStr">
        <is>
          <t>Да</t>
        </is>
      </c>
      <c r="AU11" s="0" t="n">
        <v>0.008999999999999999</v>
      </c>
      <c r="AV11" s="0" t="n">
        <v>1.3</v>
      </c>
      <c r="AW11" s="0" t="n">
        <v>1</v>
      </c>
      <c r="BA11" s="0" t="n">
        <v>0.008999999999999999</v>
      </c>
      <c r="BB11" s="0" t="n">
        <v>1.3</v>
      </c>
      <c r="BE11" s="0" t="inlineStr">
        <is>
          <t>http://darion-svet.com/shop/product/4690612027135-sku-02-pro-70vt-230v-5000k-ip65-llt</t>
        </is>
      </c>
      <c r="BI11" s="0" t="n">
        <v>0</v>
      </c>
      <c r="BJ11" s="0" t="n">
        <v>0</v>
      </c>
    </row>
    <row r="12">
      <c r="A12" s="0" t="n">
        <v>4690612027142</v>
      </c>
      <c r="B12" s="0" t="inlineStr">
        <is>
          <t>Светильник уличный светодиодный СКУ-02 серии PRO 125Вт 230В 5000К IP65 LLT</t>
        </is>
      </c>
      <c r="C12" s="0" t="inlineStr">
        <is>
          <t>Светильники светодиодные уличные СКУ</t>
        </is>
      </c>
      <c r="E12" s="0" t="inlineStr">
        <is>
          <t>http://darion-svet.com/web/binary/image?model=product.product&amp;id=16161&amp;field=image</t>
        </is>
      </c>
      <c r="G12" s="0" t="inlineStr">
        <is>
          <t>Китай</t>
        </is>
      </c>
      <c r="H12" s="0" t="inlineStr">
        <is>
          <t>LLT</t>
        </is>
      </c>
      <c r="I12" s="0" t="inlineStr">
        <is>
          <t>консольный</t>
        </is>
      </c>
      <c r="J12" s="0" t="inlineStr">
        <is>
          <t>улицы (дороги, тротуары); промышленные помещения, склады и цеха</t>
        </is>
      </c>
      <c r="K12" s="0" t="inlineStr">
        <is>
          <t>LED</t>
        </is>
      </c>
      <c r="M12" s="0" t="n">
        <v>125</v>
      </c>
      <c r="O12" s="0" t="inlineStr">
        <is>
          <t>SMD</t>
        </is>
      </c>
      <c r="P12" s="0" t="n">
        <v>10500</v>
      </c>
      <c r="Q12" s="0" t="n">
        <v>5000</v>
      </c>
      <c r="R12" s="0" t="n">
        <v>70</v>
      </c>
      <c r="S12" s="0" t="n">
        <v>65</v>
      </c>
      <c r="T12" s="0" t="inlineStr">
        <is>
          <t>Д</t>
        </is>
      </c>
      <c r="U12" s="0" t="inlineStr">
        <is>
          <t>30 000 часов</t>
        </is>
      </c>
      <c r="V12" s="0" t="n">
        <v>460</v>
      </c>
      <c r="W12" s="0" t="n">
        <v>220</v>
      </c>
      <c r="X12" s="0" t="n">
        <v>88</v>
      </c>
      <c r="AD12" s="0" t="inlineStr">
        <is>
          <t>алюминий</t>
        </is>
      </c>
      <c r="AE12" s="0" t="inlineStr">
        <is>
          <t>поликарбонат</t>
        </is>
      </c>
      <c r="AG12" s="0" t="inlineStr">
        <is>
          <t>прозрачный рассеиватель</t>
        </is>
      </c>
      <c r="AK12" s="0" t="n">
        <v>0.9</v>
      </c>
      <c r="AL12" s="0" t="n">
        <v>5</v>
      </c>
      <c r="AN12" s="0" t="n">
        <v>207</v>
      </c>
      <c r="AO12" s="0" t="n">
        <v>253</v>
      </c>
      <c r="AP12" s="0" t="n">
        <v>-40</v>
      </c>
      <c r="AQ12" s="0" t="n">
        <v>60</v>
      </c>
      <c r="AR12" s="0" t="inlineStr">
        <is>
          <t>УХЛ1</t>
        </is>
      </c>
      <c r="AS12" s="0" t="inlineStr">
        <is>
          <t>Картон</t>
        </is>
      </c>
      <c r="AT12" s="0" t="inlineStr">
        <is>
          <t>Да</t>
        </is>
      </c>
      <c r="AU12" s="0" t="n">
        <v>0.013</v>
      </c>
      <c r="AV12" s="0" t="n">
        <v>2.35</v>
      </c>
      <c r="AW12" s="0" t="n">
        <v>1</v>
      </c>
      <c r="BA12" s="0" t="n">
        <v>0.013</v>
      </c>
      <c r="BB12" s="0" t="n">
        <v>2.35</v>
      </c>
      <c r="BD12" s="0" t="inlineStr">
        <is>
          <t>http://darion-svet.com/web/binary/saveas_archive?model=product.picture&amp;ids=[1363, 1373]&amp;field=image&amp;name_field=name&amp;archive_name=4690612027142_image</t>
        </is>
      </c>
      <c r="BE12" s="0" t="inlineStr">
        <is>
          <t>http://darion-svet.com/shop/product/4690612027142-sku-02-pro-125vt-230v-5000k-ip65-llt</t>
        </is>
      </c>
      <c r="BI12" s="0" t="n">
        <v>1</v>
      </c>
      <c r="BJ12" s="0" t="n">
        <v>1625</v>
      </c>
    </row>
    <row r="13">
      <c r="A13" s="0" t="n">
        <v>4690612027159</v>
      </c>
      <c r="B13" s="0" t="inlineStr">
        <is>
          <t>Светильник уличный светодиодный СКУ-02 серии PRO 175Вт 230В 5000К IP65 LLT</t>
        </is>
      </c>
      <c r="C13" s="0" t="inlineStr">
        <is>
          <t>Светильники светодиодные уличные СКУ</t>
        </is>
      </c>
      <c r="E13" s="0" t="inlineStr">
        <is>
          <t>http://darion-svet.com/web/binary/image?model=product.product&amp;id=16162&amp;field=image</t>
        </is>
      </c>
      <c r="G13" s="0" t="inlineStr">
        <is>
          <t>Китай</t>
        </is>
      </c>
      <c r="H13" s="0" t="inlineStr">
        <is>
          <t>LLT</t>
        </is>
      </c>
      <c r="I13" s="0" t="inlineStr">
        <is>
          <t>консольный</t>
        </is>
      </c>
      <c r="J13" s="0" t="inlineStr">
        <is>
          <t>улицы (дороги, тротуары); промышленные помещения, склады и цеха</t>
        </is>
      </c>
      <c r="K13" s="0" t="inlineStr">
        <is>
          <t>LED</t>
        </is>
      </c>
      <c r="M13" s="0" t="n">
        <v>175</v>
      </c>
      <c r="O13" s="0" t="inlineStr">
        <is>
          <t>SMD</t>
        </is>
      </c>
      <c r="P13" s="0" t="n">
        <v>14800</v>
      </c>
      <c r="Q13" s="0" t="n">
        <v>5000</v>
      </c>
      <c r="R13" s="0" t="n">
        <v>70</v>
      </c>
      <c r="S13" s="0" t="n">
        <v>65</v>
      </c>
      <c r="T13" s="0" t="inlineStr">
        <is>
          <t>Д</t>
        </is>
      </c>
      <c r="U13" s="0" t="inlineStr">
        <is>
          <t>30 000 часов</t>
        </is>
      </c>
      <c r="V13" s="0" t="n">
        <v>520</v>
      </c>
      <c r="W13" s="0" t="n">
        <v>250</v>
      </c>
      <c r="X13" s="0" t="n">
        <v>82</v>
      </c>
      <c r="AD13" s="0" t="inlineStr">
        <is>
          <t>алюминий</t>
        </is>
      </c>
      <c r="AE13" s="0" t="inlineStr">
        <is>
          <t>поликарбонат</t>
        </is>
      </c>
      <c r="AG13" s="0" t="inlineStr">
        <is>
          <t>прозрачный рассеиватель</t>
        </is>
      </c>
      <c r="AK13" s="0" t="n">
        <v>0.9</v>
      </c>
      <c r="AL13" s="0" t="n">
        <v>5</v>
      </c>
      <c r="AN13" s="0" t="n">
        <v>207</v>
      </c>
      <c r="AO13" s="0" t="n">
        <v>253</v>
      </c>
      <c r="AP13" s="0" t="n">
        <v>-40</v>
      </c>
      <c r="AQ13" s="0" t="n">
        <v>60</v>
      </c>
      <c r="AR13" s="0" t="inlineStr">
        <is>
          <t>УХЛ1</t>
        </is>
      </c>
      <c r="AS13" s="0" t="inlineStr">
        <is>
          <t>Картон</t>
        </is>
      </c>
      <c r="AT13" s="0" t="inlineStr">
        <is>
          <t>Да</t>
        </is>
      </c>
      <c r="AU13" s="0" t="n">
        <v>0.014</v>
      </c>
      <c r="AV13" s="0" t="n">
        <v>2.35</v>
      </c>
      <c r="AW13" s="0" t="n">
        <v>1</v>
      </c>
      <c r="BA13" s="0" t="n">
        <v>0.014</v>
      </c>
      <c r="BB13" s="0" t="n">
        <v>2.35</v>
      </c>
      <c r="BE13" s="0" t="inlineStr">
        <is>
          <t>http://darion-svet.com/shop/product/4690612027159-sku-02-pro-175vt-230v-5000k-ip65-llt</t>
        </is>
      </c>
      <c r="BI13" s="0" t="n">
        <v>0</v>
      </c>
      <c r="BJ13" s="0" t="n">
        <v>0</v>
      </c>
    </row>
    <row r="14">
      <c r="A14" s="0" t="n">
        <v>4690612032832</v>
      </c>
      <c r="B14" s="0" t="inlineStr">
        <is>
          <t>Светильник уличный светодиодный СКУ-02 45Вт 230В 5000К IP65 IN HOME</t>
        </is>
      </c>
      <c r="C14" s="0" t="inlineStr">
        <is>
          <t>Светильники светодиодные уличные СКУ</t>
        </is>
      </c>
      <c r="E14" s="0" t="inlineStr">
        <is>
          <t>http://darion-svet.com/web/binary/image?model=product.product&amp;id=17258&amp;field=image</t>
        </is>
      </c>
      <c r="F14" s="0" t="n">
        <v>2</v>
      </c>
      <c r="G14" s="0" t="inlineStr">
        <is>
          <t>Китай</t>
        </is>
      </c>
      <c r="H14" s="0" t="inlineStr">
        <is>
          <t>IN HOME</t>
        </is>
      </c>
      <c r="I14" s="0" t="inlineStr">
        <is>
          <t>консольный</t>
        </is>
      </c>
      <c r="J14" s="0" t="inlineStr">
        <is>
          <t>улицы (дороги, тротуары); магистрали и дороги</t>
        </is>
      </c>
      <c r="M14" s="0" t="n">
        <v>45</v>
      </c>
      <c r="O14" s="0" t="inlineStr">
        <is>
          <t>SMD</t>
        </is>
      </c>
      <c r="P14" s="0" t="n">
        <v>3700</v>
      </c>
      <c r="Q14" s="0" t="n">
        <v>5000</v>
      </c>
      <c r="R14" s="0" t="n">
        <v>80</v>
      </c>
      <c r="S14" s="0" t="n">
        <v>65</v>
      </c>
      <c r="T14" s="0" t="inlineStr">
        <is>
          <t>Д</t>
        </is>
      </c>
      <c r="U14" s="0" t="inlineStr">
        <is>
          <t>30 000 часов</t>
        </is>
      </c>
      <c r="V14" s="0" t="n">
        <v>302</v>
      </c>
      <c r="W14" s="0" t="n">
        <v>130</v>
      </c>
      <c r="AA14" s="0" t="n">
        <v>58</v>
      </c>
      <c r="AB14" s="0" t="n">
        <v>0.6</v>
      </c>
      <c r="AE14" s="0" t="inlineStr">
        <is>
          <t>стекло</t>
        </is>
      </c>
      <c r="AG14" s="0" t="inlineStr">
        <is>
          <t>прозрачный рассеиватель</t>
        </is>
      </c>
      <c r="AK14" s="0" t="n">
        <v>0.9</v>
      </c>
      <c r="AL14" s="0" t="n">
        <v>100</v>
      </c>
      <c r="AN14" s="0" t="n">
        <v>207</v>
      </c>
      <c r="AO14" s="0" t="n">
        <v>253</v>
      </c>
      <c r="AP14" s="0" t="n">
        <v>-40</v>
      </c>
      <c r="AQ14" s="0" t="n">
        <v>60</v>
      </c>
      <c r="AR14" s="0" t="inlineStr">
        <is>
          <t>УХЛ1</t>
        </is>
      </c>
      <c r="AS14" s="0" t="inlineStr">
        <is>
          <t>Картон</t>
        </is>
      </c>
      <c r="AT14" s="0" t="inlineStr">
        <is>
          <t>Да</t>
        </is>
      </c>
      <c r="AU14" s="0" t="n">
        <v>0.005</v>
      </c>
      <c r="AV14" s="0" t="n">
        <v>0.6</v>
      </c>
      <c r="AW14" s="0" t="n">
        <v>1</v>
      </c>
      <c r="BA14" s="0" t="n">
        <v>0.005</v>
      </c>
      <c r="BB14" s="0" t="n">
        <v>0.6</v>
      </c>
      <c r="BE14" s="0" t="inlineStr">
        <is>
          <t>http://darion-svet.com/shop/product/4690612032832-sku-02-45vt-230v-5000k-ip65-in-home</t>
        </is>
      </c>
      <c r="BF14" s="0" t="inlineStr">
        <is>
          <t>http://darion-svet.com/web/binary/saveas?model=product.product&amp;field=conformity_cert&amp;filename_field=conformity_cert_filename&amp;id=17258</t>
        </is>
      </c>
      <c r="BG14" s="0" t="inlineStr">
        <is>
          <t>http://darion-svet.com/web/binary/saveas?model=product.product&amp;field=datasheet&amp;filename_field=datasheet_filename&amp;id=17258</t>
        </is>
      </c>
      <c r="BI14" s="0" t="n">
        <v>0</v>
      </c>
      <c r="BJ14" s="0" t="n">
        <v>0</v>
      </c>
    </row>
    <row r="15">
      <c r="A15" s="0" t="n">
        <v>4690612032856</v>
      </c>
      <c r="B15" s="0" t="inlineStr">
        <is>
          <t>Светильник уличный светодиодный СКУ-02 125Вт 230В 5000К IP65 IN HOME</t>
        </is>
      </c>
      <c r="C15" s="0" t="inlineStr">
        <is>
          <t>Светильники светодиодные уличные СКУ</t>
        </is>
      </c>
      <c r="E15" s="0" t="inlineStr">
        <is>
          <t>http://darion-svet.com/web/binary/image?model=product.product&amp;id=17259&amp;field=image</t>
        </is>
      </c>
      <c r="F15" s="0" t="n">
        <v>2</v>
      </c>
      <c r="G15" s="0" t="inlineStr">
        <is>
          <t>Китай</t>
        </is>
      </c>
      <c r="H15" s="0" t="inlineStr">
        <is>
          <t>IN HOME</t>
        </is>
      </c>
      <c r="I15" s="0" t="inlineStr">
        <is>
          <t>консольный</t>
        </is>
      </c>
      <c r="J15" s="0" t="inlineStr">
        <is>
          <t>улицы (дороги, тротуары); магистрали и дороги</t>
        </is>
      </c>
      <c r="M15" s="0" t="n">
        <v>125</v>
      </c>
      <c r="O15" s="0" t="inlineStr">
        <is>
          <t>SMD</t>
        </is>
      </c>
      <c r="P15" s="0" t="n">
        <v>10500</v>
      </c>
      <c r="Q15" s="0" t="n">
        <v>5000</v>
      </c>
      <c r="R15" s="0" t="n">
        <v>80</v>
      </c>
      <c r="S15" s="0" t="n">
        <v>65</v>
      </c>
      <c r="T15" s="0" t="inlineStr">
        <is>
          <t>Д</t>
        </is>
      </c>
      <c r="U15" s="0" t="inlineStr">
        <is>
          <t>30 000 часов</t>
        </is>
      </c>
      <c r="V15" s="0" t="n">
        <v>460</v>
      </c>
      <c r="W15" s="0" t="n">
        <v>220</v>
      </c>
      <c r="AA15" s="0" t="n">
        <v>88</v>
      </c>
      <c r="AB15" s="0" t="n">
        <v>2.05</v>
      </c>
      <c r="AE15" s="0" t="inlineStr">
        <is>
          <t>стекло</t>
        </is>
      </c>
      <c r="AG15" s="0" t="inlineStr">
        <is>
          <t>прозрачный рассеиватель</t>
        </is>
      </c>
      <c r="AK15" s="0" t="n">
        <v>0.9</v>
      </c>
      <c r="AL15" s="0" t="n">
        <v>100</v>
      </c>
      <c r="AN15" s="0" t="n">
        <v>207</v>
      </c>
      <c r="AO15" s="0" t="n">
        <v>253</v>
      </c>
      <c r="AP15" s="0" t="n">
        <v>-40</v>
      </c>
      <c r="AQ15" s="0" t="n">
        <v>60</v>
      </c>
      <c r="AR15" s="0" t="inlineStr">
        <is>
          <t>УХЛ1</t>
        </is>
      </c>
      <c r="AS15" s="0" t="inlineStr">
        <is>
          <t>Картон</t>
        </is>
      </c>
      <c r="AT15" s="0" t="inlineStr">
        <is>
          <t>Да</t>
        </is>
      </c>
      <c r="AU15" s="0" t="n">
        <v>0.016</v>
      </c>
      <c r="AV15" s="0" t="n">
        <v>2.05</v>
      </c>
      <c r="AW15" s="0" t="n">
        <v>1</v>
      </c>
      <c r="BA15" s="0" t="n">
        <v>0.016</v>
      </c>
      <c r="BB15" s="0" t="n">
        <v>2.05</v>
      </c>
      <c r="BE15" s="0" t="inlineStr">
        <is>
          <t>http://darion-svet.com/shop/product/4690612032856-sku-02-125vt-230v-5000k-ip65-in-home</t>
        </is>
      </c>
      <c r="BF15" s="0" t="inlineStr">
        <is>
          <t>http://darion-svet.com/web/binary/saveas?model=product.product&amp;field=conformity_cert&amp;filename_field=conformity_cert_filename&amp;id=17259</t>
        </is>
      </c>
      <c r="BG15" s="0" t="inlineStr">
        <is>
          <t>http://darion-svet.com/web/binary/saveas?model=product.product&amp;field=datasheet&amp;filename_field=datasheet_filename&amp;id=17259</t>
        </is>
      </c>
      <c r="BI15" s="0" t="n">
        <v>0</v>
      </c>
      <c r="BJ15" s="0" t="n">
        <v>0</v>
      </c>
    </row>
    <row r="16">
      <c r="A16" s="0" t="n">
        <v>4690612032863</v>
      </c>
      <c r="B16" s="0" t="inlineStr">
        <is>
          <t>Светильник уличный светодиодный СКУ-02 175Вт 230В 5000К IP65 IN HOME</t>
        </is>
      </c>
      <c r="C16" s="0" t="inlineStr">
        <is>
          <t>Светильники светодиодные уличные СКУ</t>
        </is>
      </c>
      <c r="E16" s="0" t="inlineStr">
        <is>
          <t>http://darion-svet.com/web/binary/image?model=product.product&amp;id=17260&amp;field=image</t>
        </is>
      </c>
      <c r="F16" s="0" t="n">
        <v>2</v>
      </c>
      <c r="G16" s="0" t="inlineStr">
        <is>
          <t>Китай</t>
        </is>
      </c>
      <c r="H16" s="0" t="inlineStr">
        <is>
          <t>IN HOME</t>
        </is>
      </c>
      <c r="I16" s="0" t="inlineStr">
        <is>
          <t>консольный</t>
        </is>
      </c>
      <c r="J16" s="0" t="inlineStr">
        <is>
          <t>улицы (дороги, тротуары); магистрали и дороги</t>
        </is>
      </c>
      <c r="M16" s="0" t="n">
        <v>175</v>
      </c>
      <c r="O16" s="0" t="inlineStr">
        <is>
          <t>SMD</t>
        </is>
      </c>
      <c r="P16" s="0" t="n">
        <v>14800</v>
      </c>
      <c r="Q16" s="0" t="n">
        <v>5000</v>
      </c>
      <c r="R16" s="0" t="n">
        <v>80</v>
      </c>
      <c r="S16" s="0" t="n">
        <v>65</v>
      </c>
      <c r="T16" s="0" t="inlineStr">
        <is>
          <t>Д</t>
        </is>
      </c>
      <c r="U16" s="0" t="inlineStr">
        <is>
          <t>30 000 часов</t>
        </is>
      </c>
      <c r="V16" s="0" t="n">
        <v>520</v>
      </c>
      <c r="W16" s="0" t="n">
        <v>250</v>
      </c>
      <c r="AA16" s="0" t="n">
        <v>82</v>
      </c>
      <c r="AB16" s="0" t="n">
        <v>2.8</v>
      </c>
      <c r="AE16" s="0" t="inlineStr">
        <is>
          <t>стекло</t>
        </is>
      </c>
      <c r="AG16" s="0" t="inlineStr">
        <is>
          <t>прозрачный рассеиватель</t>
        </is>
      </c>
      <c r="AK16" s="0" t="n">
        <v>0.9</v>
      </c>
      <c r="AL16" s="0" t="n">
        <v>100</v>
      </c>
      <c r="AN16" s="0" t="n">
        <v>207</v>
      </c>
      <c r="AO16" s="0" t="n">
        <v>253</v>
      </c>
      <c r="AP16" s="0" t="n">
        <v>-40</v>
      </c>
      <c r="AQ16" s="0" t="n">
        <v>60</v>
      </c>
      <c r="AR16" s="0" t="inlineStr">
        <is>
          <t>УХЛ1</t>
        </is>
      </c>
      <c r="AS16" s="0" t="inlineStr">
        <is>
          <t>Картон</t>
        </is>
      </c>
      <c r="AT16" s="0" t="inlineStr">
        <is>
          <t>Нет</t>
        </is>
      </c>
      <c r="AU16" s="0" t="n">
        <v>0.021</v>
      </c>
      <c r="AV16" s="0" t="n">
        <v>2.8</v>
      </c>
      <c r="AW16" s="0" t="n">
        <v>1</v>
      </c>
      <c r="BA16" s="0" t="n">
        <v>0.021</v>
      </c>
      <c r="BB16" s="0" t="n">
        <v>2.8</v>
      </c>
      <c r="BE16" s="0" t="inlineStr">
        <is>
          <t>http://darion-svet.com/shop/product/4690612032863-sku-02-175vt-230v-5000k-ip65-in-home</t>
        </is>
      </c>
      <c r="BF16" s="0" t="inlineStr">
        <is>
          <t>http://darion-svet.com/web/binary/saveas?model=product.product&amp;field=conformity_cert&amp;filename_field=conformity_cert_filename&amp;id=17260</t>
        </is>
      </c>
      <c r="BG16" s="0" t="inlineStr">
        <is>
          <t>http://darion-svet.com/web/binary/saveas?model=product.product&amp;field=datasheet&amp;filename_field=datasheet_filename&amp;id=17260</t>
        </is>
      </c>
      <c r="BI16" s="0" t="n">
        <v>0</v>
      </c>
      <c r="BJ16" s="0" t="n">
        <v>0</v>
      </c>
    </row>
    <row r="17">
      <c r="A17" s="0" t="inlineStr">
        <is>
          <t>Основные характеристики</t>
        </is>
      </c>
      <c r="V17" s="0" t="inlineStr">
        <is>
          <t>Габаритные размеры</t>
        </is>
      </c>
      <c r="AD17" s="0" t="inlineStr">
        <is>
          <t>Дополнительные характеристики</t>
        </is>
      </c>
      <c r="AS17" s="0" t="inlineStr">
        <is>
          <t>Упаковка</t>
        </is>
      </c>
      <c r="BI17" s="0" t="n">
        <v>0</v>
      </c>
      <c r="BJ17" s="0" t="n">
        <v>0</v>
      </c>
    </row>
    <row r="18">
      <c r="A18" s="0" t="inlineStr">
        <is>
          <t>Артикул</t>
        </is>
      </c>
      <c r="B18" s="0" t="inlineStr">
        <is>
          <t>Наименование</t>
        </is>
      </c>
      <c r="C18" s="0" t="inlineStr">
        <is>
          <t>Категория продукции</t>
        </is>
      </c>
      <c r="D18" s="0" t="inlineStr">
        <is>
          <t>Штрих-код EAN 13</t>
        </is>
      </c>
      <c r="E18" s="0" t="inlineStr">
        <is>
          <t>Изображение товара</t>
        </is>
      </c>
      <c r="F18" s="0" t="inlineStr">
        <is>
          <t>Гарантия, лет</t>
        </is>
      </c>
      <c r="G18" s="0" t="inlineStr">
        <is>
          <t>Страна производитель</t>
        </is>
      </c>
      <c r="H18" s="0" t="inlineStr">
        <is>
          <t>Торговая марка</t>
        </is>
      </c>
      <c r="I18" s="0" t="inlineStr">
        <is>
          <t>Способ установки</t>
        </is>
      </c>
      <c r="J18" s="0" t="inlineStr">
        <is>
          <t>Область применения</t>
        </is>
      </c>
      <c r="K18" s="0" t="inlineStr">
        <is>
          <t>Тип источника света</t>
        </is>
      </c>
      <c r="L18" s="0" t="inlineStr">
        <is>
          <t>Количество ламп</t>
        </is>
      </c>
      <c r="M18" s="0" t="inlineStr">
        <is>
          <t>Мощность, Вт</t>
        </is>
      </c>
      <c r="N18" s="0" t="inlineStr">
        <is>
          <t>Цоколь</t>
        </is>
      </c>
      <c r="O18" s="0" t="inlineStr">
        <is>
          <t>Тип матрицы LED</t>
        </is>
      </c>
      <c r="P18" s="0" t="inlineStr">
        <is>
          <t>Световой поток, лм</t>
        </is>
      </c>
      <c r="Q18" s="0" t="inlineStr">
        <is>
          <t>Цветовая температура, К</t>
        </is>
      </c>
      <c r="R18" s="0" t="inlineStr">
        <is>
          <t>Индекс цветопередачи, Ra ≥</t>
        </is>
      </c>
      <c r="S18" s="0" t="inlineStr">
        <is>
          <t>Степень защиты IP</t>
        </is>
      </c>
      <c r="T18" s="0" t="inlineStr">
        <is>
          <t>Тип КСС</t>
        </is>
      </c>
      <c r="U18" s="0" t="inlineStr">
        <is>
          <t>Срок службы (не менее)</t>
        </is>
      </c>
      <c r="V18" s="0" t="inlineStr">
        <is>
          <t>A</t>
        </is>
      </c>
      <c r="W18" s="0" t="inlineStr">
        <is>
          <t>B</t>
        </is>
      </c>
      <c r="X18" s="0" t="inlineStr">
        <is>
          <t>C</t>
        </is>
      </c>
      <c r="Y18" s="0" t="inlineStr">
        <is>
          <t>D</t>
        </is>
      </c>
      <c r="Z18" s="0" t="inlineStr">
        <is>
          <t>d</t>
        </is>
      </c>
      <c r="AA18" s="0" t="inlineStr">
        <is>
          <t>H</t>
        </is>
      </c>
      <c r="AB18" s="0" t="inlineStr">
        <is>
          <t>Масса нетто, кг</t>
        </is>
      </c>
      <c r="AC18" s="0" t="inlineStr">
        <is>
          <t>Габаритные размеры (изображение)</t>
        </is>
      </c>
      <c r="AD18" s="0" t="inlineStr">
        <is>
          <t>Материал корпуса</t>
        </is>
      </c>
      <c r="AE18" s="0" t="inlineStr">
        <is>
          <t>Материал рассеивателя</t>
        </is>
      </c>
      <c r="AF18" s="0" t="inlineStr">
        <is>
          <t>Конструкция</t>
        </is>
      </c>
      <c r="AG18" s="0" t="inlineStr">
        <is>
          <t>Оптическая часть</t>
        </is>
      </c>
      <c r="AH18" s="0" t="inlineStr">
        <is>
          <t>Дополнительные характеристики</t>
        </is>
      </c>
      <c r="AI18" s="0" t="inlineStr">
        <is>
          <t>Тип ПРА</t>
        </is>
      </c>
      <c r="AJ18" s="0" t="inlineStr">
        <is>
          <t>Класс по мощности</t>
        </is>
      </c>
      <c r="AK18" s="0" t="inlineStr">
        <is>
          <t>cos φ ≥</t>
        </is>
      </c>
      <c r="AL18" s="0" t="inlineStr">
        <is>
          <t>Коэффициент пульсации светового потока (не более), %</t>
        </is>
      </c>
      <c r="AM18" s="0" t="inlineStr">
        <is>
          <t>Номинальный ток, A</t>
        </is>
      </c>
      <c r="AN18" s="0" t="inlineStr">
        <is>
          <t>Диапазон напряжения питания, В от</t>
        </is>
      </c>
      <c r="AO18" s="0" t="inlineStr">
        <is>
          <t>Диапазон напряжения питания, В до</t>
        </is>
      </c>
      <c r="AP18" s="0" t="inlineStr">
        <is>
          <t>Диапазон температуры окружающей среды, °C от</t>
        </is>
      </c>
      <c r="AQ18" s="0" t="inlineStr">
        <is>
          <t>Диапазон температуры окружающей среды, °C до</t>
        </is>
      </c>
      <c r="AR18" s="0" t="inlineStr">
        <is>
          <t>Климатическое исполнение</t>
        </is>
      </c>
      <c r="AS18" s="0" t="inlineStr">
        <is>
          <t>Тип упаковки</t>
        </is>
      </c>
      <c r="AT18" s="0" t="inlineStr">
        <is>
          <t>Индивидуальная упаковка</t>
        </is>
      </c>
      <c r="AU18" s="0" t="inlineStr">
        <is>
          <t>Объем 1 шт., м³</t>
        </is>
      </c>
      <c r="AV18" s="0" t="inlineStr">
        <is>
          <t>Масса брутто 1 шт., кг</t>
        </is>
      </c>
      <c r="AW18" s="0" t="inlineStr">
        <is>
          <t>Кол-во в упаковке, шт.</t>
        </is>
      </c>
      <c r="AX18" s="0" t="inlineStr">
        <is>
          <t>A уп.</t>
        </is>
      </c>
      <c r="AY18" s="0" t="inlineStr">
        <is>
          <t>B уп.</t>
        </is>
      </c>
      <c r="AZ18" s="0" t="inlineStr">
        <is>
          <t>C уп.</t>
        </is>
      </c>
      <c r="BA18" s="0" t="inlineStr">
        <is>
          <t>Объём упаковки, м³</t>
        </is>
      </c>
      <c r="BB18" s="0" t="inlineStr">
        <is>
          <t>Масса упаковки, кг</t>
        </is>
      </c>
      <c r="BC18" s="0" t="inlineStr">
        <is>
          <t>Штрих код упаковки</t>
        </is>
      </c>
      <c r="BD18" s="0" t="inlineStr">
        <is>
          <t>Доп. изображения</t>
        </is>
      </c>
      <c r="BE18" s="0" t="inlineStr">
        <is>
          <t>Ссылка на товар на сайте</t>
        </is>
      </c>
      <c r="BF18" s="0" t="inlineStr">
        <is>
          <t>Сертификат соответствия</t>
        </is>
      </c>
      <c r="BG18" s="0" t="inlineStr">
        <is>
          <t>Технический паспорт</t>
        </is>
      </c>
      <c r="BH18" s="0" t="inlineStr">
        <is>
          <t>*.ies файл для Dialux</t>
        </is>
      </c>
      <c r="BI18" s="0" t="inlineStr">
        <is>
          <t>Кол-во свободно</t>
        </is>
      </c>
      <c r="BJ18" s="0" t="inlineStr">
        <is>
          <t>Прайс-лист распродажи</t>
        </is>
      </c>
    </row>
    <row r="19">
      <c r="A19" s="0" t="inlineStr">
        <is>
          <t>R100088</t>
        </is>
      </c>
      <c r="B19" s="0" t="inlineStr">
        <is>
          <t>Уличный консольный светильник RSV-STP-50-6500K-IP66</t>
        </is>
      </c>
      <c r="C19" s="0" t="inlineStr">
        <is>
          <t>Уличное освещение RSV</t>
        </is>
      </c>
      <c r="D19" s="0" t="n">
        <v>4630046423578</v>
      </c>
      <c r="E19" s="0" t="inlineStr">
        <is>
          <t>http://darion-svet.com/web/binary/image?model=product.product&amp;id=20623&amp;field=image</t>
        </is>
      </c>
      <c r="F19" s="0" t="n">
        <v>2</v>
      </c>
      <c r="G19" s="0" t="inlineStr">
        <is>
          <t>Китай</t>
        </is>
      </c>
      <c r="H19" s="0" t="inlineStr">
        <is>
          <t>RSV</t>
        </is>
      </c>
      <c r="I19" s="0" t="inlineStr">
        <is>
          <t>консольный</t>
        </is>
      </c>
      <c r="J19" s="0" t="inlineStr">
        <is>
          <t>улицы (дороги, тротуары)</t>
        </is>
      </c>
      <c r="M19" s="0" t="n">
        <v>50</v>
      </c>
      <c r="O19" s="0" t="inlineStr">
        <is>
          <t>SMD</t>
        </is>
      </c>
      <c r="P19" s="0" t="n">
        <v>5000</v>
      </c>
      <c r="Q19" s="0" t="n">
        <v>6500</v>
      </c>
      <c r="R19" s="0" t="n">
        <v>80</v>
      </c>
      <c r="S19" s="0" t="n">
        <v>66</v>
      </c>
      <c r="T19" s="0" t="inlineStr">
        <is>
          <t>Д</t>
        </is>
      </c>
      <c r="U19" s="0" t="inlineStr">
        <is>
          <t>40000 ч.</t>
        </is>
      </c>
      <c r="AD19" s="0" t="inlineStr">
        <is>
          <t>алюминий</t>
        </is>
      </c>
      <c r="AE19" s="0" t="inlineStr">
        <is>
          <t>поликарбонат</t>
        </is>
      </c>
      <c r="AI19" s="0" t="inlineStr">
        <is>
          <t>LED-driver</t>
        </is>
      </c>
      <c r="AJ19" s="0" t="inlineStr">
        <is>
          <t>A</t>
        </is>
      </c>
      <c r="AK19" s="0" t="n">
        <v>0.97</v>
      </c>
      <c r="AL19" s="0" t="n">
        <v>1</v>
      </c>
      <c r="AN19" s="0" t="n">
        <v>85</v>
      </c>
      <c r="AO19" s="0" t="n">
        <v>265</v>
      </c>
      <c r="AP19" s="0" t="n">
        <v>-40</v>
      </c>
      <c r="AQ19" s="0" t="n">
        <v>50</v>
      </c>
      <c r="AR19" s="0" t="inlineStr">
        <is>
          <t>УХЛ1</t>
        </is>
      </c>
      <c r="AS19" s="0" t="inlineStr">
        <is>
          <t>Картон</t>
        </is>
      </c>
      <c r="AU19" s="0" t="n">
        <v>0.00056</v>
      </c>
      <c r="AV19" s="0" t="n">
        <v>1.15</v>
      </c>
      <c r="AW19" s="0" t="n">
        <v>20</v>
      </c>
      <c r="AX19" s="0" t="n">
        <v>400</v>
      </c>
      <c r="AY19" s="0" t="n">
        <v>150</v>
      </c>
      <c r="AZ19" s="0" t="n">
        <v>65</v>
      </c>
      <c r="BA19" s="0" t="n">
        <v>0.0111</v>
      </c>
      <c r="BB19" s="0" t="n">
        <v>23</v>
      </c>
      <c r="BC19" s="0" t="n">
        <v>14630046423575</v>
      </c>
      <c r="BE19" s="0" t="inlineStr">
        <is>
          <t>http://darion-svet.com/shop/product/r100088-rsv-stp-50-6500k-ip66</t>
        </is>
      </c>
      <c r="BI19" s="0" t="n">
        <v>3</v>
      </c>
      <c r="BJ19" s="0" t="n">
        <v>1350</v>
      </c>
    </row>
    <row r="20">
      <c r="A20" s="0" t="inlineStr">
        <is>
          <t>R100089</t>
        </is>
      </c>
      <c r="B20" s="0" t="inlineStr">
        <is>
          <t>Уличный консольный светильник RSV-STP-100-6500K-IP66</t>
        </is>
      </c>
      <c r="C20" s="0" t="inlineStr">
        <is>
          <t>Уличное освещение RSV</t>
        </is>
      </c>
      <c r="D20" s="0" t="n">
        <v>4630046423585</v>
      </c>
      <c r="E20" s="0" t="inlineStr">
        <is>
          <t>http://darion-svet.com/web/binary/image?model=product.product&amp;id=20624&amp;field=image</t>
        </is>
      </c>
      <c r="F20" s="0" t="n">
        <v>2</v>
      </c>
      <c r="G20" s="0" t="inlineStr">
        <is>
          <t>Китай</t>
        </is>
      </c>
      <c r="H20" s="0" t="inlineStr">
        <is>
          <t>RSV</t>
        </is>
      </c>
      <c r="I20" s="0" t="inlineStr">
        <is>
          <t>консольный</t>
        </is>
      </c>
      <c r="J20" s="0" t="inlineStr">
        <is>
          <t>улицы (дороги, тротуары)</t>
        </is>
      </c>
      <c r="M20" s="0" t="n">
        <v>100</v>
      </c>
      <c r="O20" s="0" t="inlineStr">
        <is>
          <t>SMD</t>
        </is>
      </c>
      <c r="P20" s="0" t="n">
        <v>10000</v>
      </c>
      <c r="Q20" s="0" t="n">
        <v>6500</v>
      </c>
      <c r="R20" s="0" t="n">
        <v>80</v>
      </c>
      <c r="S20" s="0" t="n">
        <v>66</v>
      </c>
      <c r="T20" s="0" t="inlineStr">
        <is>
          <t>Д</t>
        </is>
      </c>
      <c r="U20" s="0" t="inlineStr">
        <is>
          <t>40000 ч.</t>
        </is>
      </c>
      <c r="AD20" s="0" t="inlineStr">
        <is>
          <t>алюминий</t>
        </is>
      </c>
      <c r="AE20" s="0" t="inlineStr">
        <is>
          <t>поликарбонат</t>
        </is>
      </c>
      <c r="AI20" s="0" t="inlineStr">
        <is>
          <t>LED-driver</t>
        </is>
      </c>
      <c r="AJ20" s="0" t="inlineStr">
        <is>
          <t>A</t>
        </is>
      </c>
      <c r="AK20" s="0" t="n">
        <v>0.97</v>
      </c>
      <c r="AL20" s="0" t="n">
        <v>1</v>
      </c>
      <c r="AN20" s="0" t="n">
        <v>85</v>
      </c>
      <c r="AO20" s="0" t="n">
        <v>265</v>
      </c>
      <c r="AP20" s="0" t="n">
        <v>-40</v>
      </c>
      <c r="AQ20" s="0" t="n">
        <v>50</v>
      </c>
      <c r="AR20" s="0" t="inlineStr">
        <is>
          <t>УХЛ1</t>
        </is>
      </c>
      <c r="AS20" s="0" t="inlineStr">
        <is>
          <t>Картон</t>
        </is>
      </c>
      <c r="AU20" s="0" t="n">
        <v>0.0073</v>
      </c>
      <c r="AV20" s="0" t="n">
        <v>1.45</v>
      </c>
      <c r="AW20" s="0" t="n">
        <v>10</v>
      </c>
      <c r="AX20" s="0" t="n">
        <v>465</v>
      </c>
      <c r="AY20" s="0" t="n">
        <v>165</v>
      </c>
      <c r="AZ20" s="0" t="n">
        <v>65</v>
      </c>
      <c r="BA20" s="0" t="n">
        <v>0.073</v>
      </c>
      <c r="BB20" s="0" t="n">
        <v>14.5</v>
      </c>
      <c r="BC20" s="0" t="n">
        <v>14630046423582</v>
      </c>
      <c r="BE20" s="0" t="inlineStr">
        <is>
          <t>http://darion-svet.com/shop/product/r100089-rsv-stp-100-6500k-ip66</t>
        </is>
      </c>
      <c r="BI20" s="0" t="n">
        <v>0</v>
      </c>
      <c r="BJ20" s="0" t="n">
        <v>0</v>
      </c>
    </row>
    <row r="21">
      <c r="A21" s="0" t="inlineStr">
        <is>
          <t>R100284</t>
        </is>
      </c>
      <c r="B21" s="0" t="inlineStr">
        <is>
          <t>Уличный консольный светильник RSV-STP-150-6500K-IP66</t>
        </is>
      </c>
      <c r="C21" s="0" t="inlineStr">
        <is>
          <t>Уличное освещение RSV</t>
        </is>
      </c>
      <c r="D21" s="0" t="n">
        <v>4680046806444</v>
      </c>
      <c r="E21" s="0" t="inlineStr">
        <is>
          <t>http://darion-svet.com/web/binary/image?model=product.product&amp;id=20625&amp;field=image</t>
        </is>
      </c>
      <c r="F21" s="0" t="n">
        <v>2</v>
      </c>
      <c r="G21" s="0" t="inlineStr">
        <is>
          <t>Китай</t>
        </is>
      </c>
      <c r="H21" s="0" t="inlineStr">
        <is>
          <t>RSV</t>
        </is>
      </c>
      <c r="I21" s="0" t="inlineStr">
        <is>
          <t>консольный</t>
        </is>
      </c>
      <c r="J21" s="0" t="inlineStr">
        <is>
          <t>улицы (дороги, тротуары)</t>
        </is>
      </c>
      <c r="M21" s="0" t="n">
        <v>150</v>
      </c>
      <c r="O21" s="0" t="inlineStr">
        <is>
          <t>SMD</t>
        </is>
      </c>
      <c r="P21" s="0" t="n">
        <v>15000</v>
      </c>
      <c r="Q21" s="0" t="n">
        <v>6500</v>
      </c>
      <c r="R21" s="0" t="n">
        <v>80</v>
      </c>
      <c r="S21" s="0" t="n">
        <v>66</v>
      </c>
      <c r="T21" s="0" t="inlineStr">
        <is>
          <t>Д</t>
        </is>
      </c>
      <c r="U21" s="0" t="inlineStr">
        <is>
          <t>40000 ч.</t>
        </is>
      </c>
      <c r="AD21" s="0" t="inlineStr">
        <is>
          <t>алюминий</t>
        </is>
      </c>
      <c r="AE21" s="0" t="inlineStr">
        <is>
          <t>поликарбонат</t>
        </is>
      </c>
      <c r="AI21" s="0" t="inlineStr">
        <is>
          <t>LED-driver</t>
        </is>
      </c>
      <c r="AJ21" s="0" t="inlineStr">
        <is>
          <t>A</t>
        </is>
      </c>
      <c r="AK21" s="0" t="n">
        <v>0.97</v>
      </c>
      <c r="AL21" s="0" t="n">
        <v>1</v>
      </c>
      <c r="AN21" s="0" t="n">
        <v>85</v>
      </c>
      <c r="AO21" s="0" t="n">
        <v>265</v>
      </c>
      <c r="AP21" s="0" t="n">
        <v>-40</v>
      </c>
      <c r="AQ21" s="0" t="n">
        <v>50</v>
      </c>
      <c r="AR21" s="0" t="inlineStr">
        <is>
          <t>УХЛ1</t>
        </is>
      </c>
      <c r="AS21" s="0" t="inlineStr">
        <is>
          <t>Картон</t>
        </is>
      </c>
      <c r="AU21" s="0" t="n">
        <v>0.0146</v>
      </c>
      <c r="AV21" s="0" t="n">
        <v>3.6</v>
      </c>
      <c r="AW21" s="0" t="n">
        <v>5</v>
      </c>
      <c r="AX21" s="0" t="n">
        <v>500</v>
      </c>
      <c r="AY21" s="0" t="n">
        <v>85</v>
      </c>
      <c r="AZ21" s="0" t="n">
        <v>68</v>
      </c>
      <c r="BA21" s="0" t="n">
        <v>0.073</v>
      </c>
      <c r="BB21" s="0" t="n">
        <v>18</v>
      </c>
      <c r="BC21" s="0" t="n">
        <v>14680046806441</v>
      </c>
      <c r="BE21" s="0" t="inlineStr">
        <is>
          <t>http://darion-svet.com/shop/product/r100284-rsv-stp-150-6500k-ip66</t>
        </is>
      </c>
      <c r="BI21" s="0" t="n">
        <v>3</v>
      </c>
      <c r="BJ21" s="0" t="n">
        <v>1640</v>
      </c>
    </row>
    <row r="22">
      <c r="A22" s="0" t="inlineStr">
        <is>
          <t>R100700</t>
        </is>
      </c>
      <c r="B22" s="0" t="inlineStr">
        <is>
          <t>Уличный консольный светильник RSV-STP-100-6500K-IP65 Promo</t>
        </is>
      </c>
      <c r="C22" s="0" t="inlineStr">
        <is>
          <t>Уличное освещение RSV</t>
        </is>
      </c>
      <c r="V22" s="0" t="n">
        <v>470</v>
      </c>
      <c r="W22" s="0" t="n">
        <v>150</v>
      </c>
      <c r="X22" s="0" t="n">
        <v>55</v>
      </c>
      <c r="AU22" s="0" t="n">
        <v>0.005</v>
      </c>
      <c r="AV22" s="0" t="n">
        <v>0.55</v>
      </c>
      <c r="AW22" s="0" t="n">
        <v>20</v>
      </c>
      <c r="BA22" s="0" t="n">
        <v>0.1</v>
      </c>
      <c r="BB22" s="0" t="n">
        <v>11</v>
      </c>
      <c r="BI22" s="0" t="n">
        <v>0</v>
      </c>
      <c r="BJ22" s="0" t="n">
        <v>0</v>
      </c>
    </row>
    <row r="23">
      <c r="A23" s="0" t="inlineStr">
        <is>
          <t>Основные характеристики</t>
        </is>
      </c>
      <c r="V23" s="0" t="inlineStr">
        <is>
          <t>Габаритные размеры</t>
        </is>
      </c>
      <c r="AD23" s="0" t="inlineStr">
        <is>
          <t>Дополнительные характеристики</t>
        </is>
      </c>
      <c r="AS23" s="0" t="inlineStr">
        <is>
          <t>Упаковка</t>
        </is>
      </c>
      <c r="BI23" s="0" t="n">
        <v>0</v>
      </c>
      <c r="BJ23" s="0" t="n">
        <v>0</v>
      </c>
    </row>
    <row r="24">
      <c r="A24" s="0" t="inlineStr">
        <is>
          <t>Артикул</t>
        </is>
      </c>
      <c r="B24" s="0" t="inlineStr">
        <is>
          <t>Наименование</t>
        </is>
      </c>
      <c r="C24" s="0" t="inlineStr">
        <is>
          <t>Категория продукции</t>
        </is>
      </c>
      <c r="D24" s="0" t="inlineStr">
        <is>
          <t>Штрих-код EAN 13</t>
        </is>
      </c>
      <c r="E24" s="0" t="inlineStr">
        <is>
          <t>Изображение товара</t>
        </is>
      </c>
      <c r="F24" s="0" t="inlineStr">
        <is>
          <t>Гарантия, лет</t>
        </is>
      </c>
      <c r="G24" s="0" t="inlineStr">
        <is>
          <t>Страна производитель</t>
        </is>
      </c>
      <c r="H24" s="0" t="inlineStr">
        <is>
          <t>Торговая марка</t>
        </is>
      </c>
      <c r="I24" s="0" t="inlineStr">
        <is>
          <t>Способ установки</t>
        </is>
      </c>
      <c r="J24" s="0" t="inlineStr">
        <is>
          <t>Область применения</t>
        </is>
      </c>
      <c r="K24" s="0" t="inlineStr">
        <is>
          <t>Тип источника света</t>
        </is>
      </c>
      <c r="L24" s="0" t="inlineStr">
        <is>
          <t>Количество ламп</t>
        </is>
      </c>
      <c r="M24" s="0" t="inlineStr">
        <is>
          <t>Мощность, Вт</t>
        </is>
      </c>
      <c r="N24" s="0" t="inlineStr">
        <is>
          <t>Цоколь</t>
        </is>
      </c>
      <c r="O24" s="0" t="inlineStr">
        <is>
          <t>Тип матрицы LED</t>
        </is>
      </c>
      <c r="P24" s="0" t="inlineStr">
        <is>
          <t>Световой поток, лм</t>
        </is>
      </c>
      <c r="Q24" s="0" t="inlineStr">
        <is>
          <t>Цветовая температура, К</t>
        </is>
      </c>
      <c r="R24" s="0" t="inlineStr">
        <is>
          <t>Индекс цветопередачи, Ra ≥</t>
        </is>
      </c>
      <c r="S24" s="0" t="inlineStr">
        <is>
          <t>Степень защиты IP</t>
        </is>
      </c>
      <c r="T24" s="0" t="inlineStr">
        <is>
          <t>Тип КСС</t>
        </is>
      </c>
      <c r="U24" s="0" t="inlineStr">
        <is>
          <t>Срок службы (не менее)</t>
        </is>
      </c>
      <c r="V24" s="0" t="inlineStr">
        <is>
          <t>A</t>
        </is>
      </c>
      <c r="W24" s="0" t="inlineStr">
        <is>
          <t>B</t>
        </is>
      </c>
      <c r="X24" s="0" t="inlineStr">
        <is>
          <t>C</t>
        </is>
      </c>
      <c r="Y24" s="0" t="inlineStr">
        <is>
          <t>D</t>
        </is>
      </c>
      <c r="Z24" s="0" t="inlineStr">
        <is>
          <t>d</t>
        </is>
      </c>
      <c r="AA24" s="0" t="inlineStr">
        <is>
          <t>H</t>
        </is>
      </c>
      <c r="AB24" s="0" t="inlineStr">
        <is>
          <t>Масса нетто, кг</t>
        </is>
      </c>
      <c r="AC24" s="0" t="inlineStr">
        <is>
          <t>Габаритные размеры (изображение)</t>
        </is>
      </c>
      <c r="AD24" s="0" t="inlineStr">
        <is>
          <t>Материал корпуса</t>
        </is>
      </c>
      <c r="AE24" s="0" t="inlineStr">
        <is>
          <t>Материал рассеивателя</t>
        </is>
      </c>
      <c r="AF24" s="0" t="inlineStr">
        <is>
          <t>Конструкция</t>
        </is>
      </c>
      <c r="AG24" s="0" t="inlineStr">
        <is>
          <t>Оптическая часть</t>
        </is>
      </c>
      <c r="AH24" s="0" t="inlineStr">
        <is>
          <t>Дополнительные характеристики</t>
        </is>
      </c>
      <c r="AI24" s="0" t="inlineStr">
        <is>
          <t>Тип ПРА</t>
        </is>
      </c>
      <c r="AJ24" s="0" t="inlineStr">
        <is>
          <t>Класс по мощности</t>
        </is>
      </c>
      <c r="AK24" s="0" t="inlineStr">
        <is>
          <t>cos φ ≥</t>
        </is>
      </c>
      <c r="AL24" s="0" t="inlineStr">
        <is>
          <t>Коэффициент пульсации светового потока (не более), %</t>
        </is>
      </c>
      <c r="AM24" s="0" t="inlineStr">
        <is>
          <t>Номинальный ток, A</t>
        </is>
      </c>
      <c r="AN24" s="0" t="inlineStr">
        <is>
          <t>Диапазон напряжения питания, В от</t>
        </is>
      </c>
      <c r="AO24" s="0" t="inlineStr">
        <is>
          <t>Диапазон напряжения питания, В до</t>
        </is>
      </c>
      <c r="AP24" s="0" t="inlineStr">
        <is>
          <t>Диапазон температуры окружающей среды, °C от</t>
        </is>
      </c>
      <c r="AQ24" s="0" t="inlineStr">
        <is>
          <t>Диапазон температуры окружающей среды, °C до</t>
        </is>
      </c>
      <c r="AR24" s="0" t="inlineStr">
        <is>
          <t>Климатическое исполнение</t>
        </is>
      </c>
      <c r="AS24" s="0" t="inlineStr">
        <is>
          <t>Тип упаковки</t>
        </is>
      </c>
      <c r="AT24" s="0" t="inlineStr">
        <is>
          <t>Индивидуальная упаковка</t>
        </is>
      </c>
      <c r="AU24" s="0" t="inlineStr">
        <is>
          <t>Объем 1 шт., м³</t>
        </is>
      </c>
      <c r="AV24" s="0" t="inlineStr">
        <is>
          <t>Масса брутто 1 шт., кг</t>
        </is>
      </c>
      <c r="AW24" s="0" t="inlineStr">
        <is>
          <t>Кол-во в упаковке, шт.</t>
        </is>
      </c>
      <c r="AX24" s="0" t="inlineStr">
        <is>
          <t>A уп.</t>
        </is>
      </c>
      <c r="AY24" s="0" t="inlineStr">
        <is>
          <t>B уп.</t>
        </is>
      </c>
      <c r="AZ24" s="0" t="inlineStr">
        <is>
          <t>C уп.</t>
        </is>
      </c>
      <c r="BA24" s="0" t="inlineStr">
        <is>
          <t>Объём упаковки, м³</t>
        </is>
      </c>
      <c r="BB24" s="0" t="inlineStr">
        <is>
          <t>Масса упаковки, кг</t>
        </is>
      </c>
      <c r="BC24" s="0" t="inlineStr">
        <is>
          <t>Штрих код упаковки</t>
        </is>
      </c>
      <c r="BD24" s="0" t="inlineStr">
        <is>
          <t>Доп. изображения</t>
        </is>
      </c>
      <c r="BE24" s="0" t="inlineStr">
        <is>
          <t>Ссылка на товар на сайте</t>
        </is>
      </c>
      <c r="BF24" s="0" t="inlineStr">
        <is>
          <t>Сертификат соответствия</t>
        </is>
      </c>
      <c r="BG24" s="0" t="inlineStr">
        <is>
          <t>Технический паспорт</t>
        </is>
      </c>
      <c r="BH24" s="0" t="inlineStr">
        <is>
          <t>*.ies файл для Dialux</t>
        </is>
      </c>
      <c r="BI24" s="0" t="inlineStr">
        <is>
          <t>Кол-во свободно</t>
        </is>
      </c>
      <c r="BJ24" s="0" t="inlineStr">
        <is>
          <t>Прайс-лист распродажи</t>
        </is>
      </c>
    </row>
    <row r="25">
      <c r="A25" s="0" t="inlineStr">
        <is>
          <t>V1001</t>
        </is>
      </c>
      <c r="B25" s="0" t="inlineStr">
        <is>
          <t>Светодиодный светильник Virona 32Вт Универсальный (VRN-UN-32-G50K67-U)</t>
        </is>
      </c>
      <c r="C25" s="0" t="inlineStr">
        <is>
          <t>Универсал</t>
        </is>
      </c>
      <c r="E25" s="0" t="inlineStr">
        <is>
          <t>http://darion-svet.com/web/binary/image?model=product.product&amp;id=18073&amp;field=image</t>
        </is>
      </c>
      <c r="F25" s="0" t="n">
        <v>5</v>
      </c>
      <c r="G25" s="0" t="inlineStr">
        <is>
          <t>Российская Федерация</t>
        </is>
      </c>
      <c r="H25" s="0" t="inlineStr">
        <is>
          <t>VIRONA</t>
        </is>
      </c>
      <c r="I25" s="0" t="inlineStr">
        <is>
          <t>консольный; на лиру; подвесной</t>
        </is>
      </c>
      <c r="J25" s="0" t="inlineStr">
        <is>
          <t>улицы (дороги, тротуары); промышленные помещения, склады и цеха</t>
        </is>
      </c>
      <c r="M25" s="0" t="n">
        <v>32</v>
      </c>
      <c r="O25" s="0" t="inlineStr">
        <is>
          <t>SMD</t>
        </is>
      </c>
      <c r="P25" s="0" t="n">
        <v>5120</v>
      </c>
      <c r="Q25" s="0" t="n">
        <v>5000</v>
      </c>
      <c r="R25" s="0" t="n">
        <v>80</v>
      </c>
      <c r="S25" s="0" t="n">
        <v>67</v>
      </c>
      <c r="T25" s="0" t="inlineStr">
        <is>
          <t>Д</t>
        </is>
      </c>
      <c r="U25" s="0" t="inlineStr">
        <is>
          <t>100 000 ч.</t>
        </is>
      </c>
      <c r="V25" s="0" t="n">
        <v>220</v>
      </c>
      <c r="W25" s="0" t="n">
        <v>100</v>
      </c>
      <c r="X25" s="0" t="n">
        <v>98</v>
      </c>
      <c r="AB25" s="0" t="n">
        <v>1.05</v>
      </c>
      <c r="AD25" s="0" t="inlineStr">
        <is>
          <t>алюминиевый профиль</t>
        </is>
      </c>
      <c r="AE25" s="0" t="inlineStr">
        <is>
          <t>стекло</t>
        </is>
      </c>
      <c r="AG25" s="0" t="inlineStr">
        <is>
          <t>прозрачный рассеиватель</t>
        </is>
      </c>
      <c r="AH25" s="0" t="inlineStr">
        <is>
          <t xml:space="preserve">Светодиодный светильник Virona 32Вт Универсальный (VRN-UN-32-G50K67-U)
Наши покупатели часто задают вопросы и сравнивают светильники Virona с недорогими прожекторами. Действительно, зачем платить дороже? Давайте посмотрим..
Предлагаем сравнить:
прожектор Китай 30 Вт
vs
светильник Virona 32Вт VRN-UN-32-G50K67-U.
Сколько света даёт светильник?
Прожекторы производства Китай мощностью 30 Вт  - световой поток 2400 люмен.
vs
Светильник VRN-UN-32-G50K67-U мощностью 32 Вт - светового потока 5120 люмен.
Один светильник Virona VRN-UN-32-G50K67-U по количеству света заменяет два прожектора китайского производства такой же мощности. Это значит, что потребление электроэнергии будет в 2 раза меньше при той же освещенности площади или объекта.
(Картинка: с одной стороны площадка и три мачты освещения с лучами и световым пятном на площадке, с другой стороны одна мачта с вироной, с одним лучем дающим такое же световое пятно). 
Важные показатели при выборе светильника.
Когда светильник работает он потребляет электричество и даёт свет.
Мощность - измеряется в Ваттах (Вт), это сколько мы будем платить за электроэнергию.
Световой поток - измеряется в люменах (лм), это сколько мы получим света.
Если разделим лм на Вт, то узнаем сколько получим света на 1 Вт расхода электричества или энергоэффективность, измеряется в лм/Вт.
световой поток (лм) / мощность (Вт) = энергоэффективность (лм/Вт)
Высокий показатель энергоэффективности говорит о том, что при производстве светильника использовались качественные компоненты: светодиоды и драйверы.
Рассчитаем энергоэффективность для
обычного прожектора производства Китай 2400 лм, 30 Вт:
2400 лм / 30 Вт = 80 лм/Вт
vs
Светильника VRN-UN-32-G50K67-U, 5120 лм, 32 Вт:
5120 лм / 32 Вт = 160 лм/Вт
Очевидно, прожектор имеет меньший показатель энергоэффективности в 2 раза.
Наш опыт говорит о том, что это из-за менее качественных комплектующих.
На что влияет?
срок службы,
качество светового потока,
комфорт в эксплуатации.
Обычно прожекторы из Китая имеют мерцающий световой поток. Это не видно невооруженным взглядом, но плохо сказывается на зрении и самочувствии человека.
(Картинка: та же самая, если удастся показать менее качественный световой поток, мерцание и тп и более ровный световой поток у Вироны)
Гарантия. Срок службы. Замена светильников. Дополнительные расходы
Доступные прожекторы производства Китай
Гарантия 2 года,
срок службы 30 000 часов, или 2-4 года.
Т.е. мы будем менять светильник 3-4 раза за 10 лет.
Поэтому будем тратить:
❌ деньги на приобретение новых светильников,
❌ деньги или время на монтаж/демонтаж вышедшего из строя оборудования,
❌ время на покупку и обслуживание,
❌ внимание, силы на казалось бы решенный вопрос.
Virona VRN-UN-32-G50K67-U
Гарантия 5 лет,
срок службы 100 000 часов, или 10 лет.
Решаем вопрос освещения один раз и надолго. Заплатив один раз за качество, решаем вопрос в горизонте 10 лет, получаем:
✔️ экономию расходов на электричество (минимум в 2 раза),
✔️ экономию времени на покупку светильника взамен перегоревшего,
✔️ экономию расходов на монтаж-демонтаж перегоревшего светильника,
✔️ получаем лучшее качества света без мерцаний (комфорт),
✔️ чувствуем себя лучше и тратим больше времени и сил на любимые дела.
Мы рады любому выбору покупателя. Если вы прочитали до конца и решили купить светильник Virona - дополнительная скидку 3%.
</t>
        </is>
      </c>
      <c r="AI25" s="0" t="inlineStr">
        <is>
          <t>LED-driver</t>
        </is>
      </c>
      <c r="AK25" s="0" t="n">
        <v>0.95</v>
      </c>
      <c r="AL25" s="0" t="n">
        <v>1</v>
      </c>
      <c r="AN25" s="0" t="n">
        <v>176</v>
      </c>
      <c r="AO25" s="0" t="n">
        <v>264</v>
      </c>
      <c r="AP25" s="0" t="n">
        <v>-60</v>
      </c>
      <c r="AQ25" s="0" t="n">
        <v>50</v>
      </c>
      <c r="AS25" s="0" t="inlineStr">
        <is>
          <t>Картон</t>
        </is>
      </c>
      <c r="AT25" s="0" t="inlineStr">
        <is>
          <t>Да</t>
        </is>
      </c>
      <c r="AU25" s="0" t="n">
        <v>0.00403</v>
      </c>
      <c r="AV25" s="0" t="n">
        <v>0.098</v>
      </c>
      <c r="AW25" s="0" t="n">
        <v>1</v>
      </c>
      <c r="AX25" s="0" t="n">
        <v>250</v>
      </c>
      <c r="AY25" s="0" t="n">
        <v>115</v>
      </c>
      <c r="AZ25" s="0" t="n">
        <v>140</v>
      </c>
      <c r="BA25" s="0" t="n">
        <v>0.00403</v>
      </c>
      <c r="BB25" s="0" t="n">
        <v>0.098</v>
      </c>
      <c r="BD25" s="0" t="inlineStr">
        <is>
          <t>http://darion-svet.com/web/binary/saveas_archive?model=product.picture&amp;ids=[1608, 1907]&amp;field=image&amp;name_field=name&amp;archive_name=V1001_image</t>
        </is>
      </c>
      <c r="BE25" s="0" t="inlineStr">
        <is>
          <t>http://darion-svet.com/shop/product/v1001-vrn-un-32-g50k67-u-32vt-universalnyij</t>
        </is>
      </c>
      <c r="BF25" s="0" t="inlineStr">
        <is>
          <t>http://darion-svet.com/web/binary/saveas?model=product.product&amp;field=conformity_cert&amp;filename_field=conformity_cert_filename&amp;id=18073</t>
        </is>
      </c>
      <c r="BG25" s="0" t="inlineStr">
        <is>
          <t>http://darion-svet.com/web/binary/saveas?model=product.product&amp;field=datasheet&amp;filename_field=datasheet_filename&amp;id=18073</t>
        </is>
      </c>
      <c r="BI25" s="0" t="n">
        <v>0</v>
      </c>
      <c r="BJ25" s="0" t="n">
        <v>0</v>
      </c>
    </row>
    <row r="26">
      <c r="A26" s="0" t="inlineStr">
        <is>
          <t>V1002</t>
        </is>
      </c>
      <c r="B26" s="0" t="inlineStr">
        <is>
          <t>Светодиодный светильник Virona 32Вт Консольный (VRN-UN-32-G50K67-K)</t>
        </is>
      </c>
      <c r="C26" s="0" t="inlineStr">
        <is>
          <t>Универсал</t>
        </is>
      </c>
      <c r="E26" s="0" t="inlineStr">
        <is>
          <t>http://darion-svet.com/web/binary/image?model=product.product&amp;id=18079&amp;field=image</t>
        </is>
      </c>
      <c r="F26" s="0" t="n">
        <v>5</v>
      </c>
      <c r="G26" s="0" t="inlineStr">
        <is>
          <t>Российская Федерация</t>
        </is>
      </c>
      <c r="H26" s="0" t="inlineStr">
        <is>
          <t>VIRONA</t>
        </is>
      </c>
      <c r="I26" s="0" t="inlineStr">
        <is>
          <t>консольный</t>
        </is>
      </c>
      <c r="J26" s="0" t="inlineStr">
        <is>
          <t>магистрали и дороги</t>
        </is>
      </c>
      <c r="M26" s="0" t="n">
        <v>32</v>
      </c>
      <c r="O26" s="0" t="inlineStr">
        <is>
          <t>SMD</t>
        </is>
      </c>
      <c r="P26" s="0" t="n">
        <v>5120</v>
      </c>
      <c r="Q26" s="0" t="n">
        <v>5000</v>
      </c>
      <c r="R26" s="0" t="n">
        <v>80</v>
      </c>
      <c r="S26" s="0" t="n">
        <v>67</v>
      </c>
      <c r="T26" s="0" t="inlineStr">
        <is>
          <t>Д</t>
        </is>
      </c>
      <c r="U26" s="0" t="inlineStr">
        <is>
          <t>100 000 ч.</t>
        </is>
      </c>
      <c r="V26" s="0" t="n">
        <v>238</v>
      </c>
      <c r="W26" s="0" t="n">
        <v>100</v>
      </c>
      <c r="X26" s="0" t="n">
        <v>130</v>
      </c>
      <c r="AB26" s="0" t="n">
        <v>1</v>
      </c>
      <c r="AD26" s="0" t="inlineStr">
        <is>
          <t>алюминиевый профиль</t>
        </is>
      </c>
      <c r="AE26" s="0" t="inlineStr">
        <is>
          <t>стекло</t>
        </is>
      </c>
      <c r="AG26" s="0" t="inlineStr">
        <is>
          <t>прозрачный рассеиватель</t>
        </is>
      </c>
      <c r="AH26" s="0" t="inlineStr">
        <is>
          <t>Светодиодный светильник Virona 32Вт Консольный (VRN-UN-32-G50K67-K)
Наши покупатели часто задают вопросы и сравнивают светильники Virona с недорогими прожекторами. Действительно, зачем платить дороже? 
Давайте посмотрим..
Предлагаем сравнить:
консольный светильник Китай 70 W
vs
Светильник Virona 32Вт VRN-UN-32-G50K67-K.
Широкая линейка выбора
Если сравнить линейку выбора по мощности светильника то мы увидим, что Virona предлагает нам сделать более точный выбор. В линейке данной марки представлены светильники мощностью: 32, 48,62,80, 96,124 Ватт. 
В то время как более дешевые типичные консольники производства Китая зачастую ограничены выбором из 3 вариантов: 70, 100, 120 Вт. Поэтому в данной статье мы сравниваем 32Вт светильник с 70Вт, и на самом деле эти светильники сопоставимы друг с другом, если мы взглянем на световой поток.
Сколько света даёт светильник?
Прожекторы производства Китай мощностью 70 Вт  - световой поток 6700 люмен.
vs
Светильник VRN-UN-32-G50K67-K мощностью 32 Вт - светового потока 5120 люмен.
Один светильник Virona VRN-UN-32-G50K67-K мощностью 32 Ватта дает почти столько же светового потока, сколько типичный китайский консольный светильник в два раза большей мощности 70 Вт. Это значит, что потребление электроэнергии при использовании светильника Virona будет в 2 раза меньше при той же освещенности площади или объекта.
Важные показатели при выборе светильника.
Когда светильник работает он потребляет электричество и даёт свет.
Мощность - измеряется в Ваттах (Вт), это сколько мы будем платить за электроэнергию.
Световой поток - измеряется в люменах (лм), это сколько мы получим света.
Если разделим лм на Вт, то узнаем сколько получим света на 1 Вт расхода электричества или энергоэффективность, измеряется в лм/Вт.
световой поток (лм) / мощность (Вт) = энергоэффективность (лм/Вт)
Высокий показатель энергоэффективности говорит о том, что при производстве светильника использовались качественные компоненты: светодиоды и драйверы.
Рассчитаем энергоэффективность для
обычного прожектора производства Китай 6700 лм, 70 Вт:
6700 лм / 70 Вт = 96 лм/Вт
vs
Светильника VRN-UN-32-G50K67-K, 5120 лм, 32 Вт:
5120 лм / 32 Вт = 160 лм/Вт
Очевидно, консольник китайского производства имеет меньший показатель энергоэффективности почти в 2 раза.
Наш опыт говорит о том, что это из-за менее качественных комплектующих.
На что влияет?
срок службы,
качество светового потока,
комфорт в эксплуатации.
Обычно консольники из Китая имеют мерцающий световой поток. Это не видно невооруженным взглядом, но плохо сказывается на зрении и самочувствии человека.
(Картинка: та же самая, если удастся показать менее качественный световой поток, мерцание и тп и более ровный световой поток у Вироны)
Гарантия. Срок службы. Замена светильников. Дополнительные расходы
Доступные прожекторы производства Китай
Гарантия 2 года,
срок службы 50 000 часов, или 5-6 лет.
Т.е. мы будем менять светильник 2 раза за 10 лет.
Поэтому будем тратить:
❌ деньги на приобретение новых светильников,
❌ деньги или время на монтаж/демонтаж вышедшего из строя оборудования,
❌ время на покупку и обслуживание,
❌ внимание, силы на казалось бы решенный вопрос.
Virona VRN-UN-32-G50K67-K
Гарантия 5 лет,
срок службы 100 000 часов, или 10 лет.
Решаем вопрос освещения один раз и надолго. Заплатив один раз за качество, решаем вопрос в горизонте 10 лет, получаем:
✔️ экономию расходов на электричество (минимум в 2 раза),
✔️ экономию времени на покупку светильника взамен перегоревшего,
✔️ экономию расходов на монтаж-демонтаж перегоревшего светильника,
✔️ получаем лучшее качества света без мерцаний (комфорт),
✔️ чувствуем себя лучше и тратим больше времени и сил на любимые дела.
Мы рады любому выбору покупателя. Если вы прочитали до конца и решили купить светильник Virona - согласуем скидку 3%.</t>
        </is>
      </c>
      <c r="AI26" s="0" t="inlineStr">
        <is>
          <t>LED-driver</t>
        </is>
      </c>
      <c r="AK26" s="0" t="n">
        <v>0.95</v>
      </c>
      <c r="AL26" s="0" t="n">
        <v>1</v>
      </c>
      <c r="AN26" s="0" t="n">
        <v>176</v>
      </c>
      <c r="AO26" s="0" t="n">
        <v>264</v>
      </c>
      <c r="AP26" s="0" t="n">
        <v>-60</v>
      </c>
      <c r="AQ26" s="0" t="n">
        <v>50</v>
      </c>
      <c r="AS26" s="0" t="inlineStr">
        <is>
          <t>Картон</t>
        </is>
      </c>
      <c r="AT26" s="0" t="inlineStr">
        <is>
          <t>Да</t>
        </is>
      </c>
      <c r="AU26" s="0" t="n">
        <v>0.00403</v>
      </c>
      <c r="AV26" s="0" t="n">
        <v>0.106</v>
      </c>
      <c r="AW26" s="0" t="n">
        <v>1</v>
      </c>
      <c r="AX26" s="0" t="n">
        <v>250</v>
      </c>
      <c r="AY26" s="0" t="n">
        <v>115</v>
      </c>
      <c r="AZ26" s="0" t="n">
        <v>140</v>
      </c>
      <c r="BA26" s="0" t="n">
        <v>0.00403</v>
      </c>
      <c r="BB26" s="0" t="n">
        <v>0.106</v>
      </c>
      <c r="BD26" s="0" t="inlineStr">
        <is>
          <t>http://darion-svet.com/web/binary/saveas_archive?model=product.picture&amp;ids=[1609, 1907]&amp;field=image&amp;name_field=name&amp;archive_name=V1002_image</t>
        </is>
      </c>
      <c r="BE26" s="0" t="inlineStr">
        <is>
          <t>http://darion-svet.com/shop/product/v1002-vrn-un-32-g50k67-k-32vt-konsolnyij</t>
        </is>
      </c>
      <c r="BF26" s="0" t="inlineStr">
        <is>
          <t>http://darion-svet.com/web/binary/saveas?model=product.product&amp;field=conformity_cert&amp;filename_field=conformity_cert_filename&amp;id=18079</t>
        </is>
      </c>
      <c r="BG26" s="0" t="inlineStr">
        <is>
          <t>http://darion-svet.com/web/binary/saveas?model=product.product&amp;field=datasheet&amp;filename_field=datasheet_filename&amp;id=18079</t>
        </is>
      </c>
      <c r="BI26" s="0" t="n">
        <v>0</v>
      </c>
      <c r="BJ26" s="0" t="n">
        <v>0</v>
      </c>
    </row>
    <row r="27">
      <c r="A27" s="0" t="inlineStr">
        <is>
          <t>V10022</t>
        </is>
      </c>
      <c r="B27" s="0" t="inlineStr">
        <is>
          <t>Светодиодный светильник VRN-UN-26-G50K67-K</t>
        </is>
      </c>
      <c r="C27" s="0" t="inlineStr">
        <is>
          <t>Универсал</t>
        </is>
      </c>
      <c r="E27" s="0" t="inlineStr">
        <is>
          <t>http://darion-svet.com/web/binary/image?model=product.product&amp;id=26873&amp;field=image</t>
        </is>
      </c>
      <c r="G27" s="0" t="inlineStr">
        <is>
          <t>Российская Федерация</t>
        </is>
      </c>
      <c r="H27" s="0" t="inlineStr">
        <is>
          <t>VIRONA</t>
        </is>
      </c>
      <c r="I27" s="0" t="inlineStr">
        <is>
          <t>консольный</t>
        </is>
      </c>
      <c r="J27" s="0" t="inlineStr">
        <is>
          <t>улицы (дороги, тротуары); магистрали и дороги</t>
        </is>
      </c>
      <c r="M27" s="0" t="n">
        <v>26</v>
      </c>
      <c r="O27" s="0" t="inlineStr">
        <is>
          <t>SMD</t>
        </is>
      </c>
      <c r="P27" s="0" t="n">
        <v>4160</v>
      </c>
      <c r="Q27" s="0" t="n">
        <v>5000</v>
      </c>
      <c r="R27" s="0" t="n">
        <v>80</v>
      </c>
      <c r="S27" s="0" t="n">
        <v>67</v>
      </c>
      <c r="T27" s="0" t="inlineStr">
        <is>
          <t>Д</t>
        </is>
      </c>
      <c r="U27" s="0" t="inlineStr">
        <is>
          <t>100 000 ч.</t>
        </is>
      </c>
      <c r="V27" s="0" t="n">
        <v>225</v>
      </c>
      <c r="W27" s="0" t="n">
        <v>100</v>
      </c>
      <c r="X27" s="0" t="n">
        <v>120</v>
      </c>
      <c r="AB27" s="0" t="n">
        <v>1</v>
      </c>
      <c r="AD27" s="0" t="inlineStr">
        <is>
          <t>алюминиевый профиль</t>
        </is>
      </c>
      <c r="AE27" s="0" t="inlineStr">
        <is>
          <t>полимерный материал</t>
        </is>
      </c>
      <c r="AH27" s="0" t="inlineStr">
        <is>
          <t>Светодиоды Samsung LH351</t>
        </is>
      </c>
      <c r="AI27" s="0" t="inlineStr">
        <is>
          <t>LED-driver</t>
        </is>
      </c>
      <c r="AK27" s="0" t="n">
        <v>0.95</v>
      </c>
      <c r="AL27" s="0" t="n">
        <v>1</v>
      </c>
      <c r="AN27" s="0" t="n">
        <v>176</v>
      </c>
      <c r="AO27" s="0" t="n">
        <v>264</v>
      </c>
      <c r="AP27" s="0" t="n">
        <v>-60</v>
      </c>
      <c r="AQ27" s="0" t="n">
        <v>50</v>
      </c>
      <c r="AS27" s="0" t="inlineStr">
        <is>
          <t>Картон</t>
        </is>
      </c>
      <c r="AT27" s="0" t="inlineStr">
        <is>
          <t>Да</t>
        </is>
      </c>
      <c r="AW27" s="0" t="n">
        <v>1</v>
      </c>
      <c r="AX27" s="0" t="n">
        <v>250</v>
      </c>
      <c r="AY27" s="0" t="n">
        <v>115</v>
      </c>
      <c r="AZ27" s="0" t="n">
        <v>140</v>
      </c>
      <c r="BE27" s="0" t="inlineStr">
        <is>
          <t>http://darion-svet.com/shop/product/v10022-vrn-un-26-g50k67-k</t>
        </is>
      </c>
      <c r="BI27" s="0" t="n">
        <v>0</v>
      </c>
      <c r="BJ27" s="0" t="n">
        <v>0</v>
      </c>
    </row>
    <row r="28">
      <c r="A28" s="0" t="inlineStr">
        <is>
          <t>V1003</t>
        </is>
      </c>
      <c r="B28" s="0" t="inlineStr">
        <is>
          <t>Светодиодный светильник Virona 64Вт Универсальный (VRN-UN-64D-G50K67-U)</t>
        </is>
      </c>
      <c r="C28" s="0" t="inlineStr">
        <is>
          <t>Универсал</t>
        </is>
      </c>
      <c r="E28" s="0" t="inlineStr">
        <is>
          <t>http://darion-svet.com/web/binary/image?model=product.product&amp;id=18085&amp;field=image</t>
        </is>
      </c>
      <c r="F28" s="0" t="n">
        <v>5</v>
      </c>
      <c r="G28" s="0" t="inlineStr">
        <is>
          <t>Российская Федерация</t>
        </is>
      </c>
      <c r="H28" s="0" t="inlineStr">
        <is>
          <t>VIRONA</t>
        </is>
      </c>
      <c r="I28" s="0" t="inlineStr">
        <is>
          <t>консольный; на лиру; подвесной</t>
        </is>
      </c>
      <c r="J28" s="0" t="inlineStr">
        <is>
          <t>улицы (дороги, тротуары); промышленные помещения, склады и цеха</t>
        </is>
      </c>
      <c r="M28" s="0" t="n">
        <v>64</v>
      </c>
      <c r="O28" s="0" t="inlineStr">
        <is>
          <t>SMD</t>
        </is>
      </c>
      <c r="P28" s="0" t="n">
        <v>10240</v>
      </c>
      <c r="Q28" s="0" t="n">
        <v>5000</v>
      </c>
      <c r="R28" s="0" t="n">
        <v>80</v>
      </c>
      <c r="S28" s="0" t="n">
        <v>67</v>
      </c>
      <c r="T28" s="0" t="inlineStr">
        <is>
          <t>Д</t>
        </is>
      </c>
      <c r="U28" s="0" t="n">
        <v>100000</v>
      </c>
      <c r="V28" s="0" t="n">
        <v>240</v>
      </c>
      <c r="W28" s="0" t="n">
        <v>205</v>
      </c>
      <c r="X28" s="0" t="n">
        <v>95</v>
      </c>
      <c r="AD28" s="0" t="inlineStr">
        <is>
          <t>алюминиевый профиль</t>
        </is>
      </c>
      <c r="AE28" s="0" t="inlineStr">
        <is>
          <t>стекло</t>
        </is>
      </c>
      <c r="AG28" s="0" t="inlineStr">
        <is>
          <t>прозрачный рассеиватель</t>
        </is>
      </c>
      <c r="AH28" s="0" t="inlineStr">
        <is>
          <t>Светодиоды Samsung LM281</t>
        </is>
      </c>
      <c r="AI28" s="0" t="inlineStr">
        <is>
          <t>LED-driver</t>
        </is>
      </c>
      <c r="AK28" s="0" t="n">
        <v>0.95</v>
      </c>
      <c r="AN28" s="0" t="n">
        <v>176</v>
      </c>
      <c r="AO28" s="0" t="n">
        <v>264</v>
      </c>
      <c r="AP28" s="0" t="n">
        <v>-60</v>
      </c>
      <c r="AQ28" s="0" t="n">
        <v>50</v>
      </c>
      <c r="AS28" s="0" t="inlineStr">
        <is>
          <t>Картон</t>
        </is>
      </c>
      <c r="AT28" s="0" t="inlineStr">
        <is>
          <t>Да</t>
        </is>
      </c>
      <c r="AU28" s="0" t="n">
        <v>0.00753</v>
      </c>
      <c r="AV28" s="0" t="n">
        <v>0.18</v>
      </c>
      <c r="AW28" s="0" t="n">
        <v>1</v>
      </c>
      <c r="AX28" s="0" t="n">
        <v>250</v>
      </c>
      <c r="AY28" s="0" t="n">
        <v>215</v>
      </c>
      <c r="AZ28" s="0" t="n">
        <v>140</v>
      </c>
      <c r="BA28" s="0" t="n">
        <v>0.00753</v>
      </c>
      <c r="BB28" s="0" t="n">
        <v>0.18</v>
      </c>
      <c r="BD28" s="0" t="inlineStr">
        <is>
          <t>http://darion-svet.com/web/binary/saveas_archive?model=product.picture&amp;ids=[1617]&amp;field=image&amp;name_field=name&amp;archive_name=V1003_image</t>
        </is>
      </c>
      <c r="BE28" s="0" t="inlineStr">
        <is>
          <t>http://darion-svet.com/shop/product/v1003-vrn-un-64d-g50k67-u-64vt-universalnyij</t>
        </is>
      </c>
      <c r="BI28" s="0" t="n">
        <v>0</v>
      </c>
      <c r="BJ28" s="0" t="n">
        <v>0</v>
      </c>
    </row>
    <row r="29">
      <c r="A29" s="0" t="inlineStr">
        <is>
          <t>V10033</t>
        </is>
      </c>
      <c r="B29" s="0" t="inlineStr">
        <is>
          <t>Светодиодный светильник VRN-UN-52D-G50K67-U</t>
        </is>
      </c>
      <c r="C29" s="0" t="inlineStr">
        <is>
          <t>Универсал</t>
        </is>
      </c>
      <c r="E29" s="0" t="inlineStr">
        <is>
          <t>http://darion-svet.com/web/binary/image?model=product.product&amp;id=26875&amp;field=image</t>
        </is>
      </c>
      <c r="G29" s="0" t="inlineStr">
        <is>
          <t>Российская Федерация</t>
        </is>
      </c>
      <c r="H29" s="0" t="inlineStr">
        <is>
          <t>VIRONA</t>
        </is>
      </c>
      <c r="I29" s="0" t="inlineStr">
        <is>
          <t>консольный; на лиру; подвесной</t>
        </is>
      </c>
      <c r="J29" s="0" t="inlineStr">
        <is>
          <t>улицы (дороги, тротуары); магистрали и дороги</t>
        </is>
      </c>
      <c r="M29" s="0" t="n">
        <v>52</v>
      </c>
      <c r="O29" s="0" t="inlineStr">
        <is>
          <t>SMD</t>
        </is>
      </c>
      <c r="P29" s="0" t="n">
        <v>8320</v>
      </c>
      <c r="Q29" s="0" t="n">
        <v>5000</v>
      </c>
      <c r="R29" s="0" t="n">
        <v>80</v>
      </c>
      <c r="S29" s="0" t="n">
        <v>67</v>
      </c>
      <c r="T29" s="0" t="inlineStr">
        <is>
          <t>Д</t>
        </is>
      </c>
      <c r="U29" s="0" t="inlineStr">
        <is>
          <t>100 000 ч.</t>
        </is>
      </c>
      <c r="V29" s="0" t="n">
        <v>225</v>
      </c>
      <c r="W29" s="0" t="n">
        <v>210</v>
      </c>
      <c r="X29" s="0" t="n">
        <v>135</v>
      </c>
      <c r="AB29" s="0" t="n">
        <v>1.95</v>
      </c>
      <c r="AD29" s="0" t="inlineStr">
        <is>
          <t>алюминиевый профиль</t>
        </is>
      </c>
      <c r="AE29" s="0" t="inlineStr">
        <is>
          <t>полимерный материал</t>
        </is>
      </c>
      <c r="AH29" s="0" t="inlineStr">
        <is>
          <t>Светодиоды Samsung LH351</t>
        </is>
      </c>
      <c r="AI29" s="0" t="inlineStr">
        <is>
          <t>LED-driver</t>
        </is>
      </c>
      <c r="AK29" s="0" t="n">
        <v>0.95</v>
      </c>
      <c r="AL29" s="0" t="n">
        <v>1</v>
      </c>
      <c r="AN29" s="0" t="n">
        <v>176</v>
      </c>
      <c r="AO29" s="0" t="n">
        <v>264</v>
      </c>
      <c r="AP29" s="0" t="n">
        <v>-60</v>
      </c>
      <c r="AQ29" s="0" t="n">
        <v>50</v>
      </c>
      <c r="AS29" s="0" t="inlineStr">
        <is>
          <t>Картон</t>
        </is>
      </c>
      <c r="AT29" s="0" t="inlineStr">
        <is>
          <t>Да</t>
        </is>
      </c>
      <c r="AW29" s="0" t="n">
        <v>1</v>
      </c>
      <c r="AX29" s="0" t="n">
        <v>300</v>
      </c>
      <c r="AY29" s="0" t="n">
        <v>115</v>
      </c>
      <c r="AZ29" s="0" t="n">
        <v>140</v>
      </c>
      <c r="BE29" s="0" t="inlineStr">
        <is>
          <t>http://darion-svet.com/shop/product/v10033-vrn-un-52d-g50k67-u</t>
        </is>
      </c>
      <c r="BI29" s="0" t="n">
        <v>0</v>
      </c>
      <c r="BJ29" s="0" t="n">
        <v>0</v>
      </c>
    </row>
    <row r="30">
      <c r="A30" s="0" t="inlineStr">
        <is>
          <t>V1004</t>
        </is>
      </c>
      <c r="B30" s="0" t="inlineStr">
        <is>
          <t>Светодиодный светильник Virona 64Вт Консольный (VRN-UN-64D-G50K67-K)</t>
        </is>
      </c>
      <c r="C30" s="0" t="inlineStr">
        <is>
          <t>Универсал</t>
        </is>
      </c>
      <c r="E30" s="0" t="inlineStr">
        <is>
          <t>http://darion-svet.com/web/binary/image?model=product.product&amp;id=18091&amp;field=image</t>
        </is>
      </c>
      <c r="F30" s="0" t="n">
        <v>5</v>
      </c>
      <c r="G30" s="0" t="inlineStr">
        <is>
          <t>Российская Федерация</t>
        </is>
      </c>
      <c r="H30" s="0" t="inlineStr">
        <is>
          <t>VIRONA</t>
        </is>
      </c>
      <c r="I30" s="0" t="inlineStr">
        <is>
          <t>консольный</t>
        </is>
      </c>
      <c r="J30" s="0" t="inlineStr">
        <is>
          <t>магистрали и дороги</t>
        </is>
      </c>
      <c r="M30" s="0" t="n">
        <v>64</v>
      </c>
      <c r="O30" s="0" t="inlineStr">
        <is>
          <t>SMD</t>
        </is>
      </c>
      <c r="P30" s="0" t="n">
        <v>10240</v>
      </c>
      <c r="Q30" s="0" t="n">
        <v>5000</v>
      </c>
      <c r="R30" s="0" t="n">
        <v>80</v>
      </c>
      <c r="S30" s="0" t="n">
        <v>67</v>
      </c>
      <c r="T30" s="0" t="inlineStr">
        <is>
          <t>Д</t>
        </is>
      </c>
      <c r="U30" s="0" t="n">
        <v>100000</v>
      </c>
      <c r="V30" s="0" t="n">
        <v>230</v>
      </c>
      <c r="W30" s="0" t="n">
        <v>260</v>
      </c>
      <c r="X30" s="0" t="n">
        <v>96</v>
      </c>
      <c r="AB30" s="0" t="n">
        <v>2.01</v>
      </c>
      <c r="AD30" s="0" t="inlineStr">
        <is>
          <t>алюминиевый профиль</t>
        </is>
      </c>
      <c r="AE30" s="0" t="inlineStr">
        <is>
          <t>стекло</t>
        </is>
      </c>
      <c r="AG30" s="0" t="inlineStr">
        <is>
          <t>прозрачный рассеиватель</t>
        </is>
      </c>
      <c r="AH30" s="0" t="inlineStr">
        <is>
          <t>Светодиоды Samsung LM287</t>
        </is>
      </c>
      <c r="AI30" s="0" t="inlineStr">
        <is>
          <t>LED-driver</t>
        </is>
      </c>
      <c r="AK30" s="0" t="n">
        <v>0.95</v>
      </c>
      <c r="AN30" s="0" t="n">
        <v>176</v>
      </c>
      <c r="AO30" s="0" t="n">
        <v>264</v>
      </c>
      <c r="AP30" s="0" t="n">
        <v>-60</v>
      </c>
      <c r="AQ30" s="0" t="n">
        <v>50</v>
      </c>
      <c r="AS30" s="0" t="inlineStr">
        <is>
          <t>Картон</t>
        </is>
      </c>
      <c r="AT30" s="0" t="inlineStr">
        <is>
          <t>Да</t>
        </is>
      </c>
      <c r="AU30" s="0" t="n">
        <v>0.00963</v>
      </c>
      <c r="AV30" s="0" t="n">
        <v>0.193</v>
      </c>
      <c r="AW30" s="0" t="n">
        <v>1</v>
      </c>
      <c r="AX30" s="0" t="n">
        <v>250</v>
      </c>
      <c r="AY30" s="0" t="n">
        <v>275</v>
      </c>
      <c r="AZ30" s="0" t="n">
        <v>140</v>
      </c>
      <c r="BA30" s="0" t="n">
        <v>0.00963</v>
      </c>
      <c r="BB30" s="0" t="n">
        <v>0.193</v>
      </c>
      <c r="BD30" s="0" t="inlineStr">
        <is>
          <t>http://darion-svet.com/web/binary/saveas_archive?model=product.picture&amp;ids=[1618]&amp;field=image&amp;name_field=name&amp;archive_name=V1004_image</t>
        </is>
      </c>
      <c r="BE30" s="0" t="inlineStr">
        <is>
          <t>http://darion-svet.com/shop/product/v1004-vrn-un-64d-g50k67-k-64vt-konsolnyij</t>
        </is>
      </c>
      <c r="BI30" s="0" t="n">
        <v>0</v>
      </c>
      <c r="BJ30" s="0" t="n">
        <v>0</v>
      </c>
    </row>
    <row r="31">
      <c r="A31" s="0" t="inlineStr">
        <is>
          <t>V10044</t>
        </is>
      </c>
      <c r="B31" s="0" t="inlineStr">
        <is>
          <t>Светодиодный светильник VRN-UN-52D-G50K67-K</t>
        </is>
      </c>
      <c r="C31" s="0" t="inlineStr">
        <is>
          <t>Универсал</t>
        </is>
      </c>
      <c r="E31" s="0" t="inlineStr">
        <is>
          <t>http://darion-svet.com/web/binary/image?model=product.product&amp;id=26876&amp;field=image</t>
        </is>
      </c>
      <c r="G31" s="0" t="inlineStr">
        <is>
          <t>Российская Федерация</t>
        </is>
      </c>
      <c r="H31" s="0" t="inlineStr">
        <is>
          <t>VIRONA</t>
        </is>
      </c>
      <c r="I31" s="0" t="inlineStr">
        <is>
          <t>консольный</t>
        </is>
      </c>
      <c r="J31" s="0" t="inlineStr">
        <is>
          <t>улицы (дороги, тротуары); магистрали и дороги</t>
        </is>
      </c>
      <c r="M31" s="0" t="n">
        <v>52</v>
      </c>
      <c r="O31" s="0" t="inlineStr">
        <is>
          <t>SMD</t>
        </is>
      </c>
      <c r="P31" s="0" t="n">
        <v>8320</v>
      </c>
      <c r="Q31" s="0" t="n">
        <v>5000</v>
      </c>
      <c r="R31" s="0" t="n">
        <v>80</v>
      </c>
      <c r="S31" s="0" t="n">
        <v>67</v>
      </c>
      <c r="T31" s="0" t="inlineStr">
        <is>
          <t>Д</t>
        </is>
      </c>
      <c r="U31" s="0" t="inlineStr">
        <is>
          <t>100 000 ч.</t>
        </is>
      </c>
      <c r="V31" s="0" t="n">
        <v>225</v>
      </c>
      <c r="W31" s="0" t="n">
        <v>260</v>
      </c>
      <c r="X31" s="0" t="n">
        <v>80</v>
      </c>
      <c r="AB31" s="0" t="n">
        <v>1.85</v>
      </c>
      <c r="AD31" s="0" t="inlineStr">
        <is>
          <t>алюминиевый профиль</t>
        </is>
      </c>
      <c r="AE31" s="0" t="inlineStr">
        <is>
          <t>полимерный материал</t>
        </is>
      </c>
      <c r="AH31" s="0" t="inlineStr">
        <is>
          <t>Светодиоды Samsung LH351</t>
        </is>
      </c>
      <c r="AI31" s="0" t="inlineStr">
        <is>
          <t>LED-driver</t>
        </is>
      </c>
      <c r="AK31" s="0" t="n">
        <v>0.95</v>
      </c>
      <c r="AL31" s="0" t="n">
        <v>1</v>
      </c>
      <c r="AN31" s="0" t="n">
        <v>176</v>
      </c>
      <c r="AO31" s="0" t="n">
        <v>264</v>
      </c>
      <c r="AP31" s="0" t="n">
        <v>-60</v>
      </c>
      <c r="AQ31" s="0" t="n">
        <v>50</v>
      </c>
      <c r="AS31" s="0" t="inlineStr">
        <is>
          <t>Картон</t>
        </is>
      </c>
      <c r="AT31" s="0" t="inlineStr">
        <is>
          <t>Да</t>
        </is>
      </c>
      <c r="AW31" s="0" t="n">
        <v>1</v>
      </c>
      <c r="AX31" s="0" t="n">
        <v>300</v>
      </c>
      <c r="AY31" s="0" t="n">
        <v>275</v>
      </c>
      <c r="AZ31" s="0" t="n">
        <v>110</v>
      </c>
      <c r="BE31" s="0" t="inlineStr">
        <is>
          <t>http://darion-svet.com/shop/product/v10044-vrn-un-52d-g50k67-k</t>
        </is>
      </c>
      <c r="BI31" s="0" t="n">
        <v>0</v>
      </c>
      <c r="BJ31" s="0" t="n">
        <v>0</v>
      </c>
    </row>
    <row r="32">
      <c r="A32" s="0" t="inlineStr">
        <is>
          <t>V1005</t>
        </is>
      </c>
      <c r="B32" s="0" t="inlineStr">
        <is>
          <t>Светодиодный светильник Virona 64Вт Консольный (VRN-UN-64D-G50K67-K90)</t>
        </is>
      </c>
      <c r="C32" s="0" t="inlineStr">
        <is>
          <t>Универсал</t>
        </is>
      </c>
      <c r="E32" s="0" t="inlineStr">
        <is>
          <t>http://darion-svet.com/web/binary/image?model=product.product&amp;id=18103&amp;field=image</t>
        </is>
      </c>
      <c r="F32" s="0" t="n">
        <v>5</v>
      </c>
      <c r="G32" s="0" t="inlineStr">
        <is>
          <t>Российская Федерация</t>
        </is>
      </c>
      <c r="H32" s="0" t="inlineStr">
        <is>
          <t>VIRONA</t>
        </is>
      </c>
      <c r="I32" s="0" t="inlineStr">
        <is>
          <t>консольный</t>
        </is>
      </c>
      <c r="J32" s="0" t="inlineStr">
        <is>
          <t>магистрали и дороги</t>
        </is>
      </c>
      <c r="M32" s="0" t="n">
        <v>64</v>
      </c>
      <c r="O32" s="0" t="inlineStr">
        <is>
          <t>SMD</t>
        </is>
      </c>
      <c r="P32" s="0" t="n">
        <v>10240</v>
      </c>
      <c r="Q32" s="0" t="n">
        <v>5000</v>
      </c>
      <c r="R32" s="0" t="n">
        <v>80</v>
      </c>
      <c r="S32" s="0" t="n">
        <v>67</v>
      </c>
      <c r="T32" s="0" t="inlineStr">
        <is>
          <t>Л</t>
        </is>
      </c>
      <c r="U32" s="0" t="n">
        <v>100000</v>
      </c>
      <c r="V32" s="0" t="n">
        <v>225</v>
      </c>
      <c r="W32" s="0" t="n">
        <v>220</v>
      </c>
      <c r="X32" s="0" t="n">
        <v>110</v>
      </c>
      <c r="AB32" s="0" t="n">
        <v>1.75</v>
      </c>
      <c r="AD32" s="0" t="inlineStr">
        <is>
          <t>алюминиевый профиль</t>
        </is>
      </c>
      <c r="AE32" s="0" t="inlineStr">
        <is>
          <t>стекло</t>
        </is>
      </c>
      <c r="AG32" s="0" t="inlineStr">
        <is>
          <t>прозрачный рассеиватель</t>
        </is>
      </c>
      <c r="AH32" s="0" t="inlineStr">
        <is>
          <t>Светодиоды Samsung LM292</t>
        </is>
      </c>
      <c r="AI32" s="0" t="inlineStr">
        <is>
          <t>LED-driver</t>
        </is>
      </c>
      <c r="AK32" s="0" t="n">
        <v>0.95</v>
      </c>
      <c r="AN32" s="0" t="n">
        <v>176</v>
      </c>
      <c r="AO32" s="0" t="n">
        <v>264</v>
      </c>
      <c r="AP32" s="0" t="n">
        <v>-60</v>
      </c>
      <c r="AQ32" s="0" t="n">
        <v>50</v>
      </c>
      <c r="AS32" s="0" t="inlineStr">
        <is>
          <t>Картон</t>
        </is>
      </c>
      <c r="AT32" s="0" t="inlineStr">
        <is>
          <t>Да</t>
        </is>
      </c>
      <c r="AU32" s="0" t="n">
        <v>0.0081</v>
      </c>
      <c r="AV32" s="0" t="n">
        <v>1.95</v>
      </c>
      <c r="AW32" s="0" t="n">
        <v>1</v>
      </c>
      <c r="AX32" s="0" t="n">
        <v>250</v>
      </c>
      <c r="AY32" s="0" t="n">
        <v>180</v>
      </c>
      <c r="AZ32" s="0" t="n">
        <v>180</v>
      </c>
      <c r="BA32" s="0" t="n">
        <v>0.0081</v>
      </c>
      <c r="BB32" s="0" t="n">
        <v>1.95</v>
      </c>
      <c r="BD32" s="0" t="inlineStr">
        <is>
          <t>http://darion-svet.com/web/binary/saveas_archive?model=product.picture&amp;ids=[1620]&amp;field=image&amp;name_field=name&amp;archive_name=V1005_image</t>
        </is>
      </c>
      <c r="BE32" s="0" t="inlineStr">
        <is>
          <t>http://darion-svet.com/shop/product/v1005-vrn-un-64d-g50k67-k90-l-64vt-konsolnyij-</t>
        </is>
      </c>
      <c r="BI32" s="0" t="n">
        <v>0</v>
      </c>
      <c r="BJ32" s="0" t="n">
        <v>0</v>
      </c>
    </row>
    <row r="33">
      <c r="A33" s="0" t="inlineStr">
        <is>
          <t>V10055</t>
        </is>
      </c>
      <c r="B33" s="0" t="inlineStr">
        <is>
          <t>Светодиодный светильник VRN-UN-52D-G50K67-K90</t>
        </is>
      </c>
      <c r="C33" s="0" t="inlineStr">
        <is>
          <t>Универсал</t>
        </is>
      </c>
      <c r="E33" s="0" t="inlineStr">
        <is>
          <t>http://darion-svet.com/web/binary/image?model=product.product&amp;id=26878&amp;field=image</t>
        </is>
      </c>
      <c r="G33" s="0" t="inlineStr">
        <is>
          <t>Российская Федерация</t>
        </is>
      </c>
      <c r="H33" s="0" t="inlineStr">
        <is>
          <t>VIRONA</t>
        </is>
      </c>
      <c r="I33" s="0" t="inlineStr">
        <is>
          <t>консольный</t>
        </is>
      </c>
      <c r="J33" s="0" t="inlineStr">
        <is>
          <t>улицы (дороги, тротуары); магистрали и дороги</t>
        </is>
      </c>
      <c r="M33" s="0" t="n">
        <v>52</v>
      </c>
      <c r="O33" s="0" t="inlineStr">
        <is>
          <t>SMD</t>
        </is>
      </c>
      <c r="P33" s="0" t="n">
        <v>8320</v>
      </c>
      <c r="Q33" s="0" t="n">
        <v>5000</v>
      </c>
      <c r="R33" s="0" t="n">
        <v>80</v>
      </c>
      <c r="S33" s="0" t="n">
        <v>67</v>
      </c>
      <c r="T33" s="0" t="inlineStr">
        <is>
          <t>Л</t>
        </is>
      </c>
      <c r="U33" s="0" t="inlineStr">
        <is>
          <t>100 000 ч.</t>
        </is>
      </c>
      <c r="V33" s="0" t="n">
        <v>225</v>
      </c>
      <c r="W33" s="0" t="n">
        <v>220</v>
      </c>
      <c r="X33" s="0" t="n">
        <v>110</v>
      </c>
      <c r="AB33" s="0" t="n">
        <v>1.75</v>
      </c>
      <c r="AD33" s="0" t="inlineStr">
        <is>
          <t>алюминиевый профиль</t>
        </is>
      </c>
      <c r="AE33" s="0" t="inlineStr">
        <is>
          <t>полимерный материал</t>
        </is>
      </c>
      <c r="AH33" s="0" t="inlineStr">
        <is>
          <t>Светодиоды Samsung LH351</t>
        </is>
      </c>
      <c r="AI33" s="0" t="inlineStr">
        <is>
          <t>LED-driver</t>
        </is>
      </c>
      <c r="AK33" s="0" t="n">
        <v>0.95</v>
      </c>
      <c r="AL33" s="0" t="n">
        <v>1</v>
      </c>
      <c r="AN33" s="0" t="n">
        <v>176</v>
      </c>
      <c r="AO33" s="0" t="n">
        <v>264</v>
      </c>
      <c r="AP33" s="0" t="n">
        <v>-60</v>
      </c>
      <c r="AQ33" s="0" t="n">
        <v>50</v>
      </c>
      <c r="AS33" s="0" t="inlineStr">
        <is>
          <t>Картон</t>
        </is>
      </c>
      <c r="AT33" s="0" t="inlineStr">
        <is>
          <t>Да</t>
        </is>
      </c>
      <c r="AU33" s="0" t="n">
        <v>0.0081</v>
      </c>
      <c r="AV33" s="0" t="n">
        <v>1.95</v>
      </c>
      <c r="AW33" s="0" t="n">
        <v>1</v>
      </c>
      <c r="AX33" s="0" t="n">
        <v>250</v>
      </c>
      <c r="AY33" s="0" t="n">
        <v>180</v>
      </c>
      <c r="AZ33" s="0" t="n">
        <v>180</v>
      </c>
      <c r="BA33" s="0" t="n">
        <v>0.0081</v>
      </c>
      <c r="BB33" s="0" t="n">
        <v>1.95</v>
      </c>
      <c r="BE33" s="0" t="inlineStr">
        <is>
          <t>http://darion-svet.com/shop/product/v10055-vrn-un-52d-g50k67-k90</t>
        </is>
      </c>
      <c r="BI33" s="0" t="n">
        <v>0</v>
      </c>
      <c r="BJ33" s="0" t="n">
        <v>0</v>
      </c>
    </row>
    <row r="34">
      <c r="A34" s="0" t="inlineStr">
        <is>
          <t>V1006</t>
        </is>
      </c>
      <c r="B34" s="0" t="inlineStr">
        <is>
          <t>Светодиодный светильник Virona 64Вт Универсальный (VRN-UN-64D-G50K67-U90)</t>
        </is>
      </c>
      <c r="C34" s="0" t="inlineStr">
        <is>
          <t>Универсал</t>
        </is>
      </c>
      <c r="E34" s="0" t="inlineStr">
        <is>
          <t>http://darion-svet.com/web/binary/image?model=product.product&amp;id=18097&amp;field=image</t>
        </is>
      </c>
      <c r="F34" s="0" t="n">
        <v>5</v>
      </c>
      <c r="G34" s="0" t="inlineStr">
        <is>
          <t>Российская Федерация</t>
        </is>
      </c>
      <c r="H34" s="0" t="inlineStr">
        <is>
          <t>VIRONA</t>
        </is>
      </c>
      <c r="I34" s="0" t="inlineStr">
        <is>
          <t>консольный; на лиру; подвесной</t>
        </is>
      </c>
      <c r="J34" s="0" t="inlineStr">
        <is>
          <t>улицы (дороги, тротуары); промышленные помещения, склады и цеха</t>
        </is>
      </c>
      <c r="M34" s="0" t="n">
        <v>64</v>
      </c>
      <c r="O34" s="0" t="inlineStr">
        <is>
          <t>SMD</t>
        </is>
      </c>
      <c r="P34" s="0" t="n">
        <v>10240</v>
      </c>
      <c r="Q34" s="0" t="n">
        <v>5000</v>
      </c>
      <c r="R34" s="0" t="n">
        <v>80</v>
      </c>
      <c r="S34" s="0" t="n">
        <v>67</v>
      </c>
      <c r="T34" s="0" t="inlineStr">
        <is>
          <t>Л</t>
        </is>
      </c>
      <c r="U34" s="0" t="n">
        <v>100000</v>
      </c>
      <c r="V34" s="0" t="n">
        <v>239</v>
      </c>
      <c r="W34" s="0" t="n">
        <v>175</v>
      </c>
      <c r="X34" s="0" t="n">
        <v>175</v>
      </c>
      <c r="AB34" s="0" t="n">
        <v>1.91</v>
      </c>
      <c r="AD34" s="0" t="inlineStr">
        <is>
          <t>алюминиевый профиль</t>
        </is>
      </c>
      <c r="AE34" s="0" t="inlineStr">
        <is>
          <t>стекло</t>
        </is>
      </c>
      <c r="AG34" s="0" t="inlineStr">
        <is>
          <t>прозрачный рассеиватель</t>
        </is>
      </c>
      <c r="AH34" s="0" t="inlineStr">
        <is>
          <t>Светодиоды Samsung LM292</t>
        </is>
      </c>
      <c r="AI34" s="0" t="inlineStr">
        <is>
          <t>LED-driver</t>
        </is>
      </c>
      <c r="AK34" s="0" t="n">
        <v>0.95</v>
      </c>
      <c r="AN34" s="0" t="n">
        <v>176</v>
      </c>
      <c r="AO34" s="0" t="n">
        <v>264</v>
      </c>
      <c r="AP34" s="0" t="n">
        <v>-60</v>
      </c>
      <c r="AQ34" s="0" t="n">
        <v>50</v>
      </c>
      <c r="AS34" s="0" t="inlineStr">
        <is>
          <t>Картон</t>
        </is>
      </c>
      <c r="AT34" s="0" t="inlineStr">
        <is>
          <t>Да</t>
        </is>
      </c>
      <c r="AW34" s="0" t="n">
        <v>1</v>
      </c>
      <c r="BD34" s="0" t="inlineStr">
        <is>
          <t>http://darion-svet.com/web/binary/saveas_archive?model=product.picture&amp;ids=[1619]&amp;field=image&amp;name_field=name&amp;archive_name=V1006_image</t>
        </is>
      </c>
      <c r="BE34" s="0" t="inlineStr">
        <is>
          <t>http://darion-svet.com/shop/product/v1006-vrn-un-64d-g50k67-u90-l-64vt-universalnyij-</t>
        </is>
      </c>
      <c r="BI34" s="0" t="n">
        <v>0</v>
      </c>
      <c r="BJ34" s="0" t="n">
        <v>0</v>
      </c>
    </row>
    <row r="35">
      <c r="A35" s="0" t="inlineStr">
        <is>
          <t>V10066</t>
        </is>
      </c>
      <c r="B35" s="0" t="inlineStr">
        <is>
          <t>Светодиодный светильник VRN-UN-52D-G50K67-U90</t>
        </is>
      </c>
      <c r="C35" s="0" t="inlineStr">
        <is>
          <t>Универсал</t>
        </is>
      </c>
      <c r="E35" s="0" t="inlineStr">
        <is>
          <t>http://darion-svet.com/web/binary/image?model=product.product&amp;id=26877&amp;field=image</t>
        </is>
      </c>
      <c r="G35" s="0" t="inlineStr">
        <is>
          <t>Российская Федерация</t>
        </is>
      </c>
      <c r="H35" s="0" t="inlineStr">
        <is>
          <t>VIRONA</t>
        </is>
      </c>
      <c r="I35" s="0" t="inlineStr">
        <is>
          <t>консольный; на лиру; подвесной</t>
        </is>
      </c>
      <c r="J35" s="0" t="inlineStr">
        <is>
          <t>улицы (дороги, тротуары); магистрали и дороги</t>
        </is>
      </c>
      <c r="M35" s="0" t="n">
        <v>52</v>
      </c>
      <c r="O35" s="0" t="inlineStr">
        <is>
          <t>SMD</t>
        </is>
      </c>
      <c r="P35" s="0" t="n">
        <v>8320</v>
      </c>
      <c r="Q35" s="0" t="n">
        <v>5000</v>
      </c>
      <c r="R35" s="0" t="n">
        <v>80</v>
      </c>
      <c r="S35" s="0" t="n">
        <v>67</v>
      </c>
      <c r="T35" s="0" t="inlineStr">
        <is>
          <t>Л</t>
        </is>
      </c>
      <c r="U35" s="0" t="inlineStr">
        <is>
          <t>100 000 ч.</t>
        </is>
      </c>
      <c r="V35" s="0" t="n">
        <v>225</v>
      </c>
      <c r="W35" s="0" t="n">
        <v>245</v>
      </c>
      <c r="X35" s="0" t="n">
        <v>150</v>
      </c>
      <c r="AB35" s="0" t="n">
        <v>1.9</v>
      </c>
      <c r="AD35" s="0" t="inlineStr">
        <is>
          <t>алюминиевый профиль</t>
        </is>
      </c>
      <c r="AE35" s="0" t="inlineStr">
        <is>
          <t>полимерный материал</t>
        </is>
      </c>
      <c r="AH35" s="0" t="inlineStr">
        <is>
          <t>Светодиоды Samsung LH351</t>
        </is>
      </c>
      <c r="AI35" s="0" t="inlineStr">
        <is>
          <t>LED-driver</t>
        </is>
      </c>
      <c r="AK35" s="0" t="n">
        <v>0.95</v>
      </c>
      <c r="AL35" s="0" t="n">
        <v>1</v>
      </c>
      <c r="AN35" s="0" t="n">
        <v>176</v>
      </c>
      <c r="AO35" s="0" t="n">
        <v>264</v>
      </c>
      <c r="AP35" s="0" t="n">
        <v>-60</v>
      </c>
      <c r="AQ35" s="0" t="n">
        <v>50</v>
      </c>
      <c r="AS35" s="0" t="inlineStr">
        <is>
          <t>Картон</t>
        </is>
      </c>
      <c r="AT35" s="0" t="inlineStr">
        <is>
          <t>Да</t>
        </is>
      </c>
      <c r="AW35" s="0" t="n">
        <v>1</v>
      </c>
      <c r="AX35" s="0" t="n">
        <v>250</v>
      </c>
      <c r="AY35" s="0" t="n">
        <v>190</v>
      </c>
      <c r="AZ35" s="0" t="n">
        <v>190</v>
      </c>
      <c r="BE35" s="0" t="inlineStr">
        <is>
          <t>http://darion-svet.com/shop/product/v10066-vrn-un-52d-g50k67-u90</t>
        </is>
      </c>
      <c r="BI35" s="0" t="n">
        <v>0</v>
      </c>
      <c r="BJ35" s="0" t="n">
        <v>0</v>
      </c>
    </row>
    <row r="36">
      <c r="A36" s="0" t="inlineStr">
        <is>
          <t>V1007</t>
        </is>
      </c>
      <c r="B36" s="0" t="inlineStr">
        <is>
          <t>Светодиодный светильник Virona 48Вт Универсальный (VRN-UN-48-G50K67-U)</t>
        </is>
      </c>
      <c r="C36" s="0" t="inlineStr">
        <is>
          <t>Универсал</t>
        </is>
      </c>
      <c r="E36" s="0" t="inlineStr">
        <is>
          <t>http://darion-svet.com/web/binary/image?model=product.product&amp;id=18074&amp;field=image</t>
        </is>
      </c>
      <c r="F36" s="0" t="n">
        <v>5</v>
      </c>
      <c r="G36" s="0" t="inlineStr">
        <is>
          <t>Российская Федерация</t>
        </is>
      </c>
      <c r="H36" s="0" t="inlineStr">
        <is>
          <t>VIRONA</t>
        </is>
      </c>
      <c r="I36" s="0" t="inlineStr">
        <is>
          <t>консольный; на лиру; подвесной</t>
        </is>
      </c>
      <c r="J36" s="0" t="inlineStr">
        <is>
          <t>улицы (дороги, тротуары); промышленные помещения, склады и цеха</t>
        </is>
      </c>
      <c r="M36" s="0" t="n">
        <v>48</v>
      </c>
      <c r="O36" s="0" t="inlineStr">
        <is>
          <t>SMD</t>
        </is>
      </c>
      <c r="P36" s="0" t="n">
        <v>7680</v>
      </c>
      <c r="Q36" s="0" t="n">
        <v>5000</v>
      </c>
      <c r="R36" s="0" t="n">
        <v>80</v>
      </c>
      <c r="S36" s="0" t="n">
        <v>67</v>
      </c>
      <c r="T36" s="0" t="inlineStr">
        <is>
          <t>Д</t>
        </is>
      </c>
      <c r="U36" s="0" t="inlineStr">
        <is>
          <t>100 000 ч.</t>
        </is>
      </c>
      <c r="V36" s="0" t="n">
        <v>286</v>
      </c>
      <c r="W36" s="0" t="n">
        <v>100</v>
      </c>
      <c r="X36" s="0" t="n">
        <v>98</v>
      </c>
      <c r="AB36" s="0" t="n">
        <v>1.19</v>
      </c>
      <c r="AD36" s="0" t="inlineStr">
        <is>
          <t>алюминиевый профиль</t>
        </is>
      </c>
      <c r="AE36" s="0" t="inlineStr">
        <is>
          <t>стекло</t>
        </is>
      </c>
      <c r="AG36" s="0" t="inlineStr">
        <is>
          <t>прозрачный рассеиватель</t>
        </is>
      </c>
      <c r="AH36" s="0" t="inlineStr">
        <is>
          <t>Светодиодный светильник Virona 48Вт Универсальный (VRN-UN-48-G50K67-U)
Наши покупатели часто задают вопросы и сравнивают светильники Virona с недорогими прожекторами. Действительно, зачем платить дороже? Давайте посмотрим..
Предлагаем сравнить:
прожектор Китай 50 Вт
vs
светильник Virona 48Вт VRN-UN-48-G50K67-U.
Сколько света даёт светильник?
Прожекторы производства Китай мощностью 50 Вт  - световой поток 4000 люмен.
vs
Светильник VRN-UN-48-G50K67-U мощностью 48 Вт - светового потока 7680 люмен.
Один светильник VRN-UN-48-G50K67-U по количеству света заменяет два прожектора китайского производства такой же мощности. Это значит, что потребление электроэнергии будет в 2 раза меньше при той же освещенности площади или объекта.
(Картинка: с одной стороны площадка и три мачты освещения с лучами и световым пятном на площадке, с другой стороны одна мачта с вироной, с одним лучем дающим такое же световое пятно). 
Важные показатели при выборе светильника.
Когда светильник работает он потребляет электричество и даёт свет.
Мощность - измеряется в Ваттах (Вт), это сколько мы будем платить за электроэнергию.
Световой поток - измеряется в люменах (лм), это сколько мы получим света.
Если разделим лм на Вт, то узнаем сколько получим света на 1 Вт расхода электричества или энергоэффективность, измеряется в лм/Вт.
световой поток (лм) / мощность (Вт) = энергоэффективность (лм/Вт)
Высокий показатель энергоэффективности говорит о том, что при производстве светильника использовались качественные компоненты: светодиоды и драйверы.
Рассчитаем энергоэффективность для
обычного прожектора производства Китай 4000 лм, 50 Вт:
4000 лм / 50 Вт = 80 лм/Вт
vs
Светильника VRN-UN-48-G50K67-U, 7680 лм, 48 Вт:
7680 лм / 48 Вт = 160 лм/Вт
Очевидно, прожектор имеет меньший показатель энергоэффективности в 2 раза.
Наш опыт говорит о том, что это из-за менее качественных комплектующих.
На что влияет?
срок службы,
качество светового потока,
комфорт в эксплуатации.
Обычно прожекторы из Китая имеют мерцающий световой поток. Это не видно невооруженным взглядом, но плохо сказывается на зрении и самочувствии человека.
(Картинка: та же самая, если удастся показать менее качественный световой поток, мерцание и тп и более ровный световой поток у Вироны)
Гарантия. Срок службы. Замена светильников. Дополнительные расходы
Доступные прожекторы производства Китай
Гарантия 2 года,
срок службы 30 000 часов, или 2-4 года.
Т.е. мы будем менять светильник 3-4 раза за 10 лет.
Поэтому будем тратить:
❌ деньги на приобретение новых светильников,
❌ деньги или время на монтаж/демонтаж вышедшего из строя оборудования,
❌ время на покупку и обслуживание,
❌ внимание, силы на казалось бы решенный вопрос.
Virona VRN-UN-48-G50K67-U
Гарантия 5 лет,
срок службы 100 000 часов, или 10 лет.
Решаем вопрос освещения один раз и надолго. Заплатив один раз за качество, решаем вопрос в горизонте 10 лет, получаем:
✔️ экономию расходов на электричество (минимум в 2 раза),
✔️ экономию времени на покупку светильника взамен перегоревшего,
✔️ экономию расходов на монтаж-демонтаж перегоревшего светильника,
✔️ получаем лучшее качества света без мерцаний (комфорт),
✔️ чувствуем себя лучше и тратим больше времени и сил на любимые дела.
Мы рады любому выбору покупателя. Если вы прочитали до конца и решили купить светильник Virona - дополнительная скидку 3%.</t>
        </is>
      </c>
      <c r="AI36" s="0" t="inlineStr">
        <is>
          <t>LED-driver</t>
        </is>
      </c>
      <c r="AK36" s="0" t="n">
        <v>0.95</v>
      </c>
      <c r="AL36" s="0" t="n">
        <v>1</v>
      </c>
      <c r="AN36" s="0" t="n">
        <v>176</v>
      </c>
      <c r="AO36" s="0" t="n">
        <v>264</v>
      </c>
      <c r="AP36" s="0" t="n">
        <v>-60</v>
      </c>
      <c r="AQ36" s="0" t="n">
        <v>50</v>
      </c>
      <c r="AS36" s="0" t="inlineStr">
        <is>
          <t>Картон</t>
        </is>
      </c>
      <c r="AT36" s="0" t="inlineStr">
        <is>
          <t>Да</t>
        </is>
      </c>
      <c r="AU36" s="0" t="n">
        <v>0.00483</v>
      </c>
      <c r="AV36" s="0" t="n">
        <v>0.11</v>
      </c>
      <c r="AW36" s="0" t="n">
        <v>1</v>
      </c>
      <c r="AX36" s="0" t="n">
        <v>300</v>
      </c>
      <c r="AY36" s="0" t="n">
        <v>115</v>
      </c>
      <c r="AZ36" s="0" t="n">
        <v>140</v>
      </c>
      <c r="BA36" s="0" t="n">
        <v>0.00483</v>
      </c>
      <c r="BB36" s="0" t="n">
        <v>0.11</v>
      </c>
      <c r="BD36" s="0" t="inlineStr">
        <is>
          <t>http://darion-svet.com/web/binary/saveas_archive?model=product.picture&amp;ids=[1610, 1908]&amp;field=image&amp;name_field=name&amp;archive_name=V1007_image</t>
        </is>
      </c>
      <c r="BE36" s="0" t="inlineStr">
        <is>
          <t>http://darion-svet.com/shop/product/v1007-vrn-un-48-g50k67-u-48vt-universalnyij</t>
        </is>
      </c>
      <c r="BF36" s="0" t="inlineStr">
        <is>
          <t>http://darion-svet.com/web/binary/saveas?model=product.product&amp;field=conformity_cert&amp;filename_field=conformity_cert_filename&amp;id=18074</t>
        </is>
      </c>
      <c r="BG36" s="0" t="inlineStr">
        <is>
          <t>http://darion-svet.com/web/binary/saveas?model=product.product&amp;field=datasheet&amp;filename_field=datasheet_filename&amp;id=18074</t>
        </is>
      </c>
      <c r="BI36" s="0" t="n">
        <v>13</v>
      </c>
      <c r="BJ36" s="0" t="n">
        <v>4140</v>
      </c>
    </row>
    <row r="37">
      <c r="A37" s="0" t="inlineStr">
        <is>
          <t>V10077</t>
        </is>
      </c>
      <c r="B37" s="0" t="inlineStr">
        <is>
          <t>Светодиодный светильник VRN-UN-40-G50K67-U</t>
        </is>
      </c>
      <c r="C37" s="0" t="inlineStr">
        <is>
          <t>Универсал</t>
        </is>
      </c>
      <c r="E37" s="0" t="inlineStr">
        <is>
          <t>http://darion-svet.com/web/binary/image?model=product.product&amp;id=26874&amp;field=image</t>
        </is>
      </c>
      <c r="G37" s="0" t="inlineStr">
        <is>
          <t>Российская Федерация</t>
        </is>
      </c>
      <c r="H37" s="0" t="inlineStr">
        <is>
          <t>VIRONA</t>
        </is>
      </c>
      <c r="I37" s="0" t="inlineStr">
        <is>
          <t>консольный; на лиру; подвесной</t>
        </is>
      </c>
      <c r="J37" s="0" t="inlineStr">
        <is>
          <t>улицы (дороги, тротуары); магистрали и дороги</t>
        </is>
      </c>
      <c r="M37" s="0" t="n">
        <v>40</v>
      </c>
      <c r="O37" s="0" t="inlineStr">
        <is>
          <t>SMD</t>
        </is>
      </c>
      <c r="P37" s="0" t="n">
        <v>6400</v>
      </c>
      <c r="Q37" s="0" t="n">
        <v>5000</v>
      </c>
      <c r="R37" s="0" t="n">
        <v>80</v>
      </c>
      <c r="S37" s="0" t="n">
        <v>67</v>
      </c>
      <c r="T37" s="0" t="inlineStr">
        <is>
          <t>Д</t>
        </is>
      </c>
      <c r="U37" s="0" t="inlineStr">
        <is>
          <t>100 000 ч.</t>
        </is>
      </c>
      <c r="V37" s="0" t="n">
        <v>275</v>
      </c>
      <c r="W37" s="0" t="n">
        <v>100</v>
      </c>
      <c r="X37" s="0" t="n">
        <v>135</v>
      </c>
      <c r="AB37" s="0" t="n">
        <v>1.2</v>
      </c>
      <c r="AD37" s="0" t="inlineStr">
        <is>
          <t>алюминиевый профиль</t>
        </is>
      </c>
      <c r="AE37" s="0" t="inlineStr">
        <is>
          <t>полимерный материал</t>
        </is>
      </c>
      <c r="AH37" s="0" t="inlineStr">
        <is>
          <t>Светодиоды Samsung LH351</t>
        </is>
      </c>
      <c r="AI37" s="0" t="inlineStr">
        <is>
          <t>LED-driver</t>
        </is>
      </c>
      <c r="AK37" s="0" t="n">
        <v>0.95</v>
      </c>
      <c r="AL37" s="0" t="n">
        <v>1</v>
      </c>
      <c r="AN37" s="0" t="n">
        <v>176</v>
      </c>
      <c r="AO37" s="0" t="n">
        <v>264</v>
      </c>
      <c r="AP37" s="0" t="n">
        <v>-60</v>
      </c>
      <c r="AQ37" s="0" t="n">
        <v>50</v>
      </c>
      <c r="AS37" s="0" t="inlineStr">
        <is>
          <t>Картон</t>
        </is>
      </c>
      <c r="AT37" s="0" t="inlineStr">
        <is>
          <t>Да</t>
        </is>
      </c>
      <c r="AW37" s="0" t="n">
        <v>1</v>
      </c>
      <c r="AX37" s="0" t="n">
        <v>300</v>
      </c>
      <c r="AY37" s="0" t="n">
        <v>115</v>
      </c>
      <c r="AZ37" s="0" t="n">
        <v>140</v>
      </c>
      <c r="BE37" s="0" t="inlineStr">
        <is>
          <t>http://darion-svet.com/shop/product/v10077-vrn-un-40-g50k67-u</t>
        </is>
      </c>
      <c r="BI37" s="0" t="n">
        <v>0</v>
      </c>
      <c r="BJ37" s="0" t="n">
        <v>0</v>
      </c>
    </row>
    <row r="38">
      <c r="A38" s="0" t="inlineStr">
        <is>
          <t>V1008</t>
        </is>
      </c>
      <c r="B38" s="0" t="inlineStr">
        <is>
          <t>Светодиодный светильник Virona 48Вт Консольный (VRN-UN-48-G50K67-K)</t>
        </is>
      </c>
      <c r="C38" s="0" t="inlineStr">
        <is>
          <t>Универсал</t>
        </is>
      </c>
      <c r="E38" s="0" t="inlineStr">
        <is>
          <t>http://darion-svet.com/web/binary/image?model=product.product&amp;id=18080&amp;field=image</t>
        </is>
      </c>
      <c r="F38" s="0" t="n">
        <v>5</v>
      </c>
      <c r="G38" s="0" t="inlineStr">
        <is>
          <t>Российская Федерация</t>
        </is>
      </c>
      <c r="H38" s="0" t="inlineStr">
        <is>
          <t>VIRONA</t>
        </is>
      </c>
      <c r="I38" s="0" t="inlineStr">
        <is>
          <t>консольный</t>
        </is>
      </c>
      <c r="J38" s="0" t="inlineStr">
        <is>
          <t>магистрали и дороги</t>
        </is>
      </c>
      <c r="M38" s="0" t="n">
        <v>48</v>
      </c>
      <c r="O38" s="0" t="inlineStr">
        <is>
          <t>SMD</t>
        </is>
      </c>
      <c r="P38" s="0" t="n">
        <v>7680</v>
      </c>
      <c r="Q38" s="0" t="n">
        <v>5000</v>
      </c>
      <c r="R38" s="0" t="n">
        <v>80</v>
      </c>
      <c r="S38" s="0" t="n">
        <v>67</v>
      </c>
      <c r="T38" s="0" t="inlineStr">
        <is>
          <t>Д</t>
        </is>
      </c>
      <c r="U38" s="0" t="inlineStr">
        <is>
          <t>100 000 ч.</t>
        </is>
      </c>
      <c r="V38" s="0" t="n">
        <v>289</v>
      </c>
      <c r="W38" s="0" t="n">
        <v>100</v>
      </c>
      <c r="X38" s="0" t="n">
        <v>130</v>
      </c>
      <c r="AB38" s="0" t="n">
        <v>1.215</v>
      </c>
      <c r="AD38" s="0" t="inlineStr">
        <is>
          <t>алюминиевый профиль</t>
        </is>
      </c>
      <c r="AE38" s="0" t="inlineStr">
        <is>
          <t>стекло</t>
        </is>
      </c>
      <c r="AG38" s="0" t="inlineStr">
        <is>
          <t>прозрачный рассеиватель</t>
        </is>
      </c>
      <c r="AH38" s="0" t="inlineStr">
        <is>
          <t>Светодиодный светильник Virona 48Вт Консольный (VRN-UN-48-G50K67-K)
Наши покупатели часто задают вопросы и сравнивают светильники Virona с недорогими прожекторами. Действительно, зачем платить дороже? 
Давайте посмотрим..
Предлагаем сравнить:
консольный светильник Китай 70 W
vs
Светильник Virona 48Вт VRN-UN-48-G50K67-K.
Широкая линейка выбора
Если сравнить линейку выбора по мощности светильника то мы увидим, что Virona предлагает нам сделать более точный выбор. В линейке данной марки представлены светильники мощностью: 32, 48,62,80, 96,124 Ватт. 
В то время как более дешевые типичные консольники производства Китая зачастую ограничены выбором из 3 вариантов: 70, 100, 120 Вт. Поэтому в данной статье мы сравниваем 48Вт светильник с 70Вт, и на самом деле эти светильники сопоставимы друг с другом, если мы взглянем на световой поток.
Сколько света даёт светильник?
Прожекторы производства Китай мощностью 70 Вт  - световой поток 6700 люмен.
vs
Светильник VRN-UN-48-G50K67-K мощностью 48 Вт - светового потока 7680 люмен.
Один светильник Virona VRN-UN-48-G50K67-K мощностью 48 Ватт дает больше светового потока чем типичный китайский консольный светильник большей мощности. 
Это значит, что потребление электроэнергии при использовании светильника Virona будет меньше, а света он давать будет больше.
Важные показатели при выборе светильника.
Когда светильник работает он потребляет электричество и даёт свет.
Мощность - измеряется в Ваттах (Вт), это сколько мы будем платить за электроэнергию.
Световой поток - измеряется в люменах (лм), это сколько мы получим света.
Если разделим лм на Вт, то узнаем сколько получим света на 1 Вт расхода электричества или энергоэффективность, измеряется в лм/Вт.
световой поток (лм) / мощность (Вт) = энергоэффективность (лм/Вт)
Высокий показатель энергоэффективности говорит о том, что при производстве светильника использовались качественные компоненты: светодиоды и драйверы.
Рассчитаем энергоэффективность для
обычного прожектора производства Китай 6700 лм, 70 Вт:
6700 лм / 70 Вт = 96 лм/Вт
vs
Светильника VRN-UN-48-G50K67-K, 5120 лм, 48 Вт:
7680 лм / 48 Вт = 160 лм/Вт
Очевидно, консольник китайского производства имеет меньший показатель энергоэффективности почти в 2 раза.
Наш опыт говорит о том, что это из-за менее качественных комплектующих.
На что влияет?
срок службы,
качество светового потока,
комфорт в эксплуатации.
Обычно консольники из Китая имеют мерцающий световой поток. Это не видно невооруженным взглядом, но плохо сказывается на зрении и самочувствии человека.
(Картинка: та же самая, если удастся показать менее качественный световой поток, мерцание и тп и более ровный световой поток у Вироны)
Гарантия. Срок службы. Замена светильников. Дополнительные расходы
Доступные прожекторы производства Китай
Гарантия 2 года,
срок службы 50 000 часов, или 5-6 лет.
Т.е. мы будем менять светильник 2 раза за 10 лет.
Поэтому будем тратить:
❌ деньги на приобретение новых светильников,
❌ деньги или время на монтаж/демонтаж вышедшего из строя оборудования,
❌ время на покупку и обслуживание,
❌ внимание, силы на казалось бы решенный вопрос.
Virona VRN-UN-48-G50K67-K
Гарантия 5 лет,
срок службы 100 000 часов, или 10 лет.
Решаем вопрос освещения один раз и надолго. Заплатив один раз за качество, решаем вопрос в горизонте 10 лет, получаем:
✔️ экономию расходов на электричество (минимум в 2 раза),
✔️ экономию времени на покупку светильника взамен перегоревшего,
✔️ экономию расходов на монтаж-демонтаж перегоревшего светильника,
✔️ получаем лучшее качества света без мерцаний (комфорт),
✔️ чувствуем себя лучше и тратим больше времени и сил на любимые дела.
Мы рады любому выбору покупателя. Если вы прочитали до конца и решили купить светильник Virona - согласуем скидку 3%.</t>
        </is>
      </c>
      <c r="AI38" s="0" t="inlineStr">
        <is>
          <t>LED-driver</t>
        </is>
      </c>
      <c r="AK38" s="0" t="n">
        <v>0.95</v>
      </c>
      <c r="AL38" s="0" t="n">
        <v>1</v>
      </c>
      <c r="AN38" s="0" t="n">
        <v>176</v>
      </c>
      <c r="AO38" s="0" t="n">
        <v>264</v>
      </c>
      <c r="AP38" s="0" t="n">
        <v>-60</v>
      </c>
      <c r="AQ38" s="0" t="n">
        <v>50</v>
      </c>
      <c r="AS38" s="0" t="inlineStr">
        <is>
          <t>Картон</t>
        </is>
      </c>
      <c r="AT38" s="0" t="inlineStr">
        <is>
          <t>Да</t>
        </is>
      </c>
      <c r="AU38" s="0" t="n">
        <v>0.00483</v>
      </c>
      <c r="AV38" s="0" t="n">
        <v>0.105</v>
      </c>
      <c r="AW38" s="0" t="n">
        <v>1</v>
      </c>
      <c r="AX38" s="0" t="n">
        <v>300</v>
      </c>
      <c r="AY38" s="0" t="n">
        <v>115</v>
      </c>
      <c r="AZ38" s="0" t="n">
        <v>140</v>
      </c>
      <c r="BA38" s="0" t="n">
        <v>0.00483</v>
      </c>
      <c r="BB38" s="0" t="n">
        <v>0.105</v>
      </c>
      <c r="BD38" s="0" t="inlineStr">
        <is>
          <t>http://darion-svet.com/web/binary/saveas_archive?model=product.picture&amp;ids=[1611, 1908]&amp;field=image&amp;name_field=name&amp;archive_name=V1008_image</t>
        </is>
      </c>
      <c r="BE38" s="0" t="inlineStr">
        <is>
          <t>http://darion-svet.com/shop/product/v1008-vrn-un-48-g50k67-k-48vt-konsolnyij</t>
        </is>
      </c>
      <c r="BF38" s="0" t="inlineStr">
        <is>
          <t>http://darion-svet.com/web/binary/saveas?model=product.product&amp;field=conformity_cert&amp;filename_field=conformity_cert_filename&amp;id=18080</t>
        </is>
      </c>
      <c r="BG38" s="0" t="inlineStr">
        <is>
          <t>http://darion-svet.com/web/binary/saveas?model=product.product&amp;field=datasheet&amp;filename_field=datasheet_filename&amp;id=18080</t>
        </is>
      </c>
      <c r="BI38" s="0" t="n">
        <v>0</v>
      </c>
      <c r="BJ38" s="0" t="n">
        <v>0</v>
      </c>
    </row>
    <row r="39">
      <c r="A39" s="0" t="inlineStr">
        <is>
          <t>V10088</t>
        </is>
      </c>
      <c r="B39" s="0" t="inlineStr">
        <is>
          <t>Светодиодный светильник VRN-UN-40-G50K67-K</t>
        </is>
      </c>
      <c r="C39" s="0" t="inlineStr">
        <is>
          <t>Универсал</t>
        </is>
      </c>
      <c r="E39" s="0" t="inlineStr">
        <is>
          <t>http://darion-svet.com/web/binary/image?model=product.product&amp;id=26864&amp;field=image</t>
        </is>
      </c>
      <c r="G39" s="0" t="inlineStr">
        <is>
          <t>Российская Федерация</t>
        </is>
      </c>
      <c r="H39" s="0" t="inlineStr">
        <is>
          <t>VIRONA</t>
        </is>
      </c>
      <c r="I39" s="0" t="inlineStr">
        <is>
          <t>консольный</t>
        </is>
      </c>
      <c r="J39" s="0" t="inlineStr">
        <is>
          <t>улицы (дороги, тротуары); магистрали и дороги</t>
        </is>
      </c>
      <c r="M39" s="0" t="n">
        <v>40</v>
      </c>
      <c r="O39" s="0" t="inlineStr">
        <is>
          <t>SMD</t>
        </is>
      </c>
      <c r="P39" s="0" t="n">
        <v>6400</v>
      </c>
      <c r="Q39" s="0" t="n">
        <v>5000</v>
      </c>
      <c r="R39" s="0" t="n">
        <v>80</v>
      </c>
      <c r="S39" s="0" t="n">
        <v>67</v>
      </c>
      <c r="T39" s="0" t="inlineStr">
        <is>
          <t>Д</t>
        </is>
      </c>
      <c r="U39" s="0" t="inlineStr">
        <is>
          <t>100 000 ч.</t>
        </is>
      </c>
      <c r="V39" s="0" t="n">
        <v>275</v>
      </c>
      <c r="W39" s="0" t="n">
        <v>100</v>
      </c>
      <c r="X39" s="0" t="n">
        <v>120</v>
      </c>
      <c r="AB39" s="0" t="n">
        <v>1.25</v>
      </c>
      <c r="AD39" s="0" t="inlineStr">
        <is>
          <t>алюминиевый профиль</t>
        </is>
      </c>
      <c r="AE39" s="0" t="inlineStr">
        <is>
          <t>полимерный материал</t>
        </is>
      </c>
      <c r="AH39" s="0" t="inlineStr">
        <is>
          <t>Светодиоды Samsung LH351</t>
        </is>
      </c>
      <c r="AI39" s="0" t="inlineStr">
        <is>
          <t>LED-driver</t>
        </is>
      </c>
      <c r="AK39" s="0" t="n">
        <v>0.95</v>
      </c>
      <c r="AL39" s="0" t="n">
        <v>1</v>
      </c>
      <c r="AN39" s="0" t="n">
        <v>176</v>
      </c>
      <c r="AO39" s="0" t="n">
        <v>264</v>
      </c>
      <c r="AP39" s="0" t="n">
        <v>-60</v>
      </c>
      <c r="AQ39" s="0" t="n">
        <v>50</v>
      </c>
      <c r="AS39" s="0" t="inlineStr">
        <is>
          <t>Картон</t>
        </is>
      </c>
      <c r="AT39" s="0" t="inlineStr">
        <is>
          <t>Да</t>
        </is>
      </c>
      <c r="AU39" s="0" t="n">
        <v>0.0048</v>
      </c>
      <c r="AV39" s="0" t="n">
        <v>1.35</v>
      </c>
      <c r="AW39" s="0" t="n">
        <v>1</v>
      </c>
      <c r="AX39" s="0" t="n">
        <v>300</v>
      </c>
      <c r="AY39" s="0" t="n">
        <v>115</v>
      </c>
      <c r="AZ39" s="0" t="n">
        <v>140</v>
      </c>
      <c r="BA39" s="0" t="n">
        <v>0.0048</v>
      </c>
      <c r="BB39" s="0" t="n">
        <v>1.35</v>
      </c>
      <c r="BE39" s="0" t="inlineStr">
        <is>
          <t>http://darion-svet.com/shop/product/v10088-vrn-un-40-g50k67-k</t>
        </is>
      </c>
      <c r="BI39" s="0" t="n">
        <v>0</v>
      </c>
      <c r="BJ39" s="0" t="n">
        <v>0</v>
      </c>
    </row>
    <row r="40">
      <c r="A40" s="0" t="inlineStr">
        <is>
          <t>V1009</t>
        </is>
      </c>
      <c r="B40" s="0" t="inlineStr">
        <is>
          <t>Светодиодный светильник Virona 96Вт Универсальный (VRN-UN-96D-G50K67-U)</t>
        </is>
      </c>
      <c r="C40" s="0" t="inlineStr">
        <is>
          <t>Универсал</t>
        </is>
      </c>
      <c r="E40" s="0" t="inlineStr">
        <is>
          <t>http://darion-svet.com/web/binary/image?model=product.product&amp;id=18086&amp;field=image</t>
        </is>
      </c>
      <c r="F40" s="0" t="n">
        <v>5</v>
      </c>
      <c r="G40" s="0" t="inlineStr">
        <is>
          <t>Российская Федерация</t>
        </is>
      </c>
      <c r="H40" s="0" t="inlineStr">
        <is>
          <t>VIRONA</t>
        </is>
      </c>
      <c r="I40" s="0" t="inlineStr">
        <is>
          <t>консольный; на лиру; подвесной</t>
        </is>
      </c>
      <c r="J40" s="0" t="inlineStr">
        <is>
          <t>улицы (дороги, тротуары); промышленные помещения, склады и цеха</t>
        </is>
      </c>
      <c r="M40" s="0" t="n">
        <v>96</v>
      </c>
      <c r="O40" s="0" t="inlineStr">
        <is>
          <t>SMD</t>
        </is>
      </c>
      <c r="P40" s="0" t="n">
        <v>15360</v>
      </c>
      <c r="Q40" s="0" t="n">
        <v>5000</v>
      </c>
      <c r="R40" s="0" t="n">
        <v>80</v>
      </c>
      <c r="S40" s="0" t="n">
        <v>67</v>
      </c>
      <c r="T40" s="0" t="inlineStr">
        <is>
          <t>Д</t>
        </is>
      </c>
      <c r="U40" s="0" t="n">
        <v>100000</v>
      </c>
      <c r="V40" s="0" t="n">
        <v>289</v>
      </c>
      <c r="W40" s="0" t="n">
        <v>210</v>
      </c>
      <c r="X40" s="0" t="n">
        <v>95</v>
      </c>
      <c r="AB40" s="0" t="n">
        <v>2.145</v>
      </c>
      <c r="AD40" s="0" t="inlineStr">
        <is>
          <t>алюминиевый профиль</t>
        </is>
      </c>
      <c r="AE40" s="0" t="inlineStr">
        <is>
          <t>стекло</t>
        </is>
      </c>
      <c r="AG40" s="0" t="inlineStr">
        <is>
          <t>прозрачный рассеиватель</t>
        </is>
      </c>
      <c r="AH40" s="0" t="inlineStr">
        <is>
          <t>Светодиоды Samsung LM282</t>
        </is>
      </c>
      <c r="AI40" s="0" t="inlineStr">
        <is>
          <t>LED-driver</t>
        </is>
      </c>
      <c r="AK40" s="0" t="n">
        <v>0.95</v>
      </c>
      <c r="AN40" s="0" t="n">
        <v>176</v>
      </c>
      <c r="AO40" s="0" t="n">
        <v>264</v>
      </c>
      <c r="AP40" s="0" t="n">
        <v>-60</v>
      </c>
      <c r="AQ40" s="0" t="n">
        <v>50</v>
      </c>
      <c r="AS40" s="0" t="inlineStr">
        <is>
          <t>Картон</t>
        </is>
      </c>
      <c r="AT40" s="0" t="inlineStr">
        <is>
          <t>Да</t>
        </is>
      </c>
      <c r="AU40" s="0" t="n">
        <v>0.00903</v>
      </c>
      <c r="AV40" s="0" t="n">
        <v>0.197</v>
      </c>
      <c r="AW40" s="0" t="n">
        <v>1</v>
      </c>
      <c r="AX40" s="0" t="n">
        <v>300</v>
      </c>
      <c r="AY40" s="0" t="n">
        <v>215</v>
      </c>
      <c r="AZ40" s="0" t="n">
        <v>140</v>
      </c>
      <c r="BA40" s="0" t="n">
        <v>0.00903</v>
      </c>
      <c r="BB40" s="0" t="n">
        <v>0.197</v>
      </c>
      <c r="BD40" s="0" t="inlineStr">
        <is>
          <t>http://darion-svet.com/web/binary/saveas_archive?model=product.picture&amp;ids=[1621]&amp;field=image&amp;name_field=name&amp;archive_name=V1009_image</t>
        </is>
      </c>
      <c r="BE40" s="0" t="inlineStr">
        <is>
          <t>http://darion-svet.com/shop/product/v1009-vrn-un-96d-g50k67-u-96vt-universalnyij</t>
        </is>
      </c>
      <c r="BI40" s="0" t="n">
        <v>0</v>
      </c>
      <c r="BJ40" s="0" t="n">
        <v>0</v>
      </c>
    </row>
    <row r="41">
      <c r="A41" s="0" t="inlineStr">
        <is>
          <t>V10099</t>
        </is>
      </c>
      <c r="B41" s="0" t="inlineStr">
        <is>
          <t>Светодиодный светильник VRN-UN-80D-G50K67-U</t>
        </is>
      </c>
      <c r="C41" s="0" t="inlineStr">
        <is>
          <t>Универсал</t>
        </is>
      </c>
      <c r="E41" s="0" t="inlineStr">
        <is>
          <t>http://darion-svet.com/web/binary/image?model=product.product&amp;id=26879&amp;field=image</t>
        </is>
      </c>
      <c r="G41" s="0" t="inlineStr">
        <is>
          <t>Российская Федерация</t>
        </is>
      </c>
      <c r="H41" s="0" t="inlineStr">
        <is>
          <t>VIRONA</t>
        </is>
      </c>
      <c r="I41" s="0" t="inlineStr">
        <is>
          <t>консольный; на лиру; подвесной</t>
        </is>
      </c>
      <c r="J41" s="0" t="inlineStr">
        <is>
          <t>улицы (дороги, тротуары); магистрали и дороги</t>
        </is>
      </c>
      <c r="M41" s="0" t="n">
        <v>80</v>
      </c>
      <c r="O41" s="0" t="inlineStr">
        <is>
          <t>SMD</t>
        </is>
      </c>
      <c r="P41" s="0" t="n">
        <v>12800</v>
      </c>
      <c r="Q41" s="0" t="n">
        <v>5000</v>
      </c>
      <c r="R41" s="0" t="n">
        <v>80</v>
      </c>
      <c r="S41" s="0" t="n">
        <v>67</v>
      </c>
      <c r="T41" s="0" t="inlineStr">
        <is>
          <t>Д</t>
        </is>
      </c>
      <c r="U41" s="0" t="inlineStr">
        <is>
          <t>100 000 ч.</t>
        </is>
      </c>
      <c r="V41" s="0" t="n">
        <v>275</v>
      </c>
      <c r="W41" s="0" t="n">
        <v>210</v>
      </c>
      <c r="X41" s="0" t="n">
        <v>135</v>
      </c>
      <c r="AB41" s="0" t="n">
        <v>2.15</v>
      </c>
      <c r="AD41" s="0" t="inlineStr">
        <is>
          <t>алюминиевый профиль</t>
        </is>
      </c>
      <c r="AE41" s="0" t="inlineStr">
        <is>
          <t>полимерный материал</t>
        </is>
      </c>
      <c r="AH41" s="0" t="inlineStr">
        <is>
          <t>Светодиоды Samsung LH351</t>
        </is>
      </c>
      <c r="AI41" s="0" t="inlineStr">
        <is>
          <t>LED-driver</t>
        </is>
      </c>
      <c r="AK41" s="0" t="n">
        <v>0.95</v>
      </c>
      <c r="AL41" s="0" t="n">
        <v>1</v>
      </c>
      <c r="AN41" s="0" t="n">
        <v>176</v>
      </c>
      <c r="AO41" s="0" t="n">
        <v>264</v>
      </c>
      <c r="AP41" s="0" t="n">
        <v>-60</v>
      </c>
      <c r="AQ41" s="0" t="n">
        <v>50</v>
      </c>
      <c r="AS41" s="0" t="inlineStr">
        <is>
          <t>Картон</t>
        </is>
      </c>
      <c r="AT41" s="0" t="inlineStr">
        <is>
          <t>Да</t>
        </is>
      </c>
      <c r="AW41" s="0" t="n">
        <v>1</v>
      </c>
      <c r="AX41" s="0" t="n">
        <v>300</v>
      </c>
      <c r="AY41" s="0" t="n">
        <v>215</v>
      </c>
      <c r="AZ41" s="0" t="n">
        <v>140</v>
      </c>
      <c r="BE41" s="0" t="inlineStr">
        <is>
          <t>http://darion-svet.com/shop/product/v10099-vrn-un-80d-g50k67-u</t>
        </is>
      </c>
      <c r="BI41" s="0" t="n">
        <v>0</v>
      </c>
      <c r="BJ41" s="0" t="n">
        <v>0</v>
      </c>
    </row>
    <row r="42">
      <c r="A42" s="0" t="inlineStr">
        <is>
          <t>V1009A11</t>
        </is>
      </c>
      <c r="B42" s="0" t="inlineStr">
        <is>
          <t>Светодиодный светильник Virona 96Вт Универсальный (VRN-UN-96D-G50K67-U)</t>
        </is>
      </c>
      <c r="C42" s="0" t="inlineStr">
        <is>
          <t>Универсал</t>
        </is>
      </c>
      <c r="E42" s="0" t="inlineStr">
        <is>
          <t>http://darion-svet.com/web/binary/image?model=product.product&amp;id=24778&amp;field=image</t>
        </is>
      </c>
      <c r="F42" s="0" t="n">
        <v>5</v>
      </c>
      <c r="G42" s="0" t="inlineStr">
        <is>
          <t>Российская Федерация</t>
        </is>
      </c>
      <c r="H42" s="0" t="inlineStr">
        <is>
          <t>VIRONA</t>
        </is>
      </c>
      <c r="I42" s="0" t="inlineStr">
        <is>
          <t>консольный; на лиру; подвесной</t>
        </is>
      </c>
      <c r="J42" s="0" t="inlineStr">
        <is>
          <t>улицы (дороги, тротуары); промышленные помещения, склады и цеха</t>
        </is>
      </c>
      <c r="M42" s="0" t="n">
        <v>96</v>
      </c>
      <c r="O42" s="0" t="inlineStr">
        <is>
          <t>SMD</t>
        </is>
      </c>
      <c r="P42" s="0" t="n">
        <v>15360</v>
      </c>
      <c r="Q42" s="0" t="n">
        <v>5000</v>
      </c>
      <c r="R42" s="0" t="n">
        <v>80</v>
      </c>
      <c r="S42" s="0" t="n">
        <v>67</v>
      </c>
      <c r="T42" s="0" t="inlineStr">
        <is>
          <t>Д</t>
        </is>
      </c>
      <c r="U42" s="0" t="n">
        <v>100000</v>
      </c>
      <c r="V42" s="0" t="n">
        <v>289</v>
      </c>
      <c r="W42" s="0" t="n">
        <v>210</v>
      </c>
      <c r="X42" s="0" t="n">
        <v>95</v>
      </c>
      <c r="AB42" s="0" t="n">
        <v>2.145</v>
      </c>
      <c r="AD42" s="0" t="inlineStr">
        <is>
          <t>алюминиевый профиль</t>
        </is>
      </c>
      <c r="AE42" s="0" t="inlineStr">
        <is>
          <t>стекло</t>
        </is>
      </c>
      <c r="AG42" s="0" t="inlineStr">
        <is>
          <t>прозрачный рассеиватель</t>
        </is>
      </c>
      <c r="AH42" s="0" t="inlineStr">
        <is>
          <t>Светодиоды Samsung LM282</t>
        </is>
      </c>
      <c r="AI42" s="0" t="inlineStr">
        <is>
          <t>LED-driver</t>
        </is>
      </c>
      <c r="AK42" s="0" t="n">
        <v>0.95</v>
      </c>
      <c r="AN42" s="0" t="n">
        <v>176</v>
      </c>
      <c r="AO42" s="0" t="n">
        <v>264</v>
      </c>
      <c r="AP42" s="0" t="n">
        <v>-60</v>
      </c>
      <c r="AQ42" s="0" t="n">
        <v>50</v>
      </c>
      <c r="AS42" s="0" t="inlineStr">
        <is>
          <t>Картон</t>
        </is>
      </c>
      <c r="AT42" s="0" t="inlineStr">
        <is>
          <t>Да</t>
        </is>
      </c>
      <c r="AU42" s="0" t="n">
        <v>0.00903</v>
      </c>
      <c r="AV42" s="0" t="n">
        <v>0.197</v>
      </c>
      <c r="AW42" s="0" t="n">
        <v>1</v>
      </c>
      <c r="AX42" s="0" t="n">
        <v>300</v>
      </c>
      <c r="AY42" s="0" t="n">
        <v>215</v>
      </c>
      <c r="AZ42" s="0" t="n">
        <v>140</v>
      </c>
      <c r="BA42" s="0" t="n">
        <v>0.00903</v>
      </c>
      <c r="BB42" s="0" t="n">
        <v>0.197</v>
      </c>
      <c r="BD42" s="0" t="inlineStr">
        <is>
          <t>http://darion-svet.com/web/binary/saveas_archive?model=product.picture&amp;ids=[1621]&amp;field=image&amp;name_field=name&amp;archive_name=V1009A11_image</t>
        </is>
      </c>
      <c r="BE42" s="0" t="inlineStr">
        <is>
          <t>http://darion-svet.com/shop/product/v1009a11-vrn-10a10-un-96d-g50k67-u-em-96vt-universalnyij</t>
        </is>
      </c>
      <c r="BI42" s="0" t="n">
        <v>0</v>
      </c>
      <c r="BJ42" s="0" t="n">
        <v>0</v>
      </c>
    </row>
    <row r="43">
      <c r="A43" s="0" t="inlineStr">
        <is>
          <t>V1010</t>
        </is>
      </c>
      <c r="B43" s="0" t="inlineStr">
        <is>
          <t>Светодиодный светильник Virona 96Вт Консольный (VRN-UN-96D-G50K67-K)</t>
        </is>
      </c>
      <c r="C43" s="0" t="inlineStr">
        <is>
          <t>Универсал</t>
        </is>
      </c>
      <c r="E43" s="0" t="inlineStr">
        <is>
          <t>http://darion-svet.com/web/binary/image?model=product.product&amp;id=18092&amp;field=image</t>
        </is>
      </c>
      <c r="F43" s="0" t="n">
        <v>5</v>
      </c>
      <c r="G43" s="0" t="inlineStr">
        <is>
          <t>Российская Федерация</t>
        </is>
      </c>
      <c r="H43" s="0" t="inlineStr">
        <is>
          <t>VIRONA</t>
        </is>
      </c>
      <c r="I43" s="0" t="inlineStr">
        <is>
          <t>консольный</t>
        </is>
      </c>
      <c r="J43" s="0" t="inlineStr">
        <is>
          <t>магистрали и дороги</t>
        </is>
      </c>
      <c r="M43" s="0" t="n">
        <v>96</v>
      </c>
      <c r="O43" s="0" t="inlineStr">
        <is>
          <t>SMD</t>
        </is>
      </c>
      <c r="P43" s="0" t="n">
        <v>15360</v>
      </c>
      <c r="Q43" s="0" t="n">
        <v>5000</v>
      </c>
      <c r="R43" s="0" t="n">
        <v>80</v>
      </c>
      <c r="S43" s="0" t="n">
        <v>67</v>
      </c>
      <c r="T43" s="0" t="inlineStr">
        <is>
          <t>Д</t>
        </is>
      </c>
      <c r="U43" s="0" t="n">
        <v>100000</v>
      </c>
      <c r="V43" s="0" t="n">
        <v>289</v>
      </c>
      <c r="W43" s="0" t="n">
        <v>260</v>
      </c>
      <c r="X43" s="0" t="n">
        <v>96</v>
      </c>
      <c r="AB43" s="0" t="n">
        <v>2.13</v>
      </c>
      <c r="AD43" s="0" t="inlineStr">
        <is>
          <t>алюминиевый профиль</t>
        </is>
      </c>
      <c r="AE43" s="0" t="inlineStr">
        <is>
          <t>стекло</t>
        </is>
      </c>
      <c r="AG43" s="0" t="inlineStr">
        <is>
          <t>прозрачный рассеиватель</t>
        </is>
      </c>
      <c r="AH43" s="0" t="inlineStr">
        <is>
          <t>Светодиоды Samsung LM288</t>
        </is>
      </c>
      <c r="AI43" s="0" t="inlineStr">
        <is>
          <t>LED-driver</t>
        </is>
      </c>
      <c r="AK43" s="0" t="n">
        <v>0.95</v>
      </c>
      <c r="AN43" s="0" t="n">
        <v>176</v>
      </c>
      <c r="AO43" s="0" t="n">
        <v>264</v>
      </c>
      <c r="AP43" s="0" t="n">
        <v>-60</v>
      </c>
      <c r="AQ43" s="0" t="n">
        <v>50</v>
      </c>
      <c r="AS43" s="0" t="inlineStr">
        <is>
          <t>Картон</t>
        </is>
      </c>
      <c r="AT43" s="0" t="inlineStr">
        <is>
          <t>Да</t>
        </is>
      </c>
      <c r="AU43" s="0" t="n">
        <v>0.01176</v>
      </c>
      <c r="AV43" s="0" t="n">
        <v>0.24</v>
      </c>
      <c r="AW43" s="0" t="n">
        <v>1</v>
      </c>
      <c r="AX43" s="0" t="n">
        <v>300</v>
      </c>
      <c r="AY43" s="0" t="n">
        <v>280</v>
      </c>
      <c r="AZ43" s="0" t="n">
        <v>140</v>
      </c>
      <c r="BA43" s="0" t="n">
        <v>0.01176</v>
      </c>
      <c r="BB43" s="0" t="n">
        <v>0.24</v>
      </c>
      <c r="BD43" s="0" t="inlineStr">
        <is>
          <t>http://darion-svet.com/web/binary/saveas_archive?model=product.picture&amp;ids=[1622]&amp;field=image&amp;name_field=name&amp;archive_name=V1010_image</t>
        </is>
      </c>
      <c r="BE43" s="0" t="inlineStr">
        <is>
          <t>http://darion-svet.com/shop/product/v1010-vrn-un-96d-g50k67-k-96vt-konsolnyij</t>
        </is>
      </c>
      <c r="BI43" s="0" t="n">
        <v>0</v>
      </c>
      <c r="BJ43" s="0" t="n">
        <v>0</v>
      </c>
    </row>
    <row r="44">
      <c r="A44" s="0" t="inlineStr">
        <is>
          <t>V10101</t>
        </is>
      </c>
      <c r="B44" s="0" t="inlineStr">
        <is>
          <t>Светодиодный светильник VRN-UN-80D-G50K67-K</t>
        </is>
      </c>
      <c r="C44" s="0" t="inlineStr">
        <is>
          <t>Универсал</t>
        </is>
      </c>
      <c r="E44" s="0" t="inlineStr">
        <is>
          <t>http://darion-svet.com/web/binary/image?model=product.product&amp;id=26880&amp;field=image</t>
        </is>
      </c>
      <c r="G44" s="0" t="inlineStr">
        <is>
          <t>Российская Федерация</t>
        </is>
      </c>
      <c r="H44" s="0" t="inlineStr">
        <is>
          <t>VIRONA</t>
        </is>
      </c>
      <c r="I44" s="0" t="inlineStr">
        <is>
          <t>консольный</t>
        </is>
      </c>
      <c r="J44" s="0" t="inlineStr">
        <is>
          <t>улицы (дороги, тротуары); магистрали и дороги</t>
        </is>
      </c>
      <c r="M44" s="0" t="n">
        <v>80</v>
      </c>
      <c r="O44" s="0" t="inlineStr">
        <is>
          <t>SMD</t>
        </is>
      </c>
      <c r="P44" s="0" t="n">
        <v>12800</v>
      </c>
      <c r="Q44" s="0" t="n">
        <v>5000</v>
      </c>
      <c r="R44" s="0" t="n">
        <v>80</v>
      </c>
      <c r="S44" s="0" t="n">
        <v>67</v>
      </c>
      <c r="T44" s="0" t="inlineStr">
        <is>
          <t>Д</t>
        </is>
      </c>
      <c r="U44" s="0" t="inlineStr">
        <is>
          <t>100 000 ч.</t>
        </is>
      </c>
      <c r="V44" s="0" t="n">
        <v>275</v>
      </c>
      <c r="W44" s="0" t="n">
        <v>260</v>
      </c>
      <c r="X44" s="0" t="n">
        <v>80</v>
      </c>
      <c r="AB44" s="0" t="n">
        <v>2.15</v>
      </c>
      <c r="AD44" s="0" t="inlineStr">
        <is>
          <t>алюминиевый профиль</t>
        </is>
      </c>
      <c r="AE44" s="0" t="inlineStr">
        <is>
          <t>полимерный материал</t>
        </is>
      </c>
      <c r="AH44" s="0" t="inlineStr">
        <is>
          <t>Светодиоды Samsung LH351</t>
        </is>
      </c>
      <c r="AI44" s="0" t="inlineStr">
        <is>
          <t>LED-driver</t>
        </is>
      </c>
      <c r="AK44" s="0" t="n">
        <v>0.95</v>
      </c>
      <c r="AL44" s="0" t="n">
        <v>1</v>
      </c>
      <c r="AN44" s="0" t="n">
        <v>176</v>
      </c>
      <c r="AO44" s="0" t="n">
        <v>264</v>
      </c>
      <c r="AP44" s="0" t="n">
        <v>-60</v>
      </c>
      <c r="AQ44" s="0" t="n">
        <v>50</v>
      </c>
      <c r="AS44" s="0" t="inlineStr">
        <is>
          <t>Картон</t>
        </is>
      </c>
      <c r="AT44" s="0" t="inlineStr">
        <is>
          <t>Да</t>
        </is>
      </c>
      <c r="AW44" s="0" t="n">
        <v>1</v>
      </c>
      <c r="AX44" s="0" t="n">
        <v>300</v>
      </c>
      <c r="AY44" s="0" t="n">
        <v>275</v>
      </c>
      <c r="AZ44" s="0" t="n">
        <v>110</v>
      </c>
      <c r="BE44" s="0" t="inlineStr">
        <is>
          <t>http://darion-svet.com/shop/product/v10101-vrn-un-80d-g50k67-k</t>
        </is>
      </c>
      <c r="BI44" s="0" t="n">
        <v>0</v>
      </c>
      <c r="BJ44" s="0" t="n">
        <v>0</v>
      </c>
    </row>
    <row r="45">
      <c r="A45" s="0" t="inlineStr">
        <is>
          <t>V1010-R</t>
        </is>
      </c>
      <c r="B45" s="0" t="inlineStr">
        <is>
          <t>Светодиодный светильник Virona 96Вт подвесной (VRN-UN-96D-G50K67-R)</t>
        </is>
      </c>
      <c r="C45" s="0" t="inlineStr">
        <is>
          <t>Универсал</t>
        </is>
      </c>
      <c r="E45" s="0" t="inlineStr">
        <is>
          <t>http://darion-svet.com/web/binary/image?model=product.product&amp;id=20525&amp;field=image</t>
        </is>
      </c>
      <c r="F45" s="0" t="n">
        <v>5</v>
      </c>
      <c r="G45" s="0" t="inlineStr">
        <is>
          <t>Российская Федерация</t>
        </is>
      </c>
      <c r="H45" s="0" t="inlineStr">
        <is>
          <t>VIRONA</t>
        </is>
      </c>
      <c r="I45" s="0" t="inlineStr">
        <is>
          <t>подвесной</t>
        </is>
      </c>
      <c r="J45" s="0" t="inlineStr">
        <is>
          <t>улицы (дороги, тротуары); промышленные помещения, склады и цеха</t>
        </is>
      </c>
      <c r="M45" s="0" t="n">
        <v>96</v>
      </c>
      <c r="O45" s="0" t="inlineStr">
        <is>
          <t>SMD</t>
        </is>
      </c>
      <c r="P45" s="0" t="n">
        <v>15360</v>
      </c>
      <c r="Q45" s="0" t="n">
        <v>5000</v>
      </c>
      <c r="R45" s="0" t="n">
        <v>80</v>
      </c>
      <c r="S45" s="0" t="n">
        <v>67</v>
      </c>
      <c r="T45" s="0" t="inlineStr">
        <is>
          <t>Д</t>
        </is>
      </c>
      <c r="U45" s="0" t="inlineStr">
        <is>
          <t>100 000 ч.</t>
        </is>
      </c>
      <c r="V45" s="0" t="n">
        <v>289</v>
      </c>
      <c r="W45" s="0" t="n">
        <v>210</v>
      </c>
      <c r="X45" s="0" t="n">
        <v>95</v>
      </c>
      <c r="AB45" s="0" t="n">
        <v>2.145</v>
      </c>
      <c r="AD45" s="0" t="inlineStr">
        <is>
          <t>алюминиевый профиль</t>
        </is>
      </c>
      <c r="AE45" s="0" t="inlineStr">
        <is>
          <t>стекло</t>
        </is>
      </c>
      <c r="AG45" s="0" t="inlineStr">
        <is>
          <t>прозрачный рассеиватель</t>
        </is>
      </c>
      <c r="AH45" s="0" t="inlineStr">
        <is>
          <t>Светодиоды Samsung LM282</t>
        </is>
      </c>
      <c r="AI45" s="0" t="inlineStr">
        <is>
          <t>LED-driver</t>
        </is>
      </c>
      <c r="AK45" s="0" t="n">
        <v>0.95</v>
      </c>
      <c r="AN45" s="0" t="n">
        <v>176</v>
      </c>
      <c r="AO45" s="0" t="n">
        <v>264</v>
      </c>
      <c r="AP45" s="0" t="n">
        <v>-60</v>
      </c>
      <c r="AQ45" s="0" t="n">
        <v>50</v>
      </c>
      <c r="AS45" s="0" t="inlineStr">
        <is>
          <t>Картон</t>
        </is>
      </c>
      <c r="AT45" s="0" t="inlineStr">
        <is>
          <t>Да</t>
        </is>
      </c>
      <c r="AU45" s="0" t="n">
        <v>0.00903</v>
      </c>
      <c r="AV45" s="0" t="n">
        <v>0.197</v>
      </c>
      <c r="AW45" s="0" t="n">
        <v>1</v>
      </c>
      <c r="AX45" s="0" t="n">
        <v>300</v>
      </c>
      <c r="AY45" s="0" t="n">
        <v>215</v>
      </c>
      <c r="AZ45" s="0" t="n">
        <v>140</v>
      </c>
      <c r="BA45" s="0" t="n">
        <v>0.00903</v>
      </c>
      <c r="BB45" s="0" t="n">
        <v>0.197</v>
      </c>
      <c r="BD45" s="0" t="inlineStr">
        <is>
          <t>http://darion-svet.com/web/binary/saveas_archive?model=product.picture&amp;ids=[1621]&amp;field=image&amp;name_field=name&amp;archive_name=V1010-R_image</t>
        </is>
      </c>
      <c r="BE45" s="0" t="inlineStr">
        <is>
          <t>http://darion-svet.com/shop/product/v1010-r-vrn-un-96d-g50k67-r-96vt-kreplenie-ryim-bolt</t>
        </is>
      </c>
      <c r="BI45" s="0" t="n">
        <v>0</v>
      </c>
      <c r="BJ45" s="0" t="n">
        <v>0</v>
      </c>
    </row>
    <row r="46">
      <c r="A46" s="0" t="inlineStr">
        <is>
          <t>V1011</t>
        </is>
      </c>
      <c r="B46" s="0" t="inlineStr">
        <is>
          <t>Светодиодный светильник Virona 96Вт Консольный (VRN-UN-96D-G50K67-K90)</t>
        </is>
      </c>
      <c r="C46" s="0" t="inlineStr">
        <is>
          <t>Универсал</t>
        </is>
      </c>
      <c r="E46" s="0" t="inlineStr">
        <is>
          <t>http://darion-svet.com/web/binary/image?model=product.product&amp;id=18104&amp;field=image</t>
        </is>
      </c>
      <c r="F46" s="0" t="n">
        <v>5</v>
      </c>
      <c r="G46" s="0" t="inlineStr">
        <is>
          <t>Российская Федерация</t>
        </is>
      </c>
      <c r="H46" s="0" t="inlineStr">
        <is>
          <t>VIRONA</t>
        </is>
      </c>
      <c r="I46" s="0" t="inlineStr">
        <is>
          <t>консольный</t>
        </is>
      </c>
      <c r="J46" s="0" t="inlineStr">
        <is>
          <t>магистрали и дороги</t>
        </is>
      </c>
      <c r="M46" s="0" t="n">
        <v>96</v>
      </c>
      <c r="O46" s="0" t="inlineStr">
        <is>
          <t>SMD</t>
        </is>
      </c>
      <c r="P46" s="0" t="n">
        <v>15360</v>
      </c>
      <c r="Q46" s="0" t="n">
        <v>5000</v>
      </c>
      <c r="R46" s="0" t="n">
        <v>80</v>
      </c>
      <c r="S46" s="0" t="n">
        <v>67</v>
      </c>
      <c r="T46" s="0" t="inlineStr">
        <is>
          <t>Л</t>
        </is>
      </c>
      <c r="U46" s="0" t="n">
        <v>100000</v>
      </c>
      <c r="V46" s="0" t="n">
        <v>300</v>
      </c>
      <c r="W46" s="0" t="n">
        <v>115</v>
      </c>
      <c r="X46" s="0" t="n">
        <v>140</v>
      </c>
      <c r="AB46" s="0" t="n">
        <v>1.24</v>
      </c>
      <c r="AD46" s="0" t="inlineStr">
        <is>
          <t>алюминиевый профиль</t>
        </is>
      </c>
      <c r="AE46" s="0" t="inlineStr">
        <is>
          <t>стекло</t>
        </is>
      </c>
      <c r="AG46" s="0" t="inlineStr">
        <is>
          <t>прозрачный рассеиватель</t>
        </is>
      </c>
      <c r="AH46" s="0" t="inlineStr">
        <is>
          <t>Светодиоды Samsung LM292</t>
        </is>
      </c>
      <c r="AI46" s="0" t="inlineStr">
        <is>
          <t>LED-driver</t>
        </is>
      </c>
      <c r="AK46" s="0" t="n">
        <v>0.95</v>
      </c>
      <c r="AN46" s="0" t="n">
        <v>176</v>
      </c>
      <c r="AO46" s="0" t="n">
        <v>264</v>
      </c>
      <c r="AP46" s="0" t="n">
        <v>-60</v>
      </c>
      <c r="AQ46" s="0" t="n">
        <v>50</v>
      </c>
      <c r="AS46" s="0" t="inlineStr">
        <is>
          <t>Картон</t>
        </is>
      </c>
      <c r="AT46" s="0" t="inlineStr">
        <is>
          <t>Да</t>
        </is>
      </c>
      <c r="AW46" s="0" t="n">
        <v>1</v>
      </c>
      <c r="BD46" s="0" t="inlineStr">
        <is>
          <t>http://darion-svet.com/web/binary/saveas_archive?model=product.picture&amp;ids=[1624]&amp;field=image&amp;name_field=name&amp;archive_name=V1011_image</t>
        </is>
      </c>
      <c r="BE46" s="0" t="inlineStr">
        <is>
          <t>http://darion-svet.com/shop/product/v1011-vrn-un-96d-g50k67-k90-l-96vt-konsolnyij-</t>
        </is>
      </c>
      <c r="BI46" s="0" t="n">
        <v>0</v>
      </c>
      <c r="BJ46" s="0" t="n">
        <v>0</v>
      </c>
    </row>
    <row r="47">
      <c r="A47" s="0" t="inlineStr">
        <is>
          <t>V10111</t>
        </is>
      </c>
      <c r="B47" s="0" t="inlineStr">
        <is>
          <t>Светодиодный светильник VRN-UN-80D-G50K67-K90</t>
        </is>
      </c>
      <c r="C47" s="0" t="inlineStr">
        <is>
          <t>Универсал</t>
        </is>
      </c>
      <c r="E47" s="0" t="inlineStr">
        <is>
          <t>http://darion-svet.com/web/binary/image?model=product.product&amp;id=26882&amp;field=image</t>
        </is>
      </c>
      <c r="G47" s="0" t="inlineStr">
        <is>
          <t>Российская Федерация</t>
        </is>
      </c>
      <c r="H47" s="0" t="inlineStr">
        <is>
          <t>VIRONA</t>
        </is>
      </c>
      <c r="I47" s="0" t="inlineStr">
        <is>
          <t>консольный</t>
        </is>
      </c>
      <c r="J47" s="0" t="inlineStr">
        <is>
          <t>улицы (дороги, тротуары); магистрали и дороги</t>
        </is>
      </c>
      <c r="M47" s="0" t="n">
        <v>80</v>
      </c>
      <c r="O47" s="0" t="inlineStr">
        <is>
          <t>SMD</t>
        </is>
      </c>
      <c r="P47" s="0" t="n">
        <v>12800</v>
      </c>
      <c r="Q47" s="0" t="n">
        <v>5000</v>
      </c>
      <c r="R47" s="0" t="n">
        <v>80</v>
      </c>
      <c r="S47" s="0" t="n">
        <v>67</v>
      </c>
      <c r="T47" s="0" t="inlineStr">
        <is>
          <t>Л</t>
        </is>
      </c>
      <c r="U47" s="0" t="inlineStr">
        <is>
          <t>100 000 ч.</t>
        </is>
      </c>
      <c r="V47" s="0" t="n">
        <v>275</v>
      </c>
      <c r="W47" s="0" t="n">
        <v>220</v>
      </c>
      <c r="X47" s="0" t="n">
        <v>110</v>
      </c>
      <c r="AB47" s="0" t="n">
        <v>2</v>
      </c>
      <c r="AD47" s="0" t="inlineStr">
        <is>
          <t>алюминиевый профиль</t>
        </is>
      </c>
      <c r="AE47" s="0" t="inlineStr">
        <is>
          <t>полимерный материал</t>
        </is>
      </c>
      <c r="AH47" s="0" t="inlineStr">
        <is>
          <t>Светодиоды Samsung LH351</t>
        </is>
      </c>
      <c r="AI47" s="0" t="inlineStr">
        <is>
          <t>LED-driver</t>
        </is>
      </c>
      <c r="AK47" s="0" t="n">
        <v>0.95</v>
      </c>
      <c r="AL47" s="0" t="n">
        <v>1</v>
      </c>
      <c r="AN47" s="0" t="n">
        <v>176</v>
      </c>
      <c r="AO47" s="0" t="n">
        <v>264</v>
      </c>
      <c r="AP47" s="0" t="n">
        <v>-60</v>
      </c>
      <c r="AQ47" s="0" t="n">
        <v>50</v>
      </c>
      <c r="AS47" s="0" t="inlineStr">
        <is>
          <t>Картон</t>
        </is>
      </c>
      <c r="AT47" s="0" t="inlineStr">
        <is>
          <t>Да</t>
        </is>
      </c>
      <c r="AW47" s="0" t="n">
        <v>1</v>
      </c>
      <c r="AX47" s="0" t="n">
        <v>300</v>
      </c>
      <c r="AY47" s="0" t="n">
        <v>180</v>
      </c>
      <c r="AZ47" s="0" t="n">
        <v>180</v>
      </c>
      <c r="BE47" s="0" t="inlineStr">
        <is>
          <t>http://darion-svet.com/shop/product/v10111-vrn-un-80d-g50k67-k90</t>
        </is>
      </c>
      <c r="BI47" s="0" t="n">
        <v>0</v>
      </c>
      <c r="BJ47" s="0" t="n">
        <v>0</v>
      </c>
    </row>
    <row r="48">
      <c r="A48" s="0" t="inlineStr">
        <is>
          <t>V1012</t>
        </is>
      </c>
      <c r="B48" s="0" t="inlineStr">
        <is>
          <t>Светодиодный светильник Virona 96Вт Универсальный (VRN-UN-96D-G50K67-U90)</t>
        </is>
      </c>
      <c r="C48" s="0" t="inlineStr">
        <is>
          <t>Универсал</t>
        </is>
      </c>
      <c r="E48" s="0" t="inlineStr">
        <is>
          <t>http://darion-svet.com/web/binary/image?model=product.product&amp;id=18098&amp;field=image</t>
        </is>
      </c>
      <c r="F48" s="0" t="n">
        <v>5</v>
      </c>
      <c r="G48" s="0" t="inlineStr">
        <is>
          <t>Российская Федерация</t>
        </is>
      </c>
      <c r="H48" s="0" t="inlineStr">
        <is>
          <t>VIRONA</t>
        </is>
      </c>
      <c r="I48" s="0" t="inlineStr">
        <is>
          <t>консольный; на лиру; подвесной</t>
        </is>
      </c>
      <c r="J48" s="0" t="inlineStr">
        <is>
          <t>улицы (дороги, тротуары); промышленные помещения, склады и цеха</t>
        </is>
      </c>
      <c r="M48" s="0" t="n">
        <v>96</v>
      </c>
      <c r="O48" s="0" t="inlineStr">
        <is>
          <t>SMD</t>
        </is>
      </c>
      <c r="P48" s="0" t="n">
        <v>15360</v>
      </c>
      <c r="Q48" s="0" t="n">
        <v>5000</v>
      </c>
      <c r="R48" s="0" t="n">
        <v>80</v>
      </c>
      <c r="S48" s="0" t="n">
        <v>67</v>
      </c>
      <c r="T48" s="0" t="inlineStr">
        <is>
          <t>Л</t>
        </is>
      </c>
      <c r="U48" s="0" t="n">
        <v>100000</v>
      </c>
      <c r="V48" s="0" t="n">
        <v>274</v>
      </c>
      <c r="W48" s="0" t="n">
        <v>245</v>
      </c>
      <c r="X48" s="0" t="n">
        <v>163</v>
      </c>
      <c r="AB48" s="0" t="n">
        <v>2.055</v>
      </c>
      <c r="AD48" s="0" t="inlineStr">
        <is>
          <t>алюминиевый профиль</t>
        </is>
      </c>
      <c r="AE48" s="0" t="inlineStr">
        <is>
          <t>стекло</t>
        </is>
      </c>
      <c r="AG48" s="0" t="inlineStr">
        <is>
          <t>прозрачный рассеиватель</t>
        </is>
      </c>
      <c r="AH48" s="0" t="inlineStr">
        <is>
          <t>Светодиоды Samsung LM292</t>
        </is>
      </c>
      <c r="AI48" s="0" t="inlineStr">
        <is>
          <t>LED-driver</t>
        </is>
      </c>
      <c r="AK48" s="0" t="n">
        <v>0.95</v>
      </c>
      <c r="AN48" s="0" t="n">
        <v>176</v>
      </c>
      <c r="AO48" s="0" t="n">
        <v>264</v>
      </c>
      <c r="AP48" s="0" t="n">
        <v>-60</v>
      </c>
      <c r="AQ48" s="0" t="n">
        <v>50</v>
      </c>
      <c r="AS48" s="0" t="inlineStr">
        <is>
          <t>Картон</t>
        </is>
      </c>
      <c r="AT48" s="0" t="inlineStr">
        <is>
          <t>Да</t>
        </is>
      </c>
      <c r="AW48" s="0" t="n">
        <v>1</v>
      </c>
      <c r="BD48" s="0" t="inlineStr">
        <is>
          <t>http://darion-svet.com/web/binary/saveas_archive?model=product.picture&amp;ids=[1623]&amp;field=image&amp;name_field=name&amp;archive_name=V1012_image</t>
        </is>
      </c>
      <c r="BE48" s="0" t="inlineStr">
        <is>
          <t>http://darion-svet.com/shop/product/v1012-vrn-un-96d-g50k67-u90-l-96vt-universalnyij-</t>
        </is>
      </c>
      <c r="BI48" s="0" t="n">
        <v>0</v>
      </c>
      <c r="BJ48" s="0" t="n">
        <v>0</v>
      </c>
    </row>
    <row r="49">
      <c r="A49" s="0" t="inlineStr">
        <is>
          <t>V10122</t>
        </is>
      </c>
      <c r="B49" s="0" t="inlineStr">
        <is>
          <t>Светодиодный светильник VRN-UN-80D-G50K67-U90</t>
        </is>
      </c>
      <c r="C49" s="0" t="inlineStr">
        <is>
          <t>Универсал</t>
        </is>
      </c>
      <c r="E49" s="0" t="inlineStr">
        <is>
          <t>http://darion-svet.com/web/binary/image?model=product.product&amp;id=26881&amp;field=image</t>
        </is>
      </c>
      <c r="G49" s="0" t="inlineStr">
        <is>
          <t>Российская Федерация</t>
        </is>
      </c>
      <c r="H49" s="0" t="inlineStr">
        <is>
          <t>VIRONA</t>
        </is>
      </c>
      <c r="I49" s="0" t="inlineStr">
        <is>
          <t>консольный; на лиру; подвесной</t>
        </is>
      </c>
      <c r="J49" s="0" t="inlineStr">
        <is>
          <t>улицы (дороги, тротуары); магистрали и дороги</t>
        </is>
      </c>
      <c r="M49" s="0" t="n">
        <v>80</v>
      </c>
      <c r="O49" s="0" t="inlineStr">
        <is>
          <t>SMD</t>
        </is>
      </c>
      <c r="P49" s="0" t="n">
        <v>12800</v>
      </c>
      <c r="Q49" s="0" t="n">
        <v>5000</v>
      </c>
      <c r="R49" s="0" t="n">
        <v>80</v>
      </c>
      <c r="S49" s="0" t="n">
        <v>67</v>
      </c>
      <c r="T49" s="0" t="inlineStr">
        <is>
          <t>Л</t>
        </is>
      </c>
      <c r="U49" s="0" t="inlineStr">
        <is>
          <t>100 000 ч.</t>
        </is>
      </c>
      <c r="V49" s="0" t="n">
        <v>275</v>
      </c>
      <c r="W49" s="0" t="n">
        <v>245</v>
      </c>
      <c r="X49" s="0" t="n">
        <v>150</v>
      </c>
      <c r="AB49" s="0" t="n">
        <v>2.05</v>
      </c>
      <c r="AD49" s="0" t="inlineStr">
        <is>
          <t>алюминиевый профиль</t>
        </is>
      </c>
      <c r="AE49" s="0" t="inlineStr">
        <is>
          <t>полимерный материал</t>
        </is>
      </c>
      <c r="AH49" s="0" t="inlineStr">
        <is>
          <t>Светодиоды Samsung LH351</t>
        </is>
      </c>
      <c r="AI49" s="0" t="inlineStr">
        <is>
          <t>LED-driver</t>
        </is>
      </c>
      <c r="AK49" s="0" t="n">
        <v>0.95</v>
      </c>
      <c r="AL49" s="0" t="n">
        <v>1</v>
      </c>
      <c r="AN49" s="0" t="n">
        <v>176</v>
      </c>
      <c r="AO49" s="0" t="n">
        <v>264</v>
      </c>
      <c r="AP49" s="0" t="n">
        <v>-60</v>
      </c>
      <c r="AQ49" s="0" t="n">
        <v>50</v>
      </c>
      <c r="AS49" s="0" t="inlineStr">
        <is>
          <t>Картон</t>
        </is>
      </c>
      <c r="AT49" s="0" t="inlineStr">
        <is>
          <t>Да</t>
        </is>
      </c>
      <c r="AW49" s="0" t="n">
        <v>1</v>
      </c>
      <c r="AX49" s="0" t="n">
        <v>300</v>
      </c>
      <c r="AY49" s="0" t="n">
        <v>180</v>
      </c>
      <c r="AZ49" s="0" t="n">
        <v>190</v>
      </c>
      <c r="BE49" s="0" t="inlineStr">
        <is>
          <t>http://darion-svet.com/shop/product/v10122-vrn-un-80d-g50k67-u90</t>
        </is>
      </c>
      <c r="BI49" s="0" t="n">
        <v>0</v>
      </c>
      <c r="BJ49" s="0" t="n">
        <v>0</v>
      </c>
    </row>
    <row r="50">
      <c r="A50" s="0" t="inlineStr">
        <is>
          <t>V1013</t>
        </is>
      </c>
      <c r="B50" s="0" t="inlineStr">
        <is>
          <t>Светодиодный светильник Virona 62Вт Универсальный (VRN-UN-62-G50K67-U)</t>
        </is>
      </c>
      <c r="C50" s="0" t="inlineStr">
        <is>
          <t>Универсал</t>
        </is>
      </c>
      <c r="E50" s="0" t="inlineStr">
        <is>
          <t>http://darion-svet.com/web/binary/image?model=product.product&amp;id=18075&amp;field=image</t>
        </is>
      </c>
      <c r="F50" s="0" t="n">
        <v>5</v>
      </c>
      <c r="G50" s="0" t="inlineStr">
        <is>
          <t>Российская Федерация</t>
        </is>
      </c>
      <c r="H50" s="0" t="inlineStr">
        <is>
          <t>VIRONA</t>
        </is>
      </c>
      <c r="I50" s="0" t="inlineStr">
        <is>
          <t>консольный; на лиру; подвесной</t>
        </is>
      </c>
      <c r="J50" s="0" t="inlineStr">
        <is>
          <t>улицы (дороги, тротуары); промышленные помещения, склады и цеха</t>
        </is>
      </c>
      <c r="M50" s="0" t="n">
        <v>62</v>
      </c>
      <c r="O50" s="0" t="inlineStr">
        <is>
          <t>SMD</t>
        </is>
      </c>
      <c r="P50" s="0" t="n">
        <v>9920</v>
      </c>
      <c r="Q50" s="0" t="n">
        <v>5000</v>
      </c>
      <c r="R50" s="0" t="n">
        <v>80</v>
      </c>
      <c r="S50" s="0" t="n">
        <v>67</v>
      </c>
      <c r="T50" s="0" t="inlineStr">
        <is>
          <t>Д</t>
        </is>
      </c>
      <c r="U50" s="0" t="inlineStr">
        <is>
          <t>100 000 ч.</t>
        </is>
      </c>
      <c r="V50" s="0" t="n">
        <v>325</v>
      </c>
      <c r="W50" s="0" t="n">
        <v>100</v>
      </c>
      <c r="X50" s="0" t="n">
        <v>135</v>
      </c>
      <c r="AB50" s="0" t="n">
        <v>1.3</v>
      </c>
      <c r="AD50" s="0" t="inlineStr">
        <is>
          <t>алюминиевый профиль</t>
        </is>
      </c>
      <c r="AE50" s="0" t="inlineStr">
        <is>
          <t>стекло</t>
        </is>
      </c>
      <c r="AG50" s="0" t="inlineStr">
        <is>
          <t>прозрачный рассеиватель</t>
        </is>
      </c>
      <c r="AH50" s="0" t="inlineStr">
        <is>
          <t>Светодиодный светильник Virona 62Вт Универсальный (VRN-UN-62-G50K67-U)
Наши покупатели часто задают вопросы и сравнивают светильники Virona с недорогими прожекторами. Действительно, зачем платить дороже? Давайте посмотрим..
Предлагаем сравнить:
прожектор Китай 70 Вт
vs
светильник Virona 62Вт VRN-UN-62-G50K67-U.
Сколько света даёт светильник?
Прожекторы производства Китай мощностью 70 Вт  - световой поток 6300 люмен.
vs
Светильник VRN-UN-62-G50K67-U мощностью 62 Вт - светового потока 9920 люмен.
Один светильник VRN-UN-62-G50K67-U по количеству света заменяет два прожектора китайского производства такой же мощности. Это значит, что потребление электроэнергии будет в 2 раза меньше при той же освещенности площади или объекта.
(Картинка: с одной стороны площадка и три мачты освещения с лучами и световым пятном на площадке, с другой стороны одна мачта с вироной, с одним лучем дающим такое же световое пятно). 
Важные показатели при выборе светильника.
Когда светильник работает он потребляет электричество и даёт свет.
Мощность - измеряется в Ваттах (Вт), это сколько мы будем платить за электроэнергию.
Световой поток - измеряется в люменах (лм), это сколько мы получим света.
Если разделим лм на Вт, то узнаем сколько получим света на 1 Вт расхода электричества или энергоэффективность, измеряется в лм/Вт.
световой поток (лм) / мощность (Вт) = энергоэффективность (лм/Вт)
Высокий показатель энергоэффективности говорит о том, что при производстве светильника использовались качественные компоненты: светодиоды и драйверы.
Рассчитаем энергоэффективность для
обычного прожектора производства Китай 6300 лм, 70 Вт:
6300 лм / 70 Вт = 90 лм/Вт
vs
Светильника VRN-UN-62-G50K67-U, 9920 лм, 62 Вт:
9920 лм / 62 Вт = 160 лм/Вт
Очевидно, прожектор имеет меньший показатель энергоэффективности в 2 раза.
Наш опыт говорит о том, что это из-за менее качественных комплектующих.
На что влияет?
срок службы,
качество светового потока,
комфорт в эксплуатации.
Обычно прожекторы из Китая имеют мерцающий световой поток. Это не видно невооруженным взглядом, но плохо сказывается на зрении и самочувствии человека.
(Картинка: та же самая, если удастся показать менее качественный световой поток, мерцание и тп и более ровный световой поток у Вироны)
Гарантия. Срок службы. Замена светильников. Дополнительные расходы
Доступные прожекторы производства Китай
Гарантия 2 года,
срок службы 30 000 часов, или 2-4 года.
Т.е. мы будем менять светильник 3-4 раза за 10 лет.
Поэтому будем тратить:
❌ деньги на приобретение новых светильников,
❌ деньги или время на монтаж/демонтаж вышедшего из строя оборудования,
❌ время на покупку и обслуживание,
❌ внимание, силы на казалось бы решенный вопрос.
Virona VRN-UN-62-G50K67-U
Гарантия 5 лет,
срок службы 100 000 часов, или 10 лет.
Решаем вопрос освещения один раз и надолго. Заплатив один раз за качество, решаем вопрос в горизонте 10 лет, получаем:
✔️ экономию расходов на электричество (минимум в 2 раза),
✔️ экономию времени на покупку светильника взамен перегоревшего,
✔️ экономию расходов на монтаж-демонтаж перегоревшего светильника,
✔️ получаем лучшее качества света без мерцаний (комфорт),
✔️ чувствуем себя лучше и тратим больше времени и сил на любимые дела.
Мы рады любому выбору покупателя. Если вы прочитали до конца и решили купить светильник Virona - дополнительная скидку 3%.</t>
        </is>
      </c>
      <c r="AI50" s="0" t="inlineStr">
        <is>
          <t>LED-driver</t>
        </is>
      </c>
      <c r="AK50" s="0" t="n">
        <v>0.95</v>
      </c>
      <c r="AL50" s="0" t="n">
        <v>1</v>
      </c>
      <c r="AN50" s="0" t="n">
        <v>176</v>
      </c>
      <c r="AO50" s="0" t="n">
        <v>264</v>
      </c>
      <c r="AP50" s="0" t="n">
        <v>-60</v>
      </c>
      <c r="AQ50" s="0" t="n">
        <v>50</v>
      </c>
      <c r="AS50" s="0" t="inlineStr">
        <is>
          <t>Картон</t>
        </is>
      </c>
      <c r="AT50" s="0" t="inlineStr">
        <is>
          <t>Да</t>
        </is>
      </c>
      <c r="AU50" s="0" t="n">
        <v>0.00564</v>
      </c>
      <c r="AV50" s="0" t="n">
        <v>1.4</v>
      </c>
      <c r="AW50" s="0" t="n">
        <v>1</v>
      </c>
      <c r="AX50" s="0" t="n">
        <v>350</v>
      </c>
      <c r="AY50" s="0" t="n">
        <v>115</v>
      </c>
      <c r="AZ50" s="0" t="n">
        <v>140</v>
      </c>
      <c r="BA50" s="0" t="n">
        <v>0.00564</v>
      </c>
      <c r="BB50" s="0" t="n">
        <v>1.4</v>
      </c>
      <c r="BD50" s="0" t="inlineStr">
        <is>
          <t>http://darion-svet.com/web/binary/saveas_archive?model=product.picture&amp;ids=[1612, 1909]&amp;field=image&amp;name_field=name&amp;archive_name=V1013_image</t>
        </is>
      </c>
      <c r="BE50" s="0" t="inlineStr">
        <is>
          <t>http://darion-svet.com/shop/product/v1013-vrn-un-62-g50k67-u-62vt-universalnyij</t>
        </is>
      </c>
      <c r="BF50" s="0" t="inlineStr">
        <is>
          <t>http://darion-svet.com/web/binary/saveas?model=product.product&amp;field=conformity_cert&amp;filename_field=conformity_cert_filename&amp;id=18075</t>
        </is>
      </c>
      <c r="BG50" s="0" t="inlineStr">
        <is>
          <t>http://darion-svet.com/web/binary/saveas?model=product.product&amp;field=datasheet&amp;filename_field=datasheet_filename&amp;id=18075</t>
        </is>
      </c>
      <c r="BI50" s="0" t="n">
        <v>62</v>
      </c>
      <c r="BJ50" s="0" t="n">
        <v>4383</v>
      </c>
    </row>
    <row r="51">
      <c r="A51" s="0" t="inlineStr">
        <is>
          <t>V1014</t>
        </is>
      </c>
      <c r="B51" s="0" t="inlineStr">
        <is>
          <t>Светодиодный светильник Virona 62Вт Консольный (VRN-UN-62-G50K67-K)</t>
        </is>
      </c>
      <c r="C51" s="0" t="inlineStr">
        <is>
          <t>Универсал</t>
        </is>
      </c>
      <c r="E51" s="0" t="inlineStr">
        <is>
          <t>http://darion-svet.com/web/binary/image?model=product.product&amp;id=18081&amp;field=image</t>
        </is>
      </c>
      <c r="F51" s="0" t="n">
        <v>5</v>
      </c>
      <c r="G51" s="0" t="inlineStr">
        <is>
          <t>Российская Федерация</t>
        </is>
      </c>
      <c r="H51" s="0" t="inlineStr">
        <is>
          <t>VIRONA</t>
        </is>
      </c>
      <c r="I51" s="0" t="inlineStr">
        <is>
          <t>консольный</t>
        </is>
      </c>
      <c r="J51" s="0" t="inlineStr">
        <is>
          <t>магистрали и дороги</t>
        </is>
      </c>
      <c r="M51" s="0" t="n">
        <v>62</v>
      </c>
      <c r="O51" s="0" t="inlineStr">
        <is>
          <t>SMD</t>
        </is>
      </c>
      <c r="P51" s="0" t="n">
        <v>9920</v>
      </c>
      <c r="Q51" s="0" t="n">
        <v>5000</v>
      </c>
      <c r="R51" s="0" t="n">
        <v>80</v>
      </c>
      <c r="S51" s="0" t="n">
        <v>67</v>
      </c>
      <c r="T51" s="0" t="inlineStr">
        <is>
          <t>Д</t>
        </is>
      </c>
      <c r="U51" s="0" t="inlineStr">
        <is>
          <t>100 000 ч.</t>
        </is>
      </c>
      <c r="V51" s="0" t="n">
        <v>338</v>
      </c>
      <c r="W51" s="0" t="n">
        <v>100</v>
      </c>
      <c r="X51" s="0" t="n">
        <v>130</v>
      </c>
      <c r="AB51" s="0" t="n">
        <v>1.33</v>
      </c>
      <c r="AD51" s="0" t="inlineStr">
        <is>
          <t>алюминиевый профиль</t>
        </is>
      </c>
      <c r="AE51" s="0" t="inlineStr">
        <is>
          <t>стекло</t>
        </is>
      </c>
      <c r="AG51" s="0" t="inlineStr">
        <is>
          <t>прозрачный рассеиватель</t>
        </is>
      </c>
      <c r="AH51" s="0" t="inlineStr">
        <is>
          <t>Светодиодный светильник Virona 62Вт Консольный (VRN-UN-62-G50K67-K)
Наши покупатели часто задают вопросы и сравнивают светильники Virona с недорогими прожекторами. Действительно, зачем платить дороже? 
Давайте посмотрим..
Предлагаем сравнить:
консольный светильник Китай 70 W
vs
Светильник Virona 62Вт VRN-UN-62-G50K67-K.
Широкая линейка выбора
Если сравнить линейку выбора по мощности светильника то мы увидим, что Virona предлагает нам сделать более точный выбор. В линейке данной марки представлены светильники мощностью: 32, 48,62,80, 96,124 Ватт. 
В то время как более дешевые типичные консольники производства Китая зачастую ограничены выбором из 3 вариантов: 70, 100, 120 Вт.
Сколько света даёт светильник?
Прожекторы производства Китай мощностью 70 Вт  - световой поток 6700 люмен.
vs
Светильник VRN-UN-62-G50K67-K мощностью 62 Вт - светового потока 9920 люмен.
Один светильник Virona VRN-UN-62-G50K67-K мощностью 62 Ватта дает больше светового потока чем типичный китайский консольный светильник большей мощности. 
Это значит, что потребление электроэнергии при использовании светильника Virona будет меньше, а света он давать будет больше.
Важные показатели при выборе светильника.
Когда светильник работает он потребляет электричество и даёт свет.
Мощность - измеряется в Ваттах (Вт), это сколько мы будем платить за электроэнергию.
Световой поток - измеряется в люменах (лм), это сколько мы получим света.
Если разделим лм на Вт, то узнаем сколько получим света на 1 Вт расхода электричества или энергоэффективность, измеряется в лм/Вт.
световой поток (лм) / мощность (Вт) = энергоэффективность (лм/Вт)
Высокий показатель энергоэффективности говорит о том, что при производстве светильника использовались качественные компоненты: светодиоды и драйверы.
Рассчитаем энергоэффективность для
обычного прожектора производства Китай 6700 лм, 70 Вт:
6700 лм / 70 Вт = 96 лм/Вт
vs
Светильника VRN-UN-62-G50K67-K, 5120 лм, 62 Вт:
9920 лм / 62 Вт = 160 лм/Вт
Очевидно, консольник китайского производства имеет меньший показатель энергоэффективности почти в 2 раза.
Наш опыт говорит о том, что это из-за менее качественных комплектующих.
На что влияет?
срок службы,
качество светового потока,
комфорт в эксплуатации.
Обычно консольники из Китая имеют мерцающий световой поток. Это не видно невооруженным взглядом, но плохо сказывается на зрении и самочувствии человека.
(Картинка: та же самая, если удастся показать менее качественный световой поток, мерцание и тп и более ровный световой поток у Вироны)
Гарантия. Срок службы. Замена светильников. Дополнительные расходы
Доступные прожекторы производства Китай
Гарантия 2 года,
срок службы 50 000 часов, или 5-6 лет.
Т.е. мы будем менять светильник 2 раза за 10 лет.
Поэтому будем тратить:
❌ деньги на приобретение новых светильников,
❌ деньги или время на монтаж/демонтаж вышедшего из строя оборудования,
❌ время на покупку и обслуживание,
❌ внимание, силы на казалось бы решенный вопрос.
Virona VRN-UN-62-G50K67-K
Гарантия 5 лет,
срок службы 100 000 часов, или 10 лет.
Решаем вопрос освещения один раз и надолго. Заплатив один раз за качество, решаем вопрос в горизонте 10 лет, получаем:
✔️ экономию расходов на электричество (минимум в 2 раза),
✔️ экономию времени на покупку светильника взамен перегоревшего,
✔️ экономию расходов на монтаж-демонтаж перегоревшего светильника,
✔️ получаем лучшее качества света без мерцаний (комфорт),
✔️ чувствуем себя лучше и тратим больше времени и сил на любимые дела.
Мы рады любому выбору покупателя. Если вы прочитали до конца и решили купить светильник Virona - согласуем скидку 3%.</t>
        </is>
      </c>
      <c r="AI51" s="0" t="inlineStr">
        <is>
          <t>LED-driver</t>
        </is>
      </c>
      <c r="AK51" s="0" t="n">
        <v>0.95</v>
      </c>
      <c r="AL51" s="0" t="n">
        <v>1</v>
      </c>
      <c r="AN51" s="0" t="n">
        <v>176</v>
      </c>
      <c r="AO51" s="0" t="n">
        <v>264</v>
      </c>
      <c r="AP51" s="0" t="n">
        <v>-60</v>
      </c>
      <c r="AQ51" s="0" t="n">
        <v>50</v>
      </c>
      <c r="AS51" s="0" t="inlineStr">
        <is>
          <t>Картон</t>
        </is>
      </c>
      <c r="AT51" s="0" t="inlineStr">
        <is>
          <t>Да</t>
        </is>
      </c>
      <c r="AU51" s="0" t="n">
        <v>0.00564</v>
      </c>
      <c r="AV51" s="0" t="n">
        <v>0.12</v>
      </c>
      <c r="AW51" s="0" t="n">
        <v>1</v>
      </c>
      <c r="AX51" s="0" t="n">
        <v>350</v>
      </c>
      <c r="AY51" s="0" t="n">
        <v>115</v>
      </c>
      <c r="AZ51" s="0" t="n">
        <v>140</v>
      </c>
      <c r="BA51" s="0" t="n">
        <v>0.00564</v>
      </c>
      <c r="BB51" s="0" t="n">
        <v>0.12</v>
      </c>
      <c r="BD51" s="0" t="inlineStr">
        <is>
          <t>http://darion-svet.com/web/binary/saveas_archive?model=product.picture&amp;ids=[1613, 1909]&amp;field=image&amp;name_field=name&amp;archive_name=V1014_image</t>
        </is>
      </c>
      <c r="BE51" s="0" t="inlineStr">
        <is>
          <t>http://darion-svet.com/shop/product/v1014-vrn-un-62-g50k67-k-62vt-konsolnyij</t>
        </is>
      </c>
      <c r="BF51" s="0" t="inlineStr">
        <is>
          <t>http://darion-svet.com/web/binary/saveas?model=product.product&amp;field=conformity_cert&amp;filename_field=conformity_cert_filename&amp;id=18081</t>
        </is>
      </c>
      <c r="BG51" s="0" t="inlineStr">
        <is>
          <t>http://darion-svet.com/web/binary/saveas?model=product.product&amp;field=datasheet&amp;filename_field=datasheet_filename&amp;id=18081</t>
        </is>
      </c>
      <c r="BI51" s="0" t="n">
        <v>0</v>
      </c>
      <c r="BJ51" s="0" t="n">
        <v>0</v>
      </c>
    </row>
    <row r="52">
      <c r="A52" s="0" t="inlineStr">
        <is>
          <t>V1014 3K</t>
        </is>
      </c>
      <c r="B52" s="0" t="inlineStr">
        <is>
          <t>Светодиодный светильник Virona 62Вт Универсальный (VRN-UN-62-G30K67-К)</t>
        </is>
      </c>
      <c r="C52" s="0" t="inlineStr">
        <is>
          <t>Универсал</t>
        </is>
      </c>
      <c r="V52" s="0" t="n">
        <v>325</v>
      </c>
      <c r="W52" s="0" t="n">
        <v>100</v>
      </c>
      <c r="X52" s="0" t="n">
        <v>135</v>
      </c>
      <c r="AB52" s="0" t="n">
        <v>1.3</v>
      </c>
      <c r="AS52" s="0" t="inlineStr">
        <is>
          <t>Картон</t>
        </is>
      </c>
      <c r="AT52" s="0" t="inlineStr">
        <is>
          <t>Да</t>
        </is>
      </c>
      <c r="AU52" s="0" t="n">
        <v>0.00564</v>
      </c>
      <c r="AV52" s="0" t="n">
        <v>1.4</v>
      </c>
      <c r="AW52" s="0" t="n">
        <v>1</v>
      </c>
      <c r="AX52" s="0" t="n">
        <v>350</v>
      </c>
      <c r="AY52" s="0" t="n">
        <v>115</v>
      </c>
      <c r="AZ52" s="0" t="n">
        <v>140</v>
      </c>
      <c r="BA52" s="0" t="n">
        <v>0.00564</v>
      </c>
      <c r="BB52" s="0" t="n">
        <v>1.4</v>
      </c>
      <c r="BE52" s="0" t="inlineStr">
        <is>
          <t>http://darion-svet.com/shop/product/v1014-3k-vrn-un-62-g30k67-k-62vt-universalnyij</t>
        </is>
      </c>
      <c r="BI52" s="0" t="n">
        <v>0</v>
      </c>
      <c r="BJ52" s="0" t="n">
        <v>0</v>
      </c>
    </row>
    <row r="53">
      <c r="A53" s="0" t="inlineStr">
        <is>
          <t>V1015</t>
        </is>
      </c>
      <c r="B53" s="0" t="inlineStr">
        <is>
          <t>Светодиодный светильник Virona 124Вт Универсальный (VRN-UN-124D-G50K67-U)</t>
        </is>
      </c>
      <c r="C53" s="0" t="inlineStr">
        <is>
          <t>Универсал</t>
        </is>
      </c>
      <c r="E53" s="0" t="inlineStr">
        <is>
          <t>http://darion-svet.com/web/binary/image?model=product.product&amp;id=18087&amp;field=image</t>
        </is>
      </c>
      <c r="F53" s="0" t="n">
        <v>5</v>
      </c>
      <c r="G53" s="0" t="inlineStr">
        <is>
          <t>Российская Федерация</t>
        </is>
      </c>
      <c r="H53" s="0" t="inlineStr">
        <is>
          <t>VIRONA</t>
        </is>
      </c>
      <c r="I53" s="0" t="inlineStr">
        <is>
          <t>консольный; на лиру; подвесной</t>
        </is>
      </c>
      <c r="J53" s="0" t="inlineStr">
        <is>
          <t>улицы (дороги, тротуары); промышленные помещения, склады и цеха</t>
        </is>
      </c>
      <c r="M53" s="0" t="n">
        <v>124</v>
      </c>
      <c r="O53" s="0" t="inlineStr">
        <is>
          <t>SMD</t>
        </is>
      </c>
      <c r="P53" s="0" t="n">
        <v>19840</v>
      </c>
      <c r="Q53" s="0" t="n">
        <v>5000</v>
      </c>
      <c r="R53" s="0" t="n">
        <v>80</v>
      </c>
      <c r="S53" s="0" t="n">
        <v>67</v>
      </c>
      <c r="T53" s="0" t="inlineStr">
        <is>
          <t>Д</t>
        </is>
      </c>
      <c r="U53" s="0" t="n">
        <v>100000</v>
      </c>
      <c r="V53" s="0" t="n">
        <v>335</v>
      </c>
      <c r="W53" s="0" t="n">
        <v>210</v>
      </c>
      <c r="X53" s="0" t="n">
        <v>95</v>
      </c>
      <c r="AB53" s="0" t="n">
        <v>2.398</v>
      </c>
      <c r="AD53" s="0" t="inlineStr">
        <is>
          <t>алюминиевый профиль</t>
        </is>
      </c>
      <c r="AE53" s="0" t="inlineStr">
        <is>
          <t>стекло</t>
        </is>
      </c>
      <c r="AG53" s="0" t="inlineStr">
        <is>
          <t>прозрачный рассеиватель</t>
        </is>
      </c>
      <c r="AH53" s="0" t="inlineStr">
        <is>
          <t>Светодиоды Samsung LM283</t>
        </is>
      </c>
      <c r="AI53" s="0" t="inlineStr">
        <is>
          <t>LED-driver</t>
        </is>
      </c>
      <c r="AK53" s="0" t="n">
        <v>0.95</v>
      </c>
      <c r="AN53" s="0" t="n">
        <v>176</v>
      </c>
      <c r="AO53" s="0" t="n">
        <v>264</v>
      </c>
      <c r="AP53" s="0" t="n">
        <v>-60</v>
      </c>
      <c r="AQ53" s="0" t="n">
        <v>50</v>
      </c>
      <c r="AS53" s="0" t="inlineStr">
        <is>
          <t>Картон</t>
        </is>
      </c>
      <c r="AT53" s="0" t="inlineStr">
        <is>
          <t>Да</t>
        </is>
      </c>
      <c r="AU53" s="0" t="n">
        <v>0.01054</v>
      </c>
      <c r="AV53" s="0" t="n">
        <v>0.236</v>
      </c>
      <c r="AW53" s="0" t="n">
        <v>1</v>
      </c>
      <c r="AX53" s="0" t="n">
        <v>350</v>
      </c>
      <c r="AY53" s="0" t="n">
        <v>215</v>
      </c>
      <c r="AZ53" s="0" t="n">
        <v>140</v>
      </c>
      <c r="BA53" s="0" t="n">
        <v>0.01054</v>
      </c>
      <c r="BB53" s="0" t="n">
        <v>0.236</v>
      </c>
      <c r="BD53" s="0" t="inlineStr">
        <is>
          <t>http://darion-svet.com/web/binary/saveas_archive?model=product.picture&amp;ids=[1630]&amp;field=image&amp;name_field=name&amp;archive_name=V1015_image</t>
        </is>
      </c>
      <c r="BE53" s="0" t="inlineStr">
        <is>
          <t>http://darion-svet.com/shop/product/v1015-vrn-un-124d-g50k67-u-124vt-universalnyij</t>
        </is>
      </c>
      <c r="BI53" s="0" t="n">
        <v>0</v>
      </c>
      <c r="BJ53" s="0" t="n">
        <v>0</v>
      </c>
    </row>
    <row r="54">
      <c r="A54" s="0" t="inlineStr">
        <is>
          <t>V1016</t>
        </is>
      </c>
      <c r="B54" s="0" t="inlineStr">
        <is>
          <t>Светодиодный светильник Virona 124Вт Консольный (VRN-UN-124D-G50K67-K)</t>
        </is>
      </c>
      <c r="C54" s="0" t="inlineStr">
        <is>
          <t>Универсал</t>
        </is>
      </c>
      <c r="E54" s="0" t="inlineStr">
        <is>
          <t>http://darion-svet.com/web/binary/image?model=product.product&amp;id=18093&amp;field=image</t>
        </is>
      </c>
      <c r="F54" s="0" t="n">
        <v>5</v>
      </c>
      <c r="G54" s="0" t="inlineStr">
        <is>
          <t>Российская Федерация</t>
        </is>
      </c>
      <c r="H54" s="0" t="inlineStr">
        <is>
          <t>VIRONA</t>
        </is>
      </c>
      <c r="I54" s="0" t="inlineStr">
        <is>
          <t>консольный</t>
        </is>
      </c>
      <c r="J54" s="0" t="inlineStr">
        <is>
          <t>магистрали и дороги</t>
        </is>
      </c>
      <c r="M54" s="0" t="n">
        <v>124</v>
      </c>
      <c r="O54" s="0" t="inlineStr">
        <is>
          <t>SMD</t>
        </is>
      </c>
      <c r="P54" s="0" t="n">
        <v>19840</v>
      </c>
      <c r="Q54" s="0" t="n">
        <v>5000</v>
      </c>
      <c r="R54" s="0" t="n">
        <v>80</v>
      </c>
      <c r="S54" s="0" t="n">
        <v>67</v>
      </c>
      <c r="T54" s="0" t="inlineStr">
        <is>
          <t>Д</t>
        </is>
      </c>
      <c r="U54" s="0" t="n">
        <v>100000</v>
      </c>
      <c r="V54" s="0" t="n">
        <v>325</v>
      </c>
      <c r="W54" s="0" t="n">
        <v>260</v>
      </c>
      <c r="X54" s="0" t="n">
        <v>96</v>
      </c>
      <c r="AB54" s="0" t="n">
        <v>2.38</v>
      </c>
      <c r="AD54" s="0" t="inlineStr">
        <is>
          <t>алюминиевый профиль</t>
        </is>
      </c>
      <c r="AE54" s="0" t="inlineStr">
        <is>
          <t>стекло</t>
        </is>
      </c>
      <c r="AG54" s="0" t="inlineStr">
        <is>
          <t>прозрачный рассеиватель</t>
        </is>
      </c>
      <c r="AH54" s="0" t="inlineStr">
        <is>
          <t>Светодиоды Samsung LM289</t>
        </is>
      </c>
      <c r="AI54" s="0" t="inlineStr">
        <is>
          <t>LED-driver</t>
        </is>
      </c>
      <c r="AK54" s="0" t="n">
        <v>0.95</v>
      </c>
      <c r="AN54" s="0" t="n">
        <v>176</v>
      </c>
      <c r="AO54" s="0" t="n">
        <v>264</v>
      </c>
      <c r="AP54" s="0" t="n">
        <v>-60</v>
      </c>
      <c r="AQ54" s="0" t="n">
        <v>50</v>
      </c>
      <c r="AS54" s="0" t="inlineStr">
        <is>
          <t>Картон</t>
        </is>
      </c>
      <c r="AT54" s="0" t="inlineStr">
        <is>
          <t>Да</t>
        </is>
      </c>
      <c r="AU54" s="0" t="n">
        <v>0.01348</v>
      </c>
      <c r="AV54" s="0" t="n">
        <v>0.226</v>
      </c>
      <c r="AW54" s="0" t="n">
        <v>1</v>
      </c>
      <c r="AX54" s="0" t="n">
        <v>350</v>
      </c>
      <c r="AY54" s="0" t="n">
        <v>275</v>
      </c>
      <c r="AZ54" s="0" t="n">
        <v>140</v>
      </c>
      <c r="BA54" s="0" t="n">
        <v>0.01348</v>
      </c>
      <c r="BB54" s="0" t="n">
        <v>0.226</v>
      </c>
      <c r="BD54" s="0" t="inlineStr">
        <is>
          <t>http://darion-svet.com/web/binary/saveas_archive?model=product.picture&amp;ids=[1631]&amp;field=image&amp;name_field=name&amp;archive_name=V1016_image</t>
        </is>
      </c>
      <c r="BE54" s="0" t="inlineStr">
        <is>
          <t>http://darion-svet.com/shop/product/v1016-vrn-un-124d-g50k67-k-124vt-konsolnyij</t>
        </is>
      </c>
      <c r="BI54" s="0" t="n">
        <v>0</v>
      </c>
      <c r="BJ54" s="0" t="n">
        <v>0</v>
      </c>
    </row>
    <row r="55">
      <c r="A55" s="0" t="inlineStr">
        <is>
          <t>V1017</t>
        </is>
      </c>
      <c r="B55" s="0" t="inlineStr">
        <is>
          <t>Светодиодный светильник Virona 124Вт Консольный (VRN-UN-124D-G50K67-K90)</t>
        </is>
      </c>
      <c r="C55" s="0" t="inlineStr">
        <is>
          <t>Универсал</t>
        </is>
      </c>
      <c r="E55" s="0" t="inlineStr">
        <is>
          <t>http://darion-svet.com/web/binary/image?model=product.product&amp;id=18105&amp;field=image</t>
        </is>
      </c>
      <c r="F55" s="0" t="n">
        <v>5</v>
      </c>
      <c r="G55" s="0" t="inlineStr">
        <is>
          <t>Российская Федерация</t>
        </is>
      </c>
      <c r="H55" s="0" t="inlineStr">
        <is>
          <t>VIRONA</t>
        </is>
      </c>
      <c r="I55" s="0" t="inlineStr">
        <is>
          <t>консольный</t>
        </is>
      </c>
      <c r="J55" s="0" t="inlineStr">
        <is>
          <t>магистрали и дороги</t>
        </is>
      </c>
      <c r="M55" s="0" t="n">
        <v>124</v>
      </c>
      <c r="O55" s="0" t="inlineStr">
        <is>
          <t>SMD</t>
        </is>
      </c>
      <c r="P55" s="0" t="n">
        <v>19840</v>
      </c>
      <c r="Q55" s="0" t="n">
        <v>5000</v>
      </c>
      <c r="R55" s="0" t="n">
        <v>80</v>
      </c>
      <c r="S55" s="0" t="n">
        <v>67</v>
      </c>
      <c r="T55" s="0" t="inlineStr">
        <is>
          <t>Л</t>
        </is>
      </c>
      <c r="U55" s="0" t="n">
        <v>100000</v>
      </c>
      <c r="V55" s="0" t="n">
        <v>339</v>
      </c>
      <c r="W55" s="0" t="n">
        <v>160</v>
      </c>
      <c r="X55" s="0" t="n">
        <v>160</v>
      </c>
      <c r="AB55" s="0" t="n">
        <v>2.362</v>
      </c>
      <c r="AD55" s="0" t="inlineStr">
        <is>
          <t>алюминиевый профиль</t>
        </is>
      </c>
      <c r="AE55" s="0" t="inlineStr">
        <is>
          <t>стекло</t>
        </is>
      </c>
      <c r="AG55" s="0" t="inlineStr">
        <is>
          <t>прозрачный рассеиватель</t>
        </is>
      </c>
      <c r="AH55" s="0" t="inlineStr">
        <is>
          <t>Светодиоды Samsung LM292</t>
        </is>
      </c>
      <c r="AI55" s="0" t="inlineStr">
        <is>
          <t>LED-driver</t>
        </is>
      </c>
      <c r="AK55" s="0" t="n">
        <v>0.95</v>
      </c>
      <c r="AN55" s="0" t="n">
        <v>176</v>
      </c>
      <c r="AO55" s="0" t="n">
        <v>264</v>
      </c>
      <c r="AP55" s="0" t="n">
        <v>-60</v>
      </c>
      <c r="AQ55" s="0" t="n">
        <v>50</v>
      </c>
      <c r="AS55" s="0" t="inlineStr">
        <is>
          <t>Картон</t>
        </is>
      </c>
      <c r="AT55" s="0" t="inlineStr">
        <is>
          <t>Да</t>
        </is>
      </c>
      <c r="AU55" s="0" t="n">
        <v>0.01134</v>
      </c>
      <c r="AV55" s="0" t="n">
        <v>0.198</v>
      </c>
      <c r="AW55" s="0" t="n">
        <v>1</v>
      </c>
      <c r="AX55" s="0" t="n">
        <v>350</v>
      </c>
      <c r="AY55" s="0" t="n">
        <v>180</v>
      </c>
      <c r="AZ55" s="0" t="n">
        <v>180</v>
      </c>
      <c r="BA55" s="0" t="n">
        <v>0.01134</v>
      </c>
      <c r="BB55" s="0" t="n">
        <v>0.198</v>
      </c>
      <c r="BD55" s="0" t="inlineStr">
        <is>
          <t>http://darion-svet.com/web/binary/saveas_archive?model=product.picture&amp;ids=[1633]&amp;field=image&amp;name_field=name&amp;archive_name=V1017_image</t>
        </is>
      </c>
      <c r="BE55" s="0" t="inlineStr">
        <is>
          <t>http://darion-svet.com/shop/product/v1017-vrn-un-124d-g50k67-k90-l-124vt-konsolnyij-</t>
        </is>
      </c>
      <c r="BI55" s="0" t="n">
        <v>0</v>
      </c>
      <c r="BJ55" s="0" t="n">
        <v>0</v>
      </c>
    </row>
    <row r="56">
      <c r="A56" s="0" t="inlineStr">
        <is>
          <t>V1018</t>
        </is>
      </c>
      <c r="B56" s="0" t="inlineStr">
        <is>
          <t>Светодиодный светильник Virona 124Вт Универсальный (VRN-UN-124D-G50K67-U90)</t>
        </is>
      </c>
      <c r="C56" s="0" t="inlineStr">
        <is>
          <t>Универсал</t>
        </is>
      </c>
      <c r="E56" s="0" t="inlineStr">
        <is>
          <t>http://darion-svet.com/web/binary/image?model=product.product&amp;id=18099&amp;field=image</t>
        </is>
      </c>
      <c r="F56" s="0" t="n">
        <v>5</v>
      </c>
      <c r="G56" s="0" t="inlineStr">
        <is>
          <t>Российская Федерация</t>
        </is>
      </c>
      <c r="H56" s="0" t="inlineStr">
        <is>
          <t>VIRONA</t>
        </is>
      </c>
      <c r="I56" s="0" t="inlineStr">
        <is>
          <t>консольный; на лиру; подвесной</t>
        </is>
      </c>
      <c r="J56" s="0" t="inlineStr">
        <is>
          <t>улицы (дороги, тротуары); промышленные помещения, склады и цеха</t>
        </is>
      </c>
      <c r="M56" s="0" t="n">
        <v>124</v>
      </c>
      <c r="O56" s="0" t="inlineStr">
        <is>
          <t>SMD</t>
        </is>
      </c>
      <c r="P56" s="0" t="n">
        <v>19840</v>
      </c>
      <c r="Q56" s="0" t="n">
        <v>5000</v>
      </c>
      <c r="R56" s="0" t="n">
        <v>80</v>
      </c>
      <c r="S56" s="0" t="n">
        <v>67</v>
      </c>
      <c r="T56" s="0" t="inlineStr">
        <is>
          <t>Л</t>
        </is>
      </c>
      <c r="U56" s="0" t="n">
        <v>100000</v>
      </c>
      <c r="V56" s="0" t="n">
        <v>324</v>
      </c>
      <c r="W56" s="0" t="n">
        <v>245</v>
      </c>
      <c r="X56" s="0" t="n">
        <v>163</v>
      </c>
      <c r="AD56" s="0" t="inlineStr">
        <is>
          <t>алюминиевый профиль</t>
        </is>
      </c>
      <c r="AE56" s="0" t="inlineStr">
        <is>
          <t>стекло</t>
        </is>
      </c>
      <c r="AG56" s="0" t="inlineStr">
        <is>
          <t>прозрачный рассеиватель</t>
        </is>
      </c>
      <c r="AH56" s="0" t="inlineStr">
        <is>
          <t>Светодиоды Samsung LM292</t>
        </is>
      </c>
      <c r="AI56" s="0" t="inlineStr">
        <is>
          <t>LED-driver</t>
        </is>
      </c>
      <c r="AK56" s="0" t="n">
        <v>0.95</v>
      </c>
      <c r="AN56" s="0" t="n">
        <v>176</v>
      </c>
      <c r="AO56" s="0" t="n">
        <v>264</v>
      </c>
      <c r="AP56" s="0" t="n">
        <v>-60</v>
      </c>
      <c r="AQ56" s="0" t="n">
        <v>50</v>
      </c>
      <c r="AS56" s="0" t="inlineStr">
        <is>
          <t>Картон</t>
        </is>
      </c>
      <c r="AT56" s="0" t="inlineStr">
        <is>
          <t>Да</t>
        </is>
      </c>
      <c r="AW56" s="0" t="n">
        <v>1</v>
      </c>
      <c r="BD56" s="0" t="inlineStr">
        <is>
          <t>http://darion-svet.com/web/binary/saveas_archive?model=product.picture&amp;ids=[1632]&amp;field=image&amp;name_field=name&amp;archive_name=V1018_image</t>
        </is>
      </c>
      <c r="BE56" s="0" t="inlineStr">
        <is>
          <t>http://darion-svet.com/shop/product/v1018-vrn-un-124d-g50k67-u90-l-124vt-universalnyij-</t>
        </is>
      </c>
      <c r="BI56" s="0" t="n">
        <v>0</v>
      </c>
      <c r="BJ56" s="0" t="n">
        <v>0</v>
      </c>
    </row>
    <row r="57">
      <c r="A57" s="0" t="inlineStr">
        <is>
          <t>V1019</t>
        </is>
      </c>
      <c r="B57" s="0" t="inlineStr">
        <is>
          <t>Светодиодный светильник Virona 80Вт Универсальный (VRN-UN-80-G50K67-U)</t>
        </is>
      </c>
      <c r="C57" s="0" t="inlineStr">
        <is>
          <t>Универсал</t>
        </is>
      </c>
      <c r="E57" s="0" t="inlineStr">
        <is>
          <t>http://darion-svet.com/web/binary/image?model=product.product&amp;id=18076&amp;field=image</t>
        </is>
      </c>
      <c r="F57" s="0" t="n">
        <v>5</v>
      </c>
      <c r="G57" s="0" t="inlineStr">
        <is>
          <t>Российская Федерация</t>
        </is>
      </c>
      <c r="H57" s="0" t="inlineStr">
        <is>
          <t>VIRONA</t>
        </is>
      </c>
      <c r="I57" s="0" t="inlineStr">
        <is>
          <t>консольный; на лиру; подвесной</t>
        </is>
      </c>
      <c r="J57" s="0" t="inlineStr">
        <is>
          <t>улицы (дороги, тротуары); промышленные помещения, склады и цеха</t>
        </is>
      </c>
      <c r="M57" s="0" t="n">
        <v>80</v>
      </c>
      <c r="O57" s="0" t="inlineStr">
        <is>
          <t>SMD</t>
        </is>
      </c>
      <c r="P57" s="0" t="n">
        <v>12800</v>
      </c>
      <c r="Q57" s="0" t="n">
        <v>5000</v>
      </c>
      <c r="R57" s="0" t="n">
        <v>80</v>
      </c>
      <c r="S57" s="0" t="n">
        <v>67</v>
      </c>
      <c r="T57" s="0" t="inlineStr">
        <is>
          <t>Д</t>
        </is>
      </c>
      <c r="U57" s="0" t="inlineStr">
        <is>
          <t>100 000 ч.</t>
        </is>
      </c>
      <c r="V57" s="0" t="n">
        <v>480</v>
      </c>
      <c r="W57" s="0" t="n">
        <v>100</v>
      </c>
      <c r="X57" s="0" t="n">
        <v>98</v>
      </c>
      <c r="AB57" s="0" t="n">
        <v>1.63</v>
      </c>
      <c r="AD57" s="0" t="inlineStr">
        <is>
          <t>алюминиевый профиль</t>
        </is>
      </c>
      <c r="AE57" s="0" t="inlineStr">
        <is>
          <t>стекло</t>
        </is>
      </c>
      <c r="AG57" s="0" t="inlineStr">
        <is>
          <t>прозрачный рассеиватель</t>
        </is>
      </c>
      <c r="AH57" s="0" t="inlineStr">
        <is>
          <t>Светодиодный светильник Virona 80Вт Универсальный (VRN-UN-80-G50K67-U)
Наши покупатели часто задают вопросы и сравнивают светильники Virona с недорогими прожекторами. Действительно, зачем платить дороже? Давайте посмотрим..
Предлагаем сравнить:
прожектор Китай 100 Вт
vs
светильник Virona 80Вт VRN-UN-80-G50K67-U.
Сколько света даёт светильник?
Прожекторы производства Китай мощностью 100 Вт  - световой поток 9500
 люмен.
vs
Светильник VRN-UN-80-G50K67-U мощностью 80 Вт - светового потока 12800 люмен.
Один светильник VRN-UN-80-G50K67-U по количеству света заменяет два прожектора китайского производства такой же мощности. Это значит, что потребление электроэнергии будет в 2 раза меньше при той же освещенности площади или объекта.
(Картинка: с одной стороны площадка и три мачты освещения с лучами и световым пятном на площадке, с другой стороны одна мачта с вироной, с одним лучем дающим такое же световое пятно). 
Важные показатели при выборе светильника.
Когда светильник работает он потребляет электричество и даёт свет.
Мощность - измеряется в Ваттах (Вт), это сколько мы будем платить за электроэнергию.
Световой поток - измеряется в люменах (лм), это сколько мы получим света.
Если разделим лм на Вт, то узнаем сколько получим света на 1 Вт расхода электричества или энергоэффективность, измеряется в лм/Вт.
световой поток (лм) / мощность (Вт) = энергоэффективность (лм/Вт)
Высокий показатель энергоэффективности говорит о том, что при производстве светильника использовались качественные компоненты: светодиоды и драйверы.
Рассчитаем энергоэффективность для
обычного прожектора производства Китай 9500 лм, 100 Вт:
9500 лм / 100 Вт = 95 лм/Вт
vs
Светильника VRN-UN-80-G50K67-U, 12800 лм, 80 Вт:
12800 лм / 80 Вт = 160 лм/Вт
Очевидно, прожектор имеет меньший показатель энергоэффективности в 2 раза.
Наш опыт говорит о том, что это из-за менее качественных комплектующих.
На что влияет?
срок службы,
качество светового потока,
комфорт в эксплуатации.
Обычно прожекторы из Китая имеют мерцающий световой поток. Это не видно невооруженным взглядом, но плохо сказывается на зрении и самочувствии человека.
(Картинка: та же самая, если удастся показать менее качественный световой поток, мерцание и тп и более ровный световой поток у Вироны)
Гарантия. Срок службы. Замена светильников. Дополнительные расходы
Доступные прожекторы производства Китай
Гарантия 2 года,
срок службы 30 000 часов, или 2-4 года.
Т.е. мы будем менять светильник 3-4 раза за 10 лет.
Поэтому будем тратить:
❌ деньги на приобретение новых светильников,
❌ деньги или время на монтаж/демонтаж вышедшего из строя оборудования,
❌ время на покупку и обслуживание,
❌ внимание, силы на казалось бы решенный вопрос.
Virona VRN-UN-80-G50K67-U
Гарантия 5 лет,
срок службы 100 000 часов, или 10 лет.
Решаем вопрос освещения один раз и надолго. Заплатив один раз за качество, решаем вопрос в горизонте 10 лет, получаем:
✔️ экономию расходов на электричество (минимум в 2 раза),
✔️ экономию времени на покупку светильника взамен перегоревшего,
✔️ экономию расходов на монтаж-демонтаж перегоревшего светильника,
✔️ получаем лучшее качества света без мерцаний (комфорт),
✔️ чувствуем себя лучше и тратим больше времени и сил на любимые дела.
Мы рады любому выбору покупателя. Если вы прочитали до конца и решили купить светильник Virona - дополнительная скидку 3%.</t>
        </is>
      </c>
      <c r="AI57" s="0" t="inlineStr">
        <is>
          <t>LED-driver</t>
        </is>
      </c>
      <c r="AK57" s="0" t="n">
        <v>0.95</v>
      </c>
      <c r="AL57" s="0" t="n">
        <v>1</v>
      </c>
      <c r="AN57" s="0" t="n">
        <v>176</v>
      </c>
      <c r="AO57" s="0" t="n">
        <v>264</v>
      </c>
      <c r="AP57" s="0" t="n">
        <v>-60</v>
      </c>
      <c r="AQ57" s="0" t="n">
        <v>50</v>
      </c>
      <c r="AS57" s="0" t="inlineStr">
        <is>
          <t>Картон</t>
        </is>
      </c>
      <c r="AT57" s="0" t="inlineStr">
        <is>
          <t>Да</t>
        </is>
      </c>
      <c r="AU57" s="0" t="n">
        <v>0.00805</v>
      </c>
      <c r="AV57" s="0" t="n">
        <v>0.16</v>
      </c>
      <c r="AW57" s="0" t="n">
        <v>1</v>
      </c>
      <c r="AX57" s="0" t="n">
        <v>500</v>
      </c>
      <c r="AY57" s="0" t="n">
        <v>115</v>
      </c>
      <c r="AZ57" s="0" t="n">
        <v>140</v>
      </c>
      <c r="BA57" s="0" t="n">
        <v>0.00805</v>
      </c>
      <c r="BB57" s="0" t="n">
        <v>0.16</v>
      </c>
      <c r="BD57" s="0" t="inlineStr">
        <is>
          <t>http://darion-svet.com/web/binary/saveas_archive?model=product.picture&amp;ids=[1614, 1910]&amp;field=image&amp;name_field=name&amp;archive_name=V1019_image</t>
        </is>
      </c>
      <c r="BE57" s="0" t="inlineStr">
        <is>
          <t>http://darion-svet.com/shop/product/v1019-vrn-un-80-g50k67-u-80vt-universalnyij</t>
        </is>
      </c>
      <c r="BF57" s="0" t="inlineStr">
        <is>
          <t>http://darion-svet.com/web/binary/saveas?model=product.product&amp;field=conformity_cert&amp;filename_field=conformity_cert_filename&amp;id=18076</t>
        </is>
      </c>
      <c r="BG57" s="0" t="inlineStr">
        <is>
          <t>http://darion-svet.com/web/binary/saveas?model=product.product&amp;field=datasheet&amp;filename_field=datasheet_filename&amp;id=18076</t>
        </is>
      </c>
      <c r="BI57" s="0" t="n">
        <v>0</v>
      </c>
      <c r="BJ57" s="0" t="n">
        <v>0</v>
      </c>
    </row>
    <row r="58">
      <c r="A58" s="0" t="inlineStr">
        <is>
          <t>V1019-SDS</t>
        </is>
      </c>
      <c r="B58" s="0" t="inlineStr">
        <is>
          <t>Светодиодный светильник Virona 80Вт Универсальный (VRN-SPL-80-G50K67-U)</t>
        </is>
      </c>
      <c r="C58" s="0" t="inlineStr">
        <is>
          <t>Универсал</t>
        </is>
      </c>
      <c r="E58" s="0" t="inlineStr">
        <is>
          <t>http://darion-svet.com/web/binary/image?model=product.product&amp;id=19671&amp;field=image</t>
        </is>
      </c>
      <c r="F58" s="0" t="n">
        <v>5</v>
      </c>
      <c r="G58" s="0" t="inlineStr">
        <is>
          <t>Российская Федерация</t>
        </is>
      </c>
      <c r="H58" s="0" t="inlineStr">
        <is>
          <t>VIRONA</t>
        </is>
      </c>
      <c r="I58" s="0" t="inlineStr">
        <is>
          <t>консольный</t>
        </is>
      </c>
      <c r="J58" s="0" t="inlineStr">
        <is>
          <t>магистрали и дороги</t>
        </is>
      </c>
      <c r="M58" s="0" t="n">
        <v>80</v>
      </c>
      <c r="O58" s="0" t="inlineStr">
        <is>
          <t>SMD</t>
        </is>
      </c>
      <c r="P58" s="0" t="n">
        <v>12800</v>
      </c>
      <c r="Q58" s="0" t="n">
        <v>5000</v>
      </c>
      <c r="R58" s="0" t="n">
        <v>80</v>
      </c>
      <c r="S58" s="0" t="n">
        <v>67</v>
      </c>
      <c r="T58" s="0" t="inlineStr">
        <is>
          <t>Д</t>
        </is>
      </c>
      <c r="U58" s="0" t="n">
        <v>100000</v>
      </c>
      <c r="V58" s="0" t="n">
        <v>480</v>
      </c>
      <c r="W58" s="0" t="n">
        <v>100</v>
      </c>
      <c r="X58" s="0" t="n">
        <v>130</v>
      </c>
      <c r="AB58" s="0" t="n">
        <v>1.782</v>
      </c>
      <c r="AD58" s="0" t="inlineStr">
        <is>
          <t>алюминиевый профиль</t>
        </is>
      </c>
      <c r="AE58" s="0" t="inlineStr">
        <is>
          <t>стекло</t>
        </is>
      </c>
      <c r="AG58" s="0" t="inlineStr">
        <is>
          <t>прозрачный рассеиватель</t>
        </is>
      </c>
      <c r="AH58" s="0" t="inlineStr">
        <is>
          <t>Светодиоды Samsung LM290</t>
        </is>
      </c>
      <c r="AI58" s="0" t="inlineStr">
        <is>
          <t>LED-driver</t>
        </is>
      </c>
      <c r="AK58" s="0" t="n">
        <v>0.95</v>
      </c>
      <c r="AN58" s="0" t="n">
        <v>176</v>
      </c>
      <c r="AO58" s="0" t="n">
        <v>264</v>
      </c>
      <c r="AP58" s="0" t="n">
        <v>-60</v>
      </c>
      <c r="AQ58" s="0" t="n">
        <v>50</v>
      </c>
      <c r="AS58" s="0" t="inlineStr">
        <is>
          <t>Картон</t>
        </is>
      </c>
      <c r="AT58" s="0" t="inlineStr">
        <is>
          <t>Да</t>
        </is>
      </c>
      <c r="AU58" s="0" t="n">
        <v>0.00805</v>
      </c>
      <c r="AV58" s="0" t="n">
        <v>0.064</v>
      </c>
      <c r="AW58" s="0" t="n">
        <v>1</v>
      </c>
      <c r="AX58" s="0" t="n">
        <v>500</v>
      </c>
      <c r="AY58" s="0" t="n">
        <v>115</v>
      </c>
      <c r="AZ58" s="0" t="n">
        <v>140</v>
      </c>
      <c r="BA58" s="0" t="n">
        <v>0.00805</v>
      </c>
      <c r="BB58" s="0" t="n">
        <v>0.064</v>
      </c>
      <c r="BD58" s="0" t="inlineStr">
        <is>
          <t>http://darion-svet.com/web/binary/saveas_archive?model=product.picture&amp;ids=[1615]&amp;field=image&amp;name_field=name&amp;archive_name=V1019-SDS_image</t>
        </is>
      </c>
      <c r="BE58" s="0" t="inlineStr">
        <is>
          <t>http://darion-svet.com/shop/product/v1019-sds-vrn-spl-80-g50k67-u-80vt-universalnyij-sds</t>
        </is>
      </c>
      <c r="BI58" s="0" t="n">
        <v>0</v>
      </c>
      <c r="BJ58" s="0" t="n">
        <v>0</v>
      </c>
    </row>
    <row r="59">
      <c r="A59" s="0" t="inlineStr">
        <is>
          <t>V1020</t>
        </is>
      </c>
      <c r="B59" s="0" t="inlineStr">
        <is>
          <t>Светодиодный светильник Virona 80Вт Консольный (VRN-UN-80-G50K67-K)</t>
        </is>
      </c>
      <c r="C59" s="0" t="inlineStr">
        <is>
          <t>Универсал</t>
        </is>
      </c>
      <c r="E59" s="0" t="inlineStr">
        <is>
          <t>http://darion-svet.com/web/binary/image?model=product.product&amp;id=18082&amp;field=image</t>
        </is>
      </c>
      <c r="F59" s="0" t="n">
        <v>5</v>
      </c>
      <c r="G59" s="0" t="inlineStr">
        <is>
          <t>Российская Федерация</t>
        </is>
      </c>
      <c r="H59" s="0" t="inlineStr">
        <is>
          <t>VIRONA</t>
        </is>
      </c>
      <c r="I59" s="0" t="inlineStr">
        <is>
          <t>консольный</t>
        </is>
      </c>
      <c r="J59" s="0" t="inlineStr">
        <is>
          <t>магистрали и дороги</t>
        </is>
      </c>
      <c r="M59" s="0" t="n">
        <v>80</v>
      </c>
      <c r="O59" s="0" t="inlineStr">
        <is>
          <t>SMD</t>
        </is>
      </c>
      <c r="P59" s="0" t="n">
        <v>12800</v>
      </c>
      <c r="Q59" s="0" t="n">
        <v>5000</v>
      </c>
      <c r="R59" s="0" t="n">
        <v>80</v>
      </c>
      <c r="S59" s="0" t="n">
        <v>67</v>
      </c>
      <c r="T59" s="0" t="inlineStr">
        <is>
          <t>Д</t>
        </is>
      </c>
      <c r="U59" s="0" t="inlineStr">
        <is>
          <t>100 000 ч.</t>
        </is>
      </c>
      <c r="V59" s="0" t="n">
        <v>480</v>
      </c>
      <c r="W59" s="0" t="n">
        <v>100</v>
      </c>
      <c r="X59" s="0" t="n">
        <v>130</v>
      </c>
      <c r="AB59" s="0" t="n">
        <v>1.782</v>
      </c>
      <c r="AD59" s="0" t="inlineStr">
        <is>
          <t>алюминиевый профиль</t>
        </is>
      </c>
      <c r="AE59" s="0" t="inlineStr">
        <is>
          <t>стекло</t>
        </is>
      </c>
      <c r="AG59" s="0" t="inlineStr">
        <is>
          <t>прозрачный рассеиватель</t>
        </is>
      </c>
      <c r="AH59" s="0" t="inlineStr">
        <is>
          <t>Светодиодный светильник Virona 80 Вт Консольный (VRN-UN-80-G50K67-K)
Наши покупатели часто задают вопросы и сравнивают светильники Virona с недорогими прожекторами. Действительно, зачем платить дороже? 
Давайте посмотрим..
Предлагаем сравнить:
консольный светильник Китай 100 W
vs
Светильник Virona 80 Вт VRN-UN-80-G50K67-K.
Широкая линейка выбора
Если сравнить линейку выбора по мощности светильника то мы увидим, что Virona предлагает нам сделать более точный выбор. В линейке данной марки представлены светильники мощностью: 32, 48,62,80, 96,124 Ватт. 
В то время как более дешевые типичные консольники производства Китая зачастую ограничены выбором из 3 вариантов: 70, 100, 120 Вт.
Сколько света даёт светильник?
Прожекторы производства Китай мощностью 100 Вт  - световой поток 9500 люмен.
vs
Светильник VRN-UN-80-G50K67-K мощностью 80 Вт - светового потока 12800 люмен.
Один светильник Virona VRN-UN-80-G50K67-K мощностью 80 Ватт дает больше светового потока чем типичный китайский консольный светильник большей мощности. 
Это значит, что потребление электроэнергии при использовании светильника Virona будет меньше, а света он давать будет больше.
Важные показатели при выборе светильника.
Когда светильник работает он потребляет электричество и даёт свет.
Мощность - измеряется в Ваттах (Вт), это сколько мы будем платить за электроэнергию.
Световой поток - измеряется в люменах (лм), это сколько мы получим света.
Если разделим лм на Вт, то узнаем сколько получим света на 1 Вт расхода электричества или энергоэффективность, измеряется в лм/Вт.
световой поток (лм) / мощность (Вт) = энергоэффективность (лм/Вт)
Высокий показатель энергоэффективности говорит о том, что при производстве светильника использовались качественные компоненты: светодиоды и драйверы.
Рассчитаем энергоэффективность для
обычного прожектора производства Китай 6700 лм, 100 Вт:
9500 лм / 100 Вт = 95 лм/Вт
vs
Светильника VRN-UN-80-G50K67-K, 12800 лм, 80 Вт:
12800 лм / 80 Вт = 160 лм/Вт
Очевидно, консольник китайского производства имеет меньший показатель энергоэффективности почти в 2 раза.
Наш опыт говорит о том, что это из-за менее качественных комплектующих.
На что влияет?
срок службы,
качество светового потока,
комфорт в эксплуатации.
Обычно консольники из Китая имеют мерцающий световой поток. Это не видно невооруженным взглядом, но плохо сказывается на зрении и самочувствии человека.
(Картинка: та же самая, если удастся показать менее качественный световой поток, мерцание и тп и более ровный световой поток у Вироны)
Гарантия. Срок службы. Замена светильников. Дополнительные расходы
Доступные прожекторы производства Китай
Гарантия 2 года,
срок службы 50 000 часов, или 5-6 лет.
Т.е. мы будем менять светильник 2 раза за 10 лет.
Поэтому будем тратить:
❌ деньги на приобретение новых светильников,
❌ деньги или время на монтаж/демонтаж вышедшего из строя оборудования,
❌ время на покупку и обслуживание,
❌ внимание, силы на казалось бы решенный вопрос.
Virona VRN-UN-80-G50K67-K
Гарантия 5 лет,
срок службы 100 000 часов, или 10 лет.
Решаем вопрос освещения один раз и надолго. Заплатив один раз за качество, решаем вопрос в горизонте 10 лет, получаем:
✔️ экономию расходов на электричество (минимум в 2 раза),
✔️ экономию времени на покупку светильника взамен перегоревшего,
✔️ экономию расходов на монтаж-демонтаж перегоревшего светильника,
✔️ получаем лучшее качества света без мерцаний (комфорт),
✔️ чувствуем себя лучше и тратим больше времени и сил на любимые дела.
Мы рады любому выбору покупателя. Если вы прочитали до конца и решили купить светильник Virona - согласуем скидку 3%.</t>
        </is>
      </c>
      <c r="AI59" s="0" t="inlineStr">
        <is>
          <t>LED-driver</t>
        </is>
      </c>
      <c r="AK59" s="0" t="n">
        <v>0.95</v>
      </c>
      <c r="AL59" s="0" t="n">
        <v>1</v>
      </c>
      <c r="AN59" s="0" t="n">
        <v>176</v>
      </c>
      <c r="AO59" s="0" t="n">
        <v>264</v>
      </c>
      <c r="AP59" s="0" t="n">
        <v>-60</v>
      </c>
      <c r="AQ59" s="0" t="n">
        <v>50</v>
      </c>
      <c r="AS59" s="0" t="inlineStr">
        <is>
          <t>Картон</t>
        </is>
      </c>
      <c r="AT59" s="0" t="inlineStr">
        <is>
          <t>Да</t>
        </is>
      </c>
      <c r="AU59" s="0" t="n">
        <v>0.00805</v>
      </c>
      <c r="AV59" s="0" t="n">
        <v>0.064</v>
      </c>
      <c r="AW59" s="0" t="n">
        <v>1</v>
      </c>
      <c r="AX59" s="0" t="n">
        <v>500</v>
      </c>
      <c r="AY59" s="0" t="n">
        <v>115</v>
      </c>
      <c r="AZ59" s="0" t="n">
        <v>140</v>
      </c>
      <c r="BA59" s="0" t="n">
        <v>0.00805</v>
      </c>
      <c r="BB59" s="0" t="n">
        <v>0.064</v>
      </c>
      <c r="BD59" s="0" t="inlineStr">
        <is>
          <t>http://darion-svet.com/web/binary/saveas_archive?model=product.picture&amp;ids=[1615, 1910]&amp;field=image&amp;name_field=name&amp;archive_name=V1020_image</t>
        </is>
      </c>
      <c r="BE59" s="0" t="inlineStr">
        <is>
          <t>http://darion-svet.com/shop/product/v1020-vrn-un-80-g50k67-k-80vt-konsolnyij</t>
        </is>
      </c>
      <c r="BF59" s="0" t="inlineStr">
        <is>
          <t>http://darion-svet.com/web/binary/saveas?model=product.product&amp;field=conformity_cert&amp;filename_field=conformity_cert_filename&amp;id=18082</t>
        </is>
      </c>
      <c r="BG59" s="0" t="inlineStr">
        <is>
          <t>http://darion-svet.com/web/binary/saveas?model=product.product&amp;field=datasheet&amp;filename_field=datasheet_filename&amp;id=18082</t>
        </is>
      </c>
      <c r="BI59" s="0" t="n">
        <v>0</v>
      </c>
      <c r="BJ59" s="0" t="n">
        <v>0</v>
      </c>
    </row>
    <row r="60">
      <c r="A60" s="0" t="inlineStr">
        <is>
          <t>V1020K3</t>
        </is>
      </c>
      <c r="B60" s="0" t="inlineStr">
        <is>
          <t>Светодиодный светильник Virona 80Вт Консольный (VRN-UN-80-G30K67-K)</t>
        </is>
      </c>
      <c r="C60" s="0" t="inlineStr">
        <is>
          <t>Универсал</t>
        </is>
      </c>
      <c r="E60" s="0" t="inlineStr">
        <is>
          <t>http://darion-svet.com/web/binary/image?model=product.product&amp;id=20709&amp;field=image</t>
        </is>
      </c>
      <c r="F60" s="0" t="n">
        <v>5</v>
      </c>
      <c r="G60" s="0" t="inlineStr">
        <is>
          <t>Российская Федерация</t>
        </is>
      </c>
      <c r="H60" s="0" t="inlineStr">
        <is>
          <t>VIRONA</t>
        </is>
      </c>
      <c r="I60" s="0" t="inlineStr">
        <is>
          <t>консольный</t>
        </is>
      </c>
      <c r="J60" s="0" t="inlineStr">
        <is>
          <t>магистрали и дороги</t>
        </is>
      </c>
      <c r="M60" s="0" t="n">
        <v>80</v>
      </c>
      <c r="O60" s="0" t="inlineStr">
        <is>
          <t>SMD</t>
        </is>
      </c>
      <c r="P60" s="0" t="n">
        <v>12800</v>
      </c>
      <c r="Q60" s="0" t="n">
        <v>5000</v>
      </c>
      <c r="R60" s="0" t="n">
        <v>80</v>
      </c>
      <c r="S60" s="0" t="n">
        <v>67</v>
      </c>
      <c r="T60" s="0" t="inlineStr">
        <is>
          <t>Д</t>
        </is>
      </c>
      <c r="U60" s="0" t="n">
        <v>100000</v>
      </c>
      <c r="V60" s="0" t="n">
        <v>480</v>
      </c>
      <c r="W60" s="0" t="n">
        <v>100</v>
      </c>
      <c r="X60" s="0" t="n">
        <v>130</v>
      </c>
      <c r="AB60" s="0" t="n">
        <v>1.782</v>
      </c>
      <c r="AD60" s="0" t="inlineStr">
        <is>
          <t>алюминиевый профиль</t>
        </is>
      </c>
      <c r="AE60" s="0" t="inlineStr">
        <is>
          <t>стекло</t>
        </is>
      </c>
      <c r="AG60" s="0" t="inlineStr">
        <is>
          <t>прозрачный рассеиватель</t>
        </is>
      </c>
      <c r="AH60" s="0" t="inlineStr">
        <is>
          <t>Светодиоды Samsung LM290</t>
        </is>
      </c>
      <c r="AI60" s="0" t="inlineStr">
        <is>
          <t>LED-driver</t>
        </is>
      </c>
      <c r="AK60" s="0" t="n">
        <v>0.95</v>
      </c>
      <c r="AN60" s="0" t="n">
        <v>176</v>
      </c>
      <c r="AO60" s="0" t="n">
        <v>264</v>
      </c>
      <c r="AP60" s="0" t="n">
        <v>-60</v>
      </c>
      <c r="AQ60" s="0" t="n">
        <v>50</v>
      </c>
      <c r="AS60" s="0" t="inlineStr">
        <is>
          <t>Картон</t>
        </is>
      </c>
      <c r="AT60" s="0" t="inlineStr">
        <is>
          <t>Да</t>
        </is>
      </c>
      <c r="AU60" s="0" t="n">
        <v>0.00805</v>
      </c>
      <c r="AV60" s="0" t="n">
        <v>0.064</v>
      </c>
      <c r="AW60" s="0" t="n">
        <v>1</v>
      </c>
      <c r="AX60" s="0" t="n">
        <v>500</v>
      </c>
      <c r="AY60" s="0" t="n">
        <v>115</v>
      </c>
      <c r="AZ60" s="0" t="n">
        <v>140</v>
      </c>
      <c r="BA60" s="0" t="n">
        <v>0.00805</v>
      </c>
      <c r="BB60" s="0" t="n">
        <v>0.064</v>
      </c>
      <c r="BD60" s="0" t="inlineStr">
        <is>
          <t>http://darion-svet.com/web/binary/saveas_archive?model=product.picture&amp;ids=[1615]&amp;field=image&amp;name_field=name&amp;archive_name=V1020K3_image</t>
        </is>
      </c>
      <c r="BE60" s="0" t="inlineStr">
        <is>
          <t>http://darion-svet.com/shop/product/v1020k3-vrn-un-80-g30k67-k-80vt-konsolnyij</t>
        </is>
      </c>
      <c r="BI60" s="0" t="n">
        <v>0</v>
      </c>
      <c r="BJ60" s="0" t="n">
        <v>0</v>
      </c>
    </row>
    <row r="61">
      <c r="A61" s="0" t="inlineStr">
        <is>
          <t>V1020-SDS</t>
        </is>
      </c>
      <c r="B61" s="0" t="inlineStr">
        <is>
          <t>Светодиодный светильник Virona 80Вт Консольный (VRN-SPL-80-G50K67-K)</t>
        </is>
      </c>
      <c r="C61" s="0" t="inlineStr">
        <is>
          <t>Универсал</t>
        </is>
      </c>
      <c r="E61" s="0" t="inlineStr">
        <is>
          <t>http://darion-svet.com/web/binary/image?model=product.product&amp;id=19669&amp;field=image</t>
        </is>
      </c>
      <c r="F61" s="0" t="n">
        <v>5</v>
      </c>
      <c r="G61" s="0" t="inlineStr">
        <is>
          <t>Российская Федерация</t>
        </is>
      </c>
      <c r="H61" s="0" t="inlineStr">
        <is>
          <t>VIRONA</t>
        </is>
      </c>
      <c r="I61" s="0" t="inlineStr">
        <is>
          <t>консольный</t>
        </is>
      </c>
      <c r="J61" s="0" t="inlineStr">
        <is>
          <t>магистрали и дороги</t>
        </is>
      </c>
      <c r="M61" s="0" t="n">
        <v>80</v>
      </c>
      <c r="O61" s="0" t="inlineStr">
        <is>
          <t>SMD</t>
        </is>
      </c>
      <c r="P61" s="0" t="n">
        <v>12800</v>
      </c>
      <c r="Q61" s="0" t="n">
        <v>5000</v>
      </c>
      <c r="R61" s="0" t="n">
        <v>80</v>
      </c>
      <c r="S61" s="0" t="n">
        <v>67</v>
      </c>
      <c r="T61" s="0" t="inlineStr">
        <is>
          <t>Д</t>
        </is>
      </c>
      <c r="U61" s="0" t="n">
        <v>100000</v>
      </c>
      <c r="V61" s="0" t="n">
        <v>480</v>
      </c>
      <c r="W61" s="0" t="n">
        <v>100</v>
      </c>
      <c r="X61" s="0" t="n">
        <v>130</v>
      </c>
      <c r="AB61" s="0" t="n">
        <v>1.782</v>
      </c>
      <c r="AD61" s="0" t="inlineStr">
        <is>
          <t>алюминиевый профиль</t>
        </is>
      </c>
      <c r="AE61" s="0" t="inlineStr">
        <is>
          <t>стекло</t>
        </is>
      </c>
      <c r="AG61" s="0" t="inlineStr">
        <is>
          <t>прозрачный рассеиватель</t>
        </is>
      </c>
      <c r="AH61" s="0" t="inlineStr">
        <is>
          <t>Светодиоды Samsung LM290</t>
        </is>
      </c>
      <c r="AI61" s="0" t="inlineStr">
        <is>
          <t>LED-driver</t>
        </is>
      </c>
      <c r="AK61" s="0" t="n">
        <v>0.95</v>
      </c>
      <c r="AN61" s="0" t="n">
        <v>176</v>
      </c>
      <c r="AO61" s="0" t="n">
        <v>264</v>
      </c>
      <c r="AP61" s="0" t="n">
        <v>-60</v>
      </c>
      <c r="AQ61" s="0" t="n">
        <v>50</v>
      </c>
      <c r="AS61" s="0" t="inlineStr">
        <is>
          <t>Картон</t>
        </is>
      </c>
      <c r="AT61" s="0" t="inlineStr">
        <is>
          <t>Да</t>
        </is>
      </c>
      <c r="AU61" s="0" t="n">
        <v>0.00805</v>
      </c>
      <c r="AV61" s="0" t="n">
        <v>0.064</v>
      </c>
      <c r="AW61" s="0" t="n">
        <v>1</v>
      </c>
      <c r="AX61" s="0" t="n">
        <v>500</v>
      </c>
      <c r="AY61" s="0" t="n">
        <v>115</v>
      </c>
      <c r="AZ61" s="0" t="n">
        <v>140</v>
      </c>
      <c r="BA61" s="0" t="n">
        <v>0.00805</v>
      </c>
      <c r="BB61" s="0" t="n">
        <v>0.064</v>
      </c>
      <c r="BD61" s="0" t="inlineStr">
        <is>
          <t>http://darion-svet.com/web/binary/saveas_archive?model=product.picture&amp;ids=[1615]&amp;field=image&amp;name_field=name&amp;archive_name=V1020-SDS_image</t>
        </is>
      </c>
      <c r="BE61" s="0" t="inlineStr">
        <is>
          <t>http://darion-svet.com/shop/product/v1020-sds-vrn-spl-80-g50k67-k-80vt-konsolnyij-sds</t>
        </is>
      </c>
      <c r="BI61" s="0" t="n">
        <v>0</v>
      </c>
      <c r="BJ61" s="0" t="n">
        <v>0</v>
      </c>
    </row>
    <row r="62">
      <c r="A62" s="0" t="inlineStr">
        <is>
          <t>V1021</t>
        </is>
      </c>
      <c r="B62" s="0" t="inlineStr">
        <is>
          <t>Светодиодный светильник Virona 160Вт Универсальный (VRN-UN-160D-G50K67-U)</t>
        </is>
      </c>
      <c r="C62" s="0" t="inlineStr">
        <is>
          <t>Универсал</t>
        </is>
      </c>
      <c r="E62" s="0" t="inlineStr">
        <is>
          <t>http://darion-svet.com/web/binary/image?model=product.product&amp;id=18088&amp;field=image</t>
        </is>
      </c>
      <c r="F62" s="0" t="n">
        <v>5</v>
      </c>
      <c r="G62" s="0" t="inlineStr">
        <is>
          <t>Российская Федерация</t>
        </is>
      </c>
      <c r="H62" s="0" t="inlineStr">
        <is>
          <t>VIRONA</t>
        </is>
      </c>
      <c r="I62" s="0" t="inlineStr">
        <is>
          <t>консольный; на лиру; подвесной</t>
        </is>
      </c>
      <c r="J62" s="0" t="inlineStr">
        <is>
          <t>улицы (дороги, тротуары); промышленные помещения, склады и цеха</t>
        </is>
      </c>
      <c r="M62" s="0" t="n">
        <v>160</v>
      </c>
      <c r="O62" s="0" t="inlineStr">
        <is>
          <t>SMD</t>
        </is>
      </c>
      <c r="P62" s="0" t="n">
        <v>25600</v>
      </c>
      <c r="Q62" s="0" t="n">
        <v>5000</v>
      </c>
      <c r="R62" s="0" t="n">
        <v>80</v>
      </c>
      <c r="S62" s="0" t="n">
        <v>67</v>
      </c>
      <c r="T62" s="0" t="inlineStr">
        <is>
          <t>Д</t>
        </is>
      </c>
      <c r="U62" s="0" t="n">
        <v>100000</v>
      </c>
      <c r="V62" s="0" t="n">
        <v>470</v>
      </c>
      <c r="W62" s="0" t="n">
        <v>210</v>
      </c>
      <c r="X62" s="0" t="n">
        <v>95</v>
      </c>
      <c r="AB62" s="0" t="n">
        <v>3.3</v>
      </c>
      <c r="AD62" s="0" t="inlineStr">
        <is>
          <t>алюминиевый профиль</t>
        </is>
      </c>
      <c r="AE62" s="0" t="inlineStr">
        <is>
          <t>стекло</t>
        </is>
      </c>
      <c r="AG62" s="0" t="inlineStr">
        <is>
          <t>прозрачный рассеиватель</t>
        </is>
      </c>
      <c r="AH62" s="0" t="inlineStr">
        <is>
          <t>Светодиоды Samsung LM284</t>
        </is>
      </c>
      <c r="AI62" s="0" t="inlineStr">
        <is>
          <t>LED-driver</t>
        </is>
      </c>
      <c r="AK62" s="0" t="n">
        <v>0.95</v>
      </c>
      <c r="AN62" s="0" t="n">
        <v>176</v>
      </c>
      <c r="AO62" s="0" t="n">
        <v>264</v>
      </c>
      <c r="AP62" s="0" t="n">
        <v>-60</v>
      </c>
      <c r="AQ62" s="0" t="n">
        <v>50</v>
      </c>
      <c r="AS62" s="0" t="inlineStr">
        <is>
          <t>Картон</t>
        </is>
      </c>
      <c r="AT62" s="0" t="inlineStr">
        <is>
          <t>Да</t>
        </is>
      </c>
      <c r="AU62" s="0" t="n">
        <v>0.01575</v>
      </c>
      <c r="AV62" s="0" t="n">
        <v>0.272</v>
      </c>
      <c r="AW62" s="0" t="n">
        <v>1</v>
      </c>
      <c r="AX62" s="0" t="n">
        <v>500</v>
      </c>
      <c r="AY62" s="0" t="n">
        <v>225</v>
      </c>
      <c r="AZ62" s="0" t="n">
        <v>140</v>
      </c>
      <c r="BA62" s="0" t="n">
        <v>0.01575</v>
      </c>
      <c r="BB62" s="0" t="n">
        <v>0.272</v>
      </c>
      <c r="BD62" s="0" t="inlineStr">
        <is>
          <t>http://darion-svet.com/web/binary/saveas_archive?model=product.picture&amp;ids=[1634]&amp;field=image&amp;name_field=name&amp;archive_name=V1021_image</t>
        </is>
      </c>
      <c r="BE62" s="0" t="inlineStr">
        <is>
          <t>http://darion-svet.com/shop/product/v1021-vrn-un-160d-g50k67-u-160vt-universalnyij</t>
        </is>
      </c>
      <c r="BI62" s="0" t="n">
        <v>0</v>
      </c>
      <c r="BJ62" s="0" t="n">
        <v>0</v>
      </c>
    </row>
    <row r="63">
      <c r="A63" s="0" t="inlineStr">
        <is>
          <t>V1021-4K</t>
        </is>
      </c>
      <c r="B63" s="0" t="inlineStr">
        <is>
          <t>Светодиодный светильник Virona 160Вт Универсальный (VRN-UN-160D-G40K67-U)</t>
        </is>
      </c>
      <c r="C63" s="0" t="inlineStr">
        <is>
          <t>Универсал</t>
        </is>
      </c>
      <c r="E63" s="0" t="inlineStr">
        <is>
          <t>http://darion-svet.com/web/binary/image?model=product.product&amp;id=26316&amp;field=image</t>
        </is>
      </c>
      <c r="F63" s="0" t="n">
        <v>5</v>
      </c>
      <c r="G63" s="0" t="inlineStr">
        <is>
          <t>Российская Федерация</t>
        </is>
      </c>
      <c r="H63" s="0" t="inlineStr">
        <is>
          <t>VIRONA</t>
        </is>
      </c>
      <c r="I63" s="0" t="inlineStr">
        <is>
          <t>консольный; на лиру; подвесной</t>
        </is>
      </c>
      <c r="J63" s="0" t="inlineStr">
        <is>
          <t>улицы (дороги, тротуары); промышленные помещения, склады и цеха</t>
        </is>
      </c>
      <c r="M63" s="0" t="n">
        <v>160</v>
      </c>
      <c r="O63" s="0" t="inlineStr">
        <is>
          <t>SMD</t>
        </is>
      </c>
      <c r="P63" s="0" t="n">
        <v>25600</v>
      </c>
      <c r="Q63" s="0" t="n">
        <v>5000</v>
      </c>
      <c r="R63" s="0" t="n">
        <v>80</v>
      </c>
      <c r="S63" s="0" t="n">
        <v>67</v>
      </c>
      <c r="T63" s="0" t="inlineStr">
        <is>
          <t>Д</t>
        </is>
      </c>
      <c r="U63" s="0" t="n">
        <v>100000</v>
      </c>
      <c r="V63" s="0" t="n">
        <v>470</v>
      </c>
      <c r="W63" s="0" t="n">
        <v>210</v>
      </c>
      <c r="X63" s="0" t="n">
        <v>95</v>
      </c>
      <c r="AB63" s="0" t="n">
        <v>3.3</v>
      </c>
      <c r="AD63" s="0" t="inlineStr">
        <is>
          <t>алюминиевый профиль</t>
        </is>
      </c>
      <c r="AE63" s="0" t="inlineStr">
        <is>
          <t>стекло</t>
        </is>
      </c>
      <c r="AG63" s="0" t="inlineStr">
        <is>
          <t>прозрачный рассеиватель</t>
        </is>
      </c>
      <c r="AH63" s="0" t="inlineStr">
        <is>
          <t>Светодиоды Samsung LM284</t>
        </is>
      </c>
      <c r="AI63" s="0" t="inlineStr">
        <is>
          <t>LED-driver</t>
        </is>
      </c>
      <c r="AK63" s="0" t="n">
        <v>0.95</v>
      </c>
      <c r="AN63" s="0" t="n">
        <v>176</v>
      </c>
      <c r="AO63" s="0" t="n">
        <v>264</v>
      </c>
      <c r="AP63" s="0" t="n">
        <v>-60</v>
      </c>
      <c r="AQ63" s="0" t="n">
        <v>50</v>
      </c>
      <c r="AS63" s="0" t="inlineStr">
        <is>
          <t>Картон</t>
        </is>
      </c>
      <c r="AT63" s="0" t="inlineStr">
        <is>
          <t>Да</t>
        </is>
      </c>
      <c r="AU63" s="0" t="n">
        <v>0.01575</v>
      </c>
      <c r="AV63" s="0" t="n">
        <v>0.272</v>
      </c>
      <c r="AW63" s="0" t="n">
        <v>1</v>
      </c>
      <c r="AX63" s="0" t="n">
        <v>500</v>
      </c>
      <c r="AY63" s="0" t="n">
        <v>225</v>
      </c>
      <c r="AZ63" s="0" t="n">
        <v>140</v>
      </c>
      <c r="BA63" s="0" t="n">
        <v>0.01575</v>
      </c>
      <c r="BB63" s="0" t="n">
        <v>0.272</v>
      </c>
      <c r="BD63" s="0" t="inlineStr">
        <is>
          <t>http://darion-svet.com/web/binary/saveas_archive?model=product.picture&amp;ids=[1634]&amp;field=image&amp;name_field=name&amp;archive_name=V1021-4K_image</t>
        </is>
      </c>
      <c r="BE63" s="0" t="inlineStr">
        <is>
          <t>http://darion-svet.com/shop/product/v1021-4k-vrn-un-160d-g40k67-u-160vt-universalnyij</t>
        </is>
      </c>
      <c r="BI63" s="0" t="n">
        <v>0</v>
      </c>
      <c r="BJ63" s="0" t="n">
        <v>0</v>
      </c>
    </row>
    <row r="64">
      <c r="A64" s="0" t="inlineStr">
        <is>
          <t>V1022</t>
        </is>
      </c>
      <c r="B64" s="0" t="inlineStr">
        <is>
          <t>Светодиодный светильник Virona 160Вт Консольный (VRN-UN-160D-G50K67-K)</t>
        </is>
      </c>
      <c r="C64" s="0" t="inlineStr">
        <is>
          <t>Универсал</t>
        </is>
      </c>
      <c r="E64" s="0" t="inlineStr">
        <is>
          <t>http://darion-svet.com/web/binary/image?model=product.product&amp;id=18094&amp;field=image</t>
        </is>
      </c>
      <c r="F64" s="0" t="n">
        <v>5</v>
      </c>
      <c r="G64" s="0" t="inlineStr">
        <is>
          <t>Российская Федерация</t>
        </is>
      </c>
      <c r="H64" s="0" t="inlineStr">
        <is>
          <t>VIRONA</t>
        </is>
      </c>
      <c r="I64" s="0" t="inlineStr">
        <is>
          <t>консольный</t>
        </is>
      </c>
      <c r="J64" s="0" t="inlineStr">
        <is>
          <t>магистрали и дороги</t>
        </is>
      </c>
      <c r="M64" s="0" t="n">
        <v>160</v>
      </c>
      <c r="O64" s="0" t="inlineStr">
        <is>
          <t>SMD</t>
        </is>
      </c>
      <c r="P64" s="0" t="n">
        <v>25600</v>
      </c>
      <c r="Q64" s="0" t="n">
        <v>5000</v>
      </c>
      <c r="R64" s="0" t="n">
        <v>80</v>
      </c>
      <c r="S64" s="0" t="n">
        <v>67</v>
      </c>
      <c r="T64" s="0" t="inlineStr">
        <is>
          <t>Д</t>
        </is>
      </c>
      <c r="U64" s="0" t="n">
        <v>100000</v>
      </c>
      <c r="V64" s="0" t="n">
        <v>478</v>
      </c>
      <c r="W64" s="0" t="n">
        <v>260</v>
      </c>
      <c r="X64" s="0" t="n">
        <v>96</v>
      </c>
      <c r="AB64" s="0" t="n">
        <v>3.092</v>
      </c>
      <c r="AD64" s="0" t="inlineStr">
        <is>
          <t>алюминиевый профиль</t>
        </is>
      </c>
      <c r="AE64" s="0" t="inlineStr">
        <is>
          <t>стекло</t>
        </is>
      </c>
      <c r="AG64" s="0" t="inlineStr">
        <is>
          <t>прозрачный рассеиватель</t>
        </is>
      </c>
      <c r="AH64" s="0" t="inlineStr">
        <is>
          <t>Светодиоды Samsung LM290</t>
        </is>
      </c>
      <c r="AI64" s="0" t="inlineStr">
        <is>
          <t>LED-driver</t>
        </is>
      </c>
      <c r="AK64" s="0" t="n">
        <v>0.95</v>
      </c>
      <c r="AN64" s="0" t="n">
        <v>176</v>
      </c>
      <c r="AO64" s="0" t="n">
        <v>264</v>
      </c>
      <c r="AP64" s="0" t="n">
        <v>-60</v>
      </c>
      <c r="AQ64" s="0" t="n">
        <v>50</v>
      </c>
      <c r="AS64" s="0" t="inlineStr">
        <is>
          <t>Картон</t>
        </is>
      </c>
      <c r="AT64" s="0" t="inlineStr">
        <is>
          <t>Да</t>
        </is>
      </c>
      <c r="AU64" s="0" t="n">
        <v>0.02156</v>
      </c>
      <c r="AV64" s="0" t="n">
        <v>0.294</v>
      </c>
      <c r="AW64" s="0" t="n">
        <v>1</v>
      </c>
      <c r="AX64" s="0" t="n">
        <v>560</v>
      </c>
      <c r="AY64" s="0" t="n">
        <v>275</v>
      </c>
      <c r="AZ64" s="0" t="n">
        <v>140</v>
      </c>
      <c r="BA64" s="0" t="n">
        <v>0.02156</v>
      </c>
      <c r="BB64" s="0" t="n">
        <v>0.294</v>
      </c>
      <c r="BD64" s="0" t="inlineStr">
        <is>
          <t>http://darion-svet.com/web/binary/saveas_archive?model=product.picture&amp;ids=[1635]&amp;field=image&amp;name_field=name&amp;archive_name=V1022_image</t>
        </is>
      </c>
      <c r="BE64" s="0" t="inlineStr">
        <is>
          <t>http://darion-svet.com/shop/product/v1022-vrn-un-160d-g50k67-k-160vt-konsolnyij</t>
        </is>
      </c>
      <c r="BI64" s="0" t="n">
        <v>0</v>
      </c>
      <c r="BJ64" s="0" t="n">
        <v>0</v>
      </c>
    </row>
    <row r="65">
      <c r="A65" s="0" t="inlineStr">
        <is>
          <t>V1023</t>
        </is>
      </c>
      <c r="B65" s="0" t="inlineStr">
        <is>
          <t>Светодиодный светильник Virona 160Вт Универсальный (VRN-UN-160D-G50K67-U90)</t>
        </is>
      </c>
      <c r="C65" s="0" t="inlineStr">
        <is>
          <t>Универсал</t>
        </is>
      </c>
      <c r="E65" s="0" t="inlineStr">
        <is>
          <t>http://darion-svet.com/web/binary/image?model=product.product&amp;id=18100&amp;field=image</t>
        </is>
      </c>
      <c r="F65" s="0" t="n">
        <v>5</v>
      </c>
      <c r="G65" s="0" t="inlineStr">
        <is>
          <t>Российская Федерация</t>
        </is>
      </c>
      <c r="H65" s="0" t="inlineStr">
        <is>
          <t>VIRONA</t>
        </is>
      </c>
      <c r="I65" s="0" t="inlineStr">
        <is>
          <t>консольный; на лиру; подвесной</t>
        </is>
      </c>
      <c r="J65" s="0" t="inlineStr">
        <is>
          <t>улицы (дороги, тротуары); промышленные помещения, склады и цеха</t>
        </is>
      </c>
      <c r="M65" s="0" t="n">
        <v>160</v>
      </c>
      <c r="O65" s="0" t="inlineStr">
        <is>
          <t>SMD</t>
        </is>
      </c>
      <c r="P65" s="0" t="n">
        <v>25600</v>
      </c>
      <c r="Q65" s="0" t="n">
        <v>5000</v>
      </c>
      <c r="R65" s="0" t="n">
        <v>80</v>
      </c>
      <c r="S65" s="0" t="n">
        <v>67</v>
      </c>
      <c r="T65" s="0" t="inlineStr">
        <is>
          <t>Л</t>
        </is>
      </c>
      <c r="U65" s="0" t="n">
        <v>100000</v>
      </c>
      <c r="V65" s="0" t="n">
        <v>464</v>
      </c>
      <c r="W65" s="0" t="n">
        <v>245</v>
      </c>
      <c r="X65" s="0" t="n">
        <v>163</v>
      </c>
      <c r="AD65" s="0" t="inlineStr">
        <is>
          <t>алюминиевый профиль</t>
        </is>
      </c>
      <c r="AE65" s="0" t="inlineStr">
        <is>
          <t>стекло</t>
        </is>
      </c>
      <c r="AG65" s="0" t="inlineStr">
        <is>
          <t>прозрачный рассеиватель</t>
        </is>
      </c>
      <c r="AH65" s="0" t="inlineStr">
        <is>
          <t>Светодиоды Samsung LM292</t>
        </is>
      </c>
      <c r="AI65" s="0" t="inlineStr">
        <is>
          <t>LED-driver</t>
        </is>
      </c>
      <c r="AK65" s="0" t="n">
        <v>0.95</v>
      </c>
      <c r="AN65" s="0" t="n">
        <v>176</v>
      </c>
      <c r="AO65" s="0" t="n">
        <v>264</v>
      </c>
      <c r="AP65" s="0" t="n">
        <v>-60</v>
      </c>
      <c r="AQ65" s="0" t="n">
        <v>50</v>
      </c>
      <c r="AS65" s="0" t="inlineStr">
        <is>
          <t>Картон</t>
        </is>
      </c>
      <c r="AT65" s="0" t="inlineStr">
        <is>
          <t>Да</t>
        </is>
      </c>
      <c r="AW65" s="0" t="n">
        <v>1</v>
      </c>
      <c r="BD65" s="0" t="inlineStr">
        <is>
          <t>http://darion-svet.com/web/binary/saveas_archive?model=product.picture&amp;ids=[1636]&amp;field=image&amp;name_field=name&amp;archive_name=V1023_image</t>
        </is>
      </c>
      <c r="BE65" s="0" t="inlineStr">
        <is>
          <t>http://darion-svet.com/shop/product/v1023-vrn-un-160d-g50k67-u90-l-160vt-universalnyij-</t>
        </is>
      </c>
      <c r="BI65" s="0" t="n">
        <v>0</v>
      </c>
      <c r="BJ65" s="0" t="n">
        <v>0</v>
      </c>
    </row>
    <row r="66">
      <c r="A66" s="0" t="inlineStr">
        <is>
          <t>V1024</t>
        </is>
      </c>
      <c r="B66" s="0" t="inlineStr">
        <is>
          <t>Светодиодный светильник Virona 160Вт Консольный (VRN-UN-160D-G50K67-K90)</t>
        </is>
      </c>
      <c r="C66" s="0" t="inlineStr">
        <is>
          <t>Универсал</t>
        </is>
      </c>
      <c r="E66" s="0" t="inlineStr">
        <is>
          <t>http://darion-svet.com/web/binary/image?model=product.product&amp;id=18106&amp;field=image</t>
        </is>
      </c>
      <c r="F66" s="0" t="n">
        <v>5</v>
      </c>
      <c r="G66" s="0" t="inlineStr">
        <is>
          <t>Российская Федерация</t>
        </is>
      </c>
      <c r="H66" s="0" t="inlineStr">
        <is>
          <t>VIRONA</t>
        </is>
      </c>
      <c r="I66" s="0" t="inlineStr">
        <is>
          <t>консольный</t>
        </is>
      </c>
      <c r="J66" s="0" t="inlineStr">
        <is>
          <t>магистрали и дороги</t>
        </is>
      </c>
      <c r="M66" s="0" t="n">
        <v>160</v>
      </c>
      <c r="O66" s="0" t="inlineStr">
        <is>
          <t>SMD</t>
        </is>
      </c>
      <c r="P66" s="0" t="n">
        <v>25600</v>
      </c>
      <c r="Q66" s="0" t="n">
        <v>5000</v>
      </c>
      <c r="R66" s="0" t="n">
        <v>80</v>
      </c>
      <c r="S66" s="0" t="n">
        <v>67</v>
      </c>
      <c r="T66" s="0" t="inlineStr">
        <is>
          <t>Л</t>
        </is>
      </c>
      <c r="U66" s="0" t="n">
        <v>100000</v>
      </c>
      <c r="V66" s="0" t="n">
        <v>500</v>
      </c>
      <c r="W66" s="0" t="n">
        <v>115</v>
      </c>
      <c r="X66" s="0" t="n">
        <v>140</v>
      </c>
      <c r="AB66" s="0" t="n">
        <v>1.795</v>
      </c>
      <c r="AD66" s="0" t="inlineStr">
        <is>
          <t>алюминиевый профиль</t>
        </is>
      </c>
      <c r="AE66" s="0" t="inlineStr">
        <is>
          <t>стекло</t>
        </is>
      </c>
      <c r="AG66" s="0" t="inlineStr">
        <is>
          <t>прозрачный рассеиватель</t>
        </is>
      </c>
      <c r="AH66" s="0" t="inlineStr">
        <is>
          <t>Светодиоды Samsung LM292</t>
        </is>
      </c>
      <c r="AI66" s="0" t="inlineStr">
        <is>
          <t>LED-driver</t>
        </is>
      </c>
      <c r="AK66" s="0" t="n">
        <v>0.95</v>
      </c>
      <c r="AN66" s="0" t="n">
        <v>176</v>
      </c>
      <c r="AO66" s="0" t="n">
        <v>264</v>
      </c>
      <c r="AP66" s="0" t="n">
        <v>-60</v>
      </c>
      <c r="AQ66" s="0" t="n">
        <v>50</v>
      </c>
      <c r="AS66" s="0" t="inlineStr">
        <is>
          <t>Картон</t>
        </is>
      </c>
      <c r="AT66" s="0" t="inlineStr">
        <is>
          <t>Да</t>
        </is>
      </c>
      <c r="AW66" s="0" t="n">
        <v>1</v>
      </c>
      <c r="BD66" s="0" t="inlineStr">
        <is>
          <t>http://darion-svet.com/web/binary/saveas_archive?model=product.picture&amp;ids=[1637]&amp;field=image&amp;name_field=name&amp;archive_name=V1024_image</t>
        </is>
      </c>
      <c r="BE66" s="0" t="inlineStr">
        <is>
          <t>http://darion-svet.com/shop/product/v1024-vrn-un-160d-g50k67-k90-l-160vt-konsolnyij-</t>
        </is>
      </c>
      <c r="BI66" s="0" t="n">
        <v>0</v>
      </c>
      <c r="BJ66" s="0" t="n">
        <v>0</v>
      </c>
    </row>
    <row r="67">
      <c r="A67" s="0" t="inlineStr">
        <is>
          <t>V1025</t>
        </is>
      </c>
      <c r="B67" s="0" t="inlineStr">
        <is>
          <t>Светодиодный светильник Virona 240Вт Универсальный (VRN-UN-240T-G50K67-U)</t>
        </is>
      </c>
      <c r="C67" s="0" t="inlineStr">
        <is>
          <t>Универсал</t>
        </is>
      </c>
      <c r="E67" s="0" t="inlineStr">
        <is>
          <t>http://darion-svet.com/web/binary/image?model=product.product&amp;id=18112&amp;field=image</t>
        </is>
      </c>
      <c r="F67" s="0" t="n">
        <v>5</v>
      </c>
      <c r="G67" s="0" t="inlineStr">
        <is>
          <t>Российская Федерация</t>
        </is>
      </c>
      <c r="H67" s="0" t="inlineStr">
        <is>
          <t>VIRONA</t>
        </is>
      </c>
      <c r="I67" s="0" t="inlineStr">
        <is>
          <t>консольный; на лиру; подвесной</t>
        </is>
      </c>
      <c r="J67" s="0" t="inlineStr">
        <is>
          <t>улицы (дороги, тротуары); промышленные помещения, склады и цеха</t>
        </is>
      </c>
      <c r="M67" s="0" t="n">
        <v>240</v>
      </c>
      <c r="O67" s="0" t="inlineStr">
        <is>
          <t>SMD</t>
        </is>
      </c>
      <c r="P67" s="0" t="n">
        <v>38400</v>
      </c>
      <c r="Q67" s="0" t="n">
        <v>5000</v>
      </c>
      <c r="R67" s="0" t="n">
        <v>80</v>
      </c>
      <c r="S67" s="0" t="n">
        <v>67</v>
      </c>
      <c r="T67" s="0" t="inlineStr">
        <is>
          <t>Д</t>
        </is>
      </c>
      <c r="U67" s="0" t="n">
        <v>100000</v>
      </c>
      <c r="V67" s="0" t="n">
        <v>478</v>
      </c>
      <c r="W67" s="0" t="n">
        <v>320</v>
      </c>
      <c r="X67" s="0" t="n">
        <v>92</v>
      </c>
      <c r="AB67" s="0" t="n">
        <v>5.56</v>
      </c>
      <c r="AD67" s="0" t="inlineStr">
        <is>
          <t>алюминиевый профиль</t>
        </is>
      </c>
      <c r="AE67" s="0" t="inlineStr">
        <is>
          <t>стекло</t>
        </is>
      </c>
      <c r="AG67" s="0" t="inlineStr">
        <is>
          <t>прозрачный рассеиватель</t>
        </is>
      </c>
      <c r="AH67" s="0" t="inlineStr">
        <is>
          <t>Светодиоды Samsung LM292</t>
        </is>
      </c>
      <c r="AI67" s="0" t="inlineStr">
        <is>
          <t>LED-driver</t>
        </is>
      </c>
      <c r="AK67" s="0" t="n">
        <v>0.95</v>
      </c>
      <c r="AN67" s="0" t="n">
        <v>176</v>
      </c>
      <c r="AO67" s="0" t="n">
        <v>264</v>
      </c>
      <c r="AP67" s="0" t="n">
        <v>-60</v>
      </c>
      <c r="AQ67" s="0" t="n">
        <v>50</v>
      </c>
      <c r="AS67" s="0" t="inlineStr">
        <is>
          <t>Картон</t>
        </is>
      </c>
      <c r="AT67" s="0" t="inlineStr">
        <is>
          <t>Да</t>
        </is>
      </c>
      <c r="AW67" s="0" t="n">
        <v>1</v>
      </c>
      <c r="BD67" s="0" t="inlineStr">
        <is>
          <t>http://darion-svet.com/web/binary/saveas_archive?model=product.picture&amp;ids=[1658]&amp;field=image&amp;name_field=name&amp;archive_name=V1025_image</t>
        </is>
      </c>
      <c r="BE67" s="0" t="inlineStr">
        <is>
          <t>http://darion-svet.com/shop/product/v1025-vrn-un-240t-g50k67-u-240vt-universalnyij</t>
        </is>
      </c>
      <c r="BI67" s="0" t="n">
        <v>0</v>
      </c>
      <c r="BJ67" s="0" t="n">
        <v>0</v>
      </c>
    </row>
    <row r="68">
      <c r="A68" s="0" t="inlineStr">
        <is>
          <t>V1026</t>
        </is>
      </c>
      <c r="B68" s="0" t="inlineStr">
        <is>
          <t>Светодиодный светильник Virona 240Вт Консольный (VRN-UN-240T-G50K67-K)</t>
        </is>
      </c>
      <c r="C68" s="0" t="inlineStr">
        <is>
          <t>Универсал</t>
        </is>
      </c>
      <c r="E68" s="0" t="inlineStr">
        <is>
          <t>http://darion-svet.com/web/binary/image?model=product.product&amp;id=18118&amp;field=image</t>
        </is>
      </c>
      <c r="F68" s="0" t="n">
        <v>5</v>
      </c>
      <c r="G68" s="0" t="inlineStr">
        <is>
          <t>Российская Федерация</t>
        </is>
      </c>
      <c r="H68" s="0" t="inlineStr">
        <is>
          <t>VIRONA</t>
        </is>
      </c>
      <c r="I68" s="0" t="inlineStr">
        <is>
          <t>консольный</t>
        </is>
      </c>
      <c r="J68" s="0" t="inlineStr">
        <is>
          <t>магистрали и дороги</t>
        </is>
      </c>
      <c r="M68" s="0" t="n">
        <v>240</v>
      </c>
      <c r="O68" s="0" t="inlineStr">
        <is>
          <t>SMD</t>
        </is>
      </c>
      <c r="P68" s="0" t="n">
        <v>38400</v>
      </c>
      <c r="Q68" s="0" t="n">
        <v>5000</v>
      </c>
      <c r="R68" s="0" t="n">
        <v>80</v>
      </c>
      <c r="S68" s="0" t="n">
        <v>67</v>
      </c>
      <c r="T68" s="0" t="inlineStr">
        <is>
          <t>Д</t>
        </is>
      </c>
      <c r="U68" s="0" t="n">
        <v>100000</v>
      </c>
      <c r="V68" s="0" t="n">
        <v>475</v>
      </c>
      <c r="W68" s="0" t="n">
        <v>339</v>
      </c>
      <c r="X68" s="0" t="n">
        <v>135</v>
      </c>
      <c r="AB68" s="0" t="n">
        <v>5</v>
      </c>
      <c r="AD68" s="0" t="inlineStr">
        <is>
          <t>алюминиевый профиль</t>
        </is>
      </c>
      <c r="AE68" s="0" t="inlineStr">
        <is>
          <t>стекло</t>
        </is>
      </c>
      <c r="AG68" s="0" t="inlineStr">
        <is>
          <t>прозрачный рассеиватель</t>
        </is>
      </c>
      <c r="AH68" s="0" t="inlineStr">
        <is>
          <t>Светодиоды Samsung LM292</t>
        </is>
      </c>
      <c r="AI68" s="0" t="inlineStr">
        <is>
          <t>LED-driver</t>
        </is>
      </c>
      <c r="AK68" s="0" t="n">
        <v>0.95</v>
      </c>
      <c r="AN68" s="0" t="n">
        <v>176</v>
      </c>
      <c r="AO68" s="0" t="n">
        <v>264</v>
      </c>
      <c r="AP68" s="0" t="n">
        <v>-60</v>
      </c>
      <c r="AQ68" s="0" t="n">
        <v>50</v>
      </c>
      <c r="AS68" s="0" t="inlineStr">
        <is>
          <t>Картон</t>
        </is>
      </c>
      <c r="AT68" s="0" t="inlineStr">
        <is>
          <t>Да</t>
        </is>
      </c>
      <c r="AU68" s="0" t="n">
        <v>0.02117</v>
      </c>
      <c r="AV68" s="0" t="n">
        <v>0.466</v>
      </c>
      <c r="AW68" s="0" t="n">
        <v>1</v>
      </c>
      <c r="AX68" s="0" t="n">
        <v>500</v>
      </c>
      <c r="AY68" s="0" t="n">
        <v>340</v>
      </c>
      <c r="AZ68" s="0" t="n">
        <v>215</v>
      </c>
      <c r="BA68" s="0" t="n">
        <v>0.02117</v>
      </c>
      <c r="BB68" s="0" t="n">
        <v>0.466</v>
      </c>
      <c r="BD68" s="0" t="inlineStr">
        <is>
          <t>http://darion-svet.com/web/binary/saveas_archive?model=product.picture&amp;ids=[1659]&amp;field=image&amp;name_field=name&amp;archive_name=V1026_image</t>
        </is>
      </c>
      <c r="BE68" s="0" t="inlineStr">
        <is>
          <t>http://darion-svet.com/shop/product/v1026-vrn-un-240t-g50k67-k-240vt-konsolnyij-</t>
        </is>
      </c>
      <c r="BI68" s="0" t="n">
        <v>0</v>
      </c>
      <c r="BJ68" s="0" t="n">
        <v>0</v>
      </c>
    </row>
    <row r="69">
      <c r="A69" s="0" t="inlineStr">
        <is>
          <t>V1027</t>
        </is>
      </c>
      <c r="B69" s="0" t="inlineStr">
        <is>
          <t>Светодиодный светильник Virona 240Вт Универсальный (VRN-UN-240T-G50K67-U90)</t>
        </is>
      </c>
      <c r="C69" s="0" t="inlineStr">
        <is>
          <t>Универсал</t>
        </is>
      </c>
      <c r="E69" s="0" t="inlineStr">
        <is>
          <t>http://darion-svet.com/web/binary/image?model=product.product&amp;id=18124&amp;field=image</t>
        </is>
      </c>
      <c r="F69" s="0" t="n">
        <v>5</v>
      </c>
      <c r="G69" s="0" t="inlineStr">
        <is>
          <t>Российская Федерация</t>
        </is>
      </c>
      <c r="H69" s="0" t="inlineStr">
        <is>
          <t>VIRONA</t>
        </is>
      </c>
      <c r="I69" s="0" t="inlineStr">
        <is>
          <t>консольный; на лиру; подвесной</t>
        </is>
      </c>
      <c r="J69" s="0" t="inlineStr">
        <is>
          <t>улицы (дороги, тротуары); промышленные помещения, склады и цеха</t>
        </is>
      </c>
      <c r="M69" s="0" t="n">
        <v>240</v>
      </c>
      <c r="O69" s="0" t="inlineStr">
        <is>
          <t>SMD</t>
        </is>
      </c>
      <c r="P69" s="0" t="n">
        <v>38400</v>
      </c>
      <c r="Q69" s="0" t="n">
        <v>5000</v>
      </c>
      <c r="R69" s="0" t="n">
        <v>80</v>
      </c>
      <c r="S69" s="0" t="n">
        <v>67</v>
      </c>
      <c r="T69" s="0" t="inlineStr">
        <is>
          <t>Л</t>
        </is>
      </c>
      <c r="U69" s="0" t="n">
        <v>100000</v>
      </c>
      <c r="V69" s="0" t="n">
        <v>464</v>
      </c>
      <c r="W69" s="0" t="n">
        <v>326</v>
      </c>
      <c r="X69" s="0" t="n">
        <v>147</v>
      </c>
      <c r="AD69" s="0" t="inlineStr">
        <is>
          <t>алюминиевый профиль</t>
        </is>
      </c>
      <c r="AE69" s="0" t="inlineStr">
        <is>
          <t>стекло</t>
        </is>
      </c>
      <c r="AG69" s="0" t="inlineStr">
        <is>
          <t>прозрачный рассеиватель</t>
        </is>
      </c>
      <c r="AH69" s="0" t="inlineStr">
        <is>
          <t>Светодиоды Samsung LM292</t>
        </is>
      </c>
      <c r="AI69" s="0" t="inlineStr">
        <is>
          <t>LED-driver</t>
        </is>
      </c>
      <c r="AK69" s="0" t="n">
        <v>0.95</v>
      </c>
      <c r="AN69" s="0" t="n">
        <v>176</v>
      </c>
      <c r="AO69" s="0" t="n">
        <v>264</v>
      </c>
      <c r="AP69" s="0" t="n">
        <v>-60</v>
      </c>
      <c r="AQ69" s="0" t="n">
        <v>50</v>
      </c>
      <c r="AS69" s="0" t="inlineStr">
        <is>
          <t>Картон</t>
        </is>
      </c>
      <c r="AT69" s="0" t="inlineStr">
        <is>
          <t>Да</t>
        </is>
      </c>
      <c r="AW69" s="0" t="n">
        <v>1</v>
      </c>
      <c r="BD69" s="0" t="inlineStr">
        <is>
          <t>http://darion-svet.com/web/binary/saveas_archive?model=product.picture&amp;ids=[1660]&amp;field=image&amp;name_field=name&amp;archive_name=V1027_image</t>
        </is>
      </c>
      <c r="BE69" s="0" t="inlineStr">
        <is>
          <t>http://darion-svet.com/shop/product/v1027-vrn-un-240t-g50k67-u90-240vt-universalnyij</t>
        </is>
      </c>
      <c r="BI69" s="0" t="n">
        <v>0</v>
      </c>
      <c r="BJ69" s="0" t="n">
        <v>0</v>
      </c>
    </row>
    <row r="70">
      <c r="A70" s="0" t="inlineStr">
        <is>
          <t>V1028</t>
        </is>
      </c>
      <c r="B70" s="0" t="inlineStr">
        <is>
          <t>Светодиодный светильник Virona 240Вт Консольный (VRN-UN-240T-G50K67-K90)</t>
        </is>
      </c>
      <c r="C70" s="0" t="inlineStr">
        <is>
          <t>Универсал</t>
        </is>
      </c>
      <c r="E70" s="0" t="inlineStr">
        <is>
          <t>http://darion-svet.com/web/binary/image?model=product.product&amp;id=18130&amp;field=image</t>
        </is>
      </c>
      <c r="F70" s="0" t="n">
        <v>5</v>
      </c>
      <c r="G70" s="0" t="inlineStr">
        <is>
          <t>Российская Федерация</t>
        </is>
      </c>
      <c r="H70" s="0" t="inlineStr">
        <is>
          <t>VIRONA</t>
        </is>
      </c>
      <c r="I70" s="0" t="inlineStr">
        <is>
          <t>консольный</t>
        </is>
      </c>
      <c r="J70" s="0" t="inlineStr">
        <is>
          <t>магистрали и дороги</t>
        </is>
      </c>
      <c r="M70" s="0" t="n">
        <v>240</v>
      </c>
      <c r="O70" s="0" t="inlineStr">
        <is>
          <t>SMD</t>
        </is>
      </c>
      <c r="P70" s="0" t="n">
        <v>38400</v>
      </c>
      <c r="Q70" s="0" t="n">
        <v>5000</v>
      </c>
      <c r="R70" s="0" t="n">
        <v>80</v>
      </c>
      <c r="S70" s="0" t="n">
        <v>67</v>
      </c>
      <c r="T70" s="0" t="inlineStr">
        <is>
          <t>Л</t>
        </is>
      </c>
      <c r="U70" s="0" t="n">
        <v>100000</v>
      </c>
      <c r="V70" s="0" t="n">
        <v>464</v>
      </c>
      <c r="W70" s="0" t="n">
        <v>326</v>
      </c>
      <c r="X70" s="0" t="n">
        <v>133</v>
      </c>
      <c r="AD70" s="0" t="inlineStr">
        <is>
          <t>алюминиевый профиль</t>
        </is>
      </c>
      <c r="AE70" s="0" t="inlineStr">
        <is>
          <t>стекло</t>
        </is>
      </c>
      <c r="AG70" s="0" t="inlineStr">
        <is>
          <t>прозрачный рассеиватель</t>
        </is>
      </c>
      <c r="AH70" s="0" t="inlineStr">
        <is>
          <t>Светодиоды Samsung LM292</t>
        </is>
      </c>
      <c r="AI70" s="0" t="inlineStr">
        <is>
          <t>LED-driver</t>
        </is>
      </c>
      <c r="AK70" s="0" t="n">
        <v>0.95</v>
      </c>
      <c r="AN70" s="0" t="n">
        <v>176</v>
      </c>
      <c r="AO70" s="0" t="n">
        <v>264</v>
      </c>
      <c r="AP70" s="0" t="n">
        <v>-60</v>
      </c>
      <c r="AQ70" s="0" t="n">
        <v>50</v>
      </c>
      <c r="AS70" s="0" t="inlineStr">
        <is>
          <t>Картон</t>
        </is>
      </c>
      <c r="AT70" s="0" t="inlineStr">
        <is>
          <t>Да</t>
        </is>
      </c>
      <c r="AW70" s="0" t="n">
        <v>1</v>
      </c>
      <c r="BD70" s="0" t="inlineStr">
        <is>
          <t>http://darion-svet.com/web/binary/saveas_archive?model=product.picture&amp;ids=[1661]&amp;field=image&amp;name_field=name&amp;archive_name=V1028_image</t>
        </is>
      </c>
      <c r="BE70" s="0" t="inlineStr">
        <is>
          <t>http://darion-svet.com/shop/product/v1028-vrn-un-240t-g50k67-k90-240vt-konsolnyij-</t>
        </is>
      </c>
      <c r="BI70" s="0" t="n">
        <v>0</v>
      </c>
      <c r="BJ70" s="0" t="n">
        <v>0</v>
      </c>
    </row>
    <row r="71">
      <c r="A71" s="0" t="inlineStr">
        <is>
          <t>V1029</t>
        </is>
      </c>
      <c r="B71" s="0" t="inlineStr">
        <is>
          <t>Светодиодный светильник Virona 96Вт Универсальный (VRN-UN-96-G50K67-U)</t>
        </is>
      </c>
      <c r="C71" s="0" t="inlineStr">
        <is>
          <t>Универсал</t>
        </is>
      </c>
      <c r="E71" s="0" t="inlineStr">
        <is>
          <t>http://darion-svet.com/web/binary/image?model=product.product&amp;id=18077&amp;field=image</t>
        </is>
      </c>
      <c r="F71" s="0" t="n">
        <v>5</v>
      </c>
      <c r="G71" s="0" t="inlineStr">
        <is>
          <t>Российская Федерация</t>
        </is>
      </c>
      <c r="H71" s="0" t="inlineStr">
        <is>
          <t>VIRONA</t>
        </is>
      </c>
      <c r="I71" s="0" t="inlineStr">
        <is>
          <t>консольный; на лиру; подвесной</t>
        </is>
      </c>
      <c r="J71" s="0" t="inlineStr">
        <is>
          <t>улицы (дороги, тротуары); промышленные помещения, склады и цеха</t>
        </is>
      </c>
      <c r="M71" s="0" t="n">
        <v>96</v>
      </c>
      <c r="O71" s="0" t="inlineStr">
        <is>
          <t>SMD</t>
        </is>
      </c>
      <c r="P71" s="0" t="n">
        <v>15360</v>
      </c>
      <c r="Q71" s="0" t="n">
        <v>5000</v>
      </c>
      <c r="R71" s="0" t="n">
        <v>80</v>
      </c>
      <c r="S71" s="0" t="n">
        <v>67</v>
      </c>
      <c r="T71" s="0" t="inlineStr">
        <is>
          <t>Д</t>
        </is>
      </c>
      <c r="U71" s="0" t="inlineStr">
        <is>
          <t>100 000 ч.</t>
        </is>
      </c>
      <c r="V71" s="0" t="n">
        <v>537</v>
      </c>
      <c r="W71" s="0" t="n">
        <v>100</v>
      </c>
      <c r="X71" s="0" t="n">
        <v>98</v>
      </c>
      <c r="AB71" s="0" t="n">
        <v>1.916</v>
      </c>
      <c r="AD71" s="0" t="inlineStr">
        <is>
          <t>алюминиевый профиль</t>
        </is>
      </c>
      <c r="AE71" s="0" t="inlineStr">
        <is>
          <t>стекло</t>
        </is>
      </c>
      <c r="AG71" s="0" t="inlineStr">
        <is>
          <t>прозрачный рассеиватель</t>
        </is>
      </c>
      <c r="AH71" s="0" t="inlineStr">
        <is>
          <t>Светодиодный светильник Virona 96Вт Универсальный (VRN-UN-96-G50K67-U)
Наши покупатели часто задают вопросы и сравнивают светильники Virona с недорогими прожекторами. Действительно, зачем платить дороже? Давайте посмотрим..
Предлагаем сравнить:
прожектор Китай 150 Вт
vs
светильник Virona 96Вт VRN-UN-96-G50K67-U.
Сколько света даёт светильник?
Прожекторы производства Китай мощностью 150 Вт  - световой поток 12800
 люмен.
vs
Светильник VRN-UN-96-G50K67-U мощностью 96 Вт - светового потока 15360 люмен.
Один светильник VRN-UN-96-G50K67-U по количеству света заменяет два прожектора китайского производства такой же мощности. Это значит, что потребление электроэнергии будет в 2 раза меньше при той же освещенности площади или объекта.
(Картинка: с одной стороны площадка и три мачты освещения с лучами и световым пятном на площадке, с другой стороны одна мачта с вироной, с одним лучем дающим такое же световое пятно). 
Важные показатели при выборе светильника.
Когда светильник работает он потребляет электричество и даёт свет.
Мощность - измеряется в Ваттах (Вт), это сколько мы будем платить за электроэнергию.
Световой поток - измеряется в люменах (лм), это сколько мы получим света.
Если разделим лм на Вт, то узнаем сколько получим света на 1 Вт расхода электричества или энергоэффективность, измеряется в лм/Вт.
световой поток (лм) / мощность (Вт) = энергоэффективность (лм/Вт)
Высокий показатель энергоэффективности говорит о том, что при производстве светильника использовались качественные компоненты: светодиоды и драйверы.
Рассчитаем энергоэффективность для
обычного прожектора производства Китай 12800 лм, 150 Вт:
12800 лм / 150 Вт = 85 лм/Вт
vs
Светильника VRN-UN-96-G50K67-U, 15360 лм, 96 Вт:
15360 лм / 96 Вт = 160 лм/Вт
Очевидно, прожектор имеет меньший показатель энергоэффективности в 2 раза.
Наш опыт говорит о том, что это из-за менее качественных комплектующих.
На что влияет?
срок службы,
качество светового потока,
комфорт в эксплуатации.
Обычно прожекторы из Китая имеют мерцающий световой поток. Это не видно невооруженным взглядом, но плохо сказывается на зрении и самочувствии человека.
(Картинка: та же самая, если удастся показать менее качественный световой поток, мерцание и тп и более ровный световой поток у Вироны)
Гарантия. Срок службы. Замена светильников. Дополнительные расходы
Доступные прожекторы производства Китай
Гарантия 2 года,
срок службы 30 000 часов, или 2-4 года.
Т.е. мы будем менять светильник 3-4 раза за 10 лет.
Поэтому будем тратить:
❌ деньги на приобретение новых светильников,
❌ деньги или время на монтаж/демонтаж вышедшего из строя оборудования,
❌ время на покупку и обслуживание,
❌ внимание, силы на казалось бы решенный вопрос.
Virona VRN-UN-96-G50K67-U
Гарантия 5 лет,
срок службы 100 000 часов, или 10 лет.
Решаем вопрос освещения один раз и надолго. Заплатив один раз за качество, решаем вопрос в горизонте 10 лет, получаем:
✔️ экономию расходов на электричество (минимум в 2 раза),
✔️ экономию времени на покупку светильника взамен перегоревшего,
✔️ экономию расходов на монтаж-демонтаж перегоревшего светильника,
✔️ получаем лучшее качества света без мерцаний (комфорт),
✔️ чувствуем себя лучше и тратим больше времени и сил на любимые дела.
Мы рады любому выбору покупателя. Если вы прочитали до конца и решили купить светильник Virona - дополнительная скидку 3%.</t>
        </is>
      </c>
      <c r="AI71" s="0" t="inlineStr">
        <is>
          <t>LED-driver</t>
        </is>
      </c>
      <c r="AK71" s="0" t="n">
        <v>0.95</v>
      </c>
      <c r="AL71" s="0" t="n">
        <v>1</v>
      </c>
      <c r="AN71" s="0" t="n">
        <v>176</v>
      </c>
      <c r="AO71" s="0" t="n">
        <v>264</v>
      </c>
      <c r="AP71" s="0" t="n">
        <v>-60</v>
      </c>
      <c r="AQ71" s="0" t="n">
        <v>50</v>
      </c>
      <c r="AS71" s="0" t="inlineStr">
        <is>
          <t>Картон</t>
        </is>
      </c>
      <c r="AT71" s="0" t="inlineStr">
        <is>
          <t>Да</t>
        </is>
      </c>
      <c r="AU71" s="0" t="n">
        <v>0.00902</v>
      </c>
      <c r="AV71" s="0" t="n">
        <v>1.74</v>
      </c>
      <c r="AW71" s="0" t="n">
        <v>1</v>
      </c>
      <c r="AX71" s="0" t="n">
        <v>560</v>
      </c>
      <c r="AY71" s="0" t="n">
        <v>115</v>
      </c>
      <c r="AZ71" s="0" t="n">
        <v>140</v>
      </c>
      <c r="BA71" s="0" t="n">
        <v>0.00902</v>
      </c>
      <c r="BB71" s="0" t="n">
        <v>1.74</v>
      </c>
      <c r="BD71" s="0" t="inlineStr">
        <is>
          <t>http://darion-svet.com/web/binary/saveas_archive?model=product.picture&amp;ids=[1627, 1911]&amp;field=image&amp;name_field=name&amp;archive_name=V1029_image</t>
        </is>
      </c>
      <c r="BE71" s="0" t="inlineStr">
        <is>
          <t>http://darion-svet.com/shop/product/v1029-vrn-un-96-g50k67-u-96vt-universalnyij</t>
        </is>
      </c>
      <c r="BF71" s="0" t="inlineStr">
        <is>
          <t>http://darion-svet.com/web/binary/saveas?model=product.product&amp;field=conformity_cert&amp;filename_field=conformity_cert_filename&amp;id=18077</t>
        </is>
      </c>
      <c r="BG71" s="0" t="inlineStr">
        <is>
          <t>http://darion-svet.com/web/binary/saveas?model=product.product&amp;field=datasheet&amp;filename_field=datasheet_filename&amp;id=18077</t>
        </is>
      </c>
      <c r="BI71" s="0" t="n">
        <v>0</v>
      </c>
      <c r="BJ71" s="0" t="n">
        <v>0</v>
      </c>
    </row>
    <row r="72">
      <c r="A72" s="0" t="inlineStr">
        <is>
          <t>V1029-SDS</t>
        </is>
      </c>
      <c r="B72" s="0" t="inlineStr">
        <is>
          <t>Светодиодный светильник Virona 96Вт Универсальный (VRN-SPL-96-G50K67-U)</t>
        </is>
      </c>
      <c r="C72" s="0" t="inlineStr">
        <is>
          <t>Универсал</t>
        </is>
      </c>
      <c r="E72" s="0" t="inlineStr">
        <is>
          <t>http://darion-svet.com/web/binary/image?model=product.product&amp;id=19666&amp;field=image</t>
        </is>
      </c>
      <c r="F72" s="0" t="n">
        <v>5</v>
      </c>
      <c r="G72" s="0" t="inlineStr">
        <is>
          <t>Российская Федерация</t>
        </is>
      </c>
      <c r="H72" s="0" t="inlineStr">
        <is>
          <t>VIRONA</t>
        </is>
      </c>
      <c r="I72" s="0" t="inlineStr">
        <is>
          <t>консольный; на лиру; подвесной</t>
        </is>
      </c>
      <c r="J72" s="0" t="inlineStr">
        <is>
          <t>улицы (дороги, тротуары); промышленные помещения, склады и цеха</t>
        </is>
      </c>
      <c r="M72" s="0" t="n">
        <v>96</v>
      </c>
      <c r="O72" s="0" t="inlineStr">
        <is>
          <t>SMD</t>
        </is>
      </c>
      <c r="P72" s="0" t="n">
        <v>15360</v>
      </c>
      <c r="Q72" s="0" t="n">
        <v>5000</v>
      </c>
      <c r="R72" s="0" t="n">
        <v>80</v>
      </c>
      <c r="S72" s="0" t="n">
        <v>67</v>
      </c>
      <c r="T72" s="0" t="inlineStr">
        <is>
          <t>Д</t>
        </is>
      </c>
      <c r="U72" s="0" t="n">
        <v>100000</v>
      </c>
      <c r="V72" s="0" t="n">
        <v>537</v>
      </c>
      <c r="W72" s="0" t="n">
        <v>100</v>
      </c>
      <c r="X72" s="0" t="n">
        <v>98</v>
      </c>
      <c r="AB72" s="0" t="n">
        <v>1.916</v>
      </c>
      <c r="AD72" s="0" t="inlineStr">
        <is>
          <t>алюминиевый профиль</t>
        </is>
      </c>
      <c r="AE72" s="0" t="inlineStr">
        <is>
          <t>стекло</t>
        </is>
      </c>
      <c r="AG72" s="0" t="inlineStr">
        <is>
          <t>прозрачный рассеиватель</t>
        </is>
      </c>
      <c r="AH72" s="0" t="inlineStr">
        <is>
          <t>Светодиоды Samsung LM285</t>
        </is>
      </c>
      <c r="AI72" s="0" t="inlineStr">
        <is>
          <t>LED-driver</t>
        </is>
      </c>
      <c r="AK72" s="0" t="n">
        <v>0.95</v>
      </c>
      <c r="AN72" s="0" t="n">
        <v>176</v>
      </c>
      <c r="AO72" s="0" t="n">
        <v>264</v>
      </c>
      <c r="AP72" s="0" t="n">
        <v>-60</v>
      </c>
      <c r="AQ72" s="0" t="n">
        <v>50</v>
      </c>
      <c r="AS72" s="0" t="inlineStr">
        <is>
          <t>Картон</t>
        </is>
      </c>
      <c r="AT72" s="0" t="inlineStr">
        <is>
          <t>Да</t>
        </is>
      </c>
      <c r="AU72" s="0" t="n">
        <v>0.00902</v>
      </c>
      <c r="AV72" s="0" t="n">
        <v>0.174</v>
      </c>
      <c r="AW72" s="0" t="n">
        <v>1</v>
      </c>
      <c r="AX72" s="0" t="n">
        <v>560</v>
      </c>
      <c r="AY72" s="0" t="n">
        <v>115</v>
      </c>
      <c r="AZ72" s="0" t="n">
        <v>140</v>
      </c>
      <c r="BA72" s="0" t="n">
        <v>0.00902</v>
      </c>
      <c r="BB72" s="0" t="n">
        <v>0.174</v>
      </c>
      <c r="BD72" s="0" t="inlineStr">
        <is>
          <t>http://darion-svet.com/web/binary/saveas_archive?model=product.picture&amp;ids=[1627]&amp;field=image&amp;name_field=name&amp;archive_name=V1029-SDS_image</t>
        </is>
      </c>
      <c r="BE72" s="0" t="inlineStr">
        <is>
          <t>http://darion-svet.com/shop/product/v1029-sds-vrn-spl-96-g50k67-u-96vt-universalnyij-</t>
        </is>
      </c>
      <c r="BI72" s="0" t="n">
        <v>0</v>
      </c>
      <c r="BJ72" s="0" t="n">
        <v>0</v>
      </c>
    </row>
    <row r="73">
      <c r="A73" s="0" t="inlineStr">
        <is>
          <t>V1029-SDS-R</t>
        </is>
      </c>
      <c r="B73" s="0" t="inlineStr">
        <is>
          <t>Светодиодный светильник Virona 96Вт Универсальный (VRN-SPL-96-G50K67-U)</t>
        </is>
      </c>
      <c r="C73" s="0" t="inlineStr">
        <is>
          <t>Универсал</t>
        </is>
      </c>
      <c r="E73" s="0" t="inlineStr">
        <is>
          <t>http://darion-svet.com/web/binary/image?model=product.product&amp;id=19667&amp;field=image</t>
        </is>
      </c>
      <c r="F73" s="0" t="n">
        <v>5</v>
      </c>
      <c r="G73" s="0" t="inlineStr">
        <is>
          <t>Российская Федерация</t>
        </is>
      </c>
      <c r="H73" s="0" t="inlineStr">
        <is>
          <t>VIRONA</t>
        </is>
      </c>
      <c r="I73" s="0" t="inlineStr">
        <is>
          <t>консольный; на лиру; подвесной</t>
        </is>
      </c>
      <c r="J73" s="0" t="inlineStr">
        <is>
          <t>улицы (дороги, тротуары); промышленные помещения, склады и цеха</t>
        </is>
      </c>
      <c r="M73" s="0" t="n">
        <v>96</v>
      </c>
      <c r="O73" s="0" t="inlineStr">
        <is>
          <t>SMD</t>
        </is>
      </c>
      <c r="P73" s="0" t="n">
        <v>15360</v>
      </c>
      <c r="Q73" s="0" t="n">
        <v>5000</v>
      </c>
      <c r="R73" s="0" t="n">
        <v>80</v>
      </c>
      <c r="S73" s="0" t="n">
        <v>67</v>
      </c>
      <c r="T73" s="0" t="inlineStr">
        <is>
          <t>Д</t>
        </is>
      </c>
      <c r="U73" s="0" t="n">
        <v>100000</v>
      </c>
      <c r="V73" s="0" t="n">
        <v>537</v>
      </c>
      <c r="W73" s="0" t="n">
        <v>100</v>
      </c>
      <c r="X73" s="0" t="n">
        <v>98</v>
      </c>
      <c r="AB73" s="0" t="n">
        <v>1.916</v>
      </c>
      <c r="AD73" s="0" t="inlineStr">
        <is>
          <t>алюминиевый профиль</t>
        </is>
      </c>
      <c r="AE73" s="0" t="inlineStr">
        <is>
          <t>стекло</t>
        </is>
      </c>
      <c r="AG73" s="0" t="inlineStr">
        <is>
          <t>прозрачный рассеиватель</t>
        </is>
      </c>
      <c r="AH73" s="0" t="inlineStr">
        <is>
          <t>Светодиоды Samsung LM285</t>
        </is>
      </c>
      <c r="AI73" s="0" t="inlineStr">
        <is>
          <t>LED-driver</t>
        </is>
      </c>
      <c r="AK73" s="0" t="n">
        <v>0.95</v>
      </c>
      <c r="AN73" s="0" t="n">
        <v>176</v>
      </c>
      <c r="AO73" s="0" t="n">
        <v>264</v>
      </c>
      <c r="AP73" s="0" t="n">
        <v>-60</v>
      </c>
      <c r="AQ73" s="0" t="n">
        <v>50</v>
      </c>
      <c r="AS73" s="0" t="inlineStr">
        <is>
          <t>Картон</t>
        </is>
      </c>
      <c r="AT73" s="0" t="inlineStr">
        <is>
          <t>Да</t>
        </is>
      </c>
      <c r="AU73" s="0" t="n">
        <v>0.00902</v>
      </c>
      <c r="AV73" s="0" t="n">
        <v>0.174</v>
      </c>
      <c r="AW73" s="0" t="n">
        <v>1</v>
      </c>
      <c r="AX73" s="0" t="n">
        <v>560</v>
      </c>
      <c r="AY73" s="0" t="n">
        <v>115</v>
      </c>
      <c r="AZ73" s="0" t="n">
        <v>140</v>
      </c>
      <c r="BA73" s="0" t="n">
        <v>0.00902</v>
      </c>
      <c r="BB73" s="0" t="n">
        <v>0.174</v>
      </c>
      <c r="BD73" s="0" t="inlineStr">
        <is>
          <t>http://darion-svet.com/web/binary/saveas_archive?model=product.picture&amp;ids=[1627]&amp;field=image&amp;name_field=name&amp;archive_name=V1029-SDS-R_image</t>
        </is>
      </c>
      <c r="BE73" s="0" t="inlineStr">
        <is>
          <t>http://darion-svet.com/shop/product/v1029-sds-r-vrn-spl-96-g50k67-r-96vtryimbolt</t>
        </is>
      </c>
      <c r="BI73" s="0" t="n">
        <v>0</v>
      </c>
      <c r="BJ73" s="0" t="n">
        <v>0</v>
      </c>
    </row>
    <row r="74">
      <c r="A74" s="0" t="inlineStr">
        <is>
          <t>V1029-U2</t>
        </is>
      </c>
      <c r="B74" s="0" t="inlineStr">
        <is>
          <t>Светодиодный светильник Virona 96Вт Универсальный, с двумя креплениями (VRN-UN-96-G50K67-U2)</t>
        </is>
      </c>
      <c r="C74" s="0" t="inlineStr">
        <is>
          <t>Универсал</t>
        </is>
      </c>
      <c r="E74" s="0" t="inlineStr">
        <is>
          <t>http://darion-svet.com/web/binary/image?model=product.product&amp;id=24249&amp;field=image</t>
        </is>
      </c>
      <c r="F74" s="0" t="n">
        <v>5</v>
      </c>
      <c r="G74" s="0" t="inlineStr">
        <is>
          <t>Российская Федерация</t>
        </is>
      </c>
      <c r="H74" s="0" t="inlineStr">
        <is>
          <t>VIRONA</t>
        </is>
      </c>
      <c r="I74" s="0" t="inlineStr">
        <is>
          <t>консольный; на лиру; подвесной</t>
        </is>
      </c>
      <c r="J74" s="0" t="inlineStr">
        <is>
          <t>улицы (дороги, тротуары); промышленные помещения, склады и цеха</t>
        </is>
      </c>
      <c r="M74" s="0" t="n">
        <v>96</v>
      </c>
      <c r="O74" s="0" t="inlineStr">
        <is>
          <t>SMD</t>
        </is>
      </c>
      <c r="P74" s="0" t="n">
        <v>15360</v>
      </c>
      <c r="Q74" s="0" t="n">
        <v>5000</v>
      </c>
      <c r="R74" s="0" t="n">
        <v>80</v>
      </c>
      <c r="S74" s="0" t="n">
        <v>67</v>
      </c>
      <c r="T74" s="0" t="inlineStr">
        <is>
          <t>Д</t>
        </is>
      </c>
      <c r="U74" s="0" t="n">
        <v>100000</v>
      </c>
      <c r="V74" s="0" t="n">
        <v>537</v>
      </c>
      <c r="W74" s="0" t="n">
        <v>100</v>
      </c>
      <c r="X74" s="0" t="n">
        <v>98</v>
      </c>
      <c r="AB74" s="0" t="n">
        <v>1.916</v>
      </c>
      <c r="AD74" s="0" t="inlineStr">
        <is>
          <t>алюминиевый профиль</t>
        </is>
      </c>
      <c r="AE74" s="0" t="inlineStr">
        <is>
          <t>стекло</t>
        </is>
      </c>
      <c r="AG74" s="0" t="inlineStr">
        <is>
          <t>прозрачный рассеиватель</t>
        </is>
      </c>
      <c r="AH74" s="0" t="inlineStr">
        <is>
          <t>Светодиоды Samsung LM285</t>
        </is>
      </c>
      <c r="AI74" s="0" t="inlineStr">
        <is>
          <t>LED-driver</t>
        </is>
      </c>
      <c r="AK74" s="0" t="n">
        <v>0.95</v>
      </c>
      <c r="AN74" s="0" t="n">
        <v>176</v>
      </c>
      <c r="AO74" s="0" t="n">
        <v>264</v>
      </c>
      <c r="AP74" s="0" t="n">
        <v>-60</v>
      </c>
      <c r="AQ74" s="0" t="n">
        <v>50</v>
      </c>
      <c r="AS74" s="0" t="inlineStr">
        <is>
          <t>Картон</t>
        </is>
      </c>
      <c r="AT74" s="0" t="inlineStr">
        <is>
          <t>Да</t>
        </is>
      </c>
      <c r="AU74" s="0" t="n">
        <v>0.00902</v>
      </c>
      <c r="AV74" s="0" t="n">
        <v>0.174</v>
      </c>
      <c r="AW74" s="0" t="n">
        <v>1</v>
      </c>
      <c r="AX74" s="0" t="n">
        <v>560</v>
      </c>
      <c r="AY74" s="0" t="n">
        <v>115</v>
      </c>
      <c r="AZ74" s="0" t="n">
        <v>140</v>
      </c>
      <c r="BA74" s="0" t="n">
        <v>0.00902</v>
      </c>
      <c r="BB74" s="0" t="n">
        <v>0.174</v>
      </c>
      <c r="BD74" s="0" t="inlineStr">
        <is>
          <t>http://darion-svet.com/web/binary/saveas_archive?model=product.picture&amp;ids=[1627]&amp;field=image&amp;name_field=name&amp;archive_name=V1029-U2_image</t>
        </is>
      </c>
      <c r="BE74" s="0" t="inlineStr">
        <is>
          <t>http://darion-svet.com/shop/product/v1029-u2-vrn-un-96-g50k67-u2-96vt-universalnyij-s-dvumya-krepleniyami</t>
        </is>
      </c>
      <c r="BI74" s="0" t="n">
        <v>0</v>
      </c>
      <c r="BJ74" s="0" t="n">
        <v>0</v>
      </c>
    </row>
    <row r="75">
      <c r="A75" s="0" t="inlineStr">
        <is>
          <t>V1030</t>
        </is>
      </c>
      <c r="B75" s="0" t="inlineStr">
        <is>
          <t>Светодиодный светильник Virona 96Вт Консольный (VRN-UN-96-G50K67-K)</t>
        </is>
      </c>
      <c r="C75" s="0" t="inlineStr">
        <is>
          <t>Универсал</t>
        </is>
      </c>
      <c r="E75" s="0" t="inlineStr">
        <is>
          <t>http://darion-svet.com/web/binary/image?model=product.product&amp;id=18083&amp;field=image</t>
        </is>
      </c>
      <c r="F75" s="0" t="n">
        <v>5</v>
      </c>
      <c r="G75" s="0" t="inlineStr">
        <is>
          <t>Российская Федерация</t>
        </is>
      </c>
      <c r="H75" s="0" t="inlineStr">
        <is>
          <t>VIRONA</t>
        </is>
      </c>
      <c r="I75" s="0" t="inlineStr">
        <is>
          <t>консольный</t>
        </is>
      </c>
      <c r="J75" s="0" t="inlineStr">
        <is>
          <t>магистрали и дороги</t>
        </is>
      </c>
      <c r="M75" s="0" t="n">
        <v>96</v>
      </c>
      <c r="O75" s="0" t="inlineStr">
        <is>
          <t>SMD</t>
        </is>
      </c>
      <c r="P75" s="0" t="n">
        <v>15360</v>
      </c>
      <c r="Q75" s="0" t="n">
        <v>5000</v>
      </c>
      <c r="R75" s="0" t="n">
        <v>80</v>
      </c>
      <c r="S75" s="0" t="n">
        <v>67</v>
      </c>
      <c r="T75" s="0" t="inlineStr">
        <is>
          <t>Д</t>
        </is>
      </c>
      <c r="U75" s="0" t="inlineStr">
        <is>
          <t>100 000 ч.</t>
        </is>
      </c>
      <c r="V75" s="0" t="n">
        <v>530</v>
      </c>
      <c r="W75" s="0" t="n">
        <v>100</v>
      </c>
      <c r="X75" s="0" t="n">
        <v>130</v>
      </c>
      <c r="AB75" s="0" t="n">
        <v>1.92</v>
      </c>
      <c r="AD75" s="0" t="inlineStr">
        <is>
          <t>алюминиевый профиль</t>
        </is>
      </c>
      <c r="AE75" s="0" t="inlineStr">
        <is>
          <t>стекло</t>
        </is>
      </c>
      <c r="AG75" s="0" t="inlineStr">
        <is>
          <t>прозрачный рассеиватель</t>
        </is>
      </c>
      <c r="AH75" s="0" t="inlineStr">
        <is>
          <t>Светодиодный светильник Virona 96 Вт Консольный (VRN-UN-96-G50K67-K)
Наши покупатели часто задают вопросы и сравнивают светильники Virona с недорогими прожекторами. Действительно, зачем платить дороже? 
Давайте посмотрим..
Предлагаем сравнить:
консольный светильник Китай 100 W
vs
Светильник Virona 96 Вт VRN-UN-80-G50K67-K.
Широкая линейка выбора
Если сравнить линейку выбора по мощности светильника то мы увидим, что Virona предлагает нам сделать более точный выбор. В линейке данной марки представлены светильники мощностью: 32, 48,62,80, 96,124 Ватт. 
В то время как более дешевые типичные консольники производства Китая зачастую ограничены выбором из 3 вариантов: 70, 100, 120 Вт.
Сколько света даёт светильник?
Прожекторы производства Китай мощностью 100 Вт  - световой поток 9500 люмен.
vs
Светильник VRN-UN-96-G50K67-K мощностью 96 Вт - светового потока 15360 люмен.
Один светильник Virona VRN-UN-96-G50K67-K мощностью 96 Ватт дает больше светового потока чем типичный китайский консольный светильник большей мощности. 
Это значит, что потребление электроэнергии при использовании светильника Virona будет меньше, а света он давать будет больше.
Важные показатели при выборе светильника.
Когда светильник работает он потребляет электричество и даёт свет.
Мощность - измеряется в Ваттах (Вт), это сколько мы будем платить за электроэнергию.
Световой поток - измеряется в люменах (лм), это сколько мы получим света.
Если разделим лм на Вт, то узнаем сколько получим света на 1 Вт расхода электричества или энергоэффективность, измеряется в лм/Вт.
световой поток (лм) / мощность (Вт) = энергоэффективность (лм/Вт)
Высокий показатель энергоэффективности говорит о том, что при производстве светильника использовались качественные компоненты: светодиоды и драйверы.
Рассчитаем энергоэффективность для
обычного прожектора производства Китай 6700 лм, 100 Вт:
9500 лм / 100 Вт = 95 лм/Вт
vs
Светильника VRN-UN-96-G50K67-K, 15360 лм, 96 Вт:
15360 лм / 96 Вт = 160 лм/Вт
Очевидно, консольник китайского производства имеет меньший показатель энергоэффективности почти в 2 раза.
Наш опыт говорит о том, что это из-за менее качественных комплектующих.
На что влияет?
срок службы,
качество светового потока,
комфорт в эксплуатации.
Обычно консольники из Китая имеют мерцающий световой поток. Это не видно невооруженным взглядом, но плохо сказывается на зрении и самочувствии человека.
(Картинка: та же самая, если удастся показать менее качественный световой поток, мерцание и тп и более ровный световой поток у Вироны)
Гарантия. Срок службы. Замена светильников. Дополнительные расходы
Доступные прожекторы производства Китай
Гарантия 2 года,
срок службы 50 000 часов, или 5-6 лет.
Т.е. мы будем менять светильник 2 раза за 10 лет.
Поэтому будем тратить:
❌ деньги на приобретение новых светильников,
❌ деньги или время на монтаж/демонтаж вышедшего из строя оборудования,
❌ время на покупку и обслуживание,
❌ внимание, силы на казалось бы решенный вопрос.
Virona VRN-UN-96-G50K67-K
Гарантия 5 лет,
срок службы 100 000 часов, или 10 лет.
Решаем вопрос освещения один раз и надолго. Заплатив один раз за качество, решаем вопрос в горизонте 10 лет, получаем:
✔️ экономию расходов на электричество (минимум в 2 раза),
✔️ экономию времени на покупку светильника взамен перегоревшего,
✔️ экономию расходов на монтаж-демонтаж перегоревшего светильника,
✔️ получаем лучшее качества света без мерцаний (комфорт),
✔️ чувствуем себя лучше и тратим больше времени и сил на любимые дела.
Мы рады любому выбору покупателя. Если вы прочитали до конца и решили купить светильник Virona - согласуем скидку 3%.</t>
        </is>
      </c>
      <c r="AI75" s="0" t="inlineStr">
        <is>
          <t>LED-driver</t>
        </is>
      </c>
      <c r="AK75" s="0" t="n">
        <v>0.95</v>
      </c>
      <c r="AL75" s="0" t="n">
        <v>1</v>
      </c>
      <c r="AN75" s="0" t="n">
        <v>176</v>
      </c>
      <c r="AO75" s="0" t="n">
        <v>264</v>
      </c>
      <c r="AP75" s="0" t="n">
        <v>-60</v>
      </c>
      <c r="AQ75" s="0" t="n">
        <v>50</v>
      </c>
      <c r="AS75" s="0" t="inlineStr">
        <is>
          <t>Картон</t>
        </is>
      </c>
      <c r="AT75" s="0" t="inlineStr">
        <is>
          <t>Да</t>
        </is>
      </c>
      <c r="AU75" s="0" t="n">
        <v>0.00902</v>
      </c>
      <c r="AV75" s="0" t="n">
        <v>0.162</v>
      </c>
      <c r="AW75" s="0" t="n">
        <v>1</v>
      </c>
      <c r="AX75" s="0" t="n">
        <v>560</v>
      </c>
      <c r="AY75" s="0" t="n">
        <v>115</v>
      </c>
      <c r="AZ75" s="0" t="n">
        <v>140</v>
      </c>
      <c r="BA75" s="0" t="n">
        <v>0.00902</v>
      </c>
      <c r="BB75" s="0" t="n">
        <v>0.162</v>
      </c>
      <c r="BD75" s="0" t="inlineStr">
        <is>
          <t>http://darion-svet.com/web/binary/saveas_archive?model=product.picture&amp;ids=[1616, 1911]&amp;field=image&amp;name_field=name&amp;archive_name=V1030_image</t>
        </is>
      </c>
      <c r="BE75" s="0" t="inlineStr">
        <is>
          <t>http://darion-svet.com/shop/product/v1030-vrn-un-96-g50k67-k-96vt-konsolnyij</t>
        </is>
      </c>
      <c r="BF75" s="0" t="inlineStr">
        <is>
          <t>http://darion-svet.com/web/binary/saveas?model=product.product&amp;field=conformity_cert&amp;filename_field=conformity_cert_filename&amp;id=18083</t>
        </is>
      </c>
      <c r="BG75" s="0" t="inlineStr">
        <is>
          <t>http://darion-svet.com/web/binary/saveas?model=product.product&amp;field=datasheet&amp;filename_field=datasheet_filename&amp;id=18083</t>
        </is>
      </c>
      <c r="BI75" s="0" t="n">
        <v>0</v>
      </c>
      <c r="BJ75" s="0" t="n">
        <v>0</v>
      </c>
    </row>
    <row r="76">
      <c r="A76" s="0" t="inlineStr">
        <is>
          <t>V1030-3000K</t>
        </is>
      </c>
      <c r="B76" s="0" t="inlineStr">
        <is>
          <t>Светодиодный светильник Virona 96Вт Консольный (VRN-UN-96-G30K67-K)</t>
        </is>
      </c>
      <c r="C76" s="0" t="inlineStr">
        <is>
          <t>Универсал</t>
        </is>
      </c>
      <c r="E76" s="0" t="inlineStr">
        <is>
          <t>http://darion-svet.com/web/binary/image?model=product.product&amp;id=24159&amp;field=image</t>
        </is>
      </c>
      <c r="F76" s="0" t="n">
        <v>5</v>
      </c>
      <c r="G76" s="0" t="inlineStr">
        <is>
          <t>Российская Федерация</t>
        </is>
      </c>
      <c r="H76" s="0" t="inlineStr">
        <is>
          <t>VIRONA</t>
        </is>
      </c>
      <c r="I76" s="0" t="inlineStr">
        <is>
          <t>консольный</t>
        </is>
      </c>
      <c r="J76" s="0" t="inlineStr">
        <is>
          <t>магистрали и дороги</t>
        </is>
      </c>
      <c r="M76" s="0" t="n">
        <v>96</v>
      </c>
      <c r="O76" s="0" t="inlineStr">
        <is>
          <t>SMD</t>
        </is>
      </c>
      <c r="P76" s="0" t="n">
        <v>15360</v>
      </c>
      <c r="Q76" s="0" t="n">
        <v>5000</v>
      </c>
      <c r="R76" s="0" t="n">
        <v>80</v>
      </c>
      <c r="S76" s="0" t="n">
        <v>67</v>
      </c>
      <c r="T76" s="0" t="inlineStr">
        <is>
          <t>Д</t>
        </is>
      </c>
      <c r="U76" s="0" t="n">
        <v>100000</v>
      </c>
      <c r="V76" s="0" t="n">
        <v>530</v>
      </c>
      <c r="W76" s="0" t="n">
        <v>100</v>
      </c>
      <c r="X76" s="0" t="n">
        <v>130</v>
      </c>
      <c r="AB76" s="0" t="n">
        <v>1.92</v>
      </c>
      <c r="AD76" s="0" t="inlineStr">
        <is>
          <t>алюминиевый профиль</t>
        </is>
      </c>
      <c r="AE76" s="0" t="inlineStr">
        <is>
          <t>стекло</t>
        </is>
      </c>
      <c r="AG76" s="0" t="inlineStr">
        <is>
          <t>прозрачный рассеиватель</t>
        </is>
      </c>
      <c r="AH76" s="0" t="inlineStr">
        <is>
          <t>Светодиоды Samsung LM291</t>
        </is>
      </c>
      <c r="AI76" s="0" t="inlineStr">
        <is>
          <t>LED-driver</t>
        </is>
      </c>
      <c r="AK76" s="0" t="n">
        <v>0.95</v>
      </c>
      <c r="AN76" s="0" t="n">
        <v>176</v>
      </c>
      <c r="AO76" s="0" t="n">
        <v>264</v>
      </c>
      <c r="AP76" s="0" t="n">
        <v>-60</v>
      </c>
      <c r="AQ76" s="0" t="n">
        <v>50</v>
      </c>
      <c r="AS76" s="0" t="inlineStr">
        <is>
          <t>Картон</t>
        </is>
      </c>
      <c r="AT76" s="0" t="inlineStr">
        <is>
          <t>Да</t>
        </is>
      </c>
      <c r="AU76" s="0" t="n">
        <v>0.00902</v>
      </c>
      <c r="AV76" s="0" t="n">
        <v>0.162</v>
      </c>
      <c r="AW76" s="0" t="n">
        <v>1</v>
      </c>
      <c r="AX76" s="0" t="n">
        <v>560</v>
      </c>
      <c r="AY76" s="0" t="n">
        <v>115</v>
      </c>
      <c r="AZ76" s="0" t="n">
        <v>140</v>
      </c>
      <c r="BA76" s="0" t="n">
        <v>0.00902</v>
      </c>
      <c r="BB76" s="0" t="n">
        <v>0.162</v>
      </c>
      <c r="BD76" s="0" t="inlineStr">
        <is>
          <t>http://darion-svet.com/web/binary/saveas_archive?model=product.picture&amp;ids=[1616]&amp;field=image&amp;name_field=name&amp;archive_name=V1030-3000K_image</t>
        </is>
      </c>
      <c r="BE76" s="0" t="inlineStr">
        <is>
          <t>http://darion-svet.com/shop/product/v1030-3000k-vrn-un-96-g30k67-k-96vt-konsolnyij</t>
        </is>
      </c>
      <c r="BI76" s="0" t="n">
        <v>0</v>
      </c>
      <c r="BJ76" s="0" t="n">
        <v>0</v>
      </c>
    </row>
    <row r="77">
      <c r="A77" s="0" t="inlineStr">
        <is>
          <t>V1030-6500</t>
        </is>
      </c>
      <c r="B77" s="0" t="inlineStr">
        <is>
          <t>Светодиодный светильник Virona 96Вт Консольный (VRN-UN-96-G50K67-K) 6500К</t>
        </is>
      </c>
      <c r="C77" s="0" t="inlineStr">
        <is>
          <t>Универсал</t>
        </is>
      </c>
      <c r="E77" s="0" t="inlineStr">
        <is>
          <t>http://darion-svet.com/web/binary/image?model=product.product&amp;id=18871&amp;field=image</t>
        </is>
      </c>
      <c r="F77" s="0" t="n">
        <v>5</v>
      </c>
      <c r="G77" s="0" t="inlineStr">
        <is>
          <t>Российская Федерация</t>
        </is>
      </c>
      <c r="H77" s="0" t="inlineStr">
        <is>
          <t>VIRONA</t>
        </is>
      </c>
      <c r="I77" s="0" t="inlineStr">
        <is>
          <t>консольный</t>
        </is>
      </c>
      <c r="J77" s="0" t="inlineStr">
        <is>
          <t>магистрали и дороги</t>
        </is>
      </c>
      <c r="M77" s="0" t="n">
        <v>96</v>
      </c>
      <c r="O77" s="0" t="inlineStr">
        <is>
          <t>SMD</t>
        </is>
      </c>
      <c r="P77" s="0" t="n">
        <v>11520</v>
      </c>
      <c r="Q77" s="0" t="n">
        <v>6500</v>
      </c>
      <c r="R77" s="0" t="n">
        <v>80</v>
      </c>
      <c r="S77" s="0" t="n">
        <v>67</v>
      </c>
      <c r="T77" s="0" t="inlineStr">
        <is>
          <t>Д</t>
        </is>
      </c>
      <c r="U77" s="0" t="inlineStr">
        <is>
          <t>100 000 ч.</t>
        </is>
      </c>
      <c r="V77" s="0" t="n">
        <v>537</v>
      </c>
      <c r="W77" s="0" t="n">
        <v>100</v>
      </c>
      <c r="X77" s="0" t="n">
        <v>124</v>
      </c>
      <c r="AB77" s="0" t="n">
        <v>1930</v>
      </c>
      <c r="AD77" s="0" t="inlineStr">
        <is>
          <t>алюминиевый профиль</t>
        </is>
      </c>
      <c r="AE77" s="0" t="inlineStr">
        <is>
          <t>стекло</t>
        </is>
      </c>
      <c r="AG77" s="0" t="inlineStr">
        <is>
          <t>прозрачный рассеиватель</t>
        </is>
      </c>
      <c r="AH77" s="0" t="inlineStr">
        <is>
          <t>Светодиоды Samsung LM291</t>
        </is>
      </c>
      <c r="AI77" s="0" t="inlineStr">
        <is>
          <t>LED-driver</t>
        </is>
      </c>
      <c r="AK77" s="0" t="n">
        <v>0.95</v>
      </c>
      <c r="AN77" s="0" t="n">
        <v>176</v>
      </c>
      <c r="AO77" s="0" t="n">
        <v>264</v>
      </c>
      <c r="AP77" s="0" t="n">
        <v>-60</v>
      </c>
      <c r="AQ77" s="0" t="n">
        <v>50</v>
      </c>
      <c r="AW77" s="0" t="n">
        <v>1</v>
      </c>
      <c r="BD77" s="0" t="inlineStr">
        <is>
          <t>http://darion-svet.com/web/binary/saveas_archive?model=product.picture&amp;ids=[1616]&amp;field=image&amp;name_field=name&amp;archive_name=V1030-6500_image</t>
        </is>
      </c>
      <c r="BE77" s="0" t="inlineStr">
        <is>
          <t>http://darion-svet.com/shop/product/v1030-6500-vrn-un-96-g50k67-k-96vt-konsolnyij-6500k</t>
        </is>
      </c>
      <c r="BI77" s="0" t="n">
        <v>0</v>
      </c>
      <c r="BJ77" s="0" t="n">
        <v>0</v>
      </c>
    </row>
    <row r="78">
      <c r="A78" s="0" t="inlineStr">
        <is>
          <t>V1031</t>
        </is>
      </c>
      <c r="B78" s="0" t="inlineStr">
        <is>
          <t>Светодиодный светильник Virona 192Вт Универсальный (VRN-UN-192D-G50K67-U)</t>
        </is>
      </c>
      <c r="C78" s="0" t="inlineStr">
        <is>
          <t>Универсал</t>
        </is>
      </c>
      <c r="E78" s="0" t="inlineStr">
        <is>
          <t>http://darion-svet.com/web/binary/image?model=product.product&amp;id=18089&amp;field=image</t>
        </is>
      </c>
      <c r="F78" s="0" t="n">
        <v>5</v>
      </c>
      <c r="G78" s="0" t="inlineStr">
        <is>
          <t>Российская Федерация</t>
        </is>
      </c>
      <c r="H78" s="0" t="inlineStr">
        <is>
          <t>VIRONA</t>
        </is>
      </c>
      <c r="I78" s="0" t="inlineStr">
        <is>
          <t>консольный; на лиру; подвесной</t>
        </is>
      </c>
      <c r="J78" s="0" t="inlineStr">
        <is>
          <t>улицы (дороги, тротуары); промышленные помещения, склады и цеха</t>
        </is>
      </c>
      <c r="M78" s="0" t="n">
        <v>192</v>
      </c>
      <c r="O78" s="0" t="inlineStr">
        <is>
          <t>SMD</t>
        </is>
      </c>
      <c r="P78" s="0" t="n">
        <v>30720</v>
      </c>
      <c r="Q78" s="0" t="n">
        <v>5000</v>
      </c>
      <c r="R78" s="0" t="n">
        <v>80</v>
      </c>
      <c r="S78" s="0" t="n">
        <v>67</v>
      </c>
      <c r="T78" s="0" t="inlineStr">
        <is>
          <t>Д</t>
        </is>
      </c>
      <c r="U78" s="0" t="n">
        <v>100000</v>
      </c>
      <c r="V78" s="0" t="n">
        <v>530</v>
      </c>
      <c r="W78" s="0" t="n">
        <v>210</v>
      </c>
      <c r="X78" s="0" t="n">
        <v>95</v>
      </c>
      <c r="AB78" s="0" t="n">
        <v>3.58</v>
      </c>
      <c r="AD78" s="0" t="inlineStr">
        <is>
          <t>алюминиевый профиль</t>
        </is>
      </c>
      <c r="AE78" s="0" t="inlineStr">
        <is>
          <t>стекло</t>
        </is>
      </c>
      <c r="AG78" s="0" t="inlineStr">
        <is>
          <t>прозрачный рассеиватель</t>
        </is>
      </c>
      <c r="AH78" s="0" t="inlineStr">
        <is>
          <t>Светодиоды Samsung LM285</t>
        </is>
      </c>
      <c r="AI78" s="0" t="inlineStr">
        <is>
          <t>LED-driver</t>
        </is>
      </c>
      <c r="AK78" s="0" t="n">
        <v>0.95</v>
      </c>
      <c r="AN78" s="0" t="n">
        <v>176</v>
      </c>
      <c r="AO78" s="0" t="n">
        <v>264</v>
      </c>
      <c r="AP78" s="0" t="n">
        <v>-60</v>
      </c>
      <c r="AQ78" s="0" t="n">
        <v>50</v>
      </c>
      <c r="AS78" s="0" t="inlineStr">
        <is>
          <t>Картон</t>
        </is>
      </c>
      <c r="AT78" s="0" t="inlineStr">
        <is>
          <t>Да</t>
        </is>
      </c>
      <c r="AU78" s="0" t="n">
        <v>0.01686</v>
      </c>
      <c r="AV78" s="0" t="n">
        <v>0.278</v>
      </c>
      <c r="AW78" s="0" t="n">
        <v>1</v>
      </c>
      <c r="AX78" s="0" t="n">
        <v>560</v>
      </c>
      <c r="AY78" s="0" t="n">
        <v>215</v>
      </c>
      <c r="AZ78" s="0" t="n">
        <v>140</v>
      </c>
      <c r="BA78" s="0" t="n">
        <v>0.01686</v>
      </c>
      <c r="BB78" s="0" t="n">
        <v>0.278</v>
      </c>
      <c r="BD78" s="0" t="inlineStr">
        <is>
          <t>http://darion-svet.com/web/binary/saveas_archive?model=product.picture&amp;ids=[1638]&amp;field=image&amp;name_field=name&amp;archive_name=V1031_image</t>
        </is>
      </c>
      <c r="BE78" s="0" t="inlineStr">
        <is>
          <t>http://darion-svet.com/shop/product/v1031-vrn-un-192d-g50k67-u-192vt-universalnyij</t>
        </is>
      </c>
      <c r="BI78" s="0" t="n">
        <v>0</v>
      </c>
      <c r="BJ78" s="0" t="n">
        <v>0</v>
      </c>
    </row>
    <row r="79">
      <c r="A79" s="0" t="inlineStr">
        <is>
          <t>V1031-4K</t>
        </is>
      </c>
      <c r="B79" s="0" t="inlineStr">
        <is>
          <t>Светодиодный светильник Virona 192Вт Универсальный (VRN-UN-192D-G40K67-U)</t>
        </is>
      </c>
      <c r="C79" s="0" t="inlineStr">
        <is>
          <t>Универсал</t>
        </is>
      </c>
      <c r="E79" s="0" t="inlineStr">
        <is>
          <t>http://darion-svet.com/web/binary/image?model=product.product&amp;id=26315&amp;field=image</t>
        </is>
      </c>
      <c r="F79" s="0" t="n">
        <v>5</v>
      </c>
      <c r="G79" s="0" t="inlineStr">
        <is>
          <t>Российская Федерация</t>
        </is>
      </c>
      <c r="H79" s="0" t="inlineStr">
        <is>
          <t>VIRONA</t>
        </is>
      </c>
      <c r="I79" s="0" t="inlineStr">
        <is>
          <t>консольный; на лиру; подвесной</t>
        </is>
      </c>
      <c r="J79" s="0" t="inlineStr">
        <is>
          <t>улицы (дороги, тротуары); промышленные помещения, склады и цеха</t>
        </is>
      </c>
      <c r="M79" s="0" t="n">
        <v>192</v>
      </c>
      <c r="O79" s="0" t="inlineStr">
        <is>
          <t>SMD</t>
        </is>
      </c>
      <c r="P79" s="0" t="n">
        <v>30720</v>
      </c>
      <c r="Q79" s="0" t="n">
        <v>5000</v>
      </c>
      <c r="R79" s="0" t="n">
        <v>80</v>
      </c>
      <c r="S79" s="0" t="n">
        <v>67</v>
      </c>
      <c r="T79" s="0" t="inlineStr">
        <is>
          <t>Д</t>
        </is>
      </c>
      <c r="U79" s="0" t="n">
        <v>100000</v>
      </c>
      <c r="V79" s="0" t="n">
        <v>530</v>
      </c>
      <c r="W79" s="0" t="n">
        <v>210</v>
      </c>
      <c r="X79" s="0" t="n">
        <v>95</v>
      </c>
      <c r="AB79" s="0" t="n">
        <v>3.58</v>
      </c>
      <c r="AD79" s="0" t="inlineStr">
        <is>
          <t>алюминиевый профиль</t>
        </is>
      </c>
      <c r="AE79" s="0" t="inlineStr">
        <is>
          <t>стекло</t>
        </is>
      </c>
      <c r="AG79" s="0" t="inlineStr">
        <is>
          <t>прозрачный рассеиватель</t>
        </is>
      </c>
      <c r="AH79" s="0" t="inlineStr">
        <is>
          <t>Светодиоды Samsung LM285</t>
        </is>
      </c>
      <c r="AI79" s="0" t="inlineStr">
        <is>
          <t>LED-driver</t>
        </is>
      </c>
      <c r="AK79" s="0" t="n">
        <v>0.95</v>
      </c>
      <c r="AN79" s="0" t="n">
        <v>176</v>
      </c>
      <c r="AO79" s="0" t="n">
        <v>264</v>
      </c>
      <c r="AP79" s="0" t="n">
        <v>-60</v>
      </c>
      <c r="AQ79" s="0" t="n">
        <v>50</v>
      </c>
      <c r="AS79" s="0" t="inlineStr">
        <is>
          <t>Картон</t>
        </is>
      </c>
      <c r="AT79" s="0" t="inlineStr">
        <is>
          <t>Да</t>
        </is>
      </c>
      <c r="AU79" s="0" t="n">
        <v>0.01686</v>
      </c>
      <c r="AV79" s="0" t="n">
        <v>0.278</v>
      </c>
      <c r="AW79" s="0" t="n">
        <v>1</v>
      </c>
      <c r="AX79" s="0" t="n">
        <v>560</v>
      </c>
      <c r="AY79" s="0" t="n">
        <v>215</v>
      </c>
      <c r="AZ79" s="0" t="n">
        <v>140</v>
      </c>
      <c r="BA79" s="0" t="n">
        <v>0.01686</v>
      </c>
      <c r="BB79" s="0" t="n">
        <v>0.278</v>
      </c>
      <c r="BD79" s="0" t="inlineStr">
        <is>
          <t>http://darion-svet.com/web/binary/saveas_archive?model=product.picture&amp;ids=[1638]&amp;field=image&amp;name_field=name&amp;archive_name=V1031-4K_image</t>
        </is>
      </c>
      <c r="BE79" s="0" t="inlineStr">
        <is>
          <t>http://darion-svet.com/shop/product/v1031-4k-vrn-un-192d-g40k67-u-192vt-universalnyij</t>
        </is>
      </c>
      <c r="BI79" s="0" t="n">
        <v>0</v>
      </c>
      <c r="BJ79" s="0" t="n">
        <v>0</v>
      </c>
    </row>
    <row r="80">
      <c r="A80" s="0" t="inlineStr">
        <is>
          <t>V1032</t>
        </is>
      </c>
      <c r="B80" s="0" t="inlineStr">
        <is>
          <t>Светодиодный светильник Virona 192Вт Консольный (VRN-UN-192D-G50K67-K)</t>
        </is>
      </c>
      <c r="C80" s="0" t="inlineStr">
        <is>
          <t>Универсал</t>
        </is>
      </c>
      <c r="E80" s="0" t="inlineStr">
        <is>
          <t>http://darion-svet.com/web/binary/image?model=product.product&amp;id=18095&amp;field=image</t>
        </is>
      </c>
      <c r="F80" s="0" t="n">
        <v>5</v>
      </c>
      <c r="G80" s="0" t="inlineStr">
        <is>
          <t>Российская Федерация</t>
        </is>
      </c>
      <c r="H80" s="0" t="inlineStr">
        <is>
          <t>VIRONA</t>
        </is>
      </c>
      <c r="I80" s="0" t="inlineStr">
        <is>
          <t>консольный</t>
        </is>
      </c>
      <c r="J80" s="0" t="inlineStr">
        <is>
          <t>магистрали и дороги</t>
        </is>
      </c>
      <c r="M80" s="0" t="n">
        <v>192</v>
      </c>
      <c r="O80" s="0" t="inlineStr">
        <is>
          <t>SMD</t>
        </is>
      </c>
      <c r="P80" s="0" t="n">
        <v>30720</v>
      </c>
      <c r="Q80" s="0" t="n">
        <v>5000</v>
      </c>
      <c r="R80" s="0" t="n">
        <v>80</v>
      </c>
      <c r="S80" s="0" t="n">
        <v>67</v>
      </c>
      <c r="T80" s="0" t="inlineStr">
        <is>
          <t>Д</t>
        </is>
      </c>
      <c r="U80" s="0" t="n">
        <v>100000</v>
      </c>
      <c r="V80" s="0" t="n">
        <v>523</v>
      </c>
      <c r="W80" s="0" t="n">
        <v>263</v>
      </c>
      <c r="X80" s="0" t="n">
        <v>95</v>
      </c>
      <c r="AB80" s="0" t="n">
        <v>3.63</v>
      </c>
      <c r="AD80" s="0" t="inlineStr">
        <is>
          <t>алюминиевый профиль</t>
        </is>
      </c>
      <c r="AE80" s="0" t="inlineStr">
        <is>
          <t>стекло</t>
        </is>
      </c>
      <c r="AG80" s="0" t="inlineStr">
        <is>
          <t>прозрачный рассеиватель</t>
        </is>
      </c>
      <c r="AH80" s="0" t="inlineStr">
        <is>
          <t>Светодиоды Samsung LM291</t>
        </is>
      </c>
      <c r="AI80" s="0" t="inlineStr">
        <is>
          <t>LED-driver</t>
        </is>
      </c>
      <c r="AK80" s="0" t="n">
        <v>0.95</v>
      </c>
      <c r="AN80" s="0" t="n">
        <v>176</v>
      </c>
      <c r="AO80" s="0" t="n">
        <v>264</v>
      </c>
      <c r="AP80" s="0" t="n">
        <v>-60</v>
      </c>
      <c r="AQ80" s="0" t="n">
        <v>50</v>
      </c>
      <c r="AS80" s="0" t="inlineStr">
        <is>
          <t>Картон</t>
        </is>
      </c>
      <c r="AT80" s="0" t="inlineStr">
        <is>
          <t>Да</t>
        </is>
      </c>
      <c r="AU80" s="0" t="n">
        <v>0.02117</v>
      </c>
      <c r="AV80" s="0" t="n">
        <v>3.894</v>
      </c>
      <c r="AW80" s="0" t="n">
        <v>1</v>
      </c>
      <c r="AX80" s="0" t="n">
        <v>560</v>
      </c>
      <c r="AY80" s="0" t="n">
        <v>270</v>
      </c>
      <c r="AZ80" s="0" t="n">
        <v>140</v>
      </c>
      <c r="BA80" s="0" t="n">
        <v>0.02117</v>
      </c>
      <c r="BB80" s="0" t="n">
        <v>3.894</v>
      </c>
      <c r="BD80" s="0" t="inlineStr">
        <is>
          <t>http://darion-svet.com/web/binary/saveas_archive?model=product.picture&amp;ids=[1639]&amp;field=image&amp;name_field=name&amp;archive_name=V1032_image</t>
        </is>
      </c>
      <c r="BE80" s="0" t="inlineStr">
        <is>
          <t>http://darion-svet.com/shop/product/v1032-vrn-un-192d-g50k67-k-192vt-konsolnyij</t>
        </is>
      </c>
      <c r="BI80" s="0" t="n">
        <v>0</v>
      </c>
      <c r="BJ80" s="0" t="n">
        <v>0</v>
      </c>
    </row>
    <row r="81">
      <c r="A81" s="0" t="inlineStr">
        <is>
          <t>V1033</t>
        </is>
      </c>
      <c r="B81" s="0" t="inlineStr">
        <is>
          <t>Светодиодный светильник Virona 192Вт Консольный (VRN-UN-192D-G50K67-K90)</t>
        </is>
      </c>
      <c r="C81" s="0" t="inlineStr">
        <is>
          <t>Универсал</t>
        </is>
      </c>
      <c r="E81" s="0" t="inlineStr">
        <is>
          <t>http://darion-svet.com/web/binary/image?model=product.product&amp;id=18107&amp;field=image</t>
        </is>
      </c>
      <c r="F81" s="0" t="n">
        <v>5</v>
      </c>
      <c r="G81" s="0" t="inlineStr">
        <is>
          <t>Российская Федерация</t>
        </is>
      </c>
      <c r="H81" s="0" t="inlineStr">
        <is>
          <t>VIRONA</t>
        </is>
      </c>
      <c r="I81" s="0" t="inlineStr">
        <is>
          <t>консольный</t>
        </is>
      </c>
      <c r="J81" s="0" t="inlineStr">
        <is>
          <t>магистрали и дороги</t>
        </is>
      </c>
      <c r="M81" s="0" t="n">
        <v>192</v>
      </c>
      <c r="O81" s="0" t="inlineStr">
        <is>
          <t>SMD</t>
        </is>
      </c>
      <c r="P81" s="0" t="n">
        <v>30720</v>
      </c>
      <c r="Q81" s="0" t="n">
        <v>5000</v>
      </c>
      <c r="R81" s="0" t="n">
        <v>80</v>
      </c>
      <c r="S81" s="0" t="n">
        <v>67</v>
      </c>
      <c r="T81" s="0" t="inlineStr">
        <is>
          <t>Л</t>
        </is>
      </c>
      <c r="U81" s="0" t="n">
        <v>100000</v>
      </c>
      <c r="V81" s="0" t="n">
        <v>560</v>
      </c>
      <c r="W81" s="0" t="n">
        <v>115</v>
      </c>
      <c r="X81" s="0" t="n">
        <v>140</v>
      </c>
      <c r="AB81" s="0" t="n">
        <v>1.93</v>
      </c>
      <c r="AD81" s="0" t="inlineStr">
        <is>
          <t>алюминиевый профиль</t>
        </is>
      </c>
      <c r="AE81" s="0" t="inlineStr">
        <is>
          <t>стекло</t>
        </is>
      </c>
      <c r="AG81" s="0" t="inlineStr">
        <is>
          <t>прозрачный рассеиватель</t>
        </is>
      </c>
      <c r="AH81" s="0" t="inlineStr">
        <is>
          <t>Светодиоды Samsung LM292</t>
        </is>
      </c>
      <c r="AI81" s="0" t="inlineStr">
        <is>
          <t>LED-driver</t>
        </is>
      </c>
      <c r="AK81" s="0" t="n">
        <v>0.95</v>
      </c>
      <c r="AN81" s="0" t="n">
        <v>176</v>
      </c>
      <c r="AO81" s="0" t="n">
        <v>264</v>
      </c>
      <c r="AP81" s="0" t="n">
        <v>-60</v>
      </c>
      <c r="AQ81" s="0" t="n">
        <v>50</v>
      </c>
      <c r="AS81" s="0" t="inlineStr">
        <is>
          <t>Картон</t>
        </is>
      </c>
      <c r="AT81" s="0" t="inlineStr">
        <is>
          <t>Да</t>
        </is>
      </c>
      <c r="AW81" s="0" t="n">
        <v>1</v>
      </c>
      <c r="BD81" s="0" t="inlineStr">
        <is>
          <t>http://darion-svet.com/web/binary/saveas_archive?model=product.picture&amp;ids=[1641]&amp;field=image&amp;name_field=name&amp;archive_name=V1033_image</t>
        </is>
      </c>
      <c r="BE81" s="0" t="inlineStr">
        <is>
          <t>http://darion-svet.com/shop/product/v1033-vrn-un-192d-g50k67-k90-l-192vt-konsolnyij-</t>
        </is>
      </c>
      <c r="BI81" s="0" t="n">
        <v>0</v>
      </c>
      <c r="BJ81" s="0" t="n">
        <v>0</v>
      </c>
    </row>
    <row r="82">
      <c r="A82" s="0" t="inlineStr">
        <is>
          <t>V1034</t>
        </is>
      </c>
      <c r="B82" s="0" t="inlineStr">
        <is>
          <t>Светодиодный светильник Virona 192Вт Универсальный (VRN-UN-192D-G50K67-U90)</t>
        </is>
      </c>
      <c r="C82" s="0" t="inlineStr">
        <is>
          <t>Универсал</t>
        </is>
      </c>
      <c r="E82" s="0" t="inlineStr">
        <is>
          <t>http://darion-svet.com/web/binary/image?model=product.product&amp;id=18101&amp;field=image</t>
        </is>
      </c>
      <c r="F82" s="0" t="n">
        <v>5</v>
      </c>
      <c r="G82" s="0" t="inlineStr">
        <is>
          <t>Российская Федерация</t>
        </is>
      </c>
      <c r="H82" s="0" t="inlineStr">
        <is>
          <t>VIRONA</t>
        </is>
      </c>
      <c r="I82" s="0" t="inlineStr">
        <is>
          <t>консольный; на лиру; подвесной</t>
        </is>
      </c>
      <c r="J82" s="0" t="inlineStr">
        <is>
          <t>улицы (дороги, тротуары); промышленные помещения, склады и цеха</t>
        </is>
      </c>
      <c r="M82" s="0" t="n">
        <v>192</v>
      </c>
      <c r="O82" s="0" t="inlineStr">
        <is>
          <t>SMD</t>
        </is>
      </c>
      <c r="P82" s="0" t="n">
        <v>30720</v>
      </c>
      <c r="Q82" s="0" t="n">
        <v>5000</v>
      </c>
      <c r="R82" s="0" t="n">
        <v>80</v>
      </c>
      <c r="S82" s="0" t="n">
        <v>67</v>
      </c>
      <c r="T82" s="0" t="inlineStr">
        <is>
          <t>Л</t>
        </is>
      </c>
      <c r="U82" s="0" t="n">
        <v>100000</v>
      </c>
      <c r="V82" s="0" t="n">
        <v>524</v>
      </c>
      <c r="W82" s="0" t="n">
        <v>245</v>
      </c>
      <c r="X82" s="0" t="n">
        <v>163</v>
      </c>
      <c r="AD82" s="0" t="inlineStr">
        <is>
          <t>алюминиевый профиль</t>
        </is>
      </c>
      <c r="AE82" s="0" t="inlineStr">
        <is>
          <t>стекло</t>
        </is>
      </c>
      <c r="AG82" s="0" t="inlineStr">
        <is>
          <t>прозрачный рассеиватель</t>
        </is>
      </c>
      <c r="AH82" s="0" t="inlineStr">
        <is>
          <t>Светодиоды Samsung LM292</t>
        </is>
      </c>
      <c r="AI82" s="0" t="inlineStr">
        <is>
          <t>LED-driver</t>
        </is>
      </c>
      <c r="AK82" s="0" t="n">
        <v>0.95</v>
      </c>
      <c r="AN82" s="0" t="n">
        <v>176</v>
      </c>
      <c r="AO82" s="0" t="n">
        <v>264</v>
      </c>
      <c r="AP82" s="0" t="n">
        <v>-60</v>
      </c>
      <c r="AQ82" s="0" t="n">
        <v>50</v>
      </c>
      <c r="AS82" s="0" t="inlineStr">
        <is>
          <t>Картон</t>
        </is>
      </c>
      <c r="AT82" s="0" t="inlineStr">
        <is>
          <t>Да</t>
        </is>
      </c>
      <c r="AW82" s="0" t="n">
        <v>1</v>
      </c>
      <c r="BD82" s="0" t="inlineStr">
        <is>
          <t>http://darion-svet.com/web/binary/saveas_archive?model=product.picture&amp;ids=[1640]&amp;field=image&amp;name_field=name&amp;archive_name=V1034_image</t>
        </is>
      </c>
      <c r="BE82" s="0" t="inlineStr">
        <is>
          <t>http://darion-svet.com/shop/product/v1034-vrn-un-192d-g50k67-u90-l-192vt-universalnyij-</t>
        </is>
      </c>
      <c r="BI82" s="0" t="n">
        <v>0</v>
      </c>
      <c r="BJ82" s="0" t="n">
        <v>0</v>
      </c>
    </row>
    <row r="83">
      <c r="A83" s="0" t="inlineStr">
        <is>
          <t>V1035</t>
        </is>
      </c>
      <c r="B83" s="0" t="inlineStr">
        <is>
          <t>Светодиодный светильник Virona 124Вт Универсальный (VRN-UN-124-G50K67-U)</t>
        </is>
      </c>
      <c r="C83" s="0" t="inlineStr">
        <is>
          <t>Универсал</t>
        </is>
      </c>
      <c r="E83" s="0" t="inlineStr">
        <is>
          <t>http://darion-svet.com/web/binary/image?model=product.product&amp;id=18078&amp;field=image</t>
        </is>
      </c>
      <c r="F83" s="0" t="n">
        <v>5</v>
      </c>
      <c r="G83" s="0" t="inlineStr">
        <is>
          <t>Российская Федерация</t>
        </is>
      </c>
      <c r="H83" s="0" t="inlineStr">
        <is>
          <t>VIRONA</t>
        </is>
      </c>
      <c r="I83" s="0" t="inlineStr">
        <is>
          <t>консольный; на лиру; подвесной</t>
        </is>
      </c>
      <c r="J83" s="0" t="inlineStr">
        <is>
          <t>улицы (дороги, тротуары); промышленные помещения, склады и цеха</t>
        </is>
      </c>
      <c r="M83" s="0" t="n">
        <v>124</v>
      </c>
      <c r="O83" s="0" t="inlineStr">
        <is>
          <t>SMD</t>
        </is>
      </c>
      <c r="P83" s="0" t="n">
        <v>19840</v>
      </c>
      <c r="Q83" s="0" t="n">
        <v>5000</v>
      </c>
      <c r="R83" s="0" t="n">
        <v>80</v>
      </c>
      <c r="S83" s="0" t="n">
        <v>67</v>
      </c>
      <c r="T83" s="0" t="inlineStr">
        <is>
          <t>Д</t>
        </is>
      </c>
      <c r="U83" s="0" t="inlineStr">
        <is>
          <t>100 000 ч.</t>
        </is>
      </c>
      <c r="V83" s="0" t="n">
        <v>638</v>
      </c>
      <c r="W83" s="0" t="n">
        <v>100</v>
      </c>
      <c r="X83" s="0" t="n">
        <v>98</v>
      </c>
      <c r="AB83" s="0" t="n">
        <v>2.29</v>
      </c>
      <c r="AD83" s="0" t="inlineStr">
        <is>
          <t>алюминиевый профиль</t>
        </is>
      </c>
      <c r="AE83" s="0" t="inlineStr">
        <is>
          <t>стекло</t>
        </is>
      </c>
      <c r="AG83" s="0" t="inlineStr">
        <is>
          <t>прозрачный рассеиватель</t>
        </is>
      </c>
      <c r="AH83" s="0" t="inlineStr">
        <is>
          <t>Светодиодный светильник Virona 124Вт Универсальный (VRN-UN-124-G50K67-U)
Наши покупатели часто задают вопросы и сравнивают светильники Virona с недорогими прожекторами. Действительно, зачем платить дороже? Давайте посмотрим..
Предлагаем сравнить:
прожектор Китай 200 Вт
vs
светильник Virona 124Вт VRN-UN-124-G50K67-U.
Сколько света даёт светильник?
Прожекторы производства Китай мощностью 200 Вт  - световой поток 18000
 люмен.
vs
Светильник VRN-UN-124-G50K67-U мощностью 124 Вт - светового потока 19840 люмен.
Один светильник VRN-UN-124-G50K67-U по количеству света заменяет два прожектора китайского производства такой же мощности. Это значит, что потребление электроэнергии будет в 2 раза меньше при той же освещенности площади или объекта.
(Картинка: с одной стороны площадка и три мачты освещения с лучами и световым пятном на площадке, с другой стороны одна мачта с вироной, с одним лучем дающим такое же световое пятно). 
Важные показатели при выборе светильника.
Когда светильник работает он потребляет электричество и даёт свет.
Мощность - измеряется в Ваттах (Вт), это сколько мы будем платить за электроэнергию.
Световой поток - измеряется в люменах (лм), это сколько мы получим света.
Если разделим лм на Вт, то узнаем сколько получим света на 1 Вт расхода электричества или энергоэффективность, измеряется в лм/Вт.
световой поток (лм) / мощность (Вт) = энергоэффективность (лм/Вт)
Высокий показатель энергоэффективности говорит о том, что при производстве светильника использовались качественные компоненты: светодиоды и драйверы.
Рассчитаем энергоэффективность для
обычного прожектора производства Китай 18000 лм, 200 Вт:
18000лм / 200 Вт = 90 лм/Вт
vs
Светильника VRN-UN-124-G50K67-U, 19840 лм, 124 Вт:
19840 лм / 96 Вт = 160 лм/Вт
Очевидно, прожектор имеет меньший показатель энергоэффективности в 2 раза.
Наш опыт говорит о том, что это из-за менее качественных комплектующих.
На что влияет?
срок службы,
качество светового потока,
комфорт в эксплуатации.
Обычно прожекторы из Китая имеют мерцающий световой поток. Это не видно невооруженным взглядом, но плохо сказывается на зрении и самочувствии человека.
(Картинка: та же самая, если удастся показать менее качественный световой поток, мерцание и тп и более ровный световой поток у Вироны)
Гарантия. Срок службы. Замена светильников. Дополнительные расходы
Доступные прожекторы производства Китай
Гарантия 2 года,
срок службы 30 000 часов, или 2-4 года.
Т.е. мы будем менять светильник 3-4 раза за 10 лет.
Поэтому будем тратить:
❌ деньги на приобретение новых светильников,
❌ деньги или время на монтаж/демонтаж вышедшего из строя оборудования,
❌ время на покупку и обслуживание,
❌ внимание, силы на казалось бы решенный вопрос.
Virona VRN-UN-124-G50K67-U
Гарантия 5 лет,
срок службы 100 000 часов, или 10 лет.
Решаем вопрос освещения один раз и надолго. Заплатив один раз за качество, решаем вопрос в горизонте 10 лет, получаем:
✔️ экономию расходов на электричество (минимум в 2 раза),
✔️ экономию времени на покупку светильника взамен перегоревшего,
✔️ экономию расходов на монтаж-демонтаж перегоревшего светильника,
✔️ получаем лучшее качества света без мерцаний (комфорт),
✔️ чувствуем себя лучше и тратим больше времени и сил на любимые дела.
Мы рады любому выбору покупателя. Если вы прочитали до конца и решили купить светильник Virona - дополнительная скидку 3%.</t>
        </is>
      </c>
      <c r="AI83" s="0" t="inlineStr">
        <is>
          <t>LED-driver</t>
        </is>
      </c>
      <c r="AK83" s="0" t="n">
        <v>0.95</v>
      </c>
      <c r="AL83" s="0" t="n">
        <v>1</v>
      </c>
      <c r="AN83" s="0" t="n">
        <v>176</v>
      </c>
      <c r="AO83" s="0" t="n">
        <v>264</v>
      </c>
      <c r="AP83" s="0" t="n">
        <v>-60</v>
      </c>
      <c r="AQ83" s="0" t="n">
        <v>50</v>
      </c>
      <c r="AS83" s="0" t="inlineStr">
        <is>
          <t>Картон</t>
        </is>
      </c>
      <c r="AT83" s="0" t="inlineStr">
        <is>
          <t>Да</t>
        </is>
      </c>
      <c r="AU83" s="0" t="n">
        <v>0.01001</v>
      </c>
      <c r="AV83" s="0" t="n">
        <v>0.21</v>
      </c>
      <c r="AW83" s="0" t="n">
        <v>1</v>
      </c>
      <c r="AX83" s="0" t="n">
        <v>650</v>
      </c>
      <c r="AY83" s="0" t="n">
        <v>110</v>
      </c>
      <c r="AZ83" s="0" t="n">
        <v>140</v>
      </c>
      <c r="BA83" s="0" t="n">
        <v>0.01001</v>
      </c>
      <c r="BB83" s="0" t="n">
        <v>0.21</v>
      </c>
      <c r="BD83" s="0" t="inlineStr">
        <is>
          <t>http://darion-svet.com/web/binary/saveas_archive?model=product.picture&amp;ids=[1628, 1912]&amp;field=image&amp;name_field=name&amp;archive_name=V1035_image</t>
        </is>
      </c>
      <c r="BE83" s="0" t="inlineStr">
        <is>
          <t>http://darion-svet.com/shop/product/v1035-vrn-un-124-g50k67-u-124vt-universalnyij</t>
        </is>
      </c>
      <c r="BF83" s="0" t="inlineStr">
        <is>
          <t>http://darion-svet.com/web/binary/saveas?model=product.product&amp;field=conformity_cert&amp;filename_field=conformity_cert_filename&amp;id=18078</t>
        </is>
      </c>
      <c r="BG83" s="0" t="inlineStr">
        <is>
          <t>http://darion-svet.com/web/binary/saveas?model=product.product&amp;field=datasheet&amp;filename_field=datasheet_filename&amp;id=18078</t>
        </is>
      </c>
      <c r="BI83" s="0" t="n">
        <v>1</v>
      </c>
      <c r="BJ83" s="0" t="n">
        <v>3804</v>
      </c>
    </row>
    <row r="84">
      <c r="A84" s="0" t="inlineStr">
        <is>
          <t>V1035-2U</t>
        </is>
      </c>
      <c r="B84" s="0" t="inlineStr">
        <is>
          <t>Светодиодный светильник Virona 124Вт Универсальный с двумя кронштейнами (VRN-UN-124-G50K67-2U)</t>
        </is>
      </c>
      <c r="C84" s="0" t="inlineStr">
        <is>
          <t>Универсал</t>
        </is>
      </c>
      <c r="E84" s="0" t="inlineStr">
        <is>
          <t>http://darion-svet.com/web/binary/image?model=product.product&amp;id=25234&amp;field=image</t>
        </is>
      </c>
      <c r="F84" s="0" t="n">
        <v>5</v>
      </c>
      <c r="G84" s="0" t="inlineStr">
        <is>
          <t>Российская Федерация</t>
        </is>
      </c>
      <c r="H84" s="0" t="inlineStr">
        <is>
          <t>VIRONA</t>
        </is>
      </c>
      <c r="I84" s="0" t="inlineStr">
        <is>
          <t>консольный; на лиру; подвесной</t>
        </is>
      </c>
      <c r="J84" s="0" t="inlineStr">
        <is>
          <t>улицы (дороги, тротуары); промышленные помещения, склады и цеха</t>
        </is>
      </c>
      <c r="M84" s="0" t="n">
        <v>124</v>
      </c>
      <c r="O84" s="0" t="inlineStr">
        <is>
          <t>SMD</t>
        </is>
      </c>
      <c r="P84" s="0" t="n">
        <v>19840</v>
      </c>
      <c r="Q84" s="0" t="n">
        <v>5000</v>
      </c>
      <c r="R84" s="0" t="n">
        <v>80</v>
      </c>
      <c r="S84" s="0" t="n">
        <v>67</v>
      </c>
      <c r="T84" s="0" t="inlineStr">
        <is>
          <t>Д</t>
        </is>
      </c>
      <c r="U84" s="0" t="n">
        <v>100000</v>
      </c>
      <c r="V84" s="0" t="n">
        <v>638</v>
      </c>
      <c r="W84" s="0" t="n">
        <v>100</v>
      </c>
      <c r="X84" s="0" t="n">
        <v>98</v>
      </c>
      <c r="AB84" s="0" t="n">
        <v>2.29</v>
      </c>
      <c r="AD84" s="0" t="inlineStr">
        <is>
          <t>алюминиевый профиль</t>
        </is>
      </c>
      <c r="AE84" s="0" t="inlineStr">
        <is>
          <t>стекло</t>
        </is>
      </c>
      <c r="AG84" s="0" t="inlineStr">
        <is>
          <t>прозрачный рассеиватель</t>
        </is>
      </c>
      <c r="AH84" s="0" t="inlineStr">
        <is>
          <t>Наши покупатели часто задают вопросы и сравнивают светильники Virona с недорогими прожекторами. Действительно, зачем платить дороже? Давайте посмотрим..
Предлагаем сравнить:
прожектор Китай 200 Вт
vs
светильник Virona 124Вт VRN-UN-124-G50K67-U.
Сколько света даёт светильник?
Прожекторы производства Китай мощностью 200 Вт  - световой поток 18000
 люмен.
vs
Светильник VRN-UN-124-G50K67-U мощностью 124 Вт - светового потока 19840 люмен.
Один светильник VRN-UN-124-G50K67-U по количеству света заменяет два прожектора китайского производства такой же мощности. Это значит, что потребление электроэнергии будет в 2 раза меньше при той же освещенности площади или объекта.
Важные показатели при выборе светильника.
Когда светильник работает он потребляет электричество и даёт свет.
Мощность - измеряется в Ваттах (Вт), это сколько мы будем платить за электроэнергию.
Световой поток - измеряется в люменах (лм), это сколько мы получим света.
Если разделим лм на Вт, то узнаем сколько получим света на 1 Вт расхода электричества или энергоэффективность, измеряется в лм/Вт.
световой поток (лм) / мощность (Вт) = энергоэффективность (лм/Вт)
Высокий показатель энергоэффективности говорит о том, что при производстве светильника использовались качественные компоненты: светодиоды и драйверы.
Рассчитаем энергоэффективность для
обычного прожектора производства Китай 18000 лм, 200 Вт:
18000лм / 200 Вт = 90 лм/Вт
vs
Светильника VRN-UN-124-G50K67-U, 19840 лм, 124 Вт:
19840 лм / 96 Вт = 160 лм/Вт
Очевидно, прожектор имеет меньший показатель энергоэффективности в 2 раза.
Наш опыт говорит о том, что это из-за менее качественных комплектующих.
На что влияет?
●	срок службы,
●	качество светового потока,
●	комфорт в эксплуатации.
Обычно прожекторы из Китая имеют мерцающий световой поток. Это не видно невооруженным взглядом, но плохо сказывается на зрении и самочувствии человека.
Гарантия. Срок службы. Замена светильников. Дополнительные расходы
Доступные прожекторы производства Китай
Гарантия 2 года,
срок службы 30 000 часов, или 2-4 года.
Т.е. мы будем менять светильник 3-4 раза за 10 лет.
Поэтому будем тратить:
❌ деньги на приобретение новых светильников,
❌ деньги или время на монтаж/демонтаж вышедшего из строя оборудования,
❌ время на покупку и обслуживание,
❌ внимание, силы на казалось бы решенный вопрос.
Virona VRN-UN-124-G50K67-U
Гарантия 5 лет,
срок службы 100 000 часов, или 10 лет.
Решаем вопрос освещения один раз и надолго. Заплатив один раз за качество, решаем вопрос в горизонте 10 лет, получаем:
✔️ экономию расходов на электричество (минимум в 2 раза),
✔️ экономию времени на покупку светильника взамен перегоревшего,
✔️ экономию расходов на монтаж-демонтаж перегоревшего светильника,
✔️ получаем лучшее качества света без мерцаний (комфорт),
✔️ чувствуем себя лучше и тратим больше времени и сил на любимые дела.
Мы рады любому выбору покупателя. Если вы прочитали до конца и решили купить светильник Virona - дополнительная скидку 3%.</t>
        </is>
      </c>
      <c r="AI84" s="0" t="inlineStr">
        <is>
          <t>LED-driver</t>
        </is>
      </c>
      <c r="AK84" s="0" t="n">
        <v>0.95</v>
      </c>
      <c r="AN84" s="0" t="n">
        <v>176</v>
      </c>
      <c r="AO84" s="0" t="n">
        <v>264</v>
      </c>
      <c r="AP84" s="0" t="n">
        <v>-60</v>
      </c>
      <c r="AQ84" s="0" t="n">
        <v>50</v>
      </c>
      <c r="AS84" s="0" t="inlineStr">
        <is>
          <t>Картон</t>
        </is>
      </c>
      <c r="AT84" s="0" t="inlineStr">
        <is>
          <t>Да</t>
        </is>
      </c>
      <c r="AU84" s="0" t="n">
        <v>0.01001</v>
      </c>
      <c r="AV84" s="0" t="n">
        <v>0.21</v>
      </c>
      <c r="AW84" s="0" t="n">
        <v>1</v>
      </c>
      <c r="AX84" s="0" t="n">
        <v>650</v>
      </c>
      <c r="AY84" s="0" t="n">
        <v>110</v>
      </c>
      <c r="AZ84" s="0" t="n">
        <v>140</v>
      </c>
      <c r="BA84" s="0" t="n">
        <v>0.01001</v>
      </c>
      <c r="BB84" s="0" t="n">
        <v>0.21</v>
      </c>
      <c r="BD84" s="0" t="inlineStr">
        <is>
          <t>http://darion-svet.com/web/binary/saveas_archive?model=product.picture&amp;ids=[1628]&amp;field=image&amp;name_field=name&amp;archive_name=V1035-2U_image</t>
        </is>
      </c>
      <c r="BE84" s="0" t="inlineStr">
        <is>
          <t>http://darion-svet.com/shop/product/v1035-2u-vrn-un-124-g50k67-2u-124vt-universalnyij</t>
        </is>
      </c>
      <c r="BI84" s="0" t="n">
        <v>0</v>
      </c>
      <c r="BJ84" s="0" t="n">
        <v>0</v>
      </c>
    </row>
    <row r="85">
      <c r="A85" s="0" t="inlineStr">
        <is>
          <t>V1035-SDS</t>
        </is>
      </c>
      <c r="B85" s="0" t="inlineStr">
        <is>
          <t>Светодиодный светильник Virona 124Вт Универсальный (VRN-SPL-124-G50K67-U)</t>
        </is>
      </c>
      <c r="C85" s="0" t="inlineStr">
        <is>
          <t>Универсал</t>
        </is>
      </c>
      <c r="E85" s="0" t="inlineStr">
        <is>
          <t>http://darion-svet.com/web/binary/image?model=product.product&amp;id=19649&amp;field=image</t>
        </is>
      </c>
      <c r="F85" s="0" t="n">
        <v>5</v>
      </c>
      <c r="G85" s="0" t="inlineStr">
        <is>
          <t>Российская Федерация</t>
        </is>
      </c>
      <c r="H85" s="0" t="inlineStr">
        <is>
          <t>VIRONA</t>
        </is>
      </c>
      <c r="I85" s="0" t="inlineStr">
        <is>
          <t>консольный; на лиру; подвесной</t>
        </is>
      </c>
      <c r="J85" s="0" t="inlineStr">
        <is>
          <t>улицы (дороги, тротуары); промышленные помещения, склады и цеха</t>
        </is>
      </c>
      <c r="M85" s="0" t="n">
        <v>124</v>
      </c>
      <c r="O85" s="0" t="inlineStr">
        <is>
          <t>SMD</t>
        </is>
      </c>
      <c r="P85" s="0" t="n">
        <v>19840</v>
      </c>
      <c r="Q85" s="0" t="n">
        <v>5000</v>
      </c>
      <c r="R85" s="0" t="n">
        <v>80</v>
      </c>
      <c r="S85" s="0" t="n">
        <v>67</v>
      </c>
      <c r="T85" s="0" t="inlineStr">
        <is>
          <t>Д</t>
        </is>
      </c>
      <c r="U85" s="0" t="n">
        <v>100000</v>
      </c>
      <c r="V85" s="0" t="n">
        <v>638</v>
      </c>
      <c r="W85" s="0" t="n">
        <v>100</v>
      </c>
      <c r="X85" s="0" t="n">
        <v>98</v>
      </c>
      <c r="AB85" s="0" t="n">
        <v>2.29</v>
      </c>
      <c r="AD85" s="0" t="inlineStr">
        <is>
          <t>алюминиевый профиль</t>
        </is>
      </c>
      <c r="AE85" s="0" t="inlineStr">
        <is>
          <t>стекло</t>
        </is>
      </c>
      <c r="AG85" s="0" t="inlineStr">
        <is>
          <t>прозрачный рассеиватель</t>
        </is>
      </c>
      <c r="AH85" s="0" t="inlineStr">
        <is>
          <t>Светодиоды Samsung LM286</t>
        </is>
      </c>
      <c r="AI85" s="0" t="inlineStr">
        <is>
          <t>LED-driver</t>
        </is>
      </c>
      <c r="AK85" s="0" t="n">
        <v>0.95</v>
      </c>
      <c r="AN85" s="0" t="n">
        <v>176</v>
      </c>
      <c r="AO85" s="0" t="n">
        <v>264</v>
      </c>
      <c r="AP85" s="0" t="n">
        <v>-60</v>
      </c>
      <c r="AQ85" s="0" t="n">
        <v>50</v>
      </c>
      <c r="AS85" s="0" t="inlineStr">
        <is>
          <t>Картон</t>
        </is>
      </c>
      <c r="AT85" s="0" t="inlineStr">
        <is>
          <t>Да</t>
        </is>
      </c>
      <c r="AU85" s="0" t="n">
        <v>0.01001</v>
      </c>
      <c r="AV85" s="0" t="n">
        <v>0.21</v>
      </c>
      <c r="AW85" s="0" t="n">
        <v>1</v>
      </c>
      <c r="AX85" s="0" t="n">
        <v>650</v>
      </c>
      <c r="AY85" s="0" t="n">
        <v>110</v>
      </c>
      <c r="AZ85" s="0" t="n">
        <v>140</v>
      </c>
      <c r="BA85" s="0" t="n">
        <v>0.01001</v>
      </c>
      <c r="BB85" s="0" t="n">
        <v>0.21</v>
      </c>
      <c r="BD85" s="0" t="inlineStr">
        <is>
          <t>http://darion-svet.com/web/binary/saveas_archive?model=product.picture&amp;ids=[1628]&amp;field=image&amp;name_field=name&amp;archive_name=V1035-SDS_image</t>
        </is>
      </c>
      <c r="BE85" s="0" t="inlineStr">
        <is>
          <t>http://darion-svet.com/shop/product/v1035-sds-vrn-spl-124-g50k67-u-124vt-universalnyij</t>
        </is>
      </c>
      <c r="BI85" s="0" t="n">
        <v>0</v>
      </c>
      <c r="BJ85" s="0" t="n">
        <v>0</v>
      </c>
    </row>
    <row r="86">
      <c r="A86" s="0" t="inlineStr">
        <is>
          <t>V1035-SDS-R</t>
        </is>
      </c>
      <c r="B86" s="0" t="inlineStr">
        <is>
          <t>Светодиодный светильник Virona 124Вт Универсальный (VRN-SPL-124-G50K67-R)</t>
        </is>
      </c>
      <c r="C86" s="0" t="inlineStr">
        <is>
          <t>Универсал</t>
        </is>
      </c>
      <c r="E86" s="0" t="inlineStr">
        <is>
          <t>http://darion-svet.com/web/binary/image?model=product.product&amp;id=19650&amp;field=image</t>
        </is>
      </c>
      <c r="F86" s="0" t="n">
        <v>5</v>
      </c>
      <c r="G86" s="0" t="inlineStr">
        <is>
          <t>Российская Федерация</t>
        </is>
      </c>
      <c r="H86" s="0" t="inlineStr">
        <is>
          <t>VIRONA</t>
        </is>
      </c>
      <c r="I86" s="0" t="inlineStr">
        <is>
          <t>консольный; на лиру; подвесной</t>
        </is>
      </c>
      <c r="J86" s="0" t="inlineStr">
        <is>
          <t>улицы (дороги, тротуары); промышленные помещения, склады и цеха</t>
        </is>
      </c>
      <c r="M86" s="0" t="n">
        <v>124</v>
      </c>
      <c r="O86" s="0" t="inlineStr">
        <is>
          <t>SMD</t>
        </is>
      </c>
      <c r="P86" s="0" t="n">
        <v>19840</v>
      </c>
      <c r="Q86" s="0" t="n">
        <v>5000</v>
      </c>
      <c r="R86" s="0" t="n">
        <v>80</v>
      </c>
      <c r="S86" s="0" t="n">
        <v>67</v>
      </c>
      <c r="T86" s="0" t="inlineStr">
        <is>
          <t>Д</t>
        </is>
      </c>
      <c r="U86" s="0" t="n">
        <v>100000</v>
      </c>
      <c r="V86" s="0" t="n">
        <v>638</v>
      </c>
      <c r="W86" s="0" t="n">
        <v>100</v>
      </c>
      <c r="X86" s="0" t="n">
        <v>98</v>
      </c>
      <c r="AB86" s="0" t="n">
        <v>2.29</v>
      </c>
      <c r="AD86" s="0" t="inlineStr">
        <is>
          <t>алюминиевый профиль</t>
        </is>
      </c>
      <c r="AE86" s="0" t="inlineStr">
        <is>
          <t>стекло</t>
        </is>
      </c>
      <c r="AG86" s="0" t="inlineStr">
        <is>
          <t>прозрачный рассеиватель</t>
        </is>
      </c>
      <c r="AH86" s="0" t="inlineStr">
        <is>
          <t>Светодиоды Samsung LM286</t>
        </is>
      </c>
      <c r="AI86" s="0" t="inlineStr">
        <is>
          <t>LED-driver</t>
        </is>
      </c>
      <c r="AK86" s="0" t="n">
        <v>0.95</v>
      </c>
      <c r="AN86" s="0" t="n">
        <v>176</v>
      </c>
      <c r="AO86" s="0" t="n">
        <v>264</v>
      </c>
      <c r="AP86" s="0" t="n">
        <v>-60</v>
      </c>
      <c r="AQ86" s="0" t="n">
        <v>50</v>
      </c>
      <c r="AS86" s="0" t="inlineStr">
        <is>
          <t>Картон</t>
        </is>
      </c>
      <c r="AT86" s="0" t="inlineStr">
        <is>
          <t>Да</t>
        </is>
      </c>
      <c r="AU86" s="0" t="n">
        <v>0.01001</v>
      </c>
      <c r="AV86" s="0" t="n">
        <v>0.21</v>
      </c>
      <c r="AW86" s="0" t="n">
        <v>1</v>
      </c>
      <c r="AX86" s="0" t="n">
        <v>650</v>
      </c>
      <c r="AY86" s="0" t="n">
        <v>110</v>
      </c>
      <c r="AZ86" s="0" t="n">
        <v>140</v>
      </c>
      <c r="BA86" s="0" t="n">
        <v>0.01001</v>
      </c>
      <c r="BB86" s="0" t="n">
        <v>0.21</v>
      </c>
      <c r="BD86" s="0" t="inlineStr">
        <is>
          <t>http://darion-svet.com/web/binary/saveas_archive?model=product.picture&amp;ids=[1628]&amp;field=image&amp;name_field=name&amp;archive_name=V1035-SDS-R_image</t>
        </is>
      </c>
      <c r="BE86" s="0" t="inlineStr">
        <is>
          <t>http://darion-svet.com/shop/product/v1035-sds-r-vrn-spl-124-g50k67-r-124vt-universalnyij</t>
        </is>
      </c>
      <c r="BI86" s="0" t="n">
        <v>0</v>
      </c>
      <c r="BJ86" s="0" t="n">
        <v>0</v>
      </c>
    </row>
    <row r="87">
      <c r="A87" s="0" t="inlineStr">
        <is>
          <t>V1036</t>
        </is>
      </c>
      <c r="B87" s="0" t="inlineStr">
        <is>
          <t>Светодиодный светильник Virona 124Вт Консольный (VRN-UN-124-G50K67-K)</t>
        </is>
      </c>
      <c r="C87" s="0" t="inlineStr">
        <is>
          <t>Универсал</t>
        </is>
      </c>
      <c r="E87" s="0" t="inlineStr">
        <is>
          <t>http://darion-svet.com/web/binary/image?model=product.product&amp;id=18084&amp;field=image</t>
        </is>
      </c>
      <c r="F87" s="0" t="n">
        <v>5</v>
      </c>
      <c r="G87" s="0" t="inlineStr">
        <is>
          <t>Российская Федерация</t>
        </is>
      </c>
      <c r="H87" s="0" t="inlineStr">
        <is>
          <t>VIRONA</t>
        </is>
      </c>
      <c r="I87" s="0" t="inlineStr">
        <is>
          <t>консольный</t>
        </is>
      </c>
      <c r="J87" s="0" t="inlineStr">
        <is>
          <t>магистрали и дороги</t>
        </is>
      </c>
      <c r="M87" s="0" t="n">
        <v>124</v>
      </c>
      <c r="O87" s="0" t="inlineStr">
        <is>
          <t>SMD</t>
        </is>
      </c>
      <c r="P87" s="0" t="n">
        <v>19840</v>
      </c>
      <c r="Q87" s="0" t="n">
        <v>5000</v>
      </c>
      <c r="R87" s="0" t="n">
        <v>80</v>
      </c>
      <c r="S87" s="0" t="n">
        <v>67</v>
      </c>
      <c r="T87" s="0" t="inlineStr">
        <is>
          <t>Д</t>
        </is>
      </c>
      <c r="U87" s="0" t="inlineStr">
        <is>
          <t>100 000 ч.</t>
        </is>
      </c>
      <c r="V87" s="0" t="n">
        <v>630</v>
      </c>
      <c r="W87" s="0" t="n">
        <v>100</v>
      </c>
      <c r="X87" s="0" t="n">
        <v>130</v>
      </c>
      <c r="AB87" s="0" t="n">
        <v>2.32</v>
      </c>
      <c r="AD87" s="0" t="inlineStr">
        <is>
          <t>алюминиевый профиль</t>
        </is>
      </c>
      <c r="AE87" s="0" t="inlineStr">
        <is>
          <t>стекло</t>
        </is>
      </c>
      <c r="AG87" s="0" t="inlineStr">
        <is>
          <t>прозрачный рассеиватель</t>
        </is>
      </c>
      <c r="AH87" s="0" t="inlineStr">
        <is>
          <t>Светодиодный светильник Virona 124 Вт Консольный (VRN-UN-124-G50K67-K)
Наши покупатели часто задают вопросы и сравнивают светильники Virona с недорогими прожекторами. Действительно, зачем платить дороже? 
Давайте посмотрим..
Предлагаем сравнить:
консольный светильник Китай 120 W
vs
Светильник Virona 124 Вт VRN-UN-124-G50K67-K.
Широкая линейка выбора
Если сравнить линейку выбора по мощности светильника то мы увидим, что Virona предлагает нам сделать более точный выбор. В линейке данной марки представлены светильники мощностью: 32, 48,62,80, 96,124 Ватт. 
В то время как более дешевые типичные консольники производства Китая зачастую ограничены выбором из 3 вариантов: 70, 100, 120 Вт.
Сколько света даёт светильник?
Прожекторы производства Китай мощностью 120 Вт  - световой поток 11500 люмен.
vs
Светильник VRN-UN-124-G50K67-K мощностью 124 Вт - светового потока 19840 люмен.
Один светильник Virona VRN-UN-124-G50K67-K мощностью 124 Ватта дает почти в два раза больше светового потока чем типичный китайский консольный светильник большей мощности. 
Это значит, что потребление электроэнергии при использовании светильника Virona будет меньше, а света он давать будет больше. Для освещения одной и той же площади с определенной яркостью потребуется в два раза больше светильников китайского производства.
Важные показатели при выборе светильника.
Когда светильник работает он потребляет электричество и даёт свет.
Мощность - измеряется в Ваттах (Вт), это сколько мы будем платить за электроэнергию.
Световой поток - измеряется в люменах (лм), это сколько мы получим света.
Если разделим лм на Вт, то узнаем сколько получим света на 1 Вт расхода электричества или энергоэффективность, измеряется в лм/Вт.
световой поток (лм) / мощность (Вт) = энергоэффективность (лм/Вт)
Высокий показатель энергоэффективности говорит о том, что при производстве светильника использовались качественные компоненты: светодиоды и драйверы.
Рассчитаем энергоэффективность для
обычного прожектора производства Китай 11500 лм, 120 Вт:
11500 лм / 120 Вт = 96 лм/Вт
vs
Светильника VRN-UN-120-G50K67-K, 19840 лм, 120 Вт:
19840 лм / 120 Вт = 160 лм/Вт
Очевидно, консольник китайского производства имеет меньший показатель энергоэффективности почти в 2 раза.
Наш опыт говорит о том, что это из-за менее качественных комплектующих.
На что влияет?
срок службы,
качество светового потока,
комфорт в эксплуатации.
Обычно консольники из Китая имеют мерцающий световой поток. Это не видно невооруженным взглядом, но плохо сказывается на зрении и самочувствии человека.
(Картинка: та же самая, если удастся показать менее качественный световой поток, мерцание и тп и более ровный световой поток у Вироны)
Гарантия. Срок службы. Замена светильников. Дополнительные расходы
Доступные прожекторы производства Китай
Гарантия 2 года,
срок службы 50 000 часов, или 5-6 лет.
Т.е. мы будем менять светильник 2 раза за 10 лет.
Поэтому будем тратить:
❌ деньги на приобретение новых светильников,
❌ деньги или время на монтаж/демонтаж вышедшего из строя оборудования,
❌ время на покупку и обслуживание,
❌ внимание, силы на казалось бы решенный вопрос.
Virona VRN-UN-124-G50K67-K
Гарантия 5 лет,
срок службы 100 000 часов, или 10 лет.
Решаем вопрос освещения один раз и надолго. Заплатив один раз за качество, решаем вопрос в горизонте 10 лет, получаем:
✔️ экономию расходов на электричество (минимум в 2 раза),
✔️ экономию времени на покупку светильника взамен перегоревшего,
✔️ экономию расходов на монтаж-демонтаж перегоревшего светильника,
✔️ получаем лучшее качества света без мерцаний (комфорт),
✔️ чувствуем себя лучше и тратим больше времени и сил на любимые дела.
Мы рады любому выбору покупателя. Если вы прочитали до конца и решили купить светильник Virona - согласуем скидку 3%.</t>
        </is>
      </c>
      <c r="AI87" s="0" t="inlineStr">
        <is>
          <t>LED-driver</t>
        </is>
      </c>
      <c r="AK87" s="0" t="n">
        <v>0.95</v>
      </c>
      <c r="AL87" s="0" t="n">
        <v>1</v>
      </c>
      <c r="AN87" s="0" t="n">
        <v>176</v>
      </c>
      <c r="AO87" s="0" t="n">
        <v>264</v>
      </c>
      <c r="AP87" s="0" t="n">
        <v>-60</v>
      </c>
      <c r="AQ87" s="0" t="n">
        <v>50</v>
      </c>
      <c r="AS87" s="0" t="inlineStr">
        <is>
          <t>Картон</t>
        </is>
      </c>
      <c r="AT87" s="0" t="inlineStr">
        <is>
          <t>Да</t>
        </is>
      </c>
      <c r="AU87" s="0" t="n">
        <v>0.01001</v>
      </c>
      <c r="AV87" s="0" t="n">
        <v>0.172</v>
      </c>
      <c r="AW87" s="0" t="n">
        <v>1</v>
      </c>
      <c r="AX87" s="0" t="n">
        <v>650</v>
      </c>
      <c r="AY87" s="0" t="n">
        <v>110</v>
      </c>
      <c r="AZ87" s="0" t="n">
        <v>140</v>
      </c>
      <c r="BA87" s="0" t="n">
        <v>0.01001</v>
      </c>
      <c r="BB87" s="0" t="n">
        <v>0.172</v>
      </c>
      <c r="BD87" s="0" t="inlineStr">
        <is>
          <t>http://darion-svet.com/web/binary/saveas_archive?model=product.picture&amp;ids=[1629, 1912]&amp;field=image&amp;name_field=name&amp;archive_name=V1036_image</t>
        </is>
      </c>
      <c r="BE87" s="0" t="inlineStr">
        <is>
          <t>http://darion-svet.com/shop/product/v1036-vrn-un-124-g50k67-k-124vt-konsolnyij</t>
        </is>
      </c>
      <c r="BF87" s="0" t="inlineStr">
        <is>
          <t>http://darion-svet.com/web/binary/saveas?model=product.product&amp;field=conformity_cert&amp;filename_field=conformity_cert_filename&amp;id=18084</t>
        </is>
      </c>
      <c r="BG87" s="0" t="inlineStr">
        <is>
          <t>http://darion-svet.com/web/binary/saveas?model=product.product&amp;field=datasheet&amp;filename_field=datasheet_filename&amp;id=18084</t>
        </is>
      </c>
      <c r="BI87" s="0" t="n">
        <v>1</v>
      </c>
      <c r="BJ87" s="0" t="n">
        <v>3804</v>
      </c>
    </row>
    <row r="88">
      <c r="A88" s="0" t="inlineStr">
        <is>
          <t>V1037</t>
        </is>
      </c>
      <c r="B88" s="0" t="inlineStr">
        <is>
          <t>Светодиодный светильник Virona 248Вт Универсальный (VRN-UN-248D-G50K67-U)</t>
        </is>
      </c>
      <c r="C88" s="0" t="inlineStr">
        <is>
          <t>Универсал</t>
        </is>
      </c>
      <c r="E88" s="0" t="inlineStr">
        <is>
          <t>http://darion-svet.com/web/binary/image?model=product.product&amp;id=18090&amp;field=image</t>
        </is>
      </c>
      <c r="F88" s="0" t="n">
        <v>5</v>
      </c>
      <c r="G88" s="0" t="inlineStr">
        <is>
          <t>Российская Федерация</t>
        </is>
      </c>
      <c r="H88" s="0" t="inlineStr">
        <is>
          <t>VIRONA</t>
        </is>
      </c>
      <c r="I88" s="0" t="inlineStr">
        <is>
          <t>консольный; на лиру; подвесной</t>
        </is>
      </c>
      <c r="J88" s="0" t="inlineStr">
        <is>
          <t>улицы (дороги, тротуары); промышленные помещения, склады и цеха</t>
        </is>
      </c>
      <c r="M88" s="0" t="n">
        <v>248</v>
      </c>
      <c r="O88" s="0" t="inlineStr">
        <is>
          <t>SMD</t>
        </is>
      </c>
      <c r="P88" s="0" t="n">
        <v>39680</v>
      </c>
      <c r="Q88" s="0" t="n">
        <v>5000</v>
      </c>
      <c r="R88" s="0" t="n">
        <v>80</v>
      </c>
      <c r="S88" s="0" t="n">
        <v>67</v>
      </c>
      <c r="T88" s="0" t="inlineStr">
        <is>
          <t>Д</t>
        </is>
      </c>
      <c r="U88" s="0" t="n">
        <v>100000</v>
      </c>
      <c r="V88" s="0" t="n">
        <v>635</v>
      </c>
      <c r="W88" s="0" t="n">
        <v>210</v>
      </c>
      <c r="X88" s="0" t="n">
        <v>95</v>
      </c>
      <c r="AB88" s="0" t="n">
        <v>4.668</v>
      </c>
      <c r="AD88" s="0" t="inlineStr">
        <is>
          <t>алюминиевый профиль</t>
        </is>
      </c>
      <c r="AE88" s="0" t="inlineStr">
        <is>
          <t>стекло</t>
        </is>
      </c>
      <c r="AG88" s="0" t="inlineStr">
        <is>
          <t>прозрачный рассеиватель</t>
        </is>
      </c>
      <c r="AH88" s="0" t="inlineStr">
        <is>
          <t>Светодиоды Samsung LM286</t>
        </is>
      </c>
      <c r="AI88" s="0" t="inlineStr">
        <is>
          <t>LED-driver</t>
        </is>
      </c>
      <c r="AK88" s="0" t="n">
        <v>0.95</v>
      </c>
      <c r="AN88" s="0" t="n">
        <v>176</v>
      </c>
      <c r="AO88" s="0" t="n">
        <v>264</v>
      </c>
      <c r="AP88" s="0" t="n">
        <v>-60</v>
      </c>
      <c r="AQ88" s="0" t="n">
        <v>50</v>
      </c>
      <c r="AS88" s="0" t="inlineStr">
        <is>
          <t>Картон</t>
        </is>
      </c>
      <c r="AT88" s="0" t="inlineStr">
        <is>
          <t>Да</t>
        </is>
      </c>
      <c r="AU88" s="0" t="n">
        <v>0.01957</v>
      </c>
      <c r="AV88" s="0" t="n">
        <v>0.308</v>
      </c>
      <c r="AW88" s="0" t="n">
        <v>1</v>
      </c>
      <c r="AX88" s="0" t="n">
        <v>650</v>
      </c>
      <c r="AY88" s="0" t="n">
        <v>215</v>
      </c>
      <c r="AZ88" s="0" t="n">
        <v>140</v>
      </c>
      <c r="BA88" s="0" t="n">
        <v>0.01957</v>
      </c>
      <c r="BB88" s="0" t="n">
        <v>0.308</v>
      </c>
      <c r="BD88" s="0" t="inlineStr">
        <is>
          <t>http://darion-svet.com/web/binary/saveas_archive?model=product.picture&amp;ids=[1642]&amp;field=image&amp;name_field=name&amp;archive_name=V1037_image</t>
        </is>
      </c>
      <c r="BE88" s="0" t="inlineStr">
        <is>
          <t>http://darion-svet.com/shop/product/v1037-vrn-un-248d-g50k67-u-248vt-universalnyij</t>
        </is>
      </c>
      <c r="BI88" s="0" t="n">
        <v>0</v>
      </c>
      <c r="BJ88" s="0" t="n">
        <v>0</v>
      </c>
    </row>
    <row r="89">
      <c r="A89" s="0" t="inlineStr">
        <is>
          <t>V1038</t>
        </is>
      </c>
      <c r="B89" s="0" t="inlineStr">
        <is>
          <t>Светодиодный светильник Virona 248Вт Консольный (VRN-UN-248D-G50K67-K)</t>
        </is>
      </c>
      <c r="C89" s="0" t="inlineStr">
        <is>
          <t>Универсал</t>
        </is>
      </c>
      <c r="E89" s="0" t="inlineStr">
        <is>
          <t>http://darion-svet.com/web/binary/image?model=product.product&amp;id=18096&amp;field=image</t>
        </is>
      </c>
      <c r="F89" s="0" t="n">
        <v>5</v>
      </c>
      <c r="G89" s="0" t="inlineStr">
        <is>
          <t>Российская Федерация</t>
        </is>
      </c>
      <c r="H89" s="0" t="inlineStr">
        <is>
          <t>VIRONA</t>
        </is>
      </c>
      <c r="I89" s="0" t="inlineStr">
        <is>
          <t>консольный</t>
        </is>
      </c>
      <c r="J89" s="0" t="inlineStr">
        <is>
          <t>магистрали и дороги</t>
        </is>
      </c>
      <c r="M89" s="0" t="n">
        <v>248</v>
      </c>
      <c r="O89" s="0" t="inlineStr">
        <is>
          <t>SMD</t>
        </is>
      </c>
      <c r="P89" s="0" t="n">
        <v>39680</v>
      </c>
      <c r="Q89" s="0" t="n">
        <v>5000</v>
      </c>
      <c r="R89" s="0" t="n">
        <v>80</v>
      </c>
      <c r="S89" s="0" t="n">
        <v>67</v>
      </c>
      <c r="T89" s="0" t="inlineStr">
        <is>
          <t>Д</t>
        </is>
      </c>
      <c r="U89" s="0" t="n">
        <v>100000</v>
      </c>
      <c r="AD89" s="0" t="inlineStr">
        <is>
          <t>алюминиевый профиль</t>
        </is>
      </c>
      <c r="AE89" s="0" t="inlineStr">
        <is>
          <t>стекло</t>
        </is>
      </c>
      <c r="AG89" s="0" t="inlineStr">
        <is>
          <t>прозрачный рассеиватель</t>
        </is>
      </c>
      <c r="AH89" s="0" t="inlineStr">
        <is>
          <t>Светодиоды Samsung LM292</t>
        </is>
      </c>
      <c r="AI89" s="0" t="inlineStr">
        <is>
          <t>LED-driver</t>
        </is>
      </c>
      <c r="AK89" s="0" t="n">
        <v>0.95</v>
      </c>
      <c r="AN89" s="0" t="n">
        <v>176</v>
      </c>
      <c r="AO89" s="0" t="n">
        <v>264</v>
      </c>
      <c r="AP89" s="0" t="n">
        <v>-60</v>
      </c>
      <c r="AQ89" s="0" t="n">
        <v>50</v>
      </c>
      <c r="AS89" s="0" t="inlineStr">
        <is>
          <t>Картон</t>
        </is>
      </c>
      <c r="AT89" s="0" t="inlineStr">
        <is>
          <t>Да</t>
        </is>
      </c>
      <c r="AW89" s="0" t="n">
        <v>1</v>
      </c>
      <c r="BD89" s="0" t="inlineStr">
        <is>
          <t>http://darion-svet.com/web/binary/saveas_archive?model=product.picture&amp;ids=[1643]&amp;field=image&amp;name_field=name&amp;archive_name=V1038_image</t>
        </is>
      </c>
      <c r="BE89" s="0" t="inlineStr">
        <is>
          <t>http://darion-svet.com/shop/product/v1038-vrn-un-248d-g50k67-k-248vt-konsolnyij</t>
        </is>
      </c>
      <c r="BI89" s="0" t="n">
        <v>0</v>
      </c>
      <c r="BJ89" s="0" t="n">
        <v>0</v>
      </c>
    </row>
    <row r="90">
      <c r="A90" s="0" t="inlineStr">
        <is>
          <t>V1039</t>
        </is>
      </c>
      <c r="B90" s="0" t="inlineStr">
        <is>
          <t>Светодиодный светильник Virona 248Вт Универсальный (VRN-UN-248D-G50K67-U90)</t>
        </is>
      </c>
      <c r="C90" s="0" t="inlineStr">
        <is>
          <t>Универсал</t>
        </is>
      </c>
      <c r="E90" s="0" t="inlineStr">
        <is>
          <t>http://darion-svet.com/web/binary/image?model=product.product&amp;id=18102&amp;field=image</t>
        </is>
      </c>
      <c r="F90" s="0" t="n">
        <v>5</v>
      </c>
      <c r="G90" s="0" t="inlineStr">
        <is>
          <t>Российская Федерация</t>
        </is>
      </c>
      <c r="H90" s="0" t="inlineStr">
        <is>
          <t>VIRONA</t>
        </is>
      </c>
      <c r="I90" s="0" t="inlineStr">
        <is>
          <t>консольный; на лиру; подвесной</t>
        </is>
      </c>
      <c r="J90" s="0" t="inlineStr">
        <is>
          <t>улицы (дороги, тротуары); промышленные помещения, склады и цеха</t>
        </is>
      </c>
      <c r="M90" s="0" t="n">
        <v>248</v>
      </c>
      <c r="O90" s="0" t="inlineStr">
        <is>
          <t>SMD</t>
        </is>
      </c>
      <c r="P90" s="0" t="n">
        <v>39680</v>
      </c>
      <c r="Q90" s="0" t="n">
        <v>5000</v>
      </c>
      <c r="R90" s="0" t="n">
        <v>80</v>
      </c>
      <c r="S90" s="0" t="n">
        <v>67</v>
      </c>
      <c r="T90" s="0" t="inlineStr">
        <is>
          <t>Л</t>
        </is>
      </c>
      <c r="U90" s="0" t="n">
        <v>100000</v>
      </c>
      <c r="V90" s="0" t="n">
        <v>624</v>
      </c>
      <c r="W90" s="0" t="n">
        <v>245</v>
      </c>
      <c r="X90" s="0" t="n">
        <v>163</v>
      </c>
      <c r="AD90" s="0" t="inlineStr">
        <is>
          <t>алюминиевый профиль</t>
        </is>
      </c>
      <c r="AE90" s="0" t="inlineStr">
        <is>
          <t>стекло</t>
        </is>
      </c>
      <c r="AG90" s="0" t="inlineStr">
        <is>
          <t>прозрачный рассеиватель</t>
        </is>
      </c>
      <c r="AH90" s="0" t="inlineStr">
        <is>
          <t>Светодиоды Samsung LM292</t>
        </is>
      </c>
      <c r="AI90" s="0" t="inlineStr">
        <is>
          <t>LED-driver</t>
        </is>
      </c>
      <c r="AK90" s="0" t="n">
        <v>0.95</v>
      </c>
      <c r="AN90" s="0" t="n">
        <v>176</v>
      </c>
      <c r="AO90" s="0" t="n">
        <v>264</v>
      </c>
      <c r="AP90" s="0" t="n">
        <v>-60</v>
      </c>
      <c r="AQ90" s="0" t="n">
        <v>50</v>
      </c>
      <c r="AS90" s="0" t="inlineStr">
        <is>
          <t>Картон</t>
        </is>
      </c>
      <c r="AT90" s="0" t="inlineStr">
        <is>
          <t>Да</t>
        </is>
      </c>
      <c r="AW90" s="0" t="n">
        <v>1</v>
      </c>
      <c r="BD90" s="0" t="inlineStr">
        <is>
          <t>http://darion-svet.com/web/binary/saveas_archive?model=product.picture&amp;ids=[1644]&amp;field=image&amp;name_field=name&amp;archive_name=V1039_image</t>
        </is>
      </c>
      <c r="BE90" s="0" t="inlineStr">
        <is>
          <t>http://darion-svet.com/shop/product/v1039-vrn-un-248d-g50k67-u90-l-248vt-universalnyij-</t>
        </is>
      </c>
      <c r="BI90" s="0" t="n">
        <v>0</v>
      </c>
      <c r="BJ90" s="0" t="n">
        <v>0</v>
      </c>
    </row>
    <row r="91">
      <c r="A91" s="0" t="inlineStr">
        <is>
          <t>V1040</t>
        </is>
      </c>
      <c r="B91" s="0" t="inlineStr">
        <is>
          <t>Светодиодный светильник Virona 248Вт Консольный (VRN-UN-248D-G50K67-K90)</t>
        </is>
      </c>
      <c r="C91" s="0" t="inlineStr">
        <is>
          <t>Универсал</t>
        </is>
      </c>
      <c r="E91" s="0" t="inlineStr">
        <is>
          <t>http://darion-svet.com/web/binary/image?model=product.product&amp;id=18108&amp;field=image</t>
        </is>
      </c>
      <c r="F91" s="0" t="n">
        <v>5</v>
      </c>
      <c r="G91" s="0" t="inlineStr">
        <is>
          <t>Российская Федерация</t>
        </is>
      </c>
      <c r="H91" s="0" t="inlineStr">
        <is>
          <t>VIRONA</t>
        </is>
      </c>
      <c r="I91" s="0" t="inlineStr">
        <is>
          <t>консольный</t>
        </is>
      </c>
      <c r="J91" s="0" t="inlineStr">
        <is>
          <t>магистрали и дороги</t>
        </is>
      </c>
      <c r="M91" s="0" t="n">
        <v>248</v>
      </c>
      <c r="O91" s="0" t="inlineStr">
        <is>
          <t>SMD</t>
        </is>
      </c>
      <c r="P91" s="0" t="n">
        <v>39680</v>
      </c>
      <c r="Q91" s="0" t="n">
        <v>5000</v>
      </c>
      <c r="R91" s="0" t="n">
        <v>80</v>
      </c>
      <c r="S91" s="0" t="n">
        <v>67</v>
      </c>
      <c r="T91" s="0" t="inlineStr">
        <is>
          <t>Л</t>
        </is>
      </c>
      <c r="U91" s="0" t="n">
        <v>100000</v>
      </c>
      <c r="V91" s="0" t="n">
        <v>650</v>
      </c>
      <c r="W91" s="0" t="n">
        <v>110</v>
      </c>
      <c r="X91" s="0" t="n">
        <v>140</v>
      </c>
      <c r="AB91" s="0" t="n">
        <v>2.34</v>
      </c>
      <c r="AD91" s="0" t="inlineStr">
        <is>
          <t>алюминиевый профиль</t>
        </is>
      </c>
      <c r="AE91" s="0" t="inlineStr">
        <is>
          <t>стекло</t>
        </is>
      </c>
      <c r="AG91" s="0" t="inlineStr">
        <is>
          <t>прозрачный рассеиватель</t>
        </is>
      </c>
      <c r="AH91" s="0" t="inlineStr">
        <is>
          <t>Светодиоды Samsung LM292</t>
        </is>
      </c>
      <c r="AI91" s="0" t="inlineStr">
        <is>
          <t>LED-driver</t>
        </is>
      </c>
      <c r="AK91" s="0" t="n">
        <v>0.95</v>
      </c>
      <c r="AN91" s="0" t="n">
        <v>176</v>
      </c>
      <c r="AO91" s="0" t="n">
        <v>264</v>
      </c>
      <c r="AP91" s="0" t="n">
        <v>-60</v>
      </c>
      <c r="AQ91" s="0" t="n">
        <v>50</v>
      </c>
      <c r="AS91" s="0" t="inlineStr">
        <is>
          <t>Картон</t>
        </is>
      </c>
      <c r="AT91" s="0" t="inlineStr">
        <is>
          <t>Да</t>
        </is>
      </c>
      <c r="AW91" s="0" t="n">
        <v>1</v>
      </c>
      <c r="BD91" s="0" t="inlineStr">
        <is>
          <t>http://darion-svet.com/web/binary/saveas_archive?model=product.picture&amp;ids=[1645]&amp;field=image&amp;name_field=name&amp;archive_name=V1040_image</t>
        </is>
      </c>
      <c r="BE91" s="0" t="inlineStr">
        <is>
          <t>http://darion-svet.com/shop/product/v1040-vrn-un-248d-g50k67-k90-l-248vt-konsolnyij-</t>
        </is>
      </c>
      <c r="BI91" s="0" t="n">
        <v>0</v>
      </c>
      <c r="BJ91" s="0" t="n">
        <v>0</v>
      </c>
    </row>
    <row r="92">
      <c r="A92" s="0" t="inlineStr">
        <is>
          <t>V1041</t>
        </is>
      </c>
      <c r="B92" s="0" t="inlineStr">
        <is>
          <t>Светодиодный светильник Virona 372Вт Универсальный (VRN-UN-372T-G50K67-U)</t>
        </is>
      </c>
      <c r="C92" s="0" t="inlineStr">
        <is>
          <t>Универсал</t>
        </is>
      </c>
      <c r="E92" s="0" t="inlineStr">
        <is>
          <t>http://darion-svet.com/web/binary/image?model=product.product&amp;id=18114&amp;field=image</t>
        </is>
      </c>
      <c r="F92" s="0" t="n">
        <v>5</v>
      </c>
      <c r="G92" s="0" t="inlineStr">
        <is>
          <t>Российская Федерация</t>
        </is>
      </c>
      <c r="H92" s="0" t="inlineStr">
        <is>
          <t>VIRONA</t>
        </is>
      </c>
      <c r="I92" s="0" t="inlineStr">
        <is>
          <t>консольный; на лиру; подвесной</t>
        </is>
      </c>
      <c r="J92" s="0" t="inlineStr">
        <is>
          <t>улицы (дороги, тротуары); промышленные помещения, склады и цеха</t>
        </is>
      </c>
      <c r="M92" s="0" t="n">
        <v>372</v>
      </c>
      <c r="O92" s="0" t="inlineStr">
        <is>
          <t>SMD</t>
        </is>
      </c>
      <c r="P92" s="0" t="n">
        <v>59520</v>
      </c>
      <c r="Q92" s="0" t="n">
        <v>5000</v>
      </c>
      <c r="R92" s="0" t="n">
        <v>80</v>
      </c>
      <c r="S92" s="0" t="n">
        <v>67</v>
      </c>
      <c r="T92" s="0" t="inlineStr">
        <is>
          <t>Д</t>
        </is>
      </c>
      <c r="U92" s="0" t="n">
        <v>100000</v>
      </c>
      <c r="V92" s="0" t="n">
        <v>643</v>
      </c>
      <c r="W92" s="0" t="n">
        <v>320</v>
      </c>
      <c r="X92" s="0" t="n">
        <v>93</v>
      </c>
      <c r="AB92" s="0" t="n">
        <v>6.845</v>
      </c>
      <c r="AD92" s="0" t="inlineStr">
        <is>
          <t>алюминиевый профиль</t>
        </is>
      </c>
      <c r="AE92" s="0" t="inlineStr">
        <is>
          <t>стекло</t>
        </is>
      </c>
      <c r="AG92" s="0" t="inlineStr">
        <is>
          <t>прозрачный рассеиватель</t>
        </is>
      </c>
      <c r="AH92" s="0" t="inlineStr">
        <is>
          <t>Светодиоды Samsung LM292</t>
        </is>
      </c>
      <c r="AI92" s="0" t="inlineStr">
        <is>
          <t>LED-driver</t>
        </is>
      </c>
      <c r="AK92" s="0" t="n">
        <v>0.95</v>
      </c>
      <c r="AN92" s="0" t="n">
        <v>176</v>
      </c>
      <c r="AO92" s="0" t="n">
        <v>264</v>
      </c>
      <c r="AP92" s="0" t="n">
        <v>-60</v>
      </c>
      <c r="AQ92" s="0" t="n">
        <v>50</v>
      </c>
      <c r="AS92" s="0" t="inlineStr">
        <is>
          <t>Картон</t>
        </is>
      </c>
      <c r="AT92" s="0" t="inlineStr">
        <is>
          <t>Да</t>
        </is>
      </c>
      <c r="AU92" s="0" t="n">
        <v>0.03185</v>
      </c>
      <c r="AV92" s="0" t="n">
        <v>0.3</v>
      </c>
      <c r="AW92" s="0" t="n">
        <v>1</v>
      </c>
      <c r="AX92" s="0" t="n">
        <v>650</v>
      </c>
      <c r="AY92" s="0" t="n">
        <v>350</v>
      </c>
      <c r="AZ92" s="0" t="n">
        <v>140</v>
      </c>
      <c r="BA92" s="0" t="n">
        <v>0.03185</v>
      </c>
      <c r="BB92" s="0" t="n">
        <v>0.3</v>
      </c>
      <c r="BD92" s="0" t="inlineStr">
        <is>
          <t>http://darion-svet.com/web/binary/saveas_archive?model=product.picture&amp;ids=[1666]&amp;field=image&amp;name_field=name&amp;archive_name=V1041_image</t>
        </is>
      </c>
      <c r="BE92" s="0" t="inlineStr">
        <is>
          <t>http://darion-svet.com/shop/product/v1041-vrn-un-372t-g50k67-u-372vt-universalnyij</t>
        </is>
      </c>
      <c r="BI92" s="0" t="n">
        <v>0</v>
      </c>
      <c r="BJ92" s="0" t="n">
        <v>0</v>
      </c>
    </row>
    <row r="93">
      <c r="A93" s="0" t="inlineStr">
        <is>
          <t>V1042</t>
        </is>
      </c>
      <c r="B93" s="0" t="inlineStr">
        <is>
          <t>Светодиодный светильник Virona 372Вт Консольный (VRN-UN-372T-G50K67-K)</t>
        </is>
      </c>
      <c r="C93" s="0" t="inlineStr">
        <is>
          <t>Универсал</t>
        </is>
      </c>
      <c r="E93" s="0" t="inlineStr">
        <is>
          <t>http://darion-svet.com/web/binary/image?model=product.product&amp;id=18120&amp;field=image</t>
        </is>
      </c>
      <c r="F93" s="0" t="n">
        <v>5</v>
      </c>
      <c r="G93" s="0" t="inlineStr">
        <is>
          <t>Российская Федерация</t>
        </is>
      </c>
      <c r="H93" s="0" t="inlineStr">
        <is>
          <t>VIRONA</t>
        </is>
      </c>
      <c r="I93" s="0" t="inlineStr">
        <is>
          <t>консольный</t>
        </is>
      </c>
      <c r="J93" s="0" t="inlineStr">
        <is>
          <t>магистрали и дороги</t>
        </is>
      </c>
      <c r="M93" s="0" t="n">
        <v>372</v>
      </c>
      <c r="O93" s="0" t="inlineStr">
        <is>
          <t>SMD</t>
        </is>
      </c>
      <c r="P93" s="0" t="n">
        <v>59520</v>
      </c>
      <c r="Q93" s="0" t="n">
        <v>5000</v>
      </c>
      <c r="R93" s="0" t="n">
        <v>80</v>
      </c>
      <c r="S93" s="0" t="n">
        <v>67</v>
      </c>
      <c r="T93" s="0" t="inlineStr">
        <is>
          <t>Д</t>
        </is>
      </c>
      <c r="U93" s="0" t="n">
        <v>100000</v>
      </c>
      <c r="V93" s="0" t="n">
        <v>624</v>
      </c>
      <c r="W93" s="0" t="n">
        <v>320</v>
      </c>
      <c r="X93" s="0" t="n">
        <v>126</v>
      </c>
      <c r="AD93" s="0" t="inlineStr">
        <is>
          <t>алюминиевый профиль</t>
        </is>
      </c>
      <c r="AE93" s="0" t="inlineStr">
        <is>
          <t>стекло</t>
        </is>
      </c>
      <c r="AG93" s="0" t="inlineStr">
        <is>
          <t>прозрачный рассеиватель</t>
        </is>
      </c>
      <c r="AH93" s="0" t="inlineStr">
        <is>
          <t>Светодиоды Samsung LM292</t>
        </is>
      </c>
      <c r="AI93" s="0" t="inlineStr">
        <is>
          <t>LED-driver</t>
        </is>
      </c>
      <c r="AK93" s="0" t="n">
        <v>0.95</v>
      </c>
      <c r="AN93" s="0" t="n">
        <v>176</v>
      </c>
      <c r="AO93" s="0" t="n">
        <v>264</v>
      </c>
      <c r="AP93" s="0" t="n">
        <v>-60</v>
      </c>
      <c r="AQ93" s="0" t="n">
        <v>50</v>
      </c>
      <c r="AS93" s="0" t="inlineStr">
        <is>
          <t>Картон</t>
        </is>
      </c>
      <c r="AT93" s="0" t="inlineStr">
        <is>
          <t>Да</t>
        </is>
      </c>
      <c r="AW93" s="0" t="n">
        <v>1</v>
      </c>
      <c r="BD93" s="0" t="inlineStr">
        <is>
          <t>http://darion-svet.com/web/binary/saveas_archive?model=product.picture&amp;ids=[1667]&amp;field=image&amp;name_field=name&amp;archive_name=V1042_image</t>
        </is>
      </c>
      <c r="BE93" s="0" t="inlineStr">
        <is>
          <t>http://darion-svet.com/shop/product/v1042-vrn-un-372t-g50k67-k-372vt-konsolnyij-</t>
        </is>
      </c>
      <c r="BI93" s="0" t="n">
        <v>0</v>
      </c>
      <c r="BJ93" s="0" t="n">
        <v>0</v>
      </c>
    </row>
    <row r="94">
      <c r="A94" s="0" t="inlineStr">
        <is>
          <t>V1043</t>
        </is>
      </c>
      <c r="B94" s="0" t="inlineStr">
        <is>
          <t>Светодиодный светильник Virona 372Вт Универсальный VRN-UN-372T-G50K67-U90)</t>
        </is>
      </c>
      <c r="C94" s="0" t="inlineStr">
        <is>
          <t>Универсал</t>
        </is>
      </c>
      <c r="E94" s="0" t="inlineStr">
        <is>
          <t>http://darion-svet.com/web/binary/image?model=product.product&amp;id=18126&amp;field=image</t>
        </is>
      </c>
      <c r="F94" s="0" t="n">
        <v>5</v>
      </c>
      <c r="G94" s="0" t="inlineStr">
        <is>
          <t>Российская Федерация</t>
        </is>
      </c>
      <c r="H94" s="0" t="inlineStr">
        <is>
          <t>VIRONA</t>
        </is>
      </c>
      <c r="I94" s="0" t="inlineStr">
        <is>
          <t>консольный; на лиру; подвесной</t>
        </is>
      </c>
      <c r="J94" s="0" t="inlineStr">
        <is>
          <t>улицы (дороги, тротуары); промышленные помещения, склады и цеха</t>
        </is>
      </c>
      <c r="M94" s="0" t="n">
        <v>372</v>
      </c>
      <c r="O94" s="0" t="inlineStr">
        <is>
          <t>SMD</t>
        </is>
      </c>
      <c r="P94" s="0" t="n">
        <v>59520</v>
      </c>
      <c r="Q94" s="0" t="n">
        <v>5000</v>
      </c>
      <c r="R94" s="0" t="n">
        <v>80</v>
      </c>
      <c r="S94" s="0" t="n">
        <v>67</v>
      </c>
      <c r="T94" s="0" t="inlineStr">
        <is>
          <t>Л</t>
        </is>
      </c>
      <c r="U94" s="0" t="n">
        <v>100000</v>
      </c>
      <c r="V94" s="0" t="n">
        <v>624</v>
      </c>
      <c r="W94" s="0" t="n">
        <v>326</v>
      </c>
      <c r="X94" s="0" t="n">
        <v>147</v>
      </c>
      <c r="AD94" s="0" t="inlineStr">
        <is>
          <t>алюминиевый профиль</t>
        </is>
      </c>
      <c r="AE94" s="0" t="inlineStr">
        <is>
          <t>стекло</t>
        </is>
      </c>
      <c r="AG94" s="0" t="inlineStr">
        <is>
          <t>прозрачный рассеиватель</t>
        </is>
      </c>
      <c r="AH94" s="0" t="inlineStr">
        <is>
          <t>Светодиоды Samsung LM292</t>
        </is>
      </c>
      <c r="AI94" s="0" t="inlineStr">
        <is>
          <t>LED-driver</t>
        </is>
      </c>
      <c r="AK94" s="0" t="n">
        <v>0.95</v>
      </c>
      <c r="AN94" s="0" t="n">
        <v>176</v>
      </c>
      <c r="AO94" s="0" t="n">
        <v>264</v>
      </c>
      <c r="AP94" s="0" t="n">
        <v>-60</v>
      </c>
      <c r="AQ94" s="0" t="n">
        <v>50</v>
      </c>
      <c r="AS94" s="0" t="inlineStr">
        <is>
          <t>Картон</t>
        </is>
      </c>
      <c r="AT94" s="0" t="inlineStr">
        <is>
          <t>Да</t>
        </is>
      </c>
      <c r="AW94" s="0" t="n">
        <v>1</v>
      </c>
      <c r="BD94" s="0" t="inlineStr">
        <is>
          <t>http://darion-svet.com/web/binary/saveas_archive?model=product.picture&amp;ids=[1668]&amp;field=image&amp;name_field=name&amp;archive_name=V1043_image</t>
        </is>
      </c>
      <c r="BE94" s="0" t="inlineStr">
        <is>
          <t>http://darion-svet.com/shop/product/v1043-vrn-un-372t-g50k67-u90-372vt-universalnyij</t>
        </is>
      </c>
      <c r="BI94" s="0" t="n">
        <v>0</v>
      </c>
      <c r="BJ94" s="0" t="n">
        <v>0</v>
      </c>
    </row>
    <row r="95">
      <c r="A95" s="0" t="inlineStr">
        <is>
          <t>V1044</t>
        </is>
      </c>
      <c r="B95" s="0" t="inlineStr">
        <is>
          <t>Светодиодный светильник Virona 372Вт Консольный (VRN-UN-372T-G50K67-K90)</t>
        </is>
      </c>
      <c r="C95" s="0" t="inlineStr">
        <is>
          <t>Универсал</t>
        </is>
      </c>
      <c r="E95" s="0" t="inlineStr">
        <is>
          <t>http://darion-svet.com/web/binary/image?model=product.product&amp;id=18132&amp;field=image</t>
        </is>
      </c>
      <c r="F95" s="0" t="n">
        <v>5</v>
      </c>
      <c r="G95" s="0" t="inlineStr">
        <is>
          <t>Российская Федерация</t>
        </is>
      </c>
      <c r="H95" s="0" t="inlineStr">
        <is>
          <t>VIRONA</t>
        </is>
      </c>
      <c r="I95" s="0" t="inlineStr">
        <is>
          <t>консольный</t>
        </is>
      </c>
      <c r="J95" s="0" t="inlineStr">
        <is>
          <t>магистрали и дороги</t>
        </is>
      </c>
      <c r="M95" s="0" t="n">
        <v>372</v>
      </c>
      <c r="O95" s="0" t="inlineStr">
        <is>
          <t>SMD</t>
        </is>
      </c>
      <c r="P95" s="0" t="n">
        <v>59520</v>
      </c>
      <c r="Q95" s="0" t="n">
        <v>5000</v>
      </c>
      <c r="R95" s="0" t="n">
        <v>80</v>
      </c>
      <c r="S95" s="0" t="n">
        <v>67</v>
      </c>
      <c r="T95" s="0" t="inlineStr">
        <is>
          <t>Л</t>
        </is>
      </c>
      <c r="U95" s="0" t="n">
        <v>100000</v>
      </c>
      <c r="V95" s="0" t="n">
        <v>624</v>
      </c>
      <c r="W95" s="0" t="n">
        <v>326</v>
      </c>
      <c r="X95" s="0" t="n">
        <v>133</v>
      </c>
      <c r="AD95" s="0" t="inlineStr">
        <is>
          <t>алюминиевый профиль</t>
        </is>
      </c>
      <c r="AE95" s="0" t="inlineStr">
        <is>
          <t>стекло</t>
        </is>
      </c>
      <c r="AG95" s="0" t="inlineStr">
        <is>
          <t>прозрачный рассеиватель</t>
        </is>
      </c>
      <c r="AH95" s="0" t="inlineStr">
        <is>
          <t>Светодиоды Samsung LM292</t>
        </is>
      </c>
      <c r="AI95" s="0" t="inlineStr">
        <is>
          <t>LED-driver</t>
        </is>
      </c>
      <c r="AK95" s="0" t="n">
        <v>0.95</v>
      </c>
      <c r="AN95" s="0" t="n">
        <v>176</v>
      </c>
      <c r="AO95" s="0" t="n">
        <v>264</v>
      </c>
      <c r="AP95" s="0" t="n">
        <v>-60</v>
      </c>
      <c r="AQ95" s="0" t="n">
        <v>50</v>
      </c>
      <c r="AS95" s="0" t="inlineStr">
        <is>
          <t>Картон</t>
        </is>
      </c>
      <c r="AT95" s="0" t="inlineStr">
        <is>
          <t>Да</t>
        </is>
      </c>
      <c r="AW95" s="0" t="n">
        <v>1</v>
      </c>
      <c r="BD95" s="0" t="inlineStr">
        <is>
          <t>http://darion-svet.com/web/binary/saveas_archive?model=product.picture&amp;ids=[1719]&amp;field=image&amp;name_field=name&amp;archive_name=V1044_image</t>
        </is>
      </c>
      <c r="BE95" s="0" t="inlineStr">
        <is>
          <t>http://darion-svet.com/shop/product/v1044-vrn-un-372t-g50k67-k90-372vt-konsolnyij-</t>
        </is>
      </c>
      <c r="BI95" s="0" t="n">
        <v>0</v>
      </c>
      <c r="BJ95" s="0" t="n">
        <v>0</v>
      </c>
    </row>
    <row r="96">
      <c r="A96" s="0" t="inlineStr">
        <is>
          <t>V1045</t>
        </is>
      </c>
      <c r="B96" s="0" t="inlineStr">
        <is>
          <t>Светодиодный светильник Virona 32Вт Галочка (VRN-UN-32D-G50K67-UV)</t>
        </is>
      </c>
      <c r="C96" s="0" t="inlineStr">
        <is>
          <t>Универсал</t>
        </is>
      </c>
      <c r="E96" s="0" t="inlineStr">
        <is>
          <t>http://darion-svet.com/web/binary/image?model=product.product&amp;id=18133&amp;field=image</t>
        </is>
      </c>
      <c r="F96" s="0" t="n">
        <v>5</v>
      </c>
      <c r="G96" s="0" t="inlineStr">
        <is>
          <t>Российская Федерация</t>
        </is>
      </c>
      <c r="H96" s="0" t="inlineStr">
        <is>
          <t>VIRONA</t>
        </is>
      </c>
      <c r="I96" s="0" t="inlineStr">
        <is>
          <t>консольный; на лиру; подвесной</t>
        </is>
      </c>
      <c r="J96" s="0" t="inlineStr">
        <is>
          <t>улицы (дороги, тротуары); промышленные помещения, склады и цеха</t>
        </is>
      </c>
      <c r="M96" s="0" t="n">
        <v>32</v>
      </c>
      <c r="O96" s="0" t="inlineStr">
        <is>
          <t>SMD</t>
        </is>
      </c>
      <c r="P96" s="0" t="n">
        <v>5120</v>
      </c>
      <c r="Q96" s="0" t="n">
        <v>5000</v>
      </c>
      <c r="R96" s="0" t="n">
        <v>80</v>
      </c>
      <c r="S96" s="0" t="n">
        <v>67</v>
      </c>
      <c r="T96" s="0" t="inlineStr">
        <is>
          <t>Л</t>
        </is>
      </c>
      <c r="U96" s="0" t="n">
        <v>100000</v>
      </c>
      <c r="V96" s="0" t="n">
        <v>445</v>
      </c>
      <c r="W96" s="0" t="n">
        <v>100</v>
      </c>
      <c r="X96" s="0" t="n">
        <v>100</v>
      </c>
      <c r="AB96" s="0" t="n">
        <v>1.7</v>
      </c>
      <c r="AD96" s="0" t="inlineStr">
        <is>
          <t>алюминиевый профиль</t>
        </is>
      </c>
      <c r="AE96" s="0" t="inlineStr">
        <is>
          <t>стекло</t>
        </is>
      </c>
      <c r="AG96" s="0" t="inlineStr">
        <is>
          <t>прозрачный рассеиватель</t>
        </is>
      </c>
      <c r="AH96" s="0" t="inlineStr">
        <is>
          <t>Светодиоды Samsung LM292</t>
        </is>
      </c>
      <c r="AI96" s="0" t="inlineStr">
        <is>
          <t>LED-driver</t>
        </is>
      </c>
      <c r="AK96" s="0" t="n">
        <v>0.95</v>
      </c>
      <c r="AN96" s="0" t="n">
        <v>176</v>
      </c>
      <c r="AO96" s="0" t="n">
        <v>264</v>
      </c>
      <c r="AP96" s="0" t="n">
        <v>-60</v>
      </c>
      <c r="AQ96" s="0" t="n">
        <v>50</v>
      </c>
      <c r="AS96" s="0" t="inlineStr">
        <is>
          <t>Картон</t>
        </is>
      </c>
      <c r="AT96" s="0" t="inlineStr">
        <is>
          <t>Да</t>
        </is>
      </c>
      <c r="AU96" s="0" t="n">
        <v>0.00842</v>
      </c>
      <c r="AV96" s="0" t="n">
        <v>0.17</v>
      </c>
      <c r="AW96" s="0" t="n">
        <v>1</v>
      </c>
      <c r="AX96" s="0" t="n">
        <v>450</v>
      </c>
      <c r="AY96" s="0" t="n">
        <v>170</v>
      </c>
      <c r="AZ96" s="0" t="n">
        <v>110</v>
      </c>
      <c r="BA96" s="0" t="n">
        <v>0.00842</v>
      </c>
      <c r="BB96" s="0" t="n">
        <v>0.17</v>
      </c>
      <c r="BD96" s="0" t="inlineStr">
        <is>
          <t>http://darion-svet.com/web/binary/saveas_archive?model=product.picture&amp;ids=[1817]&amp;field=image&amp;name_field=name&amp;archive_name=V1045_image</t>
        </is>
      </c>
      <c r="BE96" s="0" t="inlineStr">
        <is>
          <t>http://darion-svet.com/shop/product/v1045-vrn-un-32d-g50k67-uv-32vt-galochka</t>
        </is>
      </c>
      <c r="BI96" s="0" t="n">
        <v>0</v>
      </c>
      <c r="BJ96" s="0" t="n">
        <v>0</v>
      </c>
    </row>
    <row r="97">
      <c r="A97" s="0" t="inlineStr">
        <is>
          <t>V1046</t>
        </is>
      </c>
      <c r="B97" s="0" t="inlineStr">
        <is>
          <t>Светодиодный светильник Virona 48Вт Галочка (VRN-UN-48D-G50K67-UV)</t>
        </is>
      </c>
      <c r="C97" s="0" t="inlineStr">
        <is>
          <t>Универсал</t>
        </is>
      </c>
      <c r="E97" s="0" t="inlineStr">
        <is>
          <t>http://darion-svet.com/web/binary/image?model=product.product&amp;id=18134&amp;field=image</t>
        </is>
      </c>
      <c r="F97" s="0" t="n">
        <v>5</v>
      </c>
      <c r="G97" s="0" t="inlineStr">
        <is>
          <t>Российская Федерация</t>
        </is>
      </c>
      <c r="H97" s="0" t="inlineStr">
        <is>
          <t>VIRONA</t>
        </is>
      </c>
      <c r="I97" s="0" t="inlineStr">
        <is>
          <t>консольный; на лиру; подвесной</t>
        </is>
      </c>
      <c r="J97" s="0" t="inlineStr">
        <is>
          <t>улицы (дороги, тротуары); промышленные помещения, склады и цеха</t>
        </is>
      </c>
      <c r="M97" s="0" t="n">
        <v>48</v>
      </c>
      <c r="O97" s="0" t="inlineStr">
        <is>
          <t>SMD</t>
        </is>
      </c>
      <c r="P97" s="0" t="n">
        <v>7680</v>
      </c>
      <c r="Q97" s="0" t="n">
        <v>5000</v>
      </c>
      <c r="R97" s="0" t="n">
        <v>80</v>
      </c>
      <c r="S97" s="0" t="n">
        <v>67</v>
      </c>
      <c r="T97" s="0" t="inlineStr">
        <is>
          <t>Л</t>
        </is>
      </c>
      <c r="U97" s="0" t="n">
        <v>100000</v>
      </c>
      <c r="V97" s="0" t="n">
        <v>510</v>
      </c>
      <c r="W97" s="0" t="n">
        <v>100</v>
      </c>
      <c r="X97" s="0" t="n">
        <v>150</v>
      </c>
      <c r="AB97" s="0" t="n">
        <v>1.7</v>
      </c>
      <c r="AD97" s="0" t="inlineStr">
        <is>
          <t>алюминиевый профиль</t>
        </is>
      </c>
      <c r="AE97" s="0" t="inlineStr">
        <is>
          <t>стекло</t>
        </is>
      </c>
      <c r="AG97" s="0" t="inlineStr">
        <is>
          <t>прозрачный рассеиватель</t>
        </is>
      </c>
      <c r="AH97" s="0" t="inlineStr">
        <is>
          <t>Светодиоды Samsung LM292</t>
        </is>
      </c>
      <c r="AI97" s="0" t="inlineStr">
        <is>
          <t>LED-driver</t>
        </is>
      </c>
      <c r="AK97" s="0" t="n">
        <v>0.95</v>
      </c>
      <c r="AN97" s="0" t="n">
        <v>176</v>
      </c>
      <c r="AO97" s="0" t="n">
        <v>264</v>
      </c>
      <c r="AP97" s="0" t="n">
        <v>-60</v>
      </c>
      <c r="AQ97" s="0" t="n">
        <v>50</v>
      </c>
      <c r="AS97" s="0" t="inlineStr">
        <is>
          <t>Картон</t>
        </is>
      </c>
      <c r="AT97" s="0" t="inlineStr">
        <is>
          <t>Да</t>
        </is>
      </c>
      <c r="AU97" s="0" t="n">
        <v>0.008500000000000001</v>
      </c>
      <c r="AV97" s="0" t="n">
        <v>1.85</v>
      </c>
      <c r="AW97" s="0" t="n">
        <v>1</v>
      </c>
      <c r="AX97" s="0" t="n">
        <v>450</v>
      </c>
      <c r="AY97" s="0" t="n">
        <v>170</v>
      </c>
      <c r="AZ97" s="0" t="n">
        <v>110</v>
      </c>
      <c r="BA97" s="0" t="n">
        <v>0.008500000000000001</v>
      </c>
      <c r="BB97" s="0" t="n">
        <v>1.85</v>
      </c>
      <c r="BD97" s="0" t="inlineStr">
        <is>
          <t>http://darion-svet.com/web/binary/saveas_archive?model=product.picture&amp;ids=[1818]&amp;field=image&amp;name_field=name&amp;archive_name=V1046_image</t>
        </is>
      </c>
      <c r="BE97" s="0" t="inlineStr">
        <is>
          <t>http://darion-svet.com/shop/product/v1046-vrn-un-48d-g50k67-uv-48vt-galochka</t>
        </is>
      </c>
      <c r="BI97" s="0" t="n">
        <v>1</v>
      </c>
      <c r="BJ97" s="0" t="n">
        <v>6095</v>
      </c>
    </row>
    <row r="98">
      <c r="A98" s="0" t="inlineStr">
        <is>
          <t>V1047</t>
        </is>
      </c>
      <c r="B98" s="0" t="inlineStr">
        <is>
          <t>Светодиодный светильник Virona 64Вт Галочка (VRN-UN-64D-G50K67-UV)</t>
        </is>
      </c>
      <c r="C98" s="0" t="inlineStr">
        <is>
          <t>Универсал</t>
        </is>
      </c>
      <c r="E98" s="0" t="inlineStr">
        <is>
          <t>http://darion-svet.com/web/binary/image?model=product.product&amp;id=18135&amp;field=image</t>
        </is>
      </c>
      <c r="F98" s="0" t="n">
        <v>5</v>
      </c>
      <c r="G98" s="0" t="inlineStr">
        <is>
          <t>Российская Федерация</t>
        </is>
      </c>
      <c r="H98" s="0" t="inlineStr">
        <is>
          <t>VIRONA</t>
        </is>
      </c>
      <c r="I98" s="0" t="inlineStr">
        <is>
          <t>консольный; на лиру; подвесной</t>
        </is>
      </c>
      <c r="J98" s="0" t="inlineStr">
        <is>
          <t>улицы (дороги, тротуары); промышленные помещения, склады и цеха</t>
        </is>
      </c>
      <c r="M98" s="0" t="n">
        <v>64</v>
      </c>
      <c r="O98" s="0" t="inlineStr">
        <is>
          <t>SMD</t>
        </is>
      </c>
      <c r="P98" s="0" t="n">
        <v>10240</v>
      </c>
      <c r="Q98" s="0" t="n">
        <v>5000</v>
      </c>
      <c r="R98" s="0" t="n">
        <v>80</v>
      </c>
      <c r="S98" s="0" t="n">
        <v>67</v>
      </c>
      <c r="T98" s="0" t="inlineStr">
        <is>
          <t>Л</t>
        </is>
      </c>
      <c r="U98" s="0" t="n">
        <v>100000</v>
      </c>
      <c r="V98" s="0" t="n">
        <v>412</v>
      </c>
      <c r="W98" s="0" t="n">
        <v>145</v>
      </c>
      <c r="X98" s="0" t="n">
        <v>100</v>
      </c>
      <c r="AB98" s="0" t="n">
        <v>1.758</v>
      </c>
      <c r="AD98" s="0" t="inlineStr">
        <is>
          <t>алюминиевый профиль</t>
        </is>
      </c>
      <c r="AE98" s="0" t="inlineStr">
        <is>
          <t>стекло</t>
        </is>
      </c>
      <c r="AG98" s="0" t="inlineStr">
        <is>
          <t>прозрачный рассеиватель</t>
        </is>
      </c>
      <c r="AH98" s="0" t="inlineStr">
        <is>
          <t>Светодиоды Samsung LM292</t>
        </is>
      </c>
      <c r="AI98" s="0" t="inlineStr">
        <is>
          <t>LED-driver</t>
        </is>
      </c>
      <c r="AK98" s="0" t="n">
        <v>0.95</v>
      </c>
      <c r="AN98" s="0" t="n">
        <v>176</v>
      </c>
      <c r="AO98" s="0" t="n">
        <v>264</v>
      </c>
      <c r="AP98" s="0" t="n">
        <v>-60</v>
      </c>
      <c r="AQ98" s="0" t="n">
        <v>50</v>
      </c>
      <c r="AS98" s="0" t="inlineStr">
        <is>
          <t>Картон</t>
        </is>
      </c>
      <c r="AT98" s="0" t="inlineStr">
        <is>
          <t>Да</t>
        </is>
      </c>
      <c r="AU98" s="0" t="n">
        <v>0.00842</v>
      </c>
      <c r="AV98" s="0" t="n">
        <v>0.174</v>
      </c>
      <c r="AW98" s="0" t="n">
        <v>1</v>
      </c>
      <c r="AX98" s="0" t="n">
        <v>450</v>
      </c>
      <c r="AY98" s="0" t="n">
        <v>170</v>
      </c>
      <c r="AZ98" s="0" t="n">
        <v>110</v>
      </c>
      <c r="BA98" s="0" t="n">
        <v>0.00842</v>
      </c>
      <c r="BB98" s="0" t="n">
        <v>0.174</v>
      </c>
      <c r="BD98" s="0" t="inlineStr">
        <is>
          <t>http://darion-svet.com/web/binary/saveas_archive?model=product.picture&amp;ids=[1625]&amp;field=image&amp;name_field=name&amp;archive_name=V1047_image</t>
        </is>
      </c>
      <c r="BE98" s="0" t="inlineStr">
        <is>
          <t>http://darion-svet.com/shop/product/v1047-vrn-un-64d-g50k67-uv-64vt-galochka</t>
        </is>
      </c>
      <c r="BI98" s="0" t="n">
        <v>0</v>
      </c>
      <c r="BJ98" s="0" t="n">
        <v>0</v>
      </c>
    </row>
    <row r="99">
      <c r="A99" s="0" t="inlineStr">
        <is>
          <t>V10477</t>
        </is>
      </c>
      <c r="B99" s="0" t="inlineStr">
        <is>
          <t>Светодиодный светильник VRN-UN-52D-G50K67-UV</t>
        </is>
      </c>
      <c r="C99" s="0" t="inlineStr">
        <is>
          <t>Универсал</t>
        </is>
      </c>
      <c r="E99" s="0" t="inlineStr">
        <is>
          <t>http://darion-svet.com/web/binary/image?model=product.product&amp;id=26891&amp;field=image</t>
        </is>
      </c>
      <c r="G99" s="0" t="inlineStr">
        <is>
          <t>Российская Федерация</t>
        </is>
      </c>
      <c r="H99" s="0" t="inlineStr">
        <is>
          <t>VIRONA</t>
        </is>
      </c>
      <c r="I99" s="0" t="inlineStr">
        <is>
          <t>консольный; на лиру; подвесной</t>
        </is>
      </c>
      <c r="J99" s="0" t="inlineStr">
        <is>
          <t>улицы (дороги, тротуары); магистрали и дороги</t>
        </is>
      </c>
      <c r="M99" s="0" t="n">
        <v>52</v>
      </c>
      <c r="O99" s="0" t="inlineStr">
        <is>
          <t>SMD</t>
        </is>
      </c>
      <c r="P99" s="0" t="n">
        <v>8320</v>
      </c>
      <c r="Q99" s="0" t="n">
        <v>5000</v>
      </c>
      <c r="R99" s="0" t="n">
        <v>80</v>
      </c>
      <c r="S99" s="0" t="n">
        <v>67</v>
      </c>
      <c r="T99" s="0" t="inlineStr">
        <is>
          <t>Л</t>
        </is>
      </c>
      <c r="U99" s="0" t="inlineStr">
        <is>
          <t>100 000 ч.</t>
        </is>
      </c>
      <c r="V99" s="0" t="n">
        <v>510</v>
      </c>
      <c r="W99" s="0" t="n">
        <v>100</v>
      </c>
      <c r="X99" s="0" t="n">
        <v>150</v>
      </c>
      <c r="AB99" s="0" t="n">
        <v>1.75</v>
      </c>
      <c r="AD99" s="0" t="inlineStr">
        <is>
          <t>алюминиевый профиль</t>
        </is>
      </c>
      <c r="AE99" s="0" t="inlineStr">
        <is>
          <t>полимерный материал</t>
        </is>
      </c>
      <c r="AH99" s="0" t="inlineStr">
        <is>
          <t>Светодиоды Samsung LH351</t>
        </is>
      </c>
      <c r="AI99" s="0" t="inlineStr">
        <is>
          <t>LED-driver</t>
        </is>
      </c>
      <c r="AK99" s="0" t="n">
        <v>0.95</v>
      </c>
      <c r="AL99" s="0" t="n">
        <v>1</v>
      </c>
      <c r="AN99" s="0" t="n">
        <v>176</v>
      </c>
      <c r="AO99" s="0" t="n">
        <v>264</v>
      </c>
      <c r="AP99" s="0" t="n">
        <v>-60</v>
      </c>
      <c r="AQ99" s="0" t="n">
        <v>50</v>
      </c>
      <c r="AS99" s="0" t="inlineStr">
        <is>
          <t>Картон</t>
        </is>
      </c>
      <c r="AT99" s="0" t="inlineStr">
        <is>
          <t>Да</t>
        </is>
      </c>
      <c r="AW99" s="0" t="n">
        <v>1</v>
      </c>
      <c r="AX99" s="0" t="n">
        <v>450</v>
      </c>
      <c r="AY99" s="0" t="n">
        <v>170</v>
      </c>
      <c r="AZ99" s="0" t="n">
        <v>110</v>
      </c>
      <c r="BE99" s="0" t="inlineStr">
        <is>
          <t>http://darion-svet.com/shop/product/v10477-vrn-un-52d-g50k67-uv</t>
        </is>
      </c>
      <c r="BI99" s="0" t="n">
        <v>0</v>
      </c>
      <c r="BJ99" s="0" t="n">
        <v>0</v>
      </c>
    </row>
    <row r="100">
      <c r="A100" s="0" t="inlineStr">
        <is>
          <t>V1048</t>
        </is>
      </c>
      <c r="B100" s="0" t="inlineStr">
        <is>
          <t>Светодиодный светильник Virona 96Вт Галочка (VRN-UN-96D-G50K67-UV)</t>
        </is>
      </c>
      <c r="C100" s="0" t="inlineStr">
        <is>
          <t>Универсал</t>
        </is>
      </c>
      <c r="E100" s="0" t="inlineStr">
        <is>
          <t>http://darion-svet.com/web/binary/image?model=product.product&amp;id=18136&amp;field=image</t>
        </is>
      </c>
      <c r="F100" s="0" t="n">
        <v>5</v>
      </c>
      <c r="G100" s="0" t="inlineStr">
        <is>
          <t>Российская Федерация</t>
        </is>
      </c>
      <c r="H100" s="0" t="inlineStr">
        <is>
          <t>VIRONA</t>
        </is>
      </c>
      <c r="I100" s="0" t="inlineStr">
        <is>
          <t>консольный; на лиру; подвесной</t>
        </is>
      </c>
      <c r="J100" s="0" t="inlineStr">
        <is>
          <t>улицы (дороги, тротуары); промышленные помещения, склады и цеха</t>
        </is>
      </c>
      <c r="M100" s="0" t="n">
        <v>96</v>
      </c>
      <c r="O100" s="0" t="inlineStr">
        <is>
          <t>SMD</t>
        </is>
      </c>
      <c r="P100" s="0" t="n">
        <v>15360</v>
      </c>
      <c r="Q100" s="0" t="n">
        <v>5000</v>
      </c>
      <c r="R100" s="0" t="n">
        <v>80</v>
      </c>
      <c r="S100" s="0" t="n">
        <v>67</v>
      </c>
      <c r="T100" s="0" t="inlineStr">
        <is>
          <t>Л</t>
        </is>
      </c>
      <c r="U100" s="0" t="n">
        <v>100000</v>
      </c>
      <c r="V100" s="0" t="n">
        <v>505</v>
      </c>
      <c r="W100" s="0" t="n">
        <v>170</v>
      </c>
      <c r="X100" s="0" t="n">
        <v>100</v>
      </c>
      <c r="AB100" s="0" t="n">
        <v>2.19</v>
      </c>
      <c r="AD100" s="0" t="inlineStr">
        <is>
          <t>алюминиевый профиль</t>
        </is>
      </c>
      <c r="AE100" s="0" t="inlineStr">
        <is>
          <t>стекло</t>
        </is>
      </c>
      <c r="AG100" s="0" t="inlineStr">
        <is>
          <t>прозрачный рассеиватель</t>
        </is>
      </c>
      <c r="AH100" s="0" t="inlineStr">
        <is>
          <t>Светодиоды Samsung LM292</t>
        </is>
      </c>
      <c r="AI100" s="0" t="inlineStr">
        <is>
          <t>LED-driver</t>
        </is>
      </c>
      <c r="AK100" s="0" t="n">
        <v>0.95</v>
      </c>
      <c r="AN100" s="0" t="n">
        <v>176</v>
      </c>
      <c r="AO100" s="0" t="n">
        <v>264</v>
      </c>
      <c r="AP100" s="0" t="n">
        <v>-60</v>
      </c>
      <c r="AQ100" s="0" t="n">
        <v>50</v>
      </c>
      <c r="AS100" s="0" t="inlineStr">
        <is>
          <t>Картон</t>
        </is>
      </c>
      <c r="AT100" s="0" t="inlineStr">
        <is>
          <t>Да</t>
        </is>
      </c>
      <c r="AU100" s="0" t="n">
        <v>0.0103</v>
      </c>
      <c r="AV100" s="0" t="n">
        <v>0.216</v>
      </c>
      <c r="AW100" s="0" t="n">
        <v>1</v>
      </c>
      <c r="AX100" s="0" t="n">
        <v>520</v>
      </c>
      <c r="AY100" s="0" t="n">
        <v>180</v>
      </c>
      <c r="AZ100" s="0" t="n">
        <v>110</v>
      </c>
      <c r="BA100" s="0" t="n">
        <v>0.0103</v>
      </c>
      <c r="BB100" s="0" t="n">
        <v>0.216</v>
      </c>
      <c r="BD100" s="0" t="inlineStr">
        <is>
          <t>http://darion-svet.com/web/binary/saveas_archive?model=product.picture&amp;ids=[1626]&amp;field=image&amp;name_field=name&amp;archive_name=V1048_image</t>
        </is>
      </c>
      <c r="BE100" s="0" t="inlineStr">
        <is>
          <t>http://darion-svet.com/shop/product/v1048-vrn-un-96d-g50k67-uv-96vt-galochka</t>
        </is>
      </c>
      <c r="BI100" s="0" t="n">
        <v>0</v>
      </c>
      <c r="BJ100" s="0" t="n">
        <v>0</v>
      </c>
    </row>
    <row r="101">
      <c r="A101" s="0" t="inlineStr">
        <is>
          <t>V10488</t>
        </is>
      </c>
      <c r="B101" s="0" t="inlineStr">
        <is>
          <t>Светодиодный светильник VRN-UN-80D-G50K67-UV</t>
        </is>
      </c>
      <c r="C101" s="0" t="inlineStr">
        <is>
          <t>Универсал</t>
        </is>
      </c>
      <c r="E101" s="0" t="inlineStr">
        <is>
          <t>http://darion-svet.com/web/binary/image?model=product.product&amp;id=26892&amp;field=image</t>
        </is>
      </c>
      <c r="G101" s="0" t="inlineStr">
        <is>
          <t>Российская Федерация</t>
        </is>
      </c>
      <c r="H101" s="0" t="inlineStr">
        <is>
          <t>VIRONA</t>
        </is>
      </c>
      <c r="I101" s="0" t="inlineStr">
        <is>
          <t>консольный; на лиру; подвесной</t>
        </is>
      </c>
      <c r="J101" s="0" t="inlineStr">
        <is>
          <t>улицы (дороги, тротуары); магистрали и дороги</t>
        </is>
      </c>
      <c r="M101" s="0" t="n">
        <v>80</v>
      </c>
      <c r="O101" s="0" t="inlineStr">
        <is>
          <t>SMD</t>
        </is>
      </c>
      <c r="P101" s="0" t="n">
        <v>12800</v>
      </c>
      <c r="Q101" s="0" t="n">
        <v>5000</v>
      </c>
      <c r="R101" s="0" t="n">
        <v>80</v>
      </c>
      <c r="S101" s="0" t="n">
        <v>67</v>
      </c>
      <c r="T101" s="0" t="inlineStr">
        <is>
          <t>Л</t>
        </is>
      </c>
      <c r="U101" s="0" t="inlineStr">
        <is>
          <t>100 000 ч.</t>
        </is>
      </c>
      <c r="V101" s="0" t="n">
        <v>600</v>
      </c>
      <c r="W101" s="0" t="n">
        <v>100</v>
      </c>
      <c r="X101" s="0" t="n">
        <v>175</v>
      </c>
      <c r="AB101" s="0" t="n">
        <v>2.2</v>
      </c>
      <c r="AD101" s="0" t="inlineStr">
        <is>
          <t>алюминиевый профиль</t>
        </is>
      </c>
      <c r="AE101" s="0" t="inlineStr">
        <is>
          <t>полимерный материал</t>
        </is>
      </c>
      <c r="AH101" s="0" t="inlineStr">
        <is>
          <t>Светодиоды Samsung LH351</t>
        </is>
      </c>
      <c r="AI101" s="0" t="inlineStr">
        <is>
          <t>LED-driver</t>
        </is>
      </c>
      <c r="AK101" s="0" t="n">
        <v>0.95</v>
      </c>
      <c r="AL101" s="0" t="n">
        <v>1</v>
      </c>
      <c r="AN101" s="0" t="n">
        <v>176</v>
      </c>
      <c r="AO101" s="0" t="n">
        <v>264</v>
      </c>
      <c r="AP101" s="0" t="n">
        <v>-60</v>
      </c>
      <c r="AQ101" s="0" t="n">
        <v>50</v>
      </c>
      <c r="AS101" s="0" t="inlineStr">
        <is>
          <t>Картон</t>
        </is>
      </c>
      <c r="AT101" s="0" t="inlineStr">
        <is>
          <t>Да</t>
        </is>
      </c>
      <c r="AW101" s="0" t="n">
        <v>1</v>
      </c>
      <c r="AX101" s="0" t="n">
        <v>620</v>
      </c>
      <c r="AY101" s="0" t="n">
        <v>180</v>
      </c>
      <c r="AZ101" s="0" t="n">
        <v>110</v>
      </c>
      <c r="BE101" s="0" t="inlineStr">
        <is>
          <t>http://darion-svet.com/shop/product/v10488-vrn-un-80d-g50k67-uv</t>
        </is>
      </c>
      <c r="BI101" s="0" t="n">
        <v>0</v>
      </c>
      <c r="BJ101" s="0" t="n">
        <v>0</v>
      </c>
    </row>
    <row r="102">
      <c r="A102" s="0" t="inlineStr">
        <is>
          <t>V1049</t>
        </is>
      </c>
      <c r="B102" s="0" t="inlineStr">
        <is>
          <t>Светодиодный светильник Virona 124Вт Галочка (VRN-UN-124D-G50K67-UV)</t>
        </is>
      </c>
      <c r="C102" s="0" t="inlineStr">
        <is>
          <t>Универсал</t>
        </is>
      </c>
      <c r="E102" s="0" t="inlineStr">
        <is>
          <t>http://darion-svet.com/web/binary/image?model=product.product&amp;id=18137&amp;field=image</t>
        </is>
      </c>
      <c r="F102" s="0" t="n">
        <v>5</v>
      </c>
      <c r="G102" s="0" t="inlineStr">
        <is>
          <t>Российская Федерация</t>
        </is>
      </c>
      <c r="H102" s="0" t="inlineStr">
        <is>
          <t>VIRONA</t>
        </is>
      </c>
      <c r="I102" s="0" t="inlineStr">
        <is>
          <t>консольный; на лиру; подвесной</t>
        </is>
      </c>
      <c r="J102" s="0" t="inlineStr">
        <is>
          <t>улицы (дороги, тротуары); промышленные помещения, склады и цеха</t>
        </is>
      </c>
      <c r="M102" s="0" t="n">
        <v>124</v>
      </c>
      <c r="O102" s="0" t="inlineStr">
        <is>
          <t>SMD</t>
        </is>
      </c>
      <c r="P102" s="0" t="n">
        <v>19840</v>
      </c>
      <c r="Q102" s="0" t="n">
        <v>5000</v>
      </c>
      <c r="R102" s="0" t="n">
        <v>80</v>
      </c>
      <c r="S102" s="0" t="n">
        <v>67</v>
      </c>
      <c r="T102" s="0" t="inlineStr">
        <is>
          <t>Л</t>
        </is>
      </c>
      <c r="U102" s="0" t="n">
        <v>100000</v>
      </c>
      <c r="V102" s="0" t="n">
        <v>582</v>
      </c>
      <c r="W102" s="0" t="n">
        <v>199</v>
      </c>
      <c r="X102" s="0" t="n">
        <v>100</v>
      </c>
      <c r="AB102" s="0" t="n">
        <v>2.702</v>
      </c>
      <c r="AD102" s="0" t="inlineStr">
        <is>
          <t>алюминиевый профиль</t>
        </is>
      </c>
      <c r="AE102" s="0" t="inlineStr">
        <is>
          <t>стекло</t>
        </is>
      </c>
      <c r="AG102" s="0" t="inlineStr">
        <is>
          <t>прозрачный рассеиватель</t>
        </is>
      </c>
      <c r="AH102" s="0" t="inlineStr">
        <is>
          <t>Светодиоды Samsung LM292</t>
        </is>
      </c>
      <c r="AI102" s="0" t="inlineStr">
        <is>
          <t>LED-driver</t>
        </is>
      </c>
      <c r="AK102" s="0" t="n">
        <v>0.95</v>
      </c>
      <c r="AN102" s="0" t="n">
        <v>176</v>
      </c>
      <c r="AO102" s="0" t="n">
        <v>264</v>
      </c>
      <c r="AP102" s="0" t="n">
        <v>-60</v>
      </c>
      <c r="AQ102" s="0" t="n">
        <v>50</v>
      </c>
      <c r="AS102" s="0" t="inlineStr">
        <is>
          <t>Картон</t>
        </is>
      </c>
      <c r="AT102" s="0" t="inlineStr">
        <is>
          <t>Да</t>
        </is>
      </c>
      <c r="AU102" s="0" t="n">
        <v>0.015</v>
      </c>
      <c r="AV102" s="0" t="n">
        <v>0.276</v>
      </c>
      <c r="AW102" s="0" t="n">
        <v>1</v>
      </c>
      <c r="AX102" s="0" t="n">
        <v>620</v>
      </c>
      <c r="AY102" s="0" t="n">
        <v>220</v>
      </c>
      <c r="AZ102" s="0" t="n">
        <v>110</v>
      </c>
      <c r="BA102" s="0" t="n">
        <v>0.015</v>
      </c>
      <c r="BB102" s="0" t="n">
        <v>0.276</v>
      </c>
      <c r="BD102" s="0" t="inlineStr">
        <is>
          <t>http://darion-svet.com/web/binary/saveas_archive?model=product.picture&amp;ids=[1669]&amp;field=image&amp;name_field=name&amp;archive_name=V1049_image</t>
        </is>
      </c>
      <c r="BE102" s="0" t="inlineStr">
        <is>
          <t>http://darion-svet.com/shop/product/v1049-vrn-un-124d-g50k67-uv-124vt-galochka</t>
        </is>
      </c>
      <c r="BI102" s="0" t="n">
        <v>0</v>
      </c>
      <c r="BJ102" s="0" t="n">
        <v>0</v>
      </c>
    </row>
    <row r="103">
      <c r="A103" s="0" t="inlineStr">
        <is>
          <t>V10491</t>
        </is>
      </c>
      <c r="B103" s="0" t="inlineStr">
        <is>
          <t>Светодиодный светильник Virona 160Вт Галочка (VRN-UN-160D-G50K67-UV)</t>
        </is>
      </c>
      <c r="C103" s="0" t="inlineStr">
        <is>
          <t>Универсал</t>
        </is>
      </c>
      <c r="E103" s="0" t="inlineStr">
        <is>
          <t>http://darion-svet.com/web/binary/image?model=product.product&amp;id=24245&amp;field=image</t>
        </is>
      </c>
      <c r="F103" s="0" t="n">
        <v>5</v>
      </c>
      <c r="G103" s="0" t="inlineStr">
        <is>
          <t>Российская Федерация</t>
        </is>
      </c>
      <c r="H103" s="0" t="inlineStr">
        <is>
          <t>VIRONA</t>
        </is>
      </c>
      <c r="I103" s="0" t="inlineStr">
        <is>
          <t>консольный; на лиру; подвесной</t>
        </is>
      </c>
      <c r="J103" s="0" t="inlineStr">
        <is>
          <t>улицы (дороги, тротуары); магистрали и дороги; спортивные объекты (спортзалы); архитектурная, рекламная подсветка</t>
        </is>
      </c>
      <c r="M103" s="0" t="n">
        <v>160</v>
      </c>
      <c r="O103" s="0" t="inlineStr">
        <is>
          <t>SMD</t>
        </is>
      </c>
      <c r="P103" s="0" t="n">
        <v>25600</v>
      </c>
      <c r="Q103" s="0" t="n">
        <v>5000</v>
      </c>
      <c r="R103" s="0" t="n">
        <v>80</v>
      </c>
      <c r="S103" s="0" t="n">
        <v>67</v>
      </c>
      <c r="T103" s="0" t="inlineStr">
        <is>
          <t>Л</t>
        </is>
      </c>
      <c r="U103" s="0" t="n">
        <v>100000</v>
      </c>
      <c r="V103" s="0" t="n">
        <v>930</v>
      </c>
      <c r="W103" s="0" t="n">
        <v>100</v>
      </c>
      <c r="X103" s="0" t="n">
        <v>270</v>
      </c>
      <c r="AB103" s="0" t="n">
        <v>3.2</v>
      </c>
      <c r="AD103" s="0" t="inlineStr">
        <is>
          <t>алюминиевый профиль</t>
        </is>
      </c>
      <c r="AE103" s="0" t="inlineStr">
        <is>
          <t>стекло</t>
        </is>
      </c>
      <c r="AG103" s="0" t="inlineStr">
        <is>
          <t>прозрачный рассеиватель</t>
        </is>
      </c>
      <c r="AH103" s="0" t="inlineStr">
        <is>
          <t>Светодиоды Samsung LM281</t>
        </is>
      </c>
      <c r="AI103" s="0" t="inlineStr">
        <is>
          <t>LED-driver</t>
        </is>
      </c>
      <c r="AK103" s="0" t="n">
        <v>0.95</v>
      </c>
      <c r="AN103" s="0" t="n">
        <v>176</v>
      </c>
      <c r="AO103" s="0" t="n">
        <v>264</v>
      </c>
      <c r="AP103" s="0" t="n">
        <v>-60</v>
      </c>
      <c r="AQ103" s="0" t="n">
        <v>50</v>
      </c>
      <c r="AS103" s="0" t="inlineStr">
        <is>
          <t>Картон</t>
        </is>
      </c>
      <c r="AW103" s="0" t="n">
        <v>1</v>
      </c>
      <c r="BD103" s="0" t="inlineStr">
        <is>
          <t>http://darion-svet.com/web/binary/saveas_archive?model=product.picture&amp;ids=[1720]&amp;field=image&amp;name_field=name&amp;archive_name=V10491_image</t>
        </is>
      </c>
      <c r="BE103" s="0" t="inlineStr">
        <is>
          <t>http://darion-svet.com/shop/product/v10491-vrn-un-160d-g50k67-uv-160vt-galochka</t>
        </is>
      </c>
      <c r="BI103" s="0" t="n">
        <v>0</v>
      </c>
      <c r="BJ103" s="0" t="n">
        <v>0</v>
      </c>
    </row>
    <row r="104">
      <c r="A104" s="0" t="inlineStr">
        <is>
          <t>V1050</t>
        </is>
      </c>
      <c r="B104" s="0" t="inlineStr">
        <is>
          <t>Светодиодный светильник Virona 192Вт Галочка (VRN-UN-192D-G50K67-UV)</t>
        </is>
      </c>
      <c r="C104" s="0" t="inlineStr">
        <is>
          <t>Универсал</t>
        </is>
      </c>
      <c r="E104" s="0" t="inlineStr">
        <is>
          <t>http://darion-svet.com/web/binary/image?model=product.product&amp;id=18138&amp;field=image</t>
        </is>
      </c>
      <c r="F104" s="0" t="n">
        <v>5</v>
      </c>
      <c r="G104" s="0" t="inlineStr">
        <is>
          <t>Российская Федерация</t>
        </is>
      </c>
      <c r="H104" s="0" t="inlineStr">
        <is>
          <t>VIRONA</t>
        </is>
      </c>
      <c r="I104" s="0" t="inlineStr">
        <is>
          <t>консольный; на лиру; подвесной</t>
        </is>
      </c>
      <c r="J104" s="0" t="inlineStr">
        <is>
          <t>улицы (дороги, тротуары); промышленные помещения, склады и цеха</t>
        </is>
      </c>
      <c r="M104" s="0" t="n">
        <v>192</v>
      </c>
      <c r="O104" s="0" t="inlineStr">
        <is>
          <t>SMD</t>
        </is>
      </c>
      <c r="P104" s="0" t="n">
        <v>30720</v>
      </c>
      <c r="Q104" s="0" t="n">
        <v>5000</v>
      </c>
      <c r="R104" s="0" t="n">
        <v>80</v>
      </c>
      <c r="S104" s="0" t="n">
        <v>67</v>
      </c>
      <c r="T104" s="0" t="inlineStr">
        <is>
          <t>Л</t>
        </is>
      </c>
      <c r="U104" s="0" t="n">
        <v>100000</v>
      </c>
      <c r="V104" s="0" t="n">
        <v>940</v>
      </c>
      <c r="W104" s="0" t="n">
        <v>100</v>
      </c>
      <c r="X104" s="0" t="n">
        <v>306</v>
      </c>
      <c r="AB104" s="0" t="n">
        <v>3.628</v>
      </c>
      <c r="AD104" s="0" t="inlineStr">
        <is>
          <t>алюминиевый профиль</t>
        </is>
      </c>
      <c r="AE104" s="0" t="inlineStr">
        <is>
          <t>стекло</t>
        </is>
      </c>
      <c r="AG104" s="0" t="inlineStr">
        <is>
          <t>прозрачный рассеиватель</t>
        </is>
      </c>
      <c r="AH104" s="0" t="inlineStr">
        <is>
          <t>Светодиоды Samsung LM292</t>
        </is>
      </c>
      <c r="AI104" s="0" t="inlineStr">
        <is>
          <t>LED-driver</t>
        </is>
      </c>
      <c r="AK104" s="0" t="n">
        <v>0.95</v>
      </c>
      <c r="AN104" s="0" t="n">
        <v>176</v>
      </c>
      <c r="AO104" s="0" t="n">
        <v>264</v>
      </c>
      <c r="AP104" s="0" t="n">
        <v>-60</v>
      </c>
      <c r="AQ104" s="0" t="n">
        <v>50</v>
      </c>
      <c r="AS104" s="0" t="inlineStr">
        <is>
          <t>Картон</t>
        </is>
      </c>
      <c r="AT104" s="0" t="inlineStr">
        <is>
          <t>Да</t>
        </is>
      </c>
      <c r="AU104" s="0" t="n">
        <v>0.03658</v>
      </c>
      <c r="AV104" s="0" t="n">
        <v>0.516</v>
      </c>
      <c r="AW104" s="0" t="n">
        <v>1</v>
      </c>
      <c r="AX104" s="0" t="n">
        <v>950</v>
      </c>
      <c r="AY104" s="0" t="n">
        <v>350</v>
      </c>
      <c r="AZ104" s="0" t="n">
        <v>110</v>
      </c>
      <c r="BA104" s="0" t="n">
        <v>0.03658</v>
      </c>
      <c r="BB104" s="0" t="n">
        <v>0.516</v>
      </c>
      <c r="BD104" s="0" t="inlineStr">
        <is>
          <t>http://darion-svet.com/web/binary/saveas_archive?model=product.picture&amp;ids=[1720]&amp;field=image&amp;name_field=name&amp;archive_name=V1050_image</t>
        </is>
      </c>
      <c r="BE104" s="0" t="inlineStr">
        <is>
          <t>http://darion-svet.com/shop/product/v1050-vrn-un-192d-g50k67-uv-192vt-galochka</t>
        </is>
      </c>
      <c r="BI104" s="0" t="n">
        <v>0</v>
      </c>
      <c r="BJ104" s="0" t="n">
        <v>0</v>
      </c>
    </row>
    <row r="105">
      <c r="A105" s="0" t="inlineStr">
        <is>
          <t>V1051</t>
        </is>
      </c>
      <c r="B105" s="0" t="inlineStr">
        <is>
          <t>Светодиодный светильник Virona 192Вт Галочка (VRN-UN-192Q-G50K67-UV)</t>
        </is>
      </c>
      <c r="C105" s="0" t="inlineStr">
        <is>
          <t>Универсал</t>
        </is>
      </c>
      <c r="E105" s="0" t="inlineStr">
        <is>
          <t>http://darion-svet.com/web/binary/image?model=product.product&amp;id=18139&amp;field=image</t>
        </is>
      </c>
      <c r="F105" s="0" t="n">
        <v>5</v>
      </c>
      <c r="G105" s="0" t="inlineStr">
        <is>
          <t>Российская Федерация</t>
        </is>
      </c>
      <c r="H105" s="0" t="inlineStr">
        <is>
          <t>VIRONA</t>
        </is>
      </c>
      <c r="I105" s="0" t="inlineStr">
        <is>
          <t>консольный; на лиру; подвесной</t>
        </is>
      </c>
      <c r="J105" s="0" t="inlineStr">
        <is>
          <t>улицы (дороги, тротуары); промышленные помещения, склады и цеха</t>
        </is>
      </c>
      <c r="M105" s="0" t="n">
        <v>192</v>
      </c>
      <c r="O105" s="0" t="inlineStr">
        <is>
          <t>SMD</t>
        </is>
      </c>
      <c r="P105" s="0" t="n">
        <v>30720</v>
      </c>
      <c r="Q105" s="0" t="n">
        <v>5000</v>
      </c>
      <c r="R105" s="0" t="n">
        <v>80</v>
      </c>
      <c r="S105" s="0" t="n">
        <v>67</v>
      </c>
      <c r="T105" s="0" t="inlineStr">
        <is>
          <t>Л</t>
        </is>
      </c>
      <c r="U105" s="0" t="n">
        <v>100000</v>
      </c>
      <c r="V105" s="0" t="n">
        <v>540</v>
      </c>
      <c r="W105" s="0" t="n">
        <v>450</v>
      </c>
      <c r="X105" s="0" t="n">
        <v>250</v>
      </c>
      <c r="AB105" s="0" t="n">
        <v>4.598</v>
      </c>
      <c r="AD105" s="0" t="inlineStr">
        <is>
          <t>алюминиевый профиль</t>
        </is>
      </c>
      <c r="AE105" s="0" t="inlineStr">
        <is>
          <t>стекло</t>
        </is>
      </c>
      <c r="AG105" s="0" t="inlineStr">
        <is>
          <t>прозрачный рассеиватель</t>
        </is>
      </c>
      <c r="AH105" s="0" t="inlineStr">
        <is>
          <t>Светодиоды Samsung LM292</t>
        </is>
      </c>
      <c r="AI105" s="0" t="inlineStr">
        <is>
          <t>LED-driver</t>
        </is>
      </c>
      <c r="AK105" s="0" t="n">
        <v>0.95</v>
      </c>
      <c r="AN105" s="0" t="n">
        <v>176</v>
      </c>
      <c r="AO105" s="0" t="n">
        <v>264</v>
      </c>
      <c r="AP105" s="0" t="n">
        <v>-60</v>
      </c>
      <c r="AQ105" s="0" t="n">
        <v>50</v>
      </c>
      <c r="AS105" s="0" t="inlineStr">
        <is>
          <t>Картон</t>
        </is>
      </c>
      <c r="AT105" s="0" t="inlineStr">
        <is>
          <t>Да</t>
        </is>
      </c>
      <c r="AU105" s="0" t="n">
        <v>0.06075</v>
      </c>
      <c r="AV105" s="0" t="n">
        <v>5</v>
      </c>
      <c r="AW105" s="0" t="n">
        <v>1</v>
      </c>
      <c r="BA105" s="0" t="n">
        <v>0.06075</v>
      </c>
      <c r="BB105" s="0" t="n">
        <v>5</v>
      </c>
      <c r="BD105" s="0" t="inlineStr">
        <is>
          <t>http://darion-svet.com/web/binary/saveas_archive?model=product.picture&amp;ids=[1670]&amp;field=image&amp;name_field=name&amp;archive_name=V1051_image</t>
        </is>
      </c>
      <c r="BE105" s="0" t="inlineStr">
        <is>
          <t>http://darion-svet.com/shop/product/v1051-vrn-un-192q-g50k67-uv-192vt-galochka</t>
        </is>
      </c>
      <c r="BI105" s="0" t="n">
        <v>0</v>
      </c>
      <c r="BJ105" s="0" t="n">
        <v>0</v>
      </c>
    </row>
    <row r="106">
      <c r="A106" s="0" t="inlineStr">
        <is>
          <t>V1052</t>
        </is>
      </c>
      <c r="B106" s="0" t="inlineStr">
        <is>
          <t>Светодиодный светильник Virona 248Вт Галочка (VRN-UN-248Q-G50K67-UV)</t>
        </is>
      </c>
      <c r="C106" s="0" t="inlineStr">
        <is>
          <t>Универсал</t>
        </is>
      </c>
      <c r="E106" s="0" t="inlineStr">
        <is>
          <t>http://darion-svet.com/web/binary/image?model=product.product&amp;id=18140&amp;field=image</t>
        </is>
      </c>
      <c r="F106" s="0" t="n">
        <v>5</v>
      </c>
      <c r="G106" s="0" t="inlineStr">
        <is>
          <t>Российская Федерация</t>
        </is>
      </c>
      <c r="H106" s="0" t="inlineStr">
        <is>
          <t>VIRONA</t>
        </is>
      </c>
      <c r="I106" s="0" t="inlineStr">
        <is>
          <t>консольный; на лиру; подвесной</t>
        </is>
      </c>
      <c r="J106" s="0" t="inlineStr">
        <is>
          <t>улицы (дороги, тротуары); промышленные помещения, склады и цеха</t>
        </is>
      </c>
      <c r="M106" s="0" t="n">
        <v>248</v>
      </c>
      <c r="O106" s="0" t="inlineStr">
        <is>
          <t>SMD</t>
        </is>
      </c>
      <c r="P106" s="0" t="n">
        <v>39680</v>
      </c>
      <c r="Q106" s="0" t="n">
        <v>5000</v>
      </c>
      <c r="R106" s="0" t="n">
        <v>80</v>
      </c>
      <c r="S106" s="0" t="n">
        <v>67</v>
      </c>
      <c r="T106" s="0" t="inlineStr">
        <is>
          <t>Л</t>
        </is>
      </c>
      <c r="U106" s="0" t="n">
        <v>100000</v>
      </c>
      <c r="V106" s="0" t="n">
        <v>600</v>
      </c>
      <c r="W106" s="0" t="n">
        <v>220</v>
      </c>
      <c r="X106" s="0" t="n">
        <v>220</v>
      </c>
      <c r="AB106" s="0" t="n">
        <v>5.335</v>
      </c>
      <c r="AD106" s="0" t="inlineStr">
        <is>
          <t>алюминиевый профиль</t>
        </is>
      </c>
      <c r="AE106" s="0" t="inlineStr">
        <is>
          <t>стекло</t>
        </is>
      </c>
      <c r="AG106" s="0" t="inlineStr">
        <is>
          <t>прозрачный рассеиватель</t>
        </is>
      </c>
      <c r="AH106" s="0" t="inlineStr">
        <is>
          <t>Светодиоды Samsung LM292</t>
        </is>
      </c>
      <c r="AI106" s="0" t="inlineStr">
        <is>
          <t>LED-driver</t>
        </is>
      </c>
      <c r="AK106" s="0" t="n">
        <v>0.95</v>
      </c>
      <c r="AN106" s="0" t="n">
        <v>176</v>
      </c>
      <c r="AO106" s="0" t="n">
        <v>264</v>
      </c>
      <c r="AP106" s="0" t="n">
        <v>-60</v>
      </c>
      <c r="AQ106" s="0" t="n">
        <v>50</v>
      </c>
      <c r="AS106" s="0" t="inlineStr">
        <is>
          <t>Картон</t>
        </is>
      </c>
      <c r="AT106" s="0" t="inlineStr">
        <is>
          <t>Да</t>
        </is>
      </c>
      <c r="AW106" s="0" t="n">
        <v>1</v>
      </c>
      <c r="BD106" s="0" t="inlineStr">
        <is>
          <t>http://darion-svet.com/web/binary/saveas_archive?model=product.picture&amp;ids=[1721]&amp;field=image&amp;name_field=name&amp;archive_name=V1052_image</t>
        </is>
      </c>
      <c r="BE106" s="0" t="inlineStr">
        <is>
          <t>http://darion-svet.com/shop/product/v1052-vrn-un-248q-g50k67-uv-248vt-galochka</t>
        </is>
      </c>
      <c r="BI106" s="0" t="n">
        <v>0</v>
      </c>
      <c r="BJ106" s="0" t="n">
        <v>0</v>
      </c>
    </row>
    <row r="107">
      <c r="A107" s="0" t="inlineStr">
        <is>
          <t>V1053</t>
        </is>
      </c>
      <c r="B107" s="0" t="inlineStr">
        <is>
          <t>Светодиодный светильник Virona 96Вт Универсальный (VRN-UN-96T-G50K67-U)</t>
        </is>
      </c>
      <c r="C107" s="0" t="inlineStr">
        <is>
          <t>Универсал</t>
        </is>
      </c>
      <c r="E107" s="0" t="inlineStr">
        <is>
          <t>http://darion-svet.com/web/binary/image?model=product.product&amp;id=18109&amp;field=image</t>
        </is>
      </c>
      <c r="F107" s="0" t="n">
        <v>5</v>
      </c>
      <c r="G107" s="0" t="inlineStr">
        <is>
          <t>Российская Федерация</t>
        </is>
      </c>
      <c r="H107" s="0" t="inlineStr">
        <is>
          <t>VIRONA</t>
        </is>
      </c>
      <c r="I107" s="0" t="inlineStr">
        <is>
          <t>консольный; на лиру; подвесной</t>
        </is>
      </c>
      <c r="J107" s="0" t="inlineStr">
        <is>
          <t>улицы (дороги, тротуары); промышленные помещения, склады и цеха</t>
        </is>
      </c>
      <c r="M107" s="0" t="n">
        <v>96</v>
      </c>
      <c r="O107" s="0" t="inlineStr">
        <is>
          <t>SMD</t>
        </is>
      </c>
      <c r="P107" s="0" t="n">
        <v>15360</v>
      </c>
      <c r="Q107" s="0" t="n">
        <v>5000</v>
      </c>
      <c r="R107" s="0" t="n">
        <v>80</v>
      </c>
      <c r="S107" s="0" t="n">
        <v>67</v>
      </c>
      <c r="T107" s="0" t="inlineStr">
        <is>
          <t>Д</t>
        </is>
      </c>
      <c r="U107" s="0" t="n">
        <v>100000</v>
      </c>
      <c r="V107" s="0" t="n">
        <v>238</v>
      </c>
      <c r="W107" s="0" t="n">
        <v>200</v>
      </c>
      <c r="X107" s="0" t="n">
        <v>88</v>
      </c>
      <c r="AB107" s="0" t="n">
        <v>2.805</v>
      </c>
      <c r="AD107" s="0" t="inlineStr">
        <is>
          <t>алюминиевый профиль</t>
        </is>
      </c>
      <c r="AE107" s="0" t="inlineStr">
        <is>
          <t>стекло</t>
        </is>
      </c>
      <c r="AG107" s="0" t="inlineStr">
        <is>
          <t>прозрачный рассеиватель</t>
        </is>
      </c>
      <c r="AH107" s="0" t="inlineStr">
        <is>
          <t>Светодиоды Samsung LM292</t>
        </is>
      </c>
      <c r="AI107" s="0" t="inlineStr">
        <is>
          <t>LED-driver</t>
        </is>
      </c>
      <c r="AK107" s="0" t="n">
        <v>0.95</v>
      </c>
      <c r="AN107" s="0" t="n">
        <v>176</v>
      </c>
      <c r="AO107" s="0" t="n">
        <v>264</v>
      </c>
      <c r="AP107" s="0" t="n">
        <v>-60</v>
      </c>
      <c r="AQ107" s="0" t="n">
        <v>50</v>
      </c>
      <c r="AS107" s="0" t="inlineStr">
        <is>
          <t>Картон</t>
        </is>
      </c>
      <c r="AT107" s="0" t="inlineStr">
        <is>
          <t>Да</t>
        </is>
      </c>
      <c r="AW107" s="0" t="n">
        <v>1</v>
      </c>
      <c r="BD107" s="0" t="inlineStr">
        <is>
          <t>http://darion-svet.com/web/binary/saveas_archive?model=product.picture&amp;ids=[1646]&amp;field=image&amp;name_field=name&amp;archive_name=V1053_image</t>
        </is>
      </c>
      <c r="BE107" s="0" t="inlineStr">
        <is>
          <t>http://darion-svet.com/shop/product/v1053-vrn-un-96t-g50k67-u-96vt-universalnyij</t>
        </is>
      </c>
      <c r="BI107" s="0" t="n">
        <v>0</v>
      </c>
      <c r="BJ107" s="0" t="n">
        <v>0</v>
      </c>
    </row>
    <row r="108">
      <c r="A108" s="0" t="inlineStr">
        <is>
          <t>V10533</t>
        </is>
      </c>
      <c r="B108" s="0" t="inlineStr">
        <is>
          <t>Светодиодный светильник VRN-UN-78T-G50K67-U</t>
        </is>
      </c>
      <c r="C108" s="0" t="inlineStr">
        <is>
          <t>Универсал</t>
        </is>
      </c>
      <c r="E108" s="0" t="inlineStr">
        <is>
          <t>http://darion-svet.com/web/binary/image?model=product.product&amp;id=26883&amp;field=image</t>
        </is>
      </c>
      <c r="G108" s="0" t="inlineStr">
        <is>
          <t>Российская Федерация</t>
        </is>
      </c>
      <c r="H108" s="0" t="inlineStr">
        <is>
          <t>VIRONA</t>
        </is>
      </c>
      <c r="I108" s="0" t="inlineStr">
        <is>
          <t>консольный; на лиру; подвесной</t>
        </is>
      </c>
      <c r="J108" s="0" t="inlineStr">
        <is>
          <t>улицы (дороги, тротуары); магистрали и дороги</t>
        </is>
      </c>
      <c r="M108" s="0" t="n">
        <v>78</v>
      </c>
      <c r="O108" s="0" t="inlineStr">
        <is>
          <t>SMD</t>
        </is>
      </c>
      <c r="P108" s="0" t="n">
        <v>12480</v>
      </c>
      <c r="Q108" s="0" t="n">
        <v>5000</v>
      </c>
      <c r="R108" s="0" t="n">
        <v>80</v>
      </c>
      <c r="S108" s="0" t="n">
        <v>67</v>
      </c>
      <c r="T108" s="0" t="inlineStr">
        <is>
          <t>Д</t>
        </is>
      </c>
      <c r="U108" s="0" t="inlineStr">
        <is>
          <t>100 000 ч.</t>
        </is>
      </c>
      <c r="V108" s="0" t="n">
        <v>225</v>
      </c>
      <c r="W108" s="0" t="n">
        <v>320</v>
      </c>
      <c r="X108" s="0" t="n">
        <v>135</v>
      </c>
      <c r="AB108" s="0" t="n">
        <v>2.8</v>
      </c>
      <c r="AD108" s="0" t="inlineStr">
        <is>
          <t>алюминиевый профиль</t>
        </is>
      </c>
      <c r="AE108" s="0" t="inlineStr">
        <is>
          <t>полимерный материал</t>
        </is>
      </c>
      <c r="AH108" s="0" t="inlineStr">
        <is>
          <t>Светодиоды Samsung LH351</t>
        </is>
      </c>
      <c r="AI108" s="0" t="inlineStr">
        <is>
          <t>LED-driver</t>
        </is>
      </c>
      <c r="AK108" s="0" t="n">
        <v>0.95</v>
      </c>
      <c r="AL108" s="0" t="n">
        <v>1</v>
      </c>
      <c r="AN108" s="0" t="n">
        <v>176</v>
      </c>
      <c r="AO108" s="0" t="n">
        <v>264</v>
      </c>
      <c r="AP108" s="0" t="n">
        <v>-60</v>
      </c>
      <c r="AQ108" s="0" t="n">
        <v>50</v>
      </c>
      <c r="AS108" s="0" t="inlineStr">
        <is>
          <t>Картон</t>
        </is>
      </c>
      <c r="AT108" s="0" t="inlineStr">
        <is>
          <t>Да</t>
        </is>
      </c>
      <c r="AW108" s="0" t="n">
        <v>1</v>
      </c>
      <c r="AX108" s="0" t="n">
        <v>250</v>
      </c>
      <c r="AY108" s="0" t="n">
        <v>350</v>
      </c>
      <c r="AZ108" s="0" t="n">
        <v>140</v>
      </c>
      <c r="BE108" s="0" t="inlineStr">
        <is>
          <t>http://darion-svet.com/shop/product/v10533-vrn-un-78t-g50k67-u</t>
        </is>
      </c>
      <c r="BI108" s="0" t="n">
        <v>0</v>
      </c>
      <c r="BJ108" s="0" t="n">
        <v>0</v>
      </c>
    </row>
    <row r="109">
      <c r="A109" s="0" t="inlineStr">
        <is>
          <t>V1054</t>
        </is>
      </c>
      <c r="B109" s="0" t="inlineStr">
        <is>
          <t>Светодиодный светильник Virona 144Вт Универсальный (VRN-UN-144T-G50K67-U)</t>
        </is>
      </c>
      <c r="C109" s="0" t="inlineStr">
        <is>
          <t>Универсал</t>
        </is>
      </c>
      <c r="E109" s="0" t="inlineStr">
        <is>
          <t>http://darion-svet.com/web/binary/image?model=product.product&amp;id=18110&amp;field=image</t>
        </is>
      </c>
      <c r="F109" s="0" t="n">
        <v>5</v>
      </c>
      <c r="G109" s="0" t="inlineStr">
        <is>
          <t>Российская Федерация</t>
        </is>
      </c>
      <c r="H109" s="0" t="inlineStr">
        <is>
          <t>VIRONA</t>
        </is>
      </c>
      <c r="I109" s="0" t="inlineStr">
        <is>
          <t>консольный; на лиру; подвесной</t>
        </is>
      </c>
      <c r="J109" s="0" t="inlineStr">
        <is>
          <t>улицы (дороги, тротуары); промышленные помещения, склады и цеха</t>
        </is>
      </c>
      <c r="M109" s="0" t="n">
        <v>144</v>
      </c>
      <c r="O109" s="0" t="inlineStr">
        <is>
          <t>SMD</t>
        </is>
      </c>
      <c r="P109" s="0" t="n">
        <v>23040</v>
      </c>
      <c r="Q109" s="0" t="n">
        <v>5000</v>
      </c>
      <c r="R109" s="0" t="n">
        <v>80</v>
      </c>
      <c r="S109" s="0" t="n">
        <v>67</v>
      </c>
      <c r="T109" s="0" t="inlineStr">
        <is>
          <t>Д</t>
        </is>
      </c>
      <c r="U109" s="0" t="n">
        <v>100000</v>
      </c>
      <c r="V109" s="0" t="n">
        <v>289</v>
      </c>
      <c r="W109" s="0" t="n">
        <v>321</v>
      </c>
      <c r="X109" s="0" t="n">
        <v>89</v>
      </c>
      <c r="AB109" s="0" t="n">
        <v>3.09</v>
      </c>
      <c r="AD109" s="0" t="inlineStr">
        <is>
          <t>алюминиевый профиль</t>
        </is>
      </c>
      <c r="AE109" s="0" t="inlineStr">
        <is>
          <t>стекло</t>
        </is>
      </c>
      <c r="AG109" s="0" t="inlineStr">
        <is>
          <t>прозрачный рассеиватель</t>
        </is>
      </c>
      <c r="AH109" s="0" t="inlineStr">
        <is>
          <t>Светодиоды Samsung LM292</t>
        </is>
      </c>
      <c r="AI109" s="0" t="inlineStr">
        <is>
          <t>LED-driver</t>
        </is>
      </c>
      <c r="AK109" s="0" t="n">
        <v>0.95</v>
      </c>
      <c r="AN109" s="0" t="n">
        <v>176</v>
      </c>
      <c r="AO109" s="0" t="n">
        <v>264</v>
      </c>
      <c r="AP109" s="0" t="n">
        <v>-60</v>
      </c>
      <c r="AQ109" s="0" t="n">
        <v>50</v>
      </c>
      <c r="AS109" s="0" t="inlineStr">
        <is>
          <t>Картон</t>
        </is>
      </c>
      <c r="AT109" s="0" t="inlineStr">
        <is>
          <t>Да</t>
        </is>
      </c>
      <c r="AW109" s="0" t="n">
        <v>1</v>
      </c>
      <c r="BD109" s="0" t="inlineStr">
        <is>
          <t>http://darion-svet.com/web/binary/saveas_archive?model=product.picture&amp;ids=[1650]&amp;field=image&amp;name_field=name&amp;archive_name=V1054_image</t>
        </is>
      </c>
      <c r="BE109" s="0" t="inlineStr">
        <is>
          <t>http://darion-svet.com/shop/product/v1054-vrn-un-144t-g50k67-u-144vt-universalnyij</t>
        </is>
      </c>
      <c r="BI109" s="0" t="n">
        <v>0</v>
      </c>
      <c r="BJ109" s="0" t="n">
        <v>0</v>
      </c>
    </row>
    <row r="110">
      <c r="A110" s="0" t="inlineStr">
        <is>
          <t>V10544</t>
        </is>
      </c>
      <c r="B110" s="0" t="inlineStr">
        <is>
          <t>Светодиодный светильник VRN-UN-120T-G50K67-U</t>
        </is>
      </c>
      <c r="C110" s="0" t="inlineStr">
        <is>
          <t>Универсал</t>
        </is>
      </c>
      <c r="E110" s="0" t="inlineStr">
        <is>
          <t>http://darion-svet.com/web/binary/image?model=product.product&amp;id=26887&amp;field=image</t>
        </is>
      </c>
      <c r="G110" s="0" t="inlineStr">
        <is>
          <t>Российская Федерация</t>
        </is>
      </c>
      <c r="H110" s="0" t="inlineStr">
        <is>
          <t>VIRONA</t>
        </is>
      </c>
      <c r="I110" s="0" t="inlineStr">
        <is>
          <t>консольный; на лиру; подвесной</t>
        </is>
      </c>
      <c r="J110" s="0" t="inlineStr">
        <is>
          <t>улицы (дороги, тротуары); магистрали и дороги</t>
        </is>
      </c>
      <c r="M110" s="0" t="n">
        <v>120</v>
      </c>
      <c r="O110" s="0" t="inlineStr">
        <is>
          <t>SMD</t>
        </is>
      </c>
      <c r="P110" s="0" t="n">
        <v>19200</v>
      </c>
      <c r="Q110" s="0" t="n">
        <v>5000</v>
      </c>
      <c r="R110" s="0" t="n">
        <v>80</v>
      </c>
      <c r="S110" s="0" t="n">
        <v>67</v>
      </c>
      <c r="T110" s="0" t="inlineStr">
        <is>
          <t>Д</t>
        </is>
      </c>
      <c r="U110" s="0" t="inlineStr">
        <is>
          <t>100 000 ч.</t>
        </is>
      </c>
      <c r="V110" s="0" t="n">
        <v>275</v>
      </c>
      <c r="W110" s="0" t="n">
        <v>320</v>
      </c>
      <c r="X110" s="0" t="n">
        <v>135</v>
      </c>
      <c r="AB110" s="0" t="n">
        <v>3.1</v>
      </c>
      <c r="AD110" s="0" t="inlineStr">
        <is>
          <t>алюминиевый профиль</t>
        </is>
      </c>
      <c r="AE110" s="0" t="inlineStr">
        <is>
          <t>полимерный материал</t>
        </is>
      </c>
      <c r="AH110" s="0" t="inlineStr">
        <is>
          <t>Светодиоды Samsung LH351</t>
        </is>
      </c>
      <c r="AI110" s="0" t="inlineStr">
        <is>
          <t>LED-driver</t>
        </is>
      </c>
      <c r="AK110" s="0" t="n">
        <v>0.95</v>
      </c>
      <c r="AL110" s="0" t="n">
        <v>1</v>
      </c>
      <c r="AN110" s="0" t="n">
        <v>176</v>
      </c>
      <c r="AO110" s="0" t="n">
        <v>264</v>
      </c>
      <c r="AP110" s="0" t="n">
        <v>-60</v>
      </c>
      <c r="AQ110" s="0" t="n">
        <v>50</v>
      </c>
      <c r="AS110" s="0" t="inlineStr">
        <is>
          <t>Картон</t>
        </is>
      </c>
      <c r="AT110" s="0" t="inlineStr">
        <is>
          <t>Да</t>
        </is>
      </c>
      <c r="AW110" s="0" t="n">
        <v>1</v>
      </c>
      <c r="AX110" s="0" t="n">
        <v>300</v>
      </c>
      <c r="AY110" s="0" t="n">
        <v>350</v>
      </c>
      <c r="AZ110" s="0" t="n">
        <v>110</v>
      </c>
      <c r="BI110" s="0" t="n">
        <v>0</v>
      </c>
      <c r="BJ110" s="0" t="n">
        <v>0</v>
      </c>
    </row>
    <row r="111">
      <c r="A111" s="0" t="inlineStr">
        <is>
          <t>V1054-4000K</t>
        </is>
      </c>
      <c r="B111" s="0" t="inlineStr">
        <is>
          <t>Светодиодный светильник Virona 144Вт Универсальный (VRN-UN-144T-G40K67-U)</t>
        </is>
      </c>
      <c r="C111" s="0" t="inlineStr">
        <is>
          <t>Универсал</t>
        </is>
      </c>
      <c r="E111" s="0" t="inlineStr">
        <is>
          <t>http://darion-svet.com/web/binary/image?model=product.product&amp;id=20509&amp;field=image</t>
        </is>
      </c>
      <c r="F111" s="0" t="n">
        <v>5</v>
      </c>
      <c r="G111" s="0" t="inlineStr">
        <is>
          <t>Российская Федерация</t>
        </is>
      </c>
      <c r="H111" s="0" t="inlineStr">
        <is>
          <t>VIRONA</t>
        </is>
      </c>
      <c r="I111" s="0" t="inlineStr">
        <is>
          <t>консольный; на лиру; подвесной</t>
        </is>
      </c>
      <c r="J111" s="0" t="inlineStr">
        <is>
          <t>улицы (дороги, тротуары); промышленные помещения, склады и цеха</t>
        </is>
      </c>
      <c r="M111" s="0" t="n">
        <v>144</v>
      </c>
      <c r="O111" s="0" t="inlineStr">
        <is>
          <t>SMD</t>
        </is>
      </c>
      <c r="P111" s="0" t="n">
        <v>23040</v>
      </c>
      <c r="Q111" s="0" t="n">
        <v>4000</v>
      </c>
      <c r="R111" s="0" t="n">
        <v>80</v>
      </c>
      <c r="S111" s="0" t="n">
        <v>67</v>
      </c>
      <c r="T111" s="0" t="inlineStr">
        <is>
          <t>Д</t>
        </is>
      </c>
      <c r="U111" s="0" t="n">
        <v>100000</v>
      </c>
      <c r="V111" s="0" t="n">
        <v>289</v>
      </c>
      <c r="W111" s="0" t="n">
        <v>321</v>
      </c>
      <c r="X111" s="0" t="n">
        <v>89</v>
      </c>
      <c r="AB111" s="0" t="n">
        <v>3.09</v>
      </c>
      <c r="AD111" s="0" t="inlineStr">
        <is>
          <t>алюминиевый профиль</t>
        </is>
      </c>
      <c r="AE111" s="0" t="inlineStr">
        <is>
          <t>стекло</t>
        </is>
      </c>
      <c r="AG111" s="0" t="inlineStr">
        <is>
          <t>прозрачный рассеиватель</t>
        </is>
      </c>
      <c r="AH111" s="0" t="inlineStr">
        <is>
          <t>Светодиоды Samsung LM292</t>
        </is>
      </c>
      <c r="AI111" s="0" t="inlineStr">
        <is>
          <t>LED-driver</t>
        </is>
      </c>
      <c r="AK111" s="0" t="n">
        <v>0.95</v>
      </c>
      <c r="AN111" s="0" t="n">
        <v>176</v>
      </c>
      <c r="AO111" s="0" t="n">
        <v>264</v>
      </c>
      <c r="AP111" s="0" t="n">
        <v>-60</v>
      </c>
      <c r="AQ111" s="0" t="n">
        <v>50</v>
      </c>
      <c r="AS111" s="0" t="inlineStr">
        <is>
          <t>Картон</t>
        </is>
      </c>
      <c r="AT111" s="0" t="inlineStr">
        <is>
          <t>Да</t>
        </is>
      </c>
      <c r="AW111" s="0" t="n">
        <v>1</v>
      </c>
      <c r="BD111" s="0" t="inlineStr">
        <is>
          <t>http://darion-svet.com/web/binary/saveas_archive?model=product.picture&amp;ids=[1650]&amp;field=image&amp;name_field=name&amp;archive_name=V1054-4000K_image</t>
        </is>
      </c>
      <c r="BE111" s="0" t="inlineStr">
        <is>
          <t>http://darion-svet.com/shop/product/v1054-4000k-vrn-un-144t-g40k67-u-144vt-universalnyij-</t>
        </is>
      </c>
      <c r="BI111" s="0" t="n">
        <v>0</v>
      </c>
      <c r="BJ111" s="0" t="n">
        <v>0</v>
      </c>
    </row>
    <row r="112">
      <c r="A112" s="0" t="inlineStr">
        <is>
          <t>V1054M2</t>
        </is>
      </c>
      <c r="B112" s="0" t="inlineStr">
        <is>
          <t>Светодиодный светильник VRN-UN-144T-G50K67-M2 пропеллер</t>
        </is>
      </c>
      <c r="C112" s="0" t="inlineStr">
        <is>
          <t>Универсал</t>
        </is>
      </c>
      <c r="E112" s="0" t="inlineStr">
        <is>
          <t>http://darion-svet.com/web/binary/image?model=product.product&amp;id=20686&amp;field=image</t>
        </is>
      </c>
      <c r="F112" s="0" t="n">
        <v>5</v>
      </c>
      <c r="G112" s="0" t="inlineStr">
        <is>
          <t>Российская Федерация</t>
        </is>
      </c>
      <c r="H112" s="0" t="inlineStr">
        <is>
          <t>VIRONA</t>
        </is>
      </c>
      <c r="I112" s="0" t="inlineStr">
        <is>
          <t>на лиру; подвесной</t>
        </is>
      </c>
      <c r="J112" s="0" t="inlineStr">
        <is>
          <t>улицы (дороги, тротуары); промышленные помещения, склады и цеха</t>
        </is>
      </c>
      <c r="M112" s="0" t="n">
        <v>144</v>
      </c>
      <c r="O112" s="0" t="inlineStr">
        <is>
          <t>SMD</t>
        </is>
      </c>
      <c r="P112" s="0" t="n">
        <v>23040</v>
      </c>
      <c r="Q112" s="0" t="n">
        <v>5000</v>
      </c>
      <c r="R112" s="0" t="n">
        <v>80</v>
      </c>
      <c r="S112" s="0" t="n">
        <v>67</v>
      </c>
      <c r="T112" s="0" t="inlineStr">
        <is>
          <t>Д</t>
        </is>
      </c>
      <c r="U112" s="0" t="n">
        <v>100000</v>
      </c>
      <c r="V112" s="0" t="n">
        <v>540</v>
      </c>
      <c r="W112" s="0" t="n">
        <v>450</v>
      </c>
      <c r="X112" s="0" t="n">
        <v>250</v>
      </c>
      <c r="AB112" s="0" t="n">
        <v>4.598</v>
      </c>
      <c r="AD112" s="0" t="inlineStr">
        <is>
          <t>алюминиевый профиль</t>
        </is>
      </c>
      <c r="AE112" s="0" t="inlineStr">
        <is>
          <t>стекло</t>
        </is>
      </c>
      <c r="AG112" s="0" t="inlineStr">
        <is>
          <t>прозрачный рассеиватель</t>
        </is>
      </c>
      <c r="AH112" s="0" t="inlineStr">
        <is>
          <t>Светодиоды Samsung LM292</t>
        </is>
      </c>
      <c r="AI112" s="0" t="inlineStr">
        <is>
          <t>LED-driver</t>
        </is>
      </c>
      <c r="AK112" s="0" t="n">
        <v>0.95</v>
      </c>
      <c r="AN112" s="0" t="n">
        <v>176</v>
      </c>
      <c r="AO112" s="0" t="n">
        <v>264</v>
      </c>
      <c r="AP112" s="0" t="n">
        <v>-60</v>
      </c>
      <c r="AQ112" s="0" t="n">
        <v>50</v>
      </c>
      <c r="AS112" s="0" t="inlineStr">
        <is>
          <t>Картон</t>
        </is>
      </c>
      <c r="AT112" s="0" t="inlineStr">
        <is>
          <t>Да</t>
        </is>
      </c>
      <c r="AW112" s="0" t="n">
        <v>1</v>
      </c>
      <c r="BD112" s="0" t="inlineStr">
        <is>
          <t>http://darion-svet.com/web/binary/saveas_archive?model=product.picture&amp;ids=[1670]&amp;field=image&amp;name_field=name&amp;archive_name=V1054M2_image</t>
        </is>
      </c>
      <c r="BE112" s="0" t="inlineStr">
        <is>
          <t>http://darion-svet.com/shop/product/v1054m2-vrn-un-144t-g50k67-m2</t>
        </is>
      </c>
      <c r="BI112" s="0" t="n">
        <v>0</v>
      </c>
      <c r="BJ112" s="0" t="n">
        <v>0</v>
      </c>
    </row>
    <row r="113">
      <c r="A113" s="0" t="inlineStr">
        <is>
          <t>V1055</t>
        </is>
      </c>
      <c r="B113" s="0" t="inlineStr">
        <is>
          <t>Светодиодный светильник Virona 186Вт Универсальный (VRN-UN-186T-G50K67-U)</t>
        </is>
      </c>
      <c r="C113" s="0" t="inlineStr">
        <is>
          <t>Универсал</t>
        </is>
      </c>
      <c r="E113" s="0" t="inlineStr">
        <is>
          <t>http://darion-svet.com/web/binary/image?model=product.product&amp;id=18111&amp;field=image</t>
        </is>
      </c>
      <c r="F113" s="0" t="n">
        <v>5</v>
      </c>
      <c r="G113" s="0" t="inlineStr">
        <is>
          <t>Российская Федерация</t>
        </is>
      </c>
      <c r="H113" s="0" t="inlineStr">
        <is>
          <t>VIRONA</t>
        </is>
      </c>
      <c r="I113" s="0" t="inlineStr">
        <is>
          <t>консольный; на лиру; подвесной</t>
        </is>
      </c>
      <c r="J113" s="0" t="inlineStr">
        <is>
          <t>улицы (дороги, тротуары); промышленные помещения, склады и цеха</t>
        </is>
      </c>
      <c r="M113" s="0" t="n">
        <v>186</v>
      </c>
      <c r="O113" s="0" t="inlineStr">
        <is>
          <t>SMD</t>
        </is>
      </c>
      <c r="P113" s="0" t="n">
        <v>29760</v>
      </c>
      <c r="Q113" s="0" t="n">
        <v>5000</v>
      </c>
      <c r="R113" s="0" t="n">
        <v>80</v>
      </c>
      <c r="S113" s="0" t="n">
        <v>67</v>
      </c>
      <c r="T113" s="0" t="inlineStr">
        <is>
          <t>Д</t>
        </is>
      </c>
      <c r="U113" s="0" t="n">
        <v>100000</v>
      </c>
      <c r="V113" s="0" t="n">
        <v>330</v>
      </c>
      <c r="W113" s="0" t="n">
        <v>320</v>
      </c>
      <c r="X113" s="0" t="n">
        <v>95</v>
      </c>
      <c r="AB113" s="0" t="n">
        <v>3.42</v>
      </c>
      <c r="AD113" s="0" t="inlineStr">
        <is>
          <t>алюминиевый профиль</t>
        </is>
      </c>
      <c r="AE113" s="0" t="inlineStr">
        <is>
          <t>стекло</t>
        </is>
      </c>
      <c r="AG113" s="0" t="inlineStr">
        <is>
          <t>прозрачный рассеиватель</t>
        </is>
      </c>
      <c r="AH113" s="0" t="inlineStr">
        <is>
          <t>Светодиоды Samsung LM292</t>
        </is>
      </c>
      <c r="AI113" s="0" t="inlineStr">
        <is>
          <t>LED-driver</t>
        </is>
      </c>
      <c r="AK113" s="0" t="n">
        <v>0.95</v>
      </c>
      <c r="AN113" s="0" t="n">
        <v>176</v>
      </c>
      <c r="AO113" s="0" t="n">
        <v>264</v>
      </c>
      <c r="AP113" s="0" t="n">
        <v>-60</v>
      </c>
      <c r="AQ113" s="0" t="n">
        <v>50</v>
      </c>
      <c r="AS113" s="0" t="inlineStr">
        <is>
          <t>Картон</t>
        </is>
      </c>
      <c r="AT113" s="0" t="inlineStr">
        <is>
          <t>Да</t>
        </is>
      </c>
      <c r="AU113" s="0" t="n">
        <v>0.01568</v>
      </c>
      <c r="AV113" s="0" t="n">
        <v>4</v>
      </c>
      <c r="AW113" s="0" t="n">
        <v>1</v>
      </c>
      <c r="AX113" s="0" t="n">
        <v>350</v>
      </c>
      <c r="AY113" s="0" t="n">
        <v>320</v>
      </c>
      <c r="AZ113" s="0" t="n">
        <v>140</v>
      </c>
      <c r="BA113" s="0" t="n">
        <v>0.01568</v>
      </c>
      <c r="BB113" s="0" t="n">
        <v>4</v>
      </c>
      <c r="BD113" s="0" t="inlineStr">
        <is>
          <t>http://darion-svet.com/web/binary/saveas_archive?model=product.picture&amp;ids=[1654]&amp;field=image&amp;name_field=name&amp;archive_name=V1055_image</t>
        </is>
      </c>
      <c r="BE113" s="0" t="inlineStr">
        <is>
          <t>http://darion-svet.com/shop/product/v1055-vrn-un-186t-g50k67-u-186vt-universalnyij</t>
        </is>
      </c>
      <c r="BI113" s="0" t="n">
        <v>0</v>
      </c>
      <c r="BJ113" s="0" t="n">
        <v>0</v>
      </c>
    </row>
    <row r="114">
      <c r="A114" s="0" t="inlineStr">
        <is>
          <t>V1056</t>
        </is>
      </c>
      <c r="B114" s="0" t="inlineStr">
        <is>
          <t>Светодиодный светильник Virona 288Вт Универсальный (VRN-UN-288T-G50K67-U)</t>
        </is>
      </c>
      <c r="C114" s="0" t="inlineStr">
        <is>
          <t>Универсал</t>
        </is>
      </c>
      <c r="E114" s="0" t="inlineStr">
        <is>
          <t>http://darion-svet.com/web/binary/image?model=product.product&amp;id=18113&amp;field=image</t>
        </is>
      </c>
      <c r="F114" s="0" t="n">
        <v>5</v>
      </c>
      <c r="G114" s="0" t="inlineStr">
        <is>
          <t>Российская Федерация</t>
        </is>
      </c>
      <c r="H114" s="0" t="inlineStr">
        <is>
          <t>VIRONA</t>
        </is>
      </c>
      <c r="I114" s="0" t="inlineStr">
        <is>
          <t>консольный; на лиру; подвесной</t>
        </is>
      </c>
      <c r="J114" s="0" t="inlineStr">
        <is>
          <t>улицы (дороги, тротуары); промышленные помещения, склады и цеха</t>
        </is>
      </c>
      <c r="M114" s="0" t="n">
        <v>288</v>
      </c>
      <c r="O114" s="0" t="inlineStr">
        <is>
          <t>SMD</t>
        </is>
      </c>
      <c r="P114" s="0" t="n">
        <v>46080</v>
      </c>
      <c r="Q114" s="0" t="n">
        <v>5000</v>
      </c>
      <c r="R114" s="0" t="n">
        <v>80</v>
      </c>
      <c r="S114" s="0" t="n">
        <v>67</v>
      </c>
      <c r="T114" s="0" t="inlineStr">
        <is>
          <t>Д</t>
        </is>
      </c>
      <c r="U114" s="0" t="n">
        <v>100000</v>
      </c>
      <c r="V114" s="0" t="n">
        <v>540</v>
      </c>
      <c r="W114" s="0" t="n">
        <v>322</v>
      </c>
      <c r="X114" s="0" t="n">
        <v>100</v>
      </c>
      <c r="AB114" s="0" t="n">
        <v>5.91</v>
      </c>
      <c r="AD114" s="0" t="inlineStr">
        <is>
          <t>алюминиевый профиль</t>
        </is>
      </c>
      <c r="AE114" s="0" t="inlineStr">
        <is>
          <t>стекло</t>
        </is>
      </c>
      <c r="AG114" s="0" t="inlineStr">
        <is>
          <t>прозрачный рассеиватель</t>
        </is>
      </c>
      <c r="AH114" s="0" t="inlineStr">
        <is>
          <t>Светодиоды Samsung LM292</t>
        </is>
      </c>
      <c r="AI114" s="0" t="inlineStr">
        <is>
          <t>LED-driver</t>
        </is>
      </c>
      <c r="AK114" s="0" t="n">
        <v>0.95</v>
      </c>
      <c r="AN114" s="0" t="n">
        <v>176</v>
      </c>
      <c r="AO114" s="0" t="n">
        <v>264</v>
      </c>
      <c r="AP114" s="0" t="n">
        <v>-60</v>
      </c>
      <c r="AQ114" s="0" t="n">
        <v>50</v>
      </c>
      <c r="AS114" s="0" t="inlineStr">
        <is>
          <t>Картон</t>
        </is>
      </c>
      <c r="AT114" s="0" t="inlineStr">
        <is>
          <t>Да</t>
        </is>
      </c>
      <c r="AU114" s="0" t="n">
        <v>0.02509</v>
      </c>
      <c r="AV114" s="0" t="n">
        <v>0.365</v>
      </c>
      <c r="AW114" s="0" t="n">
        <v>1</v>
      </c>
      <c r="AX114" s="0" t="n">
        <v>560</v>
      </c>
      <c r="AY114" s="0" t="n">
        <v>320</v>
      </c>
      <c r="AZ114" s="0" t="n">
        <v>140</v>
      </c>
      <c r="BA114" s="0" t="n">
        <v>0.02509</v>
      </c>
      <c r="BB114" s="0" t="n">
        <v>0.365</v>
      </c>
      <c r="BD114" s="0" t="inlineStr">
        <is>
          <t>http://darion-svet.com/web/binary/saveas_archive?model=product.picture&amp;ids=[1662]&amp;field=image&amp;name_field=name&amp;archive_name=V1056_image</t>
        </is>
      </c>
      <c r="BE114" s="0" t="inlineStr">
        <is>
          <t>http://darion-svet.com/shop/product/v1056-vrn-un-288t-g50k67-u-288vt-universalnyij</t>
        </is>
      </c>
      <c r="BI114" s="0" t="n">
        <v>0</v>
      </c>
      <c r="BJ114" s="0" t="n">
        <v>0</v>
      </c>
    </row>
    <row r="115">
      <c r="A115" s="0" t="inlineStr">
        <is>
          <t>V1057</t>
        </is>
      </c>
      <c r="B115" s="0" t="inlineStr">
        <is>
          <t>Светодиодный светильник Virona 96Вт Универсальный (VRN-UN-96T-G50K67-U90)</t>
        </is>
      </c>
      <c r="C115" s="0" t="inlineStr">
        <is>
          <t>Универсал</t>
        </is>
      </c>
      <c r="E115" s="0" t="inlineStr">
        <is>
          <t>http://darion-svet.com/web/binary/image?model=product.product&amp;id=18121&amp;field=image</t>
        </is>
      </c>
      <c r="F115" s="0" t="n">
        <v>5</v>
      </c>
      <c r="G115" s="0" t="inlineStr">
        <is>
          <t>Российская Федерация</t>
        </is>
      </c>
      <c r="H115" s="0" t="inlineStr">
        <is>
          <t>VIRONA</t>
        </is>
      </c>
      <c r="I115" s="0" t="inlineStr">
        <is>
          <t>консольный; на лиру; подвесной</t>
        </is>
      </c>
      <c r="J115" s="0" t="inlineStr">
        <is>
          <t>улицы (дороги, тротуары); промышленные помещения, склады и цеха</t>
        </is>
      </c>
      <c r="M115" s="0" t="n">
        <v>96</v>
      </c>
      <c r="O115" s="0" t="inlineStr">
        <is>
          <t>SMD</t>
        </is>
      </c>
      <c r="P115" s="0" t="n">
        <v>15360</v>
      </c>
      <c r="Q115" s="0" t="n">
        <v>5000</v>
      </c>
      <c r="R115" s="0" t="n">
        <v>80</v>
      </c>
      <c r="S115" s="0" t="n">
        <v>67</v>
      </c>
      <c r="T115" s="0" t="inlineStr">
        <is>
          <t>Л</t>
        </is>
      </c>
      <c r="U115" s="0" t="n">
        <v>100000</v>
      </c>
      <c r="V115" s="0" t="n">
        <v>243</v>
      </c>
      <c r="W115" s="0" t="n">
        <v>325</v>
      </c>
      <c r="X115" s="0" t="n">
        <v>125</v>
      </c>
      <c r="AB115" s="0" t="n">
        <v>2.765</v>
      </c>
      <c r="AD115" s="0" t="inlineStr">
        <is>
          <t>алюминиевый профиль</t>
        </is>
      </c>
      <c r="AE115" s="0" t="inlineStr">
        <is>
          <t>стекло</t>
        </is>
      </c>
      <c r="AG115" s="0" t="inlineStr">
        <is>
          <t>прозрачный рассеиватель</t>
        </is>
      </c>
      <c r="AH115" s="0" t="inlineStr">
        <is>
          <t>Светодиоды Samsung LM292</t>
        </is>
      </c>
      <c r="AI115" s="0" t="inlineStr">
        <is>
          <t>LED-driver</t>
        </is>
      </c>
      <c r="AK115" s="0" t="n">
        <v>0.95</v>
      </c>
      <c r="AN115" s="0" t="n">
        <v>176</v>
      </c>
      <c r="AO115" s="0" t="n">
        <v>264</v>
      </c>
      <c r="AP115" s="0" t="n">
        <v>-60</v>
      </c>
      <c r="AQ115" s="0" t="n">
        <v>50</v>
      </c>
      <c r="AS115" s="0" t="inlineStr">
        <is>
          <t>Картон</t>
        </is>
      </c>
      <c r="AT115" s="0" t="inlineStr">
        <is>
          <t>Да</t>
        </is>
      </c>
      <c r="AW115" s="0" t="n">
        <v>1</v>
      </c>
      <c r="BD115" s="0" t="inlineStr">
        <is>
          <t>http://darion-svet.com/web/binary/saveas_archive?model=product.picture&amp;ids=[1648]&amp;field=image&amp;name_field=name&amp;archive_name=V1057_image</t>
        </is>
      </c>
      <c r="BE115" s="0" t="inlineStr">
        <is>
          <t>http://darion-svet.com/shop/product/v1057-vrn-un-96t-g50k67-u90-96vt-universalnyij</t>
        </is>
      </c>
      <c r="BI115" s="0" t="n">
        <v>0</v>
      </c>
      <c r="BJ115" s="0" t="n">
        <v>0</v>
      </c>
    </row>
    <row r="116">
      <c r="A116" s="0" t="inlineStr">
        <is>
          <t>V10577</t>
        </is>
      </c>
      <c r="B116" s="0" t="inlineStr">
        <is>
          <t>Светодиодный светильник VRN-UN-78T-G50K67-U90</t>
        </is>
      </c>
      <c r="C116" s="0" t="inlineStr">
        <is>
          <t>Универсал</t>
        </is>
      </c>
      <c r="E116" s="0" t="inlineStr">
        <is>
          <t>http://darion-svet.com/web/binary/image?model=product.product&amp;id=26885&amp;field=image</t>
        </is>
      </c>
      <c r="G116" s="0" t="inlineStr">
        <is>
          <t>Российская Федерация</t>
        </is>
      </c>
      <c r="H116" s="0" t="inlineStr">
        <is>
          <t>VIRONA</t>
        </is>
      </c>
      <c r="I116" s="0" t="inlineStr">
        <is>
          <t>консольный; на лиру; подвесной</t>
        </is>
      </c>
      <c r="J116" s="0" t="inlineStr">
        <is>
          <t>улицы (дороги, тротуары); магистрали и дороги</t>
        </is>
      </c>
      <c r="M116" s="0" t="n">
        <v>78</v>
      </c>
      <c r="O116" s="0" t="inlineStr">
        <is>
          <t>SMD</t>
        </is>
      </c>
      <c r="P116" s="0" t="n">
        <v>12480</v>
      </c>
      <c r="Q116" s="0" t="n">
        <v>5000</v>
      </c>
      <c r="R116" s="0" t="n">
        <v>80</v>
      </c>
      <c r="S116" s="0" t="n">
        <v>67</v>
      </c>
      <c r="T116" s="0" t="inlineStr">
        <is>
          <t>Л</t>
        </is>
      </c>
      <c r="U116" s="0" t="inlineStr">
        <is>
          <t>100 000 ч.</t>
        </is>
      </c>
      <c r="V116" s="0" t="n">
        <v>225</v>
      </c>
      <c r="W116" s="0" t="n">
        <v>325</v>
      </c>
      <c r="X116" s="0" t="n">
        <v>135</v>
      </c>
      <c r="AB116" s="0" t="n">
        <v>2.8</v>
      </c>
      <c r="AD116" s="0" t="inlineStr">
        <is>
          <t>алюминиевый профиль</t>
        </is>
      </c>
      <c r="AE116" s="0" t="inlineStr">
        <is>
          <t>полимерный материал</t>
        </is>
      </c>
      <c r="AH116" s="0" t="inlineStr">
        <is>
          <t>Светодиоды Samsung LH351</t>
        </is>
      </c>
      <c r="AI116" s="0" t="inlineStr">
        <is>
          <t>LED-driver</t>
        </is>
      </c>
      <c r="AK116" s="0" t="n">
        <v>0.95</v>
      </c>
      <c r="AL116" s="0" t="n">
        <v>1</v>
      </c>
      <c r="AN116" s="0" t="n">
        <v>176</v>
      </c>
      <c r="AO116" s="0" t="n">
        <v>264</v>
      </c>
      <c r="AP116" s="0" t="n">
        <v>-60</v>
      </c>
      <c r="AQ116" s="0" t="n">
        <v>50</v>
      </c>
      <c r="AS116" s="0" t="inlineStr">
        <is>
          <t>Картон</t>
        </is>
      </c>
      <c r="AT116" s="0" t="inlineStr">
        <is>
          <t>Да</t>
        </is>
      </c>
      <c r="AW116" s="0" t="n">
        <v>1</v>
      </c>
      <c r="AX116" s="0" t="n">
        <v>250</v>
      </c>
      <c r="AY116" s="0" t="n">
        <v>350</v>
      </c>
      <c r="AZ116" s="0" t="n">
        <v>140</v>
      </c>
      <c r="BI116" s="0" t="n">
        <v>0</v>
      </c>
      <c r="BJ116" s="0" t="n">
        <v>0</v>
      </c>
    </row>
    <row r="117">
      <c r="A117" s="0" t="inlineStr">
        <is>
          <t>V1058</t>
        </is>
      </c>
      <c r="B117" s="0" t="inlineStr">
        <is>
          <t>Светодиодный светильник Virona 144Вт Универсальный (VRN-UN-144T-G50K67-U90)</t>
        </is>
      </c>
      <c r="C117" s="0" t="inlineStr">
        <is>
          <t>Универсал</t>
        </is>
      </c>
      <c r="E117" s="0" t="inlineStr">
        <is>
          <t>http://darion-svet.com/web/binary/image?model=product.product&amp;id=18122&amp;field=image</t>
        </is>
      </c>
      <c r="F117" s="0" t="n">
        <v>5</v>
      </c>
      <c r="G117" s="0" t="inlineStr">
        <is>
          <t>Российская Федерация</t>
        </is>
      </c>
      <c r="H117" s="0" t="inlineStr">
        <is>
          <t>VIRONA</t>
        </is>
      </c>
      <c r="I117" s="0" t="inlineStr">
        <is>
          <t>консольный; на лиру; подвесной</t>
        </is>
      </c>
      <c r="J117" s="0" t="inlineStr">
        <is>
          <t>улицы (дороги, тротуары); промышленные помещения, склады и цеха</t>
        </is>
      </c>
      <c r="M117" s="0" t="n">
        <v>144</v>
      </c>
      <c r="O117" s="0" t="inlineStr">
        <is>
          <t>SMD</t>
        </is>
      </c>
      <c r="P117" s="0" t="n">
        <v>23040</v>
      </c>
      <c r="Q117" s="0" t="n">
        <v>5000</v>
      </c>
      <c r="R117" s="0" t="n">
        <v>80</v>
      </c>
      <c r="S117" s="0" t="n">
        <v>67</v>
      </c>
      <c r="T117" s="0" t="inlineStr">
        <is>
          <t>Л</t>
        </is>
      </c>
      <c r="U117" s="0" t="n">
        <v>100000</v>
      </c>
      <c r="V117" s="0" t="n">
        <v>280</v>
      </c>
      <c r="W117" s="0" t="n">
        <v>320</v>
      </c>
      <c r="X117" s="0" t="n">
        <v>134</v>
      </c>
      <c r="AB117" s="0" t="n">
        <v>3.09</v>
      </c>
      <c r="AD117" s="0" t="inlineStr">
        <is>
          <t>алюминиевый профиль</t>
        </is>
      </c>
      <c r="AE117" s="0" t="inlineStr">
        <is>
          <t>стекло</t>
        </is>
      </c>
      <c r="AG117" s="0" t="inlineStr">
        <is>
          <t>прозрачный рассеиватель</t>
        </is>
      </c>
      <c r="AH117" s="0" t="inlineStr">
        <is>
          <t>Светодиоды Samsung LM292</t>
        </is>
      </c>
      <c r="AI117" s="0" t="inlineStr">
        <is>
          <t>LED-driver</t>
        </is>
      </c>
      <c r="AK117" s="0" t="n">
        <v>0.95</v>
      </c>
      <c r="AN117" s="0" t="n">
        <v>176</v>
      </c>
      <c r="AO117" s="0" t="n">
        <v>264</v>
      </c>
      <c r="AP117" s="0" t="n">
        <v>-60</v>
      </c>
      <c r="AQ117" s="0" t="n">
        <v>50</v>
      </c>
      <c r="AS117" s="0" t="inlineStr">
        <is>
          <t>Картон</t>
        </is>
      </c>
      <c r="AT117" s="0" t="inlineStr">
        <is>
          <t>Да</t>
        </is>
      </c>
      <c r="AU117" s="0" t="n">
        <v>0.0147</v>
      </c>
      <c r="AV117" s="0" t="n">
        <v>0.334</v>
      </c>
      <c r="AW117" s="0" t="n">
        <v>1</v>
      </c>
      <c r="AX117" s="0" t="n">
        <v>300</v>
      </c>
      <c r="AY117" s="0" t="n">
        <v>350</v>
      </c>
      <c r="AZ117" s="0" t="n">
        <v>140</v>
      </c>
      <c r="BA117" s="0" t="n">
        <v>0.0147</v>
      </c>
      <c r="BB117" s="0" t="n">
        <v>0.334</v>
      </c>
      <c r="BD117" s="0" t="inlineStr">
        <is>
          <t>http://darion-svet.com/web/binary/saveas_archive?model=product.picture&amp;ids=[1652]&amp;field=image&amp;name_field=name&amp;archive_name=V1058_image</t>
        </is>
      </c>
      <c r="BE117" s="0" t="inlineStr">
        <is>
          <t>http://darion-svet.com/shop/product/v1058-vrn-un-144t-g50k67-u90-144vt-universalnyij</t>
        </is>
      </c>
      <c r="BI117" s="0" t="n">
        <v>0</v>
      </c>
      <c r="BJ117" s="0" t="n">
        <v>0</v>
      </c>
    </row>
    <row r="118">
      <c r="A118" s="0" t="inlineStr">
        <is>
          <t>V10588</t>
        </is>
      </c>
      <c r="B118" s="0" t="inlineStr">
        <is>
          <t>Светодиодный светильник VRN-UN-120T-G50K67-U90</t>
        </is>
      </c>
      <c r="C118" s="0" t="inlineStr">
        <is>
          <t>Универсал</t>
        </is>
      </c>
      <c r="E118" s="0" t="inlineStr">
        <is>
          <t>http://darion-svet.com/web/binary/image?model=product.product&amp;id=26889&amp;field=image</t>
        </is>
      </c>
      <c r="G118" s="0" t="inlineStr">
        <is>
          <t>Российская Федерация</t>
        </is>
      </c>
      <c r="H118" s="0" t="inlineStr">
        <is>
          <t>VIRONA</t>
        </is>
      </c>
      <c r="I118" s="0" t="inlineStr">
        <is>
          <t>консольный; на лиру; подвесной</t>
        </is>
      </c>
      <c r="J118" s="0" t="inlineStr">
        <is>
          <t>улицы (дороги, тротуары); магистрали и дороги</t>
        </is>
      </c>
      <c r="M118" s="0" t="n">
        <v>120</v>
      </c>
      <c r="O118" s="0" t="inlineStr">
        <is>
          <t>SMD</t>
        </is>
      </c>
      <c r="P118" s="0" t="n">
        <v>19200</v>
      </c>
      <c r="Q118" s="0" t="n">
        <v>5000</v>
      </c>
      <c r="R118" s="0" t="n">
        <v>80</v>
      </c>
      <c r="S118" s="0" t="n">
        <v>67</v>
      </c>
      <c r="T118" s="0" t="inlineStr">
        <is>
          <t>Л</t>
        </is>
      </c>
      <c r="U118" s="0" t="inlineStr">
        <is>
          <t>100 000 ч.</t>
        </is>
      </c>
      <c r="V118" s="0" t="n">
        <v>275</v>
      </c>
      <c r="W118" s="0" t="n">
        <v>325</v>
      </c>
      <c r="X118" s="0" t="n">
        <v>135</v>
      </c>
      <c r="AB118" s="0" t="n">
        <v>3.1</v>
      </c>
      <c r="AD118" s="0" t="inlineStr">
        <is>
          <t>алюминиевый профиль</t>
        </is>
      </c>
      <c r="AE118" s="0" t="inlineStr">
        <is>
          <t>полимерный материал</t>
        </is>
      </c>
      <c r="AH118" s="0" t="inlineStr">
        <is>
          <t>Светодиоды Samsung LH351</t>
        </is>
      </c>
      <c r="AI118" s="0" t="inlineStr">
        <is>
          <t>LED-driver</t>
        </is>
      </c>
      <c r="AK118" s="0" t="n">
        <v>0.95</v>
      </c>
      <c r="AL118" s="0" t="n">
        <v>1</v>
      </c>
      <c r="AN118" s="0" t="n">
        <v>176</v>
      </c>
      <c r="AO118" s="0" t="n">
        <v>264</v>
      </c>
      <c r="AP118" s="0" t="n">
        <v>-60</v>
      </c>
      <c r="AQ118" s="0" t="n">
        <v>50</v>
      </c>
      <c r="AS118" s="0" t="inlineStr">
        <is>
          <t>Картон</t>
        </is>
      </c>
      <c r="AT118" s="0" t="inlineStr">
        <is>
          <t>Да</t>
        </is>
      </c>
      <c r="AW118" s="0" t="n">
        <v>1</v>
      </c>
      <c r="AX118" s="0" t="n">
        <v>300</v>
      </c>
      <c r="AY118" s="0" t="n">
        <v>350</v>
      </c>
      <c r="AZ118" s="0" t="n">
        <v>140</v>
      </c>
      <c r="BI118" s="0" t="n">
        <v>0</v>
      </c>
      <c r="BJ118" s="0" t="n">
        <v>0</v>
      </c>
    </row>
    <row r="119">
      <c r="A119" s="0" t="inlineStr">
        <is>
          <t>V1059</t>
        </is>
      </c>
      <c r="B119" s="0" t="inlineStr">
        <is>
          <t>Светодиодный светильник Virona 186Вт Универсальный (VRN-UN-186T-G50K67-U90)</t>
        </is>
      </c>
      <c r="C119" s="0" t="inlineStr">
        <is>
          <t>Универсал</t>
        </is>
      </c>
      <c r="E119" s="0" t="inlineStr">
        <is>
          <t>http://darion-svet.com/web/binary/image?model=product.product&amp;id=18123&amp;field=image</t>
        </is>
      </c>
      <c r="F119" s="0" t="n">
        <v>5</v>
      </c>
      <c r="G119" s="0" t="inlineStr">
        <is>
          <t>Российская Федерация</t>
        </is>
      </c>
      <c r="H119" s="0" t="inlineStr">
        <is>
          <t>VIRONA</t>
        </is>
      </c>
      <c r="I119" s="0" t="inlineStr">
        <is>
          <t>консольный; на лиру; подвесной</t>
        </is>
      </c>
      <c r="J119" s="0" t="inlineStr">
        <is>
          <t>улицы (дороги, тротуары); промышленные помещения, склады и цеха</t>
        </is>
      </c>
      <c r="M119" s="0" t="n">
        <v>186</v>
      </c>
      <c r="O119" s="0" t="inlineStr">
        <is>
          <t>SMD</t>
        </is>
      </c>
      <c r="P119" s="0" t="n">
        <v>29760</v>
      </c>
      <c r="Q119" s="0" t="n">
        <v>5000</v>
      </c>
      <c r="R119" s="0" t="n">
        <v>80</v>
      </c>
      <c r="S119" s="0" t="n">
        <v>67</v>
      </c>
      <c r="T119" s="0" t="inlineStr">
        <is>
          <t>Л</t>
        </is>
      </c>
      <c r="U119" s="0" t="n">
        <v>100000</v>
      </c>
      <c r="V119" s="0" t="n">
        <v>324</v>
      </c>
      <c r="W119" s="0" t="n">
        <v>326</v>
      </c>
      <c r="X119" s="0" t="n">
        <v>147</v>
      </c>
      <c r="AD119" s="0" t="inlineStr">
        <is>
          <t>алюминиевый профиль</t>
        </is>
      </c>
      <c r="AE119" s="0" t="inlineStr">
        <is>
          <t>стекло</t>
        </is>
      </c>
      <c r="AG119" s="0" t="inlineStr">
        <is>
          <t>прозрачный рассеиватель</t>
        </is>
      </c>
      <c r="AH119" s="0" t="inlineStr">
        <is>
          <t>Светодиоды Samsung LM292</t>
        </is>
      </c>
      <c r="AI119" s="0" t="inlineStr">
        <is>
          <t>LED-driver</t>
        </is>
      </c>
      <c r="AK119" s="0" t="n">
        <v>0.95</v>
      </c>
      <c r="AN119" s="0" t="n">
        <v>176</v>
      </c>
      <c r="AO119" s="0" t="n">
        <v>264</v>
      </c>
      <c r="AP119" s="0" t="n">
        <v>-60</v>
      </c>
      <c r="AQ119" s="0" t="n">
        <v>50</v>
      </c>
      <c r="AS119" s="0" t="inlineStr">
        <is>
          <t>Картон</t>
        </is>
      </c>
      <c r="AT119" s="0" t="inlineStr">
        <is>
          <t>Да</t>
        </is>
      </c>
      <c r="AW119" s="0" t="n">
        <v>1</v>
      </c>
      <c r="BD119" s="0" t="inlineStr">
        <is>
          <t>http://darion-svet.com/web/binary/saveas_archive?model=product.picture&amp;ids=[1656]&amp;field=image&amp;name_field=name&amp;archive_name=V1059_image</t>
        </is>
      </c>
      <c r="BE119" s="0" t="inlineStr">
        <is>
          <t>http://darion-svet.com/shop/product/v1059-vrn-un-186t-g50k67-u90-186vt-universalnyij</t>
        </is>
      </c>
      <c r="BI119" s="0" t="n">
        <v>0</v>
      </c>
      <c r="BJ119" s="0" t="n">
        <v>0</v>
      </c>
    </row>
    <row r="120">
      <c r="A120" s="0" t="inlineStr">
        <is>
          <t>V1060</t>
        </is>
      </c>
      <c r="B120" s="0" t="inlineStr">
        <is>
          <t>Светодиодный светильник Virona 288Вт Универсальный (VRN-UN-288T-G50K67-U90)</t>
        </is>
      </c>
      <c r="C120" s="0" t="inlineStr">
        <is>
          <t>Универсал</t>
        </is>
      </c>
      <c r="E120" s="0" t="inlineStr">
        <is>
          <t>http://darion-svet.com/web/binary/image?model=product.product&amp;id=18125&amp;field=image</t>
        </is>
      </c>
      <c r="F120" s="0" t="n">
        <v>5</v>
      </c>
      <c r="G120" s="0" t="inlineStr">
        <is>
          <t>Российская Федерация</t>
        </is>
      </c>
      <c r="H120" s="0" t="inlineStr">
        <is>
          <t>VIRONA</t>
        </is>
      </c>
      <c r="I120" s="0" t="inlineStr">
        <is>
          <t>консольный; на лиру; подвесной</t>
        </is>
      </c>
      <c r="J120" s="0" t="inlineStr">
        <is>
          <t>улицы (дороги, тротуары); промышленные помещения, склады и цеха</t>
        </is>
      </c>
      <c r="M120" s="0" t="n">
        <v>288</v>
      </c>
      <c r="O120" s="0" t="inlineStr">
        <is>
          <t>SMD</t>
        </is>
      </c>
      <c r="P120" s="0" t="n">
        <v>46080</v>
      </c>
      <c r="Q120" s="0" t="n">
        <v>5000</v>
      </c>
      <c r="R120" s="0" t="n">
        <v>80</v>
      </c>
      <c r="S120" s="0" t="n">
        <v>67</v>
      </c>
      <c r="T120" s="0" t="inlineStr">
        <is>
          <t>Л</t>
        </is>
      </c>
      <c r="U120" s="0" t="n">
        <v>100000</v>
      </c>
      <c r="V120" s="0" t="n">
        <v>541</v>
      </c>
      <c r="W120" s="0" t="n">
        <v>328</v>
      </c>
      <c r="X120" s="0" t="n">
        <v>135</v>
      </c>
      <c r="AB120" s="0" t="n">
        <v>5.07</v>
      </c>
      <c r="AD120" s="0" t="inlineStr">
        <is>
          <t>алюминиевый профиль</t>
        </is>
      </c>
      <c r="AE120" s="0" t="inlineStr">
        <is>
          <t>стекло</t>
        </is>
      </c>
      <c r="AG120" s="0" t="inlineStr">
        <is>
          <t>прозрачный рассеиватель</t>
        </is>
      </c>
      <c r="AH120" s="0" t="inlineStr">
        <is>
          <t>Светодиоды Samsung LM292</t>
        </is>
      </c>
      <c r="AI120" s="0" t="inlineStr">
        <is>
          <t>LED-driver</t>
        </is>
      </c>
      <c r="AK120" s="0" t="n">
        <v>0.95</v>
      </c>
      <c r="AN120" s="0" t="n">
        <v>176</v>
      </c>
      <c r="AO120" s="0" t="n">
        <v>264</v>
      </c>
      <c r="AP120" s="0" t="n">
        <v>-60</v>
      </c>
      <c r="AQ120" s="0" t="n">
        <v>50</v>
      </c>
      <c r="AS120" s="0" t="inlineStr">
        <is>
          <t>Картон</t>
        </is>
      </c>
      <c r="AT120" s="0" t="inlineStr">
        <is>
          <t>Да</t>
        </is>
      </c>
      <c r="AW120" s="0" t="n">
        <v>1</v>
      </c>
      <c r="BD120" s="0" t="inlineStr">
        <is>
          <t>http://darion-svet.com/web/binary/saveas_archive?model=product.picture&amp;ids=[1664]&amp;field=image&amp;name_field=name&amp;archive_name=V1060_image</t>
        </is>
      </c>
      <c r="BE120" s="0" t="inlineStr">
        <is>
          <t>http://darion-svet.com/shop/product/v1060-vrn-un-288t-g50k67-u90-288vt-universalnyij</t>
        </is>
      </c>
      <c r="BI120" s="0" t="n">
        <v>0</v>
      </c>
      <c r="BJ120" s="0" t="n">
        <v>0</v>
      </c>
    </row>
    <row r="121">
      <c r="A121" s="0" t="inlineStr">
        <is>
          <t>V1061</t>
        </is>
      </c>
      <c r="B121" s="0" t="inlineStr">
        <is>
          <t>Светодиодный светильник Virona 96Вт Консольный (VRN-UN-96T-G50K67-K)</t>
        </is>
      </c>
      <c r="C121" s="0" t="inlineStr">
        <is>
          <t>Универсал</t>
        </is>
      </c>
      <c r="E121" s="0" t="inlineStr">
        <is>
          <t>http://darion-svet.com/web/binary/image?model=product.product&amp;id=18115&amp;field=image</t>
        </is>
      </c>
      <c r="F121" s="0" t="n">
        <v>5</v>
      </c>
      <c r="G121" s="0" t="inlineStr">
        <is>
          <t>Российская Федерация</t>
        </is>
      </c>
      <c r="H121" s="0" t="inlineStr">
        <is>
          <t>VIRONA</t>
        </is>
      </c>
      <c r="I121" s="0" t="inlineStr">
        <is>
          <t>консольный</t>
        </is>
      </c>
      <c r="J121" s="0" t="inlineStr">
        <is>
          <t>магистрали и дороги</t>
        </is>
      </c>
      <c r="M121" s="0" t="n">
        <v>96</v>
      </c>
      <c r="O121" s="0" t="inlineStr">
        <is>
          <t>SMD</t>
        </is>
      </c>
      <c r="P121" s="0" t="n">
        <v>15360</v>
      </c>
      <c r="Q121" s="0" t="n">
        <v>5000</v>
      </c>
      <c r="R121" s="0" t="n">
        <v>80</v>
      </c>
      <c r="S121" s="0" t="n">
        <v>67</v>
      </c>
      <c r="T121" s="0" t="inlineStr">
        <is>
          <t>Д</t>
        </is>
      </c>
      <c r="U121" s="0" t="n">
        <v>100000</v>
      </c>
      <c r="V121" s="0" t="n">
        <v>224</v>
      </c>
      <c r="W121" s="0" t="n">
        <v>320</v>
      </c>
      <c r="X121" s="0" t="n">
        <v>126</v>
      </c>
      <c r="AD121" s="0" t="inlineStr">
        <is>
          <t>алюминиевый профиль</t>
        </is>
      </c>
      <c r="AE121" s="0" t="inlineStr">
        <is>
          <t>стекло</t>
        </is>
      </c>
      <c r="AG121" s="0" t="inlineStr">
        <is>
          <t>прозрачный рассеиватель</t>
        </is>
      </c>
      <c r="AH121" s="0" t="inlineStr">
        <is>
          <t>Светодиоды Samsung LM292</t>
        </is>
      </c>
      <c r="AI121" s="0" t="inlineStr">
        <is>
          <t>LED-driver</t>
        </is>
      </c>
      <c r="AK121" s="0" t="n">
        <v>0.95</v>
      </c>
      <c r="AN121" s="0" t="n">
        <v>176</v>
      </c>
      <c r="AO121" s="0" t="n">
        <v>264</v>
      </c>
      <c r="AP121" s="0" t="n">
        <v>-60</v>
      </c>
      <c r="AQ121" s="0" t="n">
        <v>50</v>
      </c>
      <c r="AS121" s="0" t="inlineStr">
        <is>
          <t>Картон</t>
        </is>
      </c>
      <c r="AT121" s="0" t="inlineStr">
        <is>
          <t>Да</t>
        </is>
      </c>
      <c r="AW121" s="0" t="n">
        <v>1</v>
      </c>
      <c r="BD121" s="0" t="inlineStr">
        <is>
          <t>http://darion-svet.com/web/binary/saveas_archive?model=product.picture&amp;ids=[1647]&amp;field=image&amp;name_field=name&amp;archive_name=V1061_image</t>
        </is>
      </c>
      <c r="BE121" s="0" t="inlineStr">
        <is>
          <t>http://darion-svet.com/shop/product/v1061-vrn-un-96t-g50k67-k-96vt-konsolnyij-</t>
        </is>
      </c>
      <c r="BI121" s="0" t="n">
        <v>0</v>
      </c>
      <c r="BJ121" s="0" t="n">
        <v>0</v>
      </c>
    </row>
    <row r="122">
      <c r="A122" s="0" t="inlineStr">
        <is>
          <t>V10611</t>
        </is>
      </c>
      <c r="B122" s="0" t="inlineStr">
        <is>
          <t>Светодиодный светильник VRN-UN-78T-G50K67-K</t>
        </is>
      </c>
      <c r="C122" s="0" t="inlineStr">
        <is>
          <t>Универсал</t>
        </is>
      </c>
      <c r="E122" s="0" t="inlineStr">
        <is>
          <t>http://darion-svet.com/web/binary/image?model=product.product&amp;id=26884&amp;field=image</t>
        </is>
      </c>
      <c r="G122" s="0" t="inlineStr">
        <is>
          <t>Российская Федерация</t>
        </is>
      </c>
      <c r="H122" s="0" t="inlineStr">
        <is>
          <t>VIRONA</t>
        </is>
      </c>
      <c r="I122" s="0" t="inlineStr">
        <is>
          <t>консольный</t>
        </is>
      </c>
      <c r="J122" s="0" t="inlineStr">
        <is>
          <t>улицы (дороги, тротуары); магистрали и дороги</t>
        </is>
      </c>
      <c r="M122" s="0" t="n">
        <v>78</v>
      </c>
      <c r="O122" s="0" t="inlineStr">
        <is>
          <t>SMD</t>
        </is>
      </c>
      <c r="P122" s="0" t="n">
        <v>12480</v>
      </c>
      <c r="Q122" s="0" t="n">
        <v>5000</v>
      </c>
      <c r="R122" s="0" t="n">
        <v>80</v>
      </c>
      <c r="S122" s="0" t="n">
        <v>67</v>
      </c>
      <c r="T122" s="0" t="inlineStr">
        <is>
          <t>Д</t>
        </is>
      </c>
      <c r="U122" s="0" t="inlineStr">
        <is>
          <t>100 000 ч.</t>
        </is>
      </c>
      <c r="V122" s="0" t="n">
        <v>225</v>
      </c>
      <c r="W122" s="0" t="n">
        <v>320</v>
      </c>
      <c r="X122" s="0" t="n">
        <v>120</v>
      </c>
      <c r="AB122" s="0" t="n">
        <v>2.7</v>
      </c>
      <c r="AD122" s="0" t="inlineStr">
        <is>
          <t>алюминиевый профиль</t>
        </is>
      </c>
      <c r="AE122" s="0" t="inlineStr">
        <is>
          <t>полимерный материал</t>
        </is>
      </c>
      <c r="AH122" s="0" t="inlineStr">
        <is>
          <t>Светодиоды Samsung LH351</t>
        </is>
      </c>
      <c r="AI122" s="0" t="inlineStr">
        <is>
          <t>LED-driver</t>
        </is>
      </c>
      <c r="AK122" s="0" t="n">
        <v>0.95</v>
      </c>
      <c r="AL122" s="0" t="n">
        <v>1</v>
      </c>
      <c r="AN122" s="0" t="n">
        <v>176</v>
      </c>
      <c r="AO122" s="0" t="n">
        <v>264</v>
      </c>
      <c r="AP122" s="0" t="n">
        <v>-60</v>
      </c>
      <c r="AQ122" s="0" t="n">
        <v>50</v>
      </c>
      <c r="AS122" s="0" t="inlineStr">
        <is>
          <t>Картон</t>
        </is>
      </c>
      <c r="AT122" s="0" t="inlineStr">
        <is>
          <t>Да</t>
        </is>
      </c>
      <c r="AW122" s="0" t="n">
        <v>1</v>
      </c>
      <c r="AX122" s="0" t="n">
        <v>250</v>
      </c>
      <c r="AY122" s="0" t="n">
        <v>350</v>
      </c>
      <c r="AZ122" s="0" t="n">
        <v>140</v>
      </c>
      <c r="BI122" s="0" t="n">
        <v>0</v>
      </c>
      <c r="BJ122" s="0" t="n">
        <v>0</v>
      </c>
    </row>
    <row r="123">
      <c r="A123" s="0" t="inlineStr">
        <is>
          <t>V1062</t>
        </is>
      </c>
      <c r="B123" s="0" t="inlineStr">
        <is>
          <t>Светодиодный светильник Virona 144Вт Консольный (VRN-UN-144T-G50K67-K)</t>
        </is>
      </c>
      <c r="C123" s="0" t="inlineStr">
        <is>
          <t>Универсал</t>
        </is>
      </c>
      <c r="E123" s="0" t="inlineStr">
        <is>
          <t>http://darion-svet.com/web/binary/image?model=product.product&amp;id=18116&amp;field=image</t>
        </is>
      </c>
      <c r="F123" s="0" t="n">
        <v>5</v>
      </c>
      <c r="G123" s="0" t="inlineStr">
        <is>
          <t>Российская Федерация</t>
        </is>
      </c>
      <c r="H123" s="0" t="inlineStr">
        <is>
          <t>VIRONA</t>
        </is>
      </c>
      <c r="I123" s="0" t="inlineStr">
        <is>
          <t>консольный</t>
        </is>
      </c>
      <c r="J123" s="0" t="inlineStr">
        <is>
          <t>магистрали и дороги</t>
        </is>
      </c>
      <c r="M123" s="0" t="n">
        <v>144</v>
      </c>
      <c r="O123" s="0" t="inlineStr">
        <is>
          <t>SMD</t>
        </is>
      </c>
      <c r="P123" s="0" t="n">
        <v>23040</v>
      </c>
      <c r="Q123" s="0" t="n">
        <v>5000</v>
      </c>
      <c r="R123" s="0" t="n">
        <v>80</v>
      </c>
      <c r="S123" s="0" t="n">
        <v>67</v>
      </c>
      <c r="T123" s="0" t="inlineStr">
        <is>
          <t>Д</t>
        </is>
      </c>
      <c r="U123" s="0" t="n">
        <v>100000</v>
      </c>
      <c r="V123" s="0" t="n">
        <v>288</v>
      </c>
      <c r="W123" s="0" t="n">
        <v>318</v>
      </c>
      <c r="X123" s="0" t="n">
        <v>130</v>
      </c>
      <c r="AB123" s="0" t="n">
        <v>2.985</v>
      </c>
      <c r="AD123" s="0" t="inlineStr">
        <is>
          <t>алюминиевый профиль</t>
        </is>
      </c>
      <c r="AE123" s="0" t="inlineStr">
        <is>
          <t>стекло</t>
        </is>
      </c>
      <c r="AG123" s="0" t="inlineStr">
        <is>
          <t>прозрачный рассеиватель</t>
        </is>
      </c>
      <c r="AH123" s="0" t="inlineStr">
        <is>
          <t>Светодиоды Samsung LM292</t>
        </is>
      </c>
      <c r="AI123" s="0" t="inlineStr">
        <is>
          <t>LED-driver</t>
        </is>
      </c>
      <c r="AK123" s="0" t="n">
        <v>0.95</v>
      </c>
      <c r="AN123" s="0" t="n">
        <v>176</v>
      </c>
      <c r="AO123" s="0" t="n">
        <v>264</v>
      </c>
      <c r="AP123" s="0" t="n">
        <v>-60</v>
      </c>
      <c r="AQ123" s="0" t="n">
        <v>50</v>
      </c>
      <c r="AS123" s="0" t="inlineStr">
        <is>
          <t>Картон</t>
        </is>
      </c>
      <c r="AT123" s="0" t="inlineStr">
        <is>
          <t>Да</t>
        </is>
      </c>
      <c r="AW123" s="0" t="n">
        <v>1</v>
      </c>
      <c r="BD123" s="0" t="inlineStr">
        <is>
          <t>http://darion-svet.com/web/binary/saveas_archive?model=product.picture&amp;ids=[1651]&amp;field=image&amp;name_field=name&amp;archive_name=V1062_image</t>
        </is>
      </c>
      <c r="BE123" s="0" t="inlineStr">
        <is>
          <t>http://darion-svet.com/shop/product/v1062-vrn-un-144t-g50k67-k-144vt-konsolnyij-</t>
        </is>
      </c>
      <c r="BI123" s="0" t="n">
        <v>0</v>
      </c>
      <c r="BJ123" s="0" t="n">
        <v>0</v>
      </c>
    </row>
    <row r="124">
      <c r="A124" s="0" t="inlineStr">
        <is>
          <t>V10622</t>
        </is>
      </c>
      <c r="B124" s="0" t="inlineStr">
        <is>
          <t>Светодиодный светильник VRN-UN-120T-G50K67-K</t>
        </is>
      </c>
      <c r="C124" s="0" t="inlineStr">
        <is>
          <t>Универсал</t>
        </is>
      </c>
      <c r="E124" s="0" t="inlineStr">
        <is>
          <t>http://darion-svet.com/web/binary/image?model=product.product&amp;id=26888&amp;field=image</t>
        </is>
      </c>
      <c r="G124" s="0" t="inlineStr">
        <is>
          <t>Российская Федерация</t>
        </is>
      </c>
      <c r="H124" s="0" t="inlineStr">
        <is>
          <t>VIRONA</t>
        </is>
      </c>
      <c r="I124" s="0" t="inlineStr">
        <is>
          <t>консольный</t>
        </is>
      </c>
      <c r="J124" s="0" t="inlineStr">
        <is>
          <t>улицы (дороги, тротуары); магистрали и дороги</t>
        </is>
      </c>
      <c r="M124" s="0" t="n">
        <v>120</v>
      </c>
      <c r="O124" s="0" t="inlineStr">
        <is>
          <t>SMD</t>
        </is>
      </c>
      <c r="P124" s="0" t="n">
        <v>19200</v>
      </c>
      <c r="Q124" s="0" t="n">
        <v>5000</v>
      </c>
      <c r="R124" s="0" t="n">
        <v>80</v>
      </c>
      <c r="S124" s="0" t="n">
        <v>67</v>
      </c>
      <c r="T124" s="0" t="inlineStr">
        <is>
          <t>Д</t>
        </is>
      </c>
      <c r="U124" s="0" t="inlineStr">
        <is>
          <t>100 000 ч.</t>
        </is>
      </c>
      <c r="V124" s="0" t="n">
        <v>275</v>
      </c>
      <c r="W124" s="0" t="n">
        <v>320</v>
      </c>
      <c r="X124" s="0" t="n">
        <v>120</v>
      </c>
      <c r="AB124" s="0" t="n">
        <v>3</v>
      </c>
      <c r="AD124" s="0" t="inlineStr">
        <is>
          <t>алюминиевый профиль</t>
        </is>
      </c>
      <c r="AE124" s="0" t="inlineStr">
        <is>
          <t>полимерный материал</t>
        </is>
      </c>
      <c r="AH124" s="0" t="inlineStr">
        <is>
          <t>Светодиоды Samsung LH351</t>
        </is>
      </c>
      <c r="AI124" s="0" t="inlineStr">
        <is>
          <t>LED-driver</t>
        </is>
      </c>
      <c r="AK124" s="0" t="n">
        <v>0.95</v>
      </c>
      <c r="AL124" s="0" t="n">
        <v>1</v>
      </c>
      <c r="AN124" s="0" t="n">
        <v>176</v>
      </c>
      <c r="AO124" s="0" t="n">
        <v>264</v>
      </c>
      <c r="AP124" s="0" t="n">
        <v>-60</v>
      </c>
      <c r="AQ124" s="0" t="n">
        <v>50</v>
      </c>
      <c r="AS124" s="0" t="inlineStr">
        <is>
          <t>Картон</t>
        </is>
      </c>
      <c r="AT124" s="0" t="inlineStr">
        <is>
          <t>Да</t>
        </is>
      </c>
      <c r="AW124" s="0" t="n">
        <v>1</v>
      </c>
      <c r="AX124" s="0" t="n">
        <v>300</v>
      </c>
      <c r="AY124" s="0" t="n">
        <v>350</v>
      </c>
      <c r="AZ124" s="0" t="n">
        <v>140</v>
      </c>
      <c r="BI124" s="0" t="n">
        <v>0</v>
      </c>
      <c r="BJ124" s="0" t="n">
        <v>0</v>
      </c>
    </row>
    <row r="125">
      <c r="A125" s="0" t="inlineStr">
        <is>
          <t>V1063</t>
        </is>
      </c>
      <c r="B125" s="0" t="inlineStr">
        <is>
          <t>Светодиодный светильник Virona 186Вт Консольный (VRN-UN-186T-G50K67-K)</t>
        </is>
      </c>
      <c r="C125" s="0" t="inlineStr">
        <is>
          <t>Универсал</t>
        </is>
      </c>
      <c r="E125" s="0" t="inlineStr">
        <is>
          <t>http://darion-svet.com/web/binary/image?model=product.product&amp;id=18117&amp;field=image</t>
        </is>
      </c>
      <c r="F125" s="0" t="n">
        <v>5</v>
      </c>
      <c r="G125" s="0" t="inlineStr">
        <is>
          <t>Российская Федерация</t>
        </is>
      </c>
      <c r="H125" s="0" t="inlineStr">
        <is>
          <t>VIRONA</t>
        </is>
      </c>
      <c r="I125" s="0" t="inlineStr">
        <is>
          <t>консольный</t>
        </is>
      </c>
      <c r="J125" s="0" t="inlineStr">
        <is>
          <t>магистрали и дороги</t>
        </is>
      </c>
      <c r="M125" s="0" t="n">
        <v>186</v>
      </c>
      <c r="O125" s="0" t="inlineStr">
        <is>
          <t>SMD</t>
        </is>
      </c>
      <c r="P125" s="0" t="n">
        <v>29760</v>
      </c>
      <c r="Q125" s="0" t="n">
        <v>5000</v>
      </c>
      <c r="R125" s="0" t="n">
        <v>80</v>
      </c>
      <c r="S125" s="0" t="n">
        <v>67</v>
      </c>
      <c r="T125" s="0" t="inlineStr">
        <is>
          <t>Д</t>
        </is>
      </c>
      <c r="U125" s="0" t="n">
        <v>100000</v>
      </c>
      <c r="V125" s="0" t="n">
        <v>339</v>
      </c>
      <c r="W125" s="0" t="n">
        <v>318</v>
      </c>
      <c r="X125" s="0" t="n">
        <v>128</v>
      </c>
      <c r="AB125" s="0" t="n">
        <v>3.446</v>
      </c>
      <c r="AD125" s="0" t="inlineStr">
        <is>
          <t>алюминиевый профиль</t>
        </is>
      </c>
      <c r="AE125" s="0" t="inlineStr">
        <is>
          <t>стекло</t>
        </is>
      </c>
      <c r="AG125" s="0" t="inlineStr">
        <is>
          <t>прозрачный рассеиватель</t>
        </is>
      </c>
      <c r="AH125" s="0" t="inlineStr">
        <is>
          <t>Светодиоды Samsung LM292</t>
        </is>
      </c>
      <c r="AI125" s="0" t="inlineStr">
        <is>
          <t>LED-driver</t>
        </is>
      </c>
      <c r="AK125" s="0" t="n">
        <v>0.95</v>
      </c>
      <c r="AN125" s="0" t="n">
        <v>176</v>
      </c>
      <c r="AO125" s="0" t="n">
        <v>264</v>
      </c>
      <c r="AP125" s="0" t="n">
        <v>-60</v>
      </c>
      <c r="AQ125" s="0" t="n">
        <v>50</v>
      </c>
      <c r="AS125" s="0" t="inlineStr">
        <is>
          <t>Картон</t>
        </is>
      </c>
      <c r="AT125" s="0" t="inlineStr">
        <is>
          <t>Да</t>
        </is>
      </c>
      <c r="AU125" s="0" t="n">
        <v>0.0157</v>
      </c>
      <c r="AV125" s="0" t="n">
        <v>3.7</v>
      </c>
      <c r="AW125" s="0" t="n">
        <v>1</v>
      </c>
      <c r="BA125" s="0" t="n">
        <v>0.0157</v>
      </c>
      <c r="BB125" s="0" t="n">
        <v>3.7</v>
      </c>
      <c r="BD125" s="0" t="inlineStr">
        <is>
          <t>http://darion-svet.com/web/binary/saveas_archive?model=product.picture&amp;ids=[1655]&amp;field=image&amp;name_field=name&amp;archive_name=V1063_image</t>
        </is>
      </c>
      <c r="BE125" s="0" t="inlineStr">
        <is>
          <t>http://darion-svet.com/shop/product/v1063-vrn-un-186t-g50k67-k-186vt-konsolnyij-</t>
        </is>
      </c>
      <c r="BI125" s="0" t="n">
        <v>0</v>
      </c>
      <c r="BJ125" s="0" t="n">
        <v>0</v>
      </c>
    </row>
    <row r="126">
      <c r="A126" s="0" t="inlineStr">
        <is>
          <t>V1064</t>
        </is>
      </c>
      <c r="B126" s="0" t="inlineStr">
        <is>
          <t>Светодиодный светильник Virona 288Вт Консольный (VRN-UN-288T-G50K67-K)</t>
        </is>
      </c>
      <c r="C126" s="0" t="inlineStr">
        <is>
          <t>Универсал</t>
        </is>
      </c>
      <c r="E126" s="0" t="inlineStr">
        <is>
          <t>http://darion-svet.com/web/binary/image?model=product.product&amp;id=18119&amp;field=image</t>
        </is>
      </c>
      <c r="F126" s="0" t="n">
        <v>5</v>
      </c>
      <c r="G126" s="0" t="inlineStr">
        <is>
          <t>Российская Федерация</t>
        </is>
      </c>
      <c r="H126" s="0" t="inlineStr">
        <is>
          <t>VIRONA</t>
        </is>
      </c>
      <c r="I126" s="0" t="inlineStr">
        <is>
          <t>консольный</t>
        </is>
      </c>
      <c r="J126" s="0" t="inlineStr">
        <is>
          <t>магистрали и дороги</t>
        </is>
      </c>
      <c r="M126" s="0" t="n">
        <v>288</v>
      </c>
      <c r="O126" s="0" t="inlineStr">
        <is>
          <t>SMD</t>
        </is>
      </c>
      <c r="P126" s="0" t="n">
        <v>46080</v>
      </c>
      <c r="Q126" s="0" t="n">
        <v>5000</v>
      </c>
      <c r="R126" s="0" t="n">
        <v>80</v>
      </c>
      <c r="S126" s="0" t="n">
        <v>67</v>
      </c>
      <c r="T126" s="0" t="inlineStr">
        <is>
          <t>Д</t>
        </is>
      </c>
      <c r="U126" s="0" t="n">
        <v>100000</v>
      </c>
      <c r="V126" s="0" t="n">
        <v>535</v>
      </c>
      <c r="W126" s="0" t="n">
        <v>320</v>
      </c>
      <c r="X126" s="0" t="n">
        <v>134</v>
      </c>
      <c r="AB126" s="0" t="n">
        <v>5.44</v>
      </c>
      <c r="AD126" s="0" t="inlineStr">
        <is>
          <t>алюминиевый профиль</t>
        </is>
      </c>
      <c r="AE126" s="0" t="inlineStr">
        <is>
          <t>стекло</t>
        </is>
      </c>
      <c r="AG126" s="0" t="inlineStr">
        <is>
          <t>прозрачный рассеиватель</t>
        </is>
      </c>
      <c r="AH126" s="0" t="inlineStr">
        <is>
          <t>Светодиоды Samsung LM292</t>
        </is>
      </c>
      <c r="AI126" s="0" t="inlineStr">
        <is>
          <t>LED-driver</t>
        </is>
      </c>
      <c r="AK126" s="0" t="n">
        <v>0.95</v>
      </c>
      <c r="AN126" s="0" t="n">
        <v>176</v>
      </c>
      <c r="AO126" s="0" t="n">
        <v>264</v>
      </c>
      <c r="AP126" s="0" t="n">
        <v>-60</v>
      </c>
      <c r="AQ126" s="0" t="n">
        <v>50</v>
      </c>
      <c r="AS126" s="0" t="inlineStr">
        <is>
          <t>Картон</t>
        </is>
      </c>
      <c r="AT126" s="0" t="inlineStr">
        <is>
          <t>Да</t>
        </is>
      </c>
      <c r="AW126" s="0" t="n">
        <v>1</v>
      </c>
      <c r="BD126" s="0" t="inlineStr">
        <is>
          <t>http://darion-svet.com/web/binary/saveas_archive?model=product.picture&amp;ids=[1663]&amp;field=image&amp;name_field=name&amp;archive_name=V1064_image</t>
        </is>
      </c>
      <c r="BE126" s="0" t="inlineStr">
        <is>
          <t>http://darion-svet.com/shop/product/v1064-vrn-un-288t-g50k67-k-288vt-konsolnyij-</t>
        </is>
      </c>
      <c r="BI126" s="0" t="n">
        <v>0</v>
      </c>
      <c r="BJ126" s="0" t="n">
        <v>0</v>
      </c>
    </row>
    <row r="127">
      <c r="A127" s="0" t="inlineStr">
        <is>
          <t>V1065</t>
        </is>
      </c>
      <c r="B127" s="0" t="inlineStr">
        <is>
          <t>Светодиодный светильник Virona 96Вт Консольный (VRN-UN-96T-G50K67-K90)</t>
        </is>
      </c>
      <c r="C127" s="0" t="inlineStr">
        <is>
          <t>Универсал</t>
        </is>
      </c>
      <c r="E127" s="0" t="inlineStr">
        <is>
          <t>http://darion-svet.com/web/binary/image?model=product.product&amp;id=18127&amp;field=image</t>
        </is>
      </c>
      <c r="F127" s="0" t="n">
        <v>5</v>
      </c>
      <c r="G127" s="0" t="inlineStr">
        <is>
          <t>Российская Федерация</t>
        </is>
      </c>
      <c r="H127" s="0" t="inlineStr">
        <is>
          <t>VIRONA</t>
        </is>
      </c>
      <c r="I127" s="0" t="inlineStr">
        <is>
          <t>консольный</t>
        </is>
      </c>
      <c r="J127" s="0" t="inlineStr">
        <is>
          <t>магистрали и дороги</t>
        </is>
      </c>
      <c r="M127" s="0" t="n">
        <v>96</v>
      </c>
      <c r="O127" s="0" t="inlineStr">
        <is>
          <t>SMD</t>
        </is>
      </c>
      <c r="P127" s="0" t="n">
        <v>15360</v>
      </c>
      <c r="Q127" s="0" t="n">
        <v>5000</v>
      </c>
      <c r="R127" s="0" t="n">
        <v>80</v>
      </c>
      <c r="S127" s="0" t="n">
        <v>67</v>
      </c>
      <c r="T127" s="0" t="inlineStr">
        <is>
          <t>Л</t>
        </is>
      </c>
      <c r="U127" s="0" t="n">
        <v>100000</v>
      </c>
      <c r="V127" s="0" t="n">
        <v>239</v>
      </c>
      <c r="W127" s="0" t="n">
        <v>332</v>
      </c>
      <c r="X127" s="0" t="n">
        <v>127</v>
      </c>
      <c r="AB127" s="0" t="n">
        <v>2.635</v>
      </c>
      <c r="AD127" s="0" t="inlineStr">
        <is>
          <t>алюминиевый профиль</t>
        </is>
      </c>
      <c r="AE127" s="0" t="inlineStr">
        <is>
          <t>стекло</t>
        </is>
      </c>
      <c r="AG127" s="0" t="inlineStr">
        <is>
          <t>прозрачный рассеиватель</t>
        </is>
      </c>
      <c r="AH127" s="0" t="inlineStr">
        <is>
          <t>Светодиоды Samsung LM292</t>
        </is>
      </c>
      <c r="AI127" s="0" t="inlineStr">
        <is>
          <t>LED-driver</t>
        </is>
      </c>
      <c r="AK127" s="0" t="n">
        <v>0.95</v>
      </c>
      <c r="AN127" s="0" t="n">
        <v>176</v>
      </c>
      <c r="AO127" s="0" t="n">
        <v>264</v>
      </c>
      <c r="AP127" s="0" t="n">
        <v>-60</v>
      </c>
      <c r="AQ127" s="0" t="n">
        <v>50</v>
      </c>
      <c r="AS127" s="0" t="inlineStr">
        <is>
          <t>Картон</t>
        </is>
      </c>
      <c r="AT127" s="0" t="inlineStr">
        <is>
          <t>Да</t>
        </is>
      </c>
      <c r="AV127" s="0" t="n">
        <v>2.885</v>
      </c>
      <c r="AW127" s="0" t="n">
        <v>1</v>
      </c>
      <c r="BB127" s="0" t="n">
        <v>2.885</v>
      </c>
      <c r="BD127" s="0" t="inlineStr">
        <is>
          <t>http://darion-svet.com/web/binary/saveas_archive?model=product.picture&amp;ids=[1649]&amp;field=image&amp;name_field=name&amp;archive_name=V1065_image</t>
        </is>
      </c>
      <c r="BE127" s="0" t="inlineStr">
        <is>
          <t>http://darion-svet.com/shop/product/v1065-vrn-un-96t-g50k67-k90-96vt-konsolnyij-</t>
        </is>
      </c>
      <c r="BI127" s="0" t="n">
        <v>0</v>
      </c>
      <c r="BJ127" s="0" t="n">
        <v>0</v>
      </c>
    </row>
    <row r="128">
      <c r="A128" s="0" t="inlineStr">
        <is>
          <t>V10655</t>
        </is>
      </c>
      <c r="B128" s="0" t="inlineStr">
        <is>
          <t>Светодиодный светильник VRN-UN-78T-G50K67-K90</t>
        </is>
      </c>
      <c r="C128" s="0" t="inlineStr">
        <is>
          <t>Универсал</t>
        </is>
      </c>
      <c r="E128" s="0" t="inlineStr">
        <is>
          <t>http://darion-svet.com/web/binary/image?model=product.product&amp;id=26886&amp;field=image</t>
        </is>
      </c>
      <c r="G128" s="0" t="inlineStr">
        <is>
          <t>Российская Федерация</t>
        </is>
      </c>
      <c r="H128" s="0" t="inlineStr">
        <is>
          <t>VIRONA</t>
        </is>
      </c>
      <c r="I128" s="0" t="inlineStr">
        <is>
          <t>консольный</t>
        </is>
      </c>
      <c r="J128" s="0" t="inlineStr">
        <is>
          <t>улицы (дороги, тротуары); магистрали и дороги</t>
        </is>
      </c>
      <c r="M128" s="0" t="n">
        <v>78</v>
      </c>
      <c r="O128" s="0" t="inlineStr">
        <is>
          <t>SMD</t>
        </is>
      </c>
      <c r="P128" s="0" t="n">
        <v>12480</v>
      </c>
      <c r="Q128" s="0" t="n">
        <v>5000</v>
      </c>
      <c r="R128" s="0" t="n">
        <v>80</v>
      </c>
      <c r="S128" s="0" t="n">
        <v>67</v>
      </c>
      <c r="T128" s="0" t="inlineStr">
        <is>
          <t>Л</t>
        </is>
      </c>
      <c r="U128" s="0" t="inlineStr">
        <is>
          <t>100 000 ч.</t>
        </is>
      </c>
      <c r="V128" s="0" t="n">
        <v>225</v>
      </c>
      <c r="W128" s="0" t="n">
        <v>325</v>
      </c>
      <c r="X128" s="0" t="n">
        <v>130</v>
      </c>
      <c r="AB128" s="0" t="n">
        <v>2.65</v>
      </c>
      <c r="AD128" s="0" t="inlineStr">
        <is>
          <t>алюминиевый профиль</t>
        </is>
      </c>
      <c r="AE128" s="0" t="inlineStr">
        <is>
          <t>полимерный материал</t>
        </is>
      </c>
      <c r="AH128" s="0" t="inlineStr">
        <is>
          <t>Светодиоды Samsung LH351</t>
        </is>
      </c>
      <c r="AI128" s="0" t="inlineStr">
        <is>
          <t>LED-driver</t>
        </is>
      </c>
      <c r="AK128" s="0" t="n">
        <v>0.95</v>
      </c>
      <c r="AL128" s="0" t="n">
        <v>1</v>
      </c>
      <c r="AN128" s="0" t="n">
        <v>176</v>
      </c>
      <c r="AO128" s="0" t="n">
        <v>264</v>
      </c>
      <c r="AP128" s="0" t="n">
        <v>-60</v>
      </c>
      <c r="AQ128" s="0" t="n">
        <v>50</v>
      </c>
      <c r="AS128" s="0" t="inlineStr">
        <is>
          <t>Картон</t>
        </is>
      </c>
      <c r="AT128" s="0" t="inlineStr">
        <is>
          <t>Да</t>
        </is>
      </c>
      <c r="AW128" s="0" t="n">
        <v>1</v>
      </c>
      <c r="AX128" s="0" t="n">
        <v>250</v>
      </c>
      <c r="AY128" s="0" t="n">
        <v>350</v>
      </c>
      <c r="AZ128" s="0" t="n">
        <v>140</v>
      </c>
      <c r="BI128" s="0" t="n">
        <v>0</v>
      </c>
      <c r="BJ128" s="0" t="n">
        <v>0</v>
      </c>
    </row>
    <row r="129">
      <c r="A129" s="0" t="inlineStr">
        <is>
          <t>V1066</t>
        </is>
      </c>
      <c r="B129" s="0" t="inlineStr">
        <is>
          <t>Светодиодный светильник Virona 144Вт Консольный (VRN-UN-144T-G50K67-K90)</t>
        </is>
      </c>
      <c r="C129" s="0" t="inlineStr">
        <is>
          <t>Универсал</t>
        </is>
      </c>
      <c r="E129" s="0" t="inlineStr">
        <is>
          <t>http://darion-svet.com/web/binary/image?model=product.product&amp;id=18128&amp;field=image</t>
        </is>
      </c>
      <c r="F129" s="0" t="n">
        <v>5</v>
      </c>
      <c r="G129" s="0" t="inlineStr">
        <is>
          <t>Российская Федерация</t>
        </is>
      </c>
      <c r="H129" s="0" t="inlineStr">
        <is>
          <t>VIRONA</t>
        </is>
      </c>
      <c r="I129" s="0" t="inlineStr">
        <is>
          <t>консольный</t>
        </is>
      </c>
      <c r="J129" s="0" t="inlineStr">
        <is>
          <t>магистрали и дороги</t>
        </is>
      </c>
      <c r="M129" s="0" t="n">
        <v>144</v>
      </c>
      <c r="O129" s="0" t="inlineStr">
        <is>
          <t>SMD</t>
        </is>
      </c>
      <c r="P129" s="0" t="n">
        <v>23040</v>
      </c>
      <c r="Q129" s="0" t="n">
        <v>5000</v>
      </c>
      <c r="R129" s="0" t="n">
        <v>80</v>
      </c>
      <c r="S129" s="0" t="n">
        <v>67</v>
      </c>
      <c r="T129" s="0" t="inlineStr">
        <is>
          <t>Л</t>
        </is>
      </c>
      <c r="U129" s="0" t="n">
        <v>100000</v>
      </c>
      <c r="V129" s="0" t="n">
        <v>280</v>
      </c>
      <c r="W129" s="0" t="n">
        <v>323</v>
      </c>
      <c r="X129" s="0" t="n">
        <v>135</v>
      </c>
      <c r="AB129" s="0" t="n">
        <v>3.16</v>
      </c>
      <c r="AD129" s="0" t="inlineStr">
        <is>
          <t>алюминиевый профиль</t>
        </is>
      </c>
      <c r="AE129" s="0" t="inlineStr">
        <is>
          <t>стекло</t>
        </is>
      </c>
      <c r="AG129" s="0" t="inlineStr">
        <is>
          <t>прозрачный рассеиватель</t>
        </is>
      </c>
      <c r="AH129" s="0" t="inlineStr">
        <is>
          <t>Светодиоды Samsung LM292</t>
        </is>
      </c>
      <c r="AI129" s="0" t="inlineStr">
        <is>
          <t>LED-driver</t>
        </is>
      </c>
      <c r="AK129" s="0" t="n">
        <v>0.95</v>
      </c>
      <c r="AN129" s="0" t="n">
        <v>176</v>
      </c>
      <c r="AO129" s="0" t="n">
        <v>264</v>
      </c>
      <c r="AP129" s="0" t="n">
        <v>-60</v>
      </c>
      <c r="AQ129" s="0" t="n">
        <v>50</v>
      </c>
      <c r="AS129" s="0" t="inlineStr">
        <is>
          <t>Картон</t>
        </is>
      </c>
      <c r="AT129" s="0" t="inlineStr">
        <is>
          <t>Да</t>
        </is>
      </c>
      <c r="AU129" s="0" t="n">
        <v>0.0147</v>
      </c>
      <c r="AV129" s="0" t="n">
        <v>0.27</v>
      </c>
      <c r="AW129" s="0" t="n">
        <v>1</v>
      </c>
      <c r="AX129" s="0" t="n">
        <v>300</v>
      </c>
      <c r="AY129" s="0" t="n">
        <v>350</v>
      </c>
      <c r="AZ129" s="0" t="n">
        <v>140</v>
      </c>
      <c r="BA129" s="0" t="n">
        <v>0.0147</v>
      </c>
      <c r="BB129" s="0" t="n">
        <v>0.27</v>
      </c>
      <c r="BD129" s="0" t="inlineStr">
        <is>
          <t>http://darion-svet.com/web/binary/saveas_archive?model=product.picture&amp;ids=[1653]&amp;field=image&amp;name_field=name&amp;archive_name=V1066_image</t>
        </is>
      </c>
      <c r="BE129" s="0" t="inlineStr">
        <is>
          <t>http://darion-svet.com/shop/product/v1066-vrn-un-144t-g50k67-k90-144vt-konsolnyij-</t>
        </is>
      </c>
      <c r="BI129" s="0" t="n">
        <v>0</v>
      </c>
      <c r="BJ129" s="0" t="n">
        <v>0</v>
      </c>
    </row>
    <row r="130">
      <c r="A130" s="0" t="inlineStr">
        <is>
          <t>V10667</t>
        </is>
      </c>
      <c r="B130" s="0" t="inlineStr">
        <is>
          <t>Светодиодный светильник VRN-UN-120T-G50K67-K90</t>
        </is>
      </c>
      <c r="C130" s="0" t="inlineStr">
        <is>
          <t>Универсал</t>
        </is>
      </c>
      <c r="E130" s="0" t="inlineStr">
        <is>
          <t>http://darion-svet.com/web/binary/image?model=product.product&amp;id=26890&amp;field=image</t>
        </is>
      </c>
      <c r="G130" s="0" t="inlineStr">
        <is>
          <t>Российская Федерация</t>
        </is>
      </c>
      <c r="H130" s="0" t="inlineStr">
        <is>
          <t>VIRONA</t>
        </is>
      </c>
      <c r="I130" s="0" t="inlineStr">
        <is>
          <t>консольный</t>
        </is>
      </c>
      <c r="J130" s="0" t="inlineStr">
        <is>
          <t>улицы (дороги, тротуары); магистрали и дороги</t>
        </is>
      </c>
      <c r="M130" s="0" t="n">
        <v>120</v>
      </c>
      <c r="O130" s="0" t="inlineStr">
        <is>
          <t>SMD</t>
        </is>
      </c>
      <c r="P130" s="0" t="n">
        <v>19200</v>
      </c>
      <c r="Q130" s="0" t="n">
        <v>5000</v>
      </c>
      <c r="R130" s="0" t="n">
        <v>80</v>
      </c>
      <c r="S130" s="0" t="n">
        <v>67</v>
      </c>
      <c r="T130" s="0" t="inlineStr">
        <is>
          <t>Л</t>
        </is>
      </c>
      <c r="U130" s="0" t="inlineStr">
        <is>
          <t>100 000 ч.</t>
        </is>
      </c>
      <c r="V130" s="0" t="n">
        <v>275</v>
      </c>
      <c r="W130" s="0" t="n">
        <v>325</v>
      </c>
      <c r="X130" s="0" t="n">
        <v>130</v>
      </c>
      <c r="AB130" s="0" t="n">
        <v>3.15</v>
      </c>
      <c r="AD130" s="0" t="inlineStr">
        <is>
          <t>алюминиевый профиль</t>
        </is>
      </c>
      <c r="AE130" s="0" t="inlineStr">
        <is>
          <t>полимерный материал</t>
        </is>
      </c>
      <c r="AH130" s="0" t="inlineStr">
        <is>
          <t>Светодиоды Samsung LH351</t>
        </is>
      </c>
      <c r="AI130" s="0" t="inlineStr">
        <is>
          <t>LED-driver</t>
        </is>
      </c>
      <c r="AK130" s="0" t="n">
        <v>0.95</v>
      </c>
      <c r="AL130" s="0" t="n">
        <v>1</v>
      </c>
      <c r="AN130" s="0" t="n">
        <v>176</v>
      </c>
      <c r="AO130" s="0" t="n">
        <v>264</v>
      </c>
      <c r="AP130" s="0" t="n">
        <v>-60</v>
      </c>
      <c r="AQ130" s="0" t="n">
        <v>50</v>
      </c>
      <c r="AS130" s="0" t="inlineStr">
        <is>
          <t>Картон</t>
        </is>
      </c>
      <c r="AT130" s="0" t="inlineStr">
        <is>
          <t>Да</t>
        </is>
      </c>
      <c r="AW130" s="0" t="n">
        <v>1</v>
      </c>
      <c r="AX130" s="0" t="n">
        <v>300</v>
      </c>
      <c r="AY130" s="0" t="n">
        <v>350</v>
      </c>
      <c r="AZ130" s="0" t="n">
        <v>140</v>
      </c>
      <c r="BI130" s="0" t="n">
        <v>0</v>
      </c>
      <c r="BJ130" s="0" t="n">
        <v>0</v>
      </c>
    </row>
    <row r="131">
      <c r="A131" s="0" t="inlineStr">
        <is>
          <t>V1067</t>
        </is>
      </c>
      <c r="B131" s="0" t="inlineStr">
        <is>
          <t>Светодиодный светильник Virona 240Вт Консольный (VRN-UN-186T-G50K67-K90)</t>
        </is>
      </c>
      <c r="C131" s="0" t="inlineStr">
        <is>
          <t>Универсал</t>
        </is>
      </c>
      <c r="E131" s="0" t="inlineStr">
        <is>
          <t>http://darion-svet.com/web/binary/image?model=product.product&amp;id=18129&amp;field=image</t>
        </is>
      </c>
      <c r="F131" s="0" t="n">
        <v>5</v>
      </c>
      <c r="G131" s="0" t="inlineStr">
        <is>
          <t>Российская Федерация</t>
        </is>
      </c>
      <c r="H131" s="0" t="inlineStr">
        <is>
          <t>VIRONA</t>
        </is>
      </c>
      <c r="I131" s="0" t="inlineStr">
        <is>
          <t>консольный</t>
        </is>
      </c>
      <c r="J131" s="0" t="inlineStr">
        <is>
          <t>магистрали и дороги</t>
        </is>
      </c>
      <c r="M131" s="0" t="n">
        <v>186</v>
      </c>
      <c r="O131" s="0" t="inlineStr">
        <is>
          <t>SMD</t>
        </is>
      </c>
      <c r="P131" s="0" t="n">
        <v>29760</v>
      </c>
      <c r="Q131" s="0" t="n">
        <v>5000</v>
      </c>
      <c r="R131" s="0" t="n">
        <v>80</v>
      </c>
      <c r="S131" s="0" t="n">
        <v>67</v>
      </c>
      <c r="T131" s="0" t="inlineStr">
        <is>
          <t>Л</t>
        </is>
      </c>
      <c r="U131" s="0" t="n">
        <v>100000</v>
      </c>
      <c r="V131" s="0" t="n">
        <v>339</v>
      </c>
      <c r="W131" s="0" t="n">
        <v>325</v>
      </c>
      <c r="X131" s="0" t="n">
        <v>125</v>
      </c>
      <c r="AB131" s="0" t="n">
        <v>3.445</v>
      </c>
      <c r="AD131" s="0" t="inlineStr">
        <is>
          <t>алюминиевый профиль</t>
        </is>
      </c>
      <c r="AE131" s="0" t="inlineStr">
        <is>
          <t>стекло</t>
        </is>
      </c>
      <c r="AG131" s="0" t="inlineStr">
        <is>
          <t>прозрачный рассеиватель</t>
        </is>
      </c>
      <c r="AH131" s="0" t="inlineStr">
        <is>
          <t>Светодиоды Samsung LM292</t>
        </is>
      </c>
      <c r="AI131" s="0" t="inlineStr">
        <is>
          <t>LED-driver</t>
        </is>
      </c>
      <c r="AK131" s="0" t="n">
        <v>0.95</v>
      </c>
      <c r="AN131" s="0" t="n">
        <v>176</v>
      </c>
      <c r="AO131" s="0" t="n">
        <v>264</v>
      </c>
      <c r="AP131" s="0" t="n">
        <v>-60</v>
      </c>
      <c r="AQ131" s="0" t="n">
        <v>50</v>
      </c>
      <c r="AS131" s="0" t="inlineStr">
        <is>
          <t>Картон</t>
        </is>
      </c>
      <c r="AT131" s="0" t="inlineStr">
        <is>
          <t>Да</t>
        </is>
      </c>
      <c r="AW131" s="0" t="n">
        <v>1</v>
      </c>
      <c r="BD131" s="0" t="inlineStr">
        <is>
          <t>http://darion-svet.com/web/binary/saveas_archive?model=product.picture&amp;ids=[1657]&amp;field=image&amp;name_field=name&amp;archive_name=V1067_image</t>
        </is>
      </c>
      <c r="BE131" s="0" t="inlineStr">
        <is>
          <t>http://darion-svet.com/shop/product/v1067-vrn-un-186t-g50k67-k90-186vt-konsolnyij-</t>
        </is>
      </c>
      <c r="BI131" s="0" t="n">
        <v>0</v>
      </c>
      <c r="BJ131" s="0" t="n">
        <v>0</v>
      </c>
    </row>
    <row r="132">
      <c r="A132" s="0" t="inlineStr">
        <is>
          <t>V1068</t>
        </is>
      </c>
      <c r="B132" s="0" t="inlineStr">
        <is>
          <t>Светодиодный светильник Virona 288Вт Консольный (VRN-UN-288T-G50K67-K90)</t>
        </is>
      </c>
      <c r="C132" s="0" t="inlineStr">
        <is>
          <t>Универсал</t>
        </is>
      </c>
      <c r="E132" s="0" t="inlineStr">
        <is>
          <t>http://darion-svet.com/web/binary/image?model=product.product&amp;id=18131&amp;field=image</t>
        </is>
      </c>
      <c r="F132" s="0" t="n">
        <v>5</v>
      </c>
      <c r="G132" s="0" t="inlineStr">
        <is>
          <t>Российская Федерация</t>
        </is>
      </c>
      <c r="H132" s="0" t="inlineStr">
        <is>
          <t>VIRONA</t>
        </is>
      </c>
      <c r="I132" s="0" t="inlineStr">
        <is>
          <t>консольный</t>
        </is>
      </c>
      <c r="J132" s="0" t="inlineStr">
        <is>
          <t>магистрали и дороги</t>
        </is>
      </c>
      <c r="M132" s="0" t="n">
        <v>288</v>
      </c>
      <c r="O132" s="0" t="inlineStr">
        <is>
          <t>SMD</t>
        </is>
      </c>
      <c r="P132" s="0" t="n">
        <v>46080</v>
      </c>
      <c r="Q132" s="0" t="n">
        <v>5000</v>
      </c>
      <c r="R132" s="0" t="n">
        <v>80</v>
      </c>
      <c r="S132" s="0" t="n">
        <v>67</v>
      </c>
      <c r="T132" s="0" t="inlineStr">
        <is>
          <t>Л</t>
        </is>
      </c>
      <c r="U132" s="0" t="n">
        <v>100000</v>
      </c>
      <c r="V132" s="0" t="n">
        <v>545</v>
      </c>
      <c r="W132" s="0" t="n">
        <v>330</v>
      </c>
      <c r="X132" s="0" t="n">
        <v>140</v>
      </c>
      <c r="AB132" s="0" t="n">
        <v>5.41</v>
      </c>
      <c r="AD132" s="0" t="inlineStr">
        <is>
          <t>алюминиевый профиль</t>
        </is>
      </c>
      <c r="AE132" s="0" t="inlineStr">
        <is>
          <t>стекло</t>
        </is>
      </c>
      <c r="AG132" s="0" t="inlineStr">
        <is>
          <t>прозрачный рассеиватель</t>
        </is>
      </c>
      <c r="AH132" s="0" t="inlineStr">
        <is>
          <t>Светодиоды Samsung LM292</t>
        </is>
      </c>
      <c r="AI132" s="0" t="inlineStr">
        <is>
          <t>LED-driver</t>
        </is>
      </c>
      <c r="AK132" s="0" t="n">
        <v>0.95</v>
      </c>
      <c r="AN132" s="0" t="n">
        <v>176</v>
      </c>
      <c r="AO132" s="0" t="n">
        <v>264</v>
      </c>
      <c r="AP132" s="0" t="n">
        <v>-60</v>
      </c>
      <c r="AQ132" s="0" t="n">
        <v>50</v>
      </c>
      <c r="AS132" s="0" t="inlineStr">
        <is>
          <t>Картон</t>
        </is>
      </c>
      <c r="AT132" s="0" t="inlineStr">
        <is>
          <t>Да</t>
        </is>
      </c>
      <c r="AW132" s="0" t="n">
        <v>1</v>
      </c>
      <c r="BD132" s="0" t="inlineStr">
        <is>
          <t>http://darion-svet.com/web/binary/saveas_archive?model=product.picture&amp;ids=[1665]&amp;field=image&amp;name_field=name&amp;archive_name=V1068_image</t>
        </is>
      </c>
      <c r="BE132" s="0" t="inlineStr">
        <is>
          <t>http://darion-svet.com/shop/product/v1068-vrn-un-288t-g50k67-k90-288vt-konsolnyij-</t>
        </is>
      </c>
      <c r="BI132" s="0" t="n">
        <v>0</v>
      </c>
      <c r="BJ132" s="0" t="n">
        <v>0</v>
      </c>
    </row>
    <row r="133">
      <c r="A133" s="0" t="inlineStr">
        <is>
          <t>V1118K3</t>
        </is>
      </c>
      <c r="B133" s="0" t="inlineStr">
        <is>
          <t>Светодиодный светильник VRN-UN-106D-G30K67-U90</t>
        </is>
      </c>
      <c r="C133" s="0" t="inlineStr">
        <is>
          <t>Универсал</t>
        </is>
      </c>
      <c r="E133" s="0" t="inlineStr">
        <is>
          <t>http://darion-svet.com/web/binary/image?model=product.product&amp;id=31018&amp;field=image</t>
        </is>
      </c>
      <c r="G133" s="0" t="inlineStr">
        <is>
          <t>Российская Федерация</t>
        </is>
      </c>
      <c r="H133" s="0" t="inlineStr">
        <is>
          <t>VIRONA</t>
        </is>
      </c>
      <c r="I133" s="0" t="inlineStr">
        <is>
          <t>консольный; на лиру; подвесной</t>
        </is>
      </c>
      <c r="J133" s="0" t="inlineStr">
        <is>
          <t>улицы (дороги, тротуары); магистрали и дороги</t>
        </is>
      </c>
      <c r="M133" s="0" t="n">
        <v>106</v>
      </c>
      <c r="O133" s="0" t="inlineStr">
        <is>
          <t>SMD</t>
        </is>
      </c>
      <c r="P133" s="0" t="n">
        <v>11250</v>
      </c>
      <c r="Q133" s="0" t="n">
        <v>3000</v>
      </c>
      <c r="R133" s="0" t="n">
        <v>80</v>
      </c>
      <c r="S133" s="0" t="n">
        <v>67</v>
      </c>
      <c r="T133" s="0" t="inlineStr">
        <is>
          <t>Л</t>
        </is>
      </c>
      <c r="U133" s="0" t="inlineStr">
        <is>
          <t>100 000 ч.</t>
        </is>
      </c>
      <c r="V133" s="0" t="n">
        <v>275</v>
      </c>
      <c r="W133" s="0" t="n">
        <v>245</v>
      </c>
      <c r="X133" s="0" t="n">
        <v>150</v>
      </c>
      <c r="AB133" s="0" t="n">
        <v>2.05</v>
      </c>
      <c r="AD133" s="0" t="inlineStr">
        <is>
          <t>алюминиевый профиль</t>
        </is>
      </c>
      <c r="AE133" s="0" t="inlineStr">
        <is>
          <t>полимерный материал</t>
        </is>
      </c>
      <c r="AH133" s="0" t="inlineStr">
        <is>
          <t>Светодиоды Samsung LH351</t>
        </is>
      </c>
      <c r="AI133" s="0" t="inlineStr">
        <is>
          <t>LED-driver</t>
        </is>
      </c>
      <c r="AK133" s="0" t="n">
        <v>0.95</v>
      </c>
      <c r="AL133" s="0" t="n">
        <v>1</v>
      </c>
      <c r="AN133" s="0" t="n">
        <v>176</v>
      </c>
      <c r="AO133" s="0" t="n">
        <v>264</v>
      </c>
      <c r="AP133" s="0" t="n">
        <v>-60</v>
      </c>
      <c r="AQ133" s="0" t="n">
        <v>50</v>
      </c>
      <c r="AS133" s="0" t="inlineStr">
        <is>
          <t>Картон</t>
        </is>
      </c>
      <c r="AT133" s="0" t="inlineStr">
        <is>
          <t>Да</t>
        </is>
      </c>
      <c r="AU133" s="0" t="n">
        <v>0.0114</v>
      </c>
      <c r="AV133" s="0" t="n">
        <v>2.6</v>
      </c>
      <c r="AW133" s="0" t="n">
        <v>1</v>
      </c>
      <c r="AX133" s="0" t="n">
        <v>300</v>
      </c>
      <c r="AY133" s="0" t="n">
        <v>180</v>
      </c>
      <c r="AZ133" s="0" t="n">
        <v>190</v>
      </c>
      <c r="BA133" s="0" t="n">
        <v>0.0114</v>
      </c>
      <c r="BB133" s="0" t="n">
        <v>2.6</v>
      </c>
      <c r="BI133" s="0" t="n">
        <v>0</v>
      </c>
      <c r="BJ133" s="0" t="n">
        <v>0</v>
      </c>
    </row>
    <row r="134">
      <c r="A134" s="0" t="inlineStr">
        <is>
          <t>V12000</t>
        </is>
      </c>
      <c r="B134" s="0" t="inlineStr">
        <is>
          <t>Светодиодный светильник VRN-UN-26-G50K67-U</t>
        </is>
      </c>
      <c r="C134" s="0" t="inlineStr">
        <is>
          <t>Универсал</t>
        </is>
      </c>
      <c r="E134" s="0" t="inlineStr">
        <is>
          <t>http://darion-svet.com/web/binary/image?model=product.product&amp;id=26872&amp;field=image</t>
        </is>
      </c>
      <c r="G134" s="0" t="inlineStr">
        <is>
          <t>Российская Федерация</t>
        </is>
      </c>
      <c r="H134" s="0" t="inlineStr">
        <is>
          <t>VIRONA</t>
        </is>
      </c>
      <c r="I134" s="0" t="inlineStr">
        <is>
          <t>консольный; на лиру; подвесной</t>
        </is>
      </c>
      <c r="J134" s="0" t="inlineStr">
        <is>
          <t>улицы (дороги, тротуары); магистрали и дороги</t>
        </is>
      </c>
      <c r="M134" s="0" t="n">
        <v>26</v>
      </c>
      <c r="O134" s="0" t="inlineStr">
        <is>
          <t>SMD</t>
        </is>
      </c>
      <c r="P134" s="0" t="n">
        <v>4160</v>
      </c>
      <c r="Q134" s="0" t="n">
        <v>5000</v>
      </c>
      <c r="R134" s="0" t="n">
        <v>80</v>
      </c>
      <c r="S134" s="0" t="n">
        <v>67</v>
      </c>
      <c r="T134" s="0" t="inlineStr">
        <is>
          <t>Д</t>
        </is>
      </c>
      <c r="U134" s="0" t="inlineStr">
        <is>
          <t>100 000 ч.</t>
        </is>
      </c>
      <c r="V134" s="0" t="n">
        <v>225</v>
      </c>
      <c r="W134" s="0" t="n">
        <v>100</v>
      </c>
      <c r="X134" s="0" t="n">
        <v>135</v>
      </c>
      <c r="AB134" s="0" t="n">
        <v>1.1</v>
      </c>
      <c r="AD134" s="0" t="inlineStr">
        <is>
          <t>алюминиевый профиль</t>
        </is>
      </c>
      <c r="AE134" s="0" t="inlineStr">
        <is>
          <t>полимерный материал</t>
        </is>
      </c>
      <c r="AH134" s="0" t="inlineStr">
        <is>
          <t>Светодиоды Samsung LH351</t>
        </is>
      </c>
      <c r="AI134" s="0" t="inlineStr">
        <is>
          <t>LED-driver</t>
        </is>
      </c>
      <c r="AK134" s="0" t="n">
        <v>0.95</v>
      </c>
      <c r="AL134" s="0" t="n">
        <v>1</v>
      </c>
      <c r="AN134" s="0" t="n">
        <v>176</v>
      </c>
      <c r="AO134" s="0" t="n">
        <v>264</v>
      </c>
      <c r="AP134" s="0" t="n">
        <v>-60</v>
      </c>
      <c r="AQ134" s="0" t="n">
        <v>50</v>
      </c>
      <c r="AS134" s="0" t="inlineStr">
        <is>
          <t>Картон</t>
        </is>
      </c>
      <c r="AT134" s="0" t="inlineStr">
        <is>
          <t>Да</t>
        </is>
      </c>
      <c r="AW134" s="0" t="n">
        <v>1</v>
      </c>
      <c r="AX134" s="0" t="n">
        <v>250</v>
      </c>
      <c r="AY134" s="0" t="n">
        <v>115</v>
      </c>
      <c r="AZ134" s="0" t="n">
        <v>140</v>
      </c>
      <c r="BI134" s="0" t="n">
        <v>0</v>
      </c>
      <c r="BJ134" s="0" t="n">
        <v>0</v>
      </c>
    </row>
    <row r="135">
      <c r="A135" s="0" t="inlineStr">
        <is>
          <t>V6018-7000</t>
        </is>
      </c>
      <c r="B135" s="0" t="inlineStr">
        <is>
          <t>Светодиодный светильник Virona "КСС: М (равномерная) Светодиоды: Samsung LM281 Материал: Рассеиватель - акрил (ПММА), основание из термостойкого пластика Рабочее напряжение: 176-264В AС Сos φ: 0,95 Рабочая t°: -60°...+50° С Срок службы: 100 000 ч *Цветовая темп.: 5000К</t>
        </is>
      </c>
      <c r="C135" s="0" t="inlineStr">
        <is>
          <t>Универсал</t>
        </is>
      </c>
      <c r="F135" s="0" t="n">
        <v>3</v>
      </c>
      <c r="G135" s="0" t="inlineStr">
        <is>
          <t>Российская Федерация</t>
        </is>
      </c>
      <c r="H135" s="0" t="inlineStr">
        <is>
          <t>VIRONA</t>
        </is>
      </c>
      <c r="I135" s="0" t="inlineStr">
        <is>
          <t>консольный; подвесной</t>
        </is>
      </c>
      <c r="J135" s="0" t="inlineStr">
        <is>
          <t>улицы (дороги, тротуары); садово-парковое, ландшафтное освещение</t>
        </is>
      </c>
      <c r="M135" s="0" t="n">
        <v>50</v>
      </c>
      <c r="O135" s="0" t="inlineStr">
        <is>
          <t>SMD</t>
        </is>
      </c>
      <c r="P135" s="0" t="n">
        <v>7000</v>
      </c>
      <c r="Q135" s="0" t="n">
        <v>5000</v>
      </c>
      <c r="R135" s="0" t="n">
        <v>80</v>
      </c>
      <c r="S135" s="0" t="n">
        <v>44</v>
      </c>
      <c r="T135" s="0" t="inlineStr">
        <is>
          <t>Л</t>
        </is>
      </c>
      <c r="U135" s="0" t="inlineStr">
        <is>
          <t>100 000 ч.</t>
        </is>
      </c>
      <c r="V135" s="0" t="n">
        <v>464</v>
      </c>
      <c r="W135" s="0" t="n">
        <v>326</v>
      </c>
      <c r="X135" s="0" t="n">
        <v>147</v>
      </c>
      <c r="AD135" s="0" t="inlineStr">
        <is>
          <t>алюминиевый профиль</t>
        </is>
      </c>
      <c r="AE135" s="0" t="inlineStr">
        <is>
          <t>стекло</t>
        </is>
      </c>
      <c r="AH135" s="0" t="inlineStr">
        <is>
          <t>Светодиоды Samsung LM292</t>
        </is>
      </c>
      <c r="AI135" s="0" t="inlineStr">
        <is>
          <t>LED-driver</t>
        </is>
      </c>
      <c r="AK135" s="0" t="n">
        <v>0.95</v>
      </c>
      <c r="AN135" s="0" t="n">
        <v>176</v>
      </c>
      <c r="AO135" s="0" t="n">
        <v>264</v>
      </c>
      <c r="AP135" s="0" t="n">
        <v>-60</v>
      </c>
      <c r="AQ135" s="0" t="n">
        <v>50</v>
      </c>
      <c r="AW135" s="0" t="n">
        <v>1</v>
      </c>
      <c r="BD135" s="0" t="inlineStr">
        <is>
          <t>http://darion-svet.com/web/binary/saveas_archive?model=product.picture&amp;ids=[1660]&amp;field=image&amp;name_field=name&amp;archive_name=V6018-7000_image</t>
        </is>
      </c>
      <c r="BE135" s="0" t="inlineStr">
        <is>
          <t>http://darion-svet.com/shop/product/v6018-7000-vrn-s40-50-ma50k44-sk-shar</t>
        </is>
      </c>
      <c r="BI135" s="0" t="n">
        <v>0</v>
      </c>
      <c r="BJ135" s="0" t="n">
        <v>0</v>
      </c>
    </row>
    <row r="136">
      <c r="A136" s="0" t="inlineStr">
        <is>
          <t>VRN-10A10-UN-64D-G50K67-UV</t>
        </is>
      </c>
      <c r="B136" s="0" t="inlineStr">
        <is>
          <t>Светодиодный светильник с БАП VRN-10A10-UN-64D-G50K67-UV</t>
        </is>
      </c>
      <c r="C136" s="0" t="inlineStr">
        <is>
          <t>Универсал</t>
        </is>
      </c>
      <c r="BI136" s="0" t="n">
        <v>0</v>
      </c>
      <c r="BJ136" s="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13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Артикул</t>
        </is>
      </c>
      <c r="B2" t="inlineStr">
        <is>
          <t>Наименование</t>
        </is>
      </c>
      <c r="C2" t="inlineStr">
        <is>
          <t>Категория продукции</t>
        </is>
      </c>
      <c r="D2" t="inlineStr">
        <is>
          <t>Штрих-код EAN 13</t>
        </is>
      </c>
      <c r="E2" t="inlineStr">
        <is>
          <t>Изображение товара</t>
        </is>
      </c>
      <c r="F2" t="inlineStr">
        <is>
          <t>Гарантия, лет</t>
        </is>
      </c>
      <c r="G2" t="inlineStr">
        <is>
          <t>Страна производитель</t>
        </is>
      </c>
      <c r="H2" t="inlineStr">
        <is>
          <t>Торговая марка</t>
        </is>
      </c>
      <c r="I2" t="inlineStr">
        <is>
          <t>Способ установки</t>
        </is>
      </c>
      <c r="J2" t="inlineStr">
        <is>
          <t>Область применения</t>
        </is>
      </c>
      <c r="K2" t="inlineStr">
        <is>
          <t>Тип источника света</t>
        </is>
      </c>
      <c r="L2" t="inlineStr">
        <is>
          <t>Количество ламп</t>
        </is>
      </c>
      <c r="M2" t="inlineStr">
        <is>
          <t>Мощность, Вт</t>
        </is>
      </c>
      <c r="N2" t="inlineStr">
        <is>
          <t>Цоколь</t>
        </is>
      </c>
      <c r="O2" t="inlineStr">
        <is>
          <t>Тип матрицы LED</t>
        </is>
      </c>
      <c r="P2" t="inlineStr">
        <is>
          <t>Световой поток, лм</t>
        </is>
      </c>
      <c r="Q2" t="inlineStr">
        <is>
          <t>Цветовая температура, К</t>
        </is>
      </c>
      <c r="R2" t="inlineStr">
        <is>
          <t>Индекс цветопередачи, Ra ≥</t>
        </is>
      </c>
      <c r="S2" t="inlineStr">
        <is>
          <t>Степень защиты IP</t>
        </is>
      </c>
      <c r="T2" t="inlineStr">
        <is>
          <t>Тип КСС</t>
        </is>
      </c>
      <c r="U2" t="inlineStr">
        <is>
          <t>Срок службы (не менее)</t>
        </is>
      </c>
      <c r="V2" t="inlineStr">
        <is>
          <t>A</t>
        </is>
      </c>
      <c r="W2" t="inlineStr">
        <is>
          <t>B</t>
        </is>
      </c>
      <c r="X2" t="inlineStr">
        <is>
          <t>C</t>
        </is>
      </c>
      <c r="Y2" t="inlineStr">
        <is>
          <t>D</t>
        </is>
      </c>
      <c r="Z2" t="inlineStr">
        <is>
          <t>d</t>
        </is>
      </c>
      <c r="AA2" t="inlineStr">
        <is>
          <t>H</t>
        </is>
      </c>
      <c r="AB2" t="inlineStr">
        <is>
          <t>Масса нетто, кг</t>
        </is>
      </c>
      <c r="AC2" t="inlineStr">
        <is>
          <t>Габаритные размеры (изображение)</t>
        </is>
      </c>
      <c r="AD2" t="inlineStr">
        <is>
          <t>Материал корпуса</t>
        </is>
      </c>
      <c r="AE2" t="inlineStr">
        <is>
          <t>Материал рассеивателя</t>
        </is>
      </c>
      <c r="AF2" t="inlineStr">
        <is>
          <t>Конструкция</t>
        </is>
      </c>
      <c r="AG2" t="inlineStr">
        <is>
          <t>Оптическая часть</t>
        </is>
      </c>
      <c r="AH2" t="inlineStr">
        <is>
          <t>Дополнительные характеристики</t>
        </is>
      </c>
      <c r="AI2" t="inlineStr">
        <is>
          <t>Тип ПРА</t>
        </is>
      </c>
      <c r="AJ2" t="inlineStr">
        <is>
          <t>Класс по мощности</t>
        </is>
      </c>
      <c r="AK2" t="inlineStr">
        <is>
          <t>cos φ ≥</t>
        </is>
      </c>
      <c r="AL2" t="inlineStr">
        <is>
          <t>Коэффициент пульсации светового потока (не более), %</t>
        </is>
      </c>
      <c r="AM2" t="inlineStr">
        <is>
          <t>Номинальный ток, A</t>
        </is>
      </c>
      <c r="AN2" t="inlineStr">
        <is>
          <t>Диапазон напряжения питания, В от</t>
        </is>
      </c>
      <c r="AO2" t="inlineStr">
        <is>
          <t>Диапазон напряжения питания, В до</t>
        </is>
      </c>
      <c r="AP2" t="inlineStr">
        <is>
          <t>Диапазон температуры окружающей среды, °C от</t>
        </is>
      </c>
      <c r="AQ2" t="inlineStr">
        <is>
          <t>Диапазон температуры окружающей среды, °C до</t>
        </is>
      </c>
      <c r="AR2" t="inlineStr">
        <is>
          <t>Климатическое исполнение</t>
        </is>
      </c>
      <c r="AS2" t="inlineStr">
        <is>
          <t>Тип упаковки</t>
        </is>
      </c>
      <c r="AT2" t="inlineStr">
        <is>
          <t>Индивидуальная упаковка</t>
        </is>
      </c>
      <c r="AU2" t="inlineStr">
        <is>
          <t>Объем 1 шт., м³</t>
        </is>
      </c>
      <c r="AV2" t="inlineStr">
        <is>
          <t>Масса брутто 1 шт., кг</t>
        </is>
      </c>
      <c r="AW2" t="inlineStr">
        <is>
          <t>Кол-во в упаковке, шт.</t>
        </is>
      </c>
      <c r="AX2" t="inlineStr">
        <is>
          <t>A уп.</t>
        </is>
      </c>
      <c r="AY2" t="inlineStr">
        <is>
          <t>B уп.</t>
        </is>
      </c>
      <c r="AZ2" t="inlineStr">
        <is>
          <t>C уп.</t>
        </is>
      </c>
      <c r="BA2" t="inlineStr">
        <is>
          <t>Объём упаковки, м³</t>
        </is>
      </c>
      <c r="BB2" t="inlineStr">
        <is>
          <t>Масса упаковки, кг</t>
        </is>
      </c>
      <c r="BC2" t="inlineStr">
        <is>
          <t>Штрих код упаковки</t>
        </is>
      </c>
      <c r="BD2" t="inlineStr">
        <is>
          <t>Доп. изображения</t>
        </is>
      </c>
      <c r="BE2" t="inlineStr">
        <is>
          <t>Ссылка на товар на сайте</t>
        </is>
      </c>
      <c r="BF2" t="inlineStr">
        <is>
          <t>Сертификат соответствия</t>
        </is>
      </c>
      <c r="BG2" t="inlineStr">
        <is>
          <t>Технический паспорт</t>
        </is>
      </c>
      <c r="BH2" t="inlineStr">
        <is>
          <t>*.ies файл для Dialux</t>
        </is>
      </c>
      <c r="BI2" t="inlineStr">
        <is>
          <t>Кол-во свободно</t>
        </is>
      </c>
      <c r="BJ2" t="inlineStr">
        <is>
          <t>Прайс-лист распродажи</t>
        </is>
      </c>
      <c r="BK2" t="inlineStr">
        <is>
          <t>ID Avito</t>
        </is>
      </c>
      <c r="BL2" t="n">
        <v>47</v>
      </c>
    </row>
    <row r="3">
      <c r="A3" t="n">
        <v>4690612020730</v>
      </c>
      <c r="B3" t="inlineStr">
        <is>
          <t>Лампа светодиодная LED-GX53-VC 8Вт 230В 4000К 760Лм IN HOME</t>
        </is>
      </c>
      <c r="C3" t="inlineStr">
        <is>
          <t>Лампа светодиодная LED-GX53-standard</t>
        </is>
      </c>
      <c r="D3" t="n">
        <v>4690612020730</v>
      </c>
      <c r="E3" t="inlineStr">
        <is>
          <t>http://darion-svet.com/web/binary/image?model=product.product&amp;id=14114&amp;field=image</t>
        </is>
      </c>
      <c r="F3" t="n">
        <v>2</v>
      </c>
      <c r="G3" t="inlineStr">
        <is>
          <t>Китай</t>
        </is>
      </c>
      <c r="H3" t="inlineStr">
        <is>
          <t>IN HOME</t>
        </is>
      </c>
      <c r="K3" t="inlineStr">
        <is>
          <t>LED</t>
        </is>
      </c>
      <c r="M3" t="n">
        <v>8</v>
      </c>
      <c r="N3" t="inlineStr">
        <is>
          <t>GX53</t>
        </is>
      </c>
      <c r="O3" t="inlineStr">
        <is>
          <t>SMD</t>
        </is>
      </c>
      <c r="P3" t="n">
        <v>720</v>
      </c>
      <c r="Q3" t="n">
        <v>4000</v>
      </c>
      <c r="R3" t="n">
        <v>80</v>
      </c>
      <c r="T3" t="inlineStr">
        <is>
          <t>Д</t>
        </is>
      </c>
      <c r="U3" t="n">
        <v>30000</v>
      </c>
      <c r="V3" t="n">
        <v>27</v>
      </c>
      <c r="W3" t="n">
        <v>74</v>
      </c>
      <c r="AB3" t="n">
        <v>0.035</v>
      </c>
      <c r="AD3" t="inlineStr">
        <is>
          <t>полимерный материал</t>
        </is>
      </c>
      <c r="AE3" t="inlineStr">
        <is>
          <t>ABS пластик</t>
        </is>
      </c>
      <c r="AJ3" t="inlineStr">
        <is>
          <t>A1</t>
        </is>
      </c>
      <c r="AK3" t="n">
        <v>0.85</v>
      </c>
      <c r="AL3" t="n">
        <v>5</v>
      </c>
      <c r="AM3" t="n">
        <v>0.06</v>
      </c>
      <c r="AN3" t="n">
        <v>150</v>
      </c>
      <c r="AO3" t="n">
        <v>275</v>
      </c>
      <c r="AP3" t="n">
        <v>-10</v>
      </c>
      <c r="AQ3" t="n">
        <v>40</v>
      </c>
      <c r="AS3" t="inlineStr">
        <is>
          <t>Картон</t>
        </is>
      </c>
      <c r="AT3" t="inlineStr">
        <is>
          <t>Нет</t>
        </is>
      </c>
      <c r="AU3" t="n">
        <v>0.00021</v>
      </c>
      <c r="AV3" t="n">
        <v>0.035</v>
      </c>
      <c r="AW3" t="n">
        <v>100</v>
      </c>
      <c r="AX3" t="n">
        <v>75</v>
      </c>
      <c r="AY3" t="n">
        <v>28</v>
      </c>
      <c r="AZ3" t="n">
        <v>75</v>
      </c>
      <c r="BA3" t="n">
        <v>0.021</v>
      </c>
      <c r="BB3" t="n">
        <v>3.5</v>
      </c>
      <c r="BC3" t="n">
        <v>4690612020730</v>
      </c>
      <c r="BE3" t="inlineStr">
        <is>
          <t>http://darion-svet.com/shop/product/4690612020730-led-gx53-vc-8vt-230v-4000k-640lm-in-home</t>
        </is>
      </c>
      <c r="BF3" t="inlineStr">
        <is>
          <t>http://darion-svet.com/web/binary/saveas?model=product.product&amp;field=conformity_cert&amp;filename_field=conformity_cert_filename&amp;id=14114</t>
        </is>
      </c>
      <c r="BG3" t="inlineStr">
        <is>
          <t>http://darion-svet.com/web/binary/saveas?model=product.product&amp;field=datasheet&amp;filename_field=datasheet_filename&amp;id=14114</t>
        </is>
      </c>
      <c r="BI3" t="n">
        <v>69</v>
      </c>
      <c r="BJ3" t="n">
        <v>33</v>
      </c>
      <c r="BK3" t="n">
        <v>0</v>
      </c>
      <c r="BL3" t="n">
        <v>44</v>
      </c>
    </row>
    <row r="4">
      <c r="A4" t="n">
        <v>4690612024653</v>
      </c>
      <c r="B4" t="inlineStr">
        <is>
          <t>Лампа светодиодная LED-A70-std 30Вт 230В Е27 4000К 2700Лм ASD</t>
        </is>
      </c>
      <c r="C4" t="inlineStr">
        <is>
          <t>Лампа светодиодная LED-A60-standard</t>
        </is>
      </c>
      <c r="E4" t="inlineStr">
        <is>
          <t>http://darion-svet.com/web/binary/image?model=product.product&amp;id=16234&amp;field=image</t>
        </is>
      </c>
      <c r="F4" t="n">
        <v>1</v>
      </c>
      <c r="G4" t="inlineStr">
        <is>
          <t>Китай</t>
        </is>
      </c>
      <c r="H4" t="inlineStr">
        <is>
          <t>ASD</t>
        </is>
      </c>
      <c r="K4" t="inlineStr">
        <is>
          <t>LED</t>
        </is>
      </c>
      <c r="M4" t="n">
        <v>30</v>
      </c>
      <c r="N4" t="inlineStr">
        <is>
          <t>E27</t>
        </is>
      </c>
      <c r="P4" t="n">
        <v>2700</v>
      </c>
      <c r="Q4" t="n">
        <v>4000</v>
      </c>
      <c r="R4" t="n">
        <v>70</v>
      </c>
      <c r="U4" t="inlineStr">
        <is>
          <t>30 000</t>
        </is>
      </c>
      <c r="V4" t="n">
        <v>135</v>
      </c>
      <c r="W4" t="n">
        <v>70</v>
      </c>
      <c r="X4" t="n">
        <v>135</v>
      </c>
      <c r="Y4" t="n">
        <v>70</v>
      </c>
      <c r="AB4" t="n">
        <v>0.08500000000000001</v>
      </c>
      <c r="AJ4" t="inlineStr">
        <is>
          <t>A</t>
        </is>
      </c>
      <c r="AN4" t="n">
        <v>170</v>
      </c>
      <c r="AO4" t="n">
        <v>265</v>
      </c>
      <c r="AU4" t="n">
        <v>0.0008</v>
      </c>
      <c r="AV4" t="n">
        <v>0.08500000000000001</v>
      </c>
      <c r="AW4" t="n">
        <v>50</v>
      </c>
      <c r="BA4" t="n">
        <v>0.04</v>
      </c>
      <c r="BB4" t="n">
        <v>4.25</v>
      </c>
      <c r="BE4" t="inlineStr">
        <is>
          <t>http://darion-svet.com/shop/product/4690612024653-led-a70-std-30vt-230v-e27-4000k-2700lm-asd</t>
        </is>
      </c>
      <c r="BF4" t="inlineStr">
        <is>
          <t>http://darion-svet.com/web/binary/saveas?model=product.product&amp;field=conformity_cert&amp;filename_field=conformity_cert_filename&amp;id=16234</t>
        </is>
      </c>
      <c r="BG4" t="inlineStr">
        <is>
          <t>http://darion-svet.com/web/binary/saveas?model=product.product&amp;field=datasheet&amp;filename_field=datasheet_filename&amp;id=16234</t>
        </is>
      </c>
      <c r="BI4" t="n">
        <v>39</v>
      </c>
      <c r="BJ4" t="n">
        <v>105</v>
      </c>
      <c r="BK4" t="n">
        <v>0</v>
      </c>
      <c r="BL4" t="n">
        <v>30</v>
      </c>
    </row>
    <row r="5">
      <c r="A5" t="n">
        <v>4690612001456</v>
      </c>
      <c r="B5" t="inlineStr">
        <is>
          <t>Лампа светодиодная LED-JCDR-standard 7.5Вт 230В GU5.3 4000К 675Лм ASD</t>
        </is>
      </c>
      <c r="C5" t="inlineStr">
        <is>
          <t>Лампа светодиодная LED-JCDR-standard</t>
        </is>
      </c>
      <c r="E5" t="inlineStr">
        <is>
          <t>http://darion-svet.com/web/binary/image?model=product.product&amp;id=6268&amp;field=image</t>
        </is>
      </c>
      <c r="F5" t="n">
        <v>2</v>
      </c>
      <c r="G5" t="inlineStr">
        <is>
          <t>Китай</t>
        </is>
      </c>
      <c r="H5" t="inlineStr">
        <is>
          <t>ASD</t>
        </is>
      </c>
      <c r="K5" t="inlineStr">
        <is>
          <t>LED</t>
        </is>
      </c>
      <c r="M5" t="n">
        <v>8</v>
      </c>
      <c r="N5" t="inlineStr">
        <is>
          <t>GU5.3</t>
        </is>
      </c>
      <c r="P5" t="n">
        <v>675</v>
      </c>
      <c r="Q5" t="n">
        <v>4000</v>
      </c>
      <c r="U5" t="n">
        <v>0</v>
      </c>
      <c r="W5" t="n">
        <v>51</v>
      </c>
      <c r="AB5" t="n">
        <v>0.037</v>
      </c>
      <c r="AS5" t="inlineStr">
        <is>
          <t>Картон</t>
        </is>
      </c>
      <c r="AT5" t="inlineStr">
        <is>
          <t>Да</t>
        </is>
      </c>
      <c r="AU5" t="n">
        <v>0.00019</v>
      </c>
      <c r="AV5" t="n">
        <v>0.042</v>
      </c>
      <c r="AW5" t="n">
        <v>10</v>
      </c>
      <c r="AX5" t="n">
        <v>52</v>
      </c>
      <c r="AY5" t="n">
        <v>52</v>
      </c>
      <c r="AZ5" t="n">
        <v>50</v>
      </c>
      <c r="BA5" t="n">
        <v>0.00193</v>
      </c>
      <c r="BB5" t="n">
        <v>0.42</v>
      </c>
      <c r="BE5" t="inlineStr">
        <is>
          <t>http://darion-svet.com/shop/product/4690612001456-led-jcdr-standard-75vt-160-260v-gu53-4000k-600lm-asd</t>
        </is>
      </c>
      <c r="BF5" t="inlineStr">
        <is>
          <t>http://darion-svet.com/web/binary/saveas?model=product.product&amp;field=conformity_cert&amp;filename_field=conformity_cert_filename&amp;id=6268</t>
        </is>
      </c>
      <c r="BG5" t="inlineStr">
        <is>
          <t>http://darion-svet.com/web/binary/saveas?model=product.product&amp;field=datasheet&amp;filename_field=datasheet_filename&amp;id=6268</t>
        </is>
      </c>
      <c r="BI5" t="n">
        <v>4</v>
      </c>
      <c r="BJ5" t="n">
        <v>25</v>
      </c>
      <c r="BK5" t="n">
        <v>0</v>
      </c>
      <c r="BL5" t="n">
        <v>28</v>
      </c>
    </row>
    <row r="6">
      <c r="A6" t="n">
        <v>4690612001531</v>
      </c>
      <c r="B6" t="inlineStr">
        <is>
          <t>Лампа светодиодная LED-R50-standard 5Вт 230В Е14 3000К 450Лм ASD</t>
        </is>
      </c>
      <c r="C6" t="inlineStr">
        <is>
          <t>Лампа светодиодная LED-R-standard</t>
        </is>
      </c>
      <c r="E6" t="inlineStr">
        <is>
          <t>http://darion-svet.com/web/binary/image?model=product.product&amp;id=6272&amp;field=image</t>
        </is>
      </c>
      <c r="F6" t="n">
        <v>2</v>
      </c>
      <c r="G6" t="inlineStr">
        <is>
          <t>Китай</t>
        </is>
      </c>
      <c r="H6" t="inlineStr">
        <is>
          <t>ASD</t>
        </is>
      </c>
      <c r="K6" t="inlineStr">
        <is>
          <t>LED</t>
        </is>
      </c>
      <c r="M6" t="n">
        <v>5</v>
      </c>
      <c r="N6" t="inlineStr">
        <is>
          <t>E14</t>
        </is>
      </c>
      <c r="P6" t="n">
        <v>450</v>
      </c>
      <c r="Q6" t="n">
        <v>3000</v>
      </c>
      <c r="U6" t="n">
        <v>0</v>
      </c>
      <c r="W6" t="n">
        <v>86</v>
      </c>
      <c r="AB6" t="n">
        <v>0.048</v>
      </c>
      <c r="AS6" t="inlineStr">
        <is>
          <t>Картон</t>
        </is>
      </c>
      <c r="AT6" t="inlineStr">
        <is>
          <t>Нет</t>
        </is>
      </c>
      <c r="AU6" t="n">
        <v>0.00028</v>
      </c>
      <c r="AV6" t="n">
        <v>0.043</v>
      </c>
      <c r="AW6" t="n">
        <v>100</v>
      </c>
      <c r="AX6" t="n">
        <v>52</v>
      </c>
      <c r="AY6" t="n">
        <v>52</v>
      </c>
      <c r="AZ6" t="n">
        <v>91</v>
      </c>
      <c r="BA6" t="n">
        <v>0.028</v>
      </c>
      <c r="BB6" t="n">
        <v>4.3</v>
      </c>
      <c r="BE6" t="inlineStr">
        <is>
          <t>http://darion-svet.com/shop/product/4690612001531-led-r50-standard-50vt-160-260v-e14-3000k-400lm</t>
        </is>
      </c>
      <c r="BF6" t="inlineStr">
        <is>
          <t>http://darion-svet.com/web/binary/saveas?model=product.product&amp;field=conformity_cert&amp;filename_field=conformity_cert_filename&amp;id=6272</t>
        </is>
      </c>
      <c r="BG6" t="inlineStr">
        <is>
          <t>http://darion-svet.com/web/binary/saveas?model=product.product&amp;field=datasheet&amp;filename_field=datasheet_filename&amp;id=6272</t>
        </is>
      </c>
      <c r="BI6" t="n">
        <v>23</v>
      </c>
      <c r="BJ6" t="n">
        <v>26</v>
      </c>
      <c r="BK6" t="n">
        <v>0</v>
      </c>
      <c r="BL6" t="n">
        <v>28</v>
      </c>
    </row>
    <row r="7">
      <c r="A7" t="n">
        <v>4690612002125</v>
      </c>
      <c r="B7" t="inlineStr">
        <is>
          <t>Лампа светодиодная LED-ШАР-standard 5Вт 230В Е14 3000К 450Лм ASD</t>
        </is>
      </c>
      <c r="C7" t="inlineStr">
        <is>
          <t>Лампа светодиодная LED-ШАР-standard</t>
        </is>
      </c>
      <c r="E7" t="inlineStr">
        <is>
          <t>http://darion-svet.com/web/binary/image?model=product.product&amp;id=6331&amp;field=image</t>
        </is>
      </c>
      <c r="F7" t="n">
        <v>2</v>
      </c>
      <c r="G7" t="inlineStr">
        <is>
          <t>Китай</t>
        </is>
      </c>
      <c r="H7" t="inlineStr">
        <is>
          <t>ASD</t>
        </is>
      </c>
      <c r="K7" t="inlineStr">
        <is>
          <t>LED</t>
        </is>
      </c>
      <c r="M7" t="n">
        <v>5</v>
      </c>
      <c r="N7" t="inlineStr">
        <is>
          <t>E14</t>
        </is>
      </c>
      <c r="P7" t="n">
        <v>450</v>
      </c>
      <c r="Q7" t="n">
        <v>3000</v>
      </c>
      <c r="R7" t="n">
        <v>80</v>
      </c>
      <c r="U7" t="n">
        <v>30000</v>
      </c>
      <c r="W7" t="n">
        <v>83</v>
      </c>
      <c r="AB7" t="n">
        <v>0.0423</v>
      </c>
      <c r="AS7" t="inlineStr">
        <is>
          <t>Картон</t>
        </is>
      </c>
      <c r="AT7" t="inlineStr">
        <is>
          <t>Нет</t>
        </is>
      </c>
      <c r="AU7" t="n">
        <v>0.00023</v>
      </c>
      <c r="AV7" t="n">
        <v>0.029</v>
      </c>
      <c r="AW7" t="n">
        <v>100</v>
      </c>
      <c r="AX7" t="n">
        <v>46</v>
      </c>
      <c r="AY7" t="n">
        <v>46</v>
      </c>
      <c r="AZ7" t="n">
        <v>85</v>
      </c>
      <c r="BA7" t="n">
        <v>0.023</v>
      </c>
      <c r="BB7" t="n">
        <v>2.9</v>
      </c>
      <c r="BE7" t="inlineStr">
        <is>
          <t>http://darion-svet.com/shop/product/4690612002125-led-shar-standard-50vt-220v-e14-3000k-400lm</t>
        </is>
      </c>
      <c r="BF7" t="inlineStr">
        <is>
          <t>http://darion-svet.com/web/binary/saveas?model=product.product&amp;field=conformity_cert&amp;filename_field=conformity_cert_filename&amp;id=6331</t>
        </is>
      </c>
      <c r="BG7" t="inlineStr">
        <is>
          <t>http://darion-svet.com/web/binary/saveas?model=product.product&amp;field=datasheet&amp;filename_field=datasheet_filename&amp;id=6331</t>
        </is>
      </c>
      <c r="BI7" t="n">
        <v>10</v>
      </c>
      <c r="BJ7" t="n">
        <v>19</v>
      </c>
      <c r="BK7" t="n">
        <v>0</v>
      </c>
      <c r="BL7" t="n">
        <v>29</v>
      </c>
    </row>
    <row r="8">
      <c r="A8" t="n">
        <v>4690612002309</v>
      </c>
      <c r="B8" t="inlineStr">
        <is>
          <t>Лампа светодиодная LED-JCDRC-standard 5.5Вт 230В GU10 4000К 495Лм ASD</t>
        </is>
      </c>
      <c r="C8" t="inlineStr">
        <is>
          <t>Лампа светодиодная LED-JCDRC-standard</t>
        </is>
      </c>
      <c r="E8" t="inlineStr">
        <is>
          <t>http://darion-svet.com/web/binary/image?model=product.product&amp;id=7228&amp;field=image</t>
        </is>
      </c>
      <c r="F8" t="n">
        <v>2</v>
      </c>
      <c r="G8" t="inlineStr">
        <is>
          <t>Китай</t>
        </is>
      </c>
      <c r="H8" t="inlineStr">
        <is>
          <t>ASD</t>
        </is>
      </c>
      <c r="K8" t="inlineStr">
        <is>
          <t>LED</t>
        </is>
      </c>
      <c r="M8" t="n">
        <v>6</v>
      </c>
      <c r="N8" t="inlineStr">
        <is>
          <t>GU10</t>
        </is>
      </c>
      <c r="P8" t="n">
        <v>495</v>
      </c>
      <c r="Q8" t="n">
        <v>4000</v>
      </c>
      <c r="U8" t="n">
        <v>0</v>
      </c>
      <c r="W8" t="n">
        <v>55</v>
      </c>
      <c r="AB8" t="n">
        <v>0.04</v>
      </c>
      <c r="AS8" t="inlineStr">
        <is>
          <t>Картон</t>
        </is>
      </c>
      <c r="AT8" t="inlineStr">
        <is>
          <t>Да</t>
        </is>
      </c>
      <c r="AU8" t="n">
        <v>0.00022</v>
      </c>
      <c r="AV8" t="n">
        <v>0.044</v>
      </c>
      <c r="AW8" t="n">
        <v>10</v>
      </c>
      <c r="AX8" t="n">
        <v>52</v>
      </c>
      <c r="AY8" t="n">
        <v>52</v>
      </c>
      <c r="AZ8" t="n">
        <v>55</v>
      </c>
      <c r="BA8" t="n">
        <v>0.00223</v>
      </c>
      <c r="BB8" t="n">
        <v>0.44</v>
      </c>
      <c r="BE8" t="inlineStr">
        <is>
          <t>http://darion-svet.com/shop/product/4690612002309-lampa-svetodiodnaya-led-jcdrc-standard-55vt-160-260v-gu10-4000k-asd</t>
        </is>
      </c>
      <c r="BI8" t="n">
        <v>1</v>
      </c>
      <c r="BJ8" t="n">
        <v>25</v>
      </c>
      <c r="BK8" t="n">
        <v>0</v>
      </c>
      <c r="BL8" t="n">
        <v>26</v>
      </c>
    </row>
    <row r="9">
      <c r="A9" t="n">
        <v>4690612003757</v>
      </c>
      <c r="B9" t="inlineStr">
        <is>
          <t>Лампа светодиодная LED-JC-standard 1.5Вт 12В G4 3000К 135Лм ASD</t>
        </is>
      </c>
      <c r="C9" t="inlineStr">
        <is>
          <t>Лампа светодиодная LED-JC-standard</t>
        </is>
      </c>
      <c r="E9" t="inlineStr">
        <is>
          <t>http://darion-svet.com/web/binary/image?model=product.product&amp;id=11958&amp;field=image</t>
        </is>
      </c>
      <c r="F9" t="n">
        <v>2</v>
      </c>
      <c r="G9" t="inlineStr">
        <is>
          <t>Китай</t>
        </is>
      </c>
      <c r="K9" t="inlineStr">
        <is>
          <t>LED</t>
        </is>
      </c>
      <c r="M9" t="n">
        <v>2</v>
      </c>
      <c r="N9" t="inlineStr">
        <is>
          <t>G4</t>
        </is>
      </c>
      <c r="P9" t="n">
        <v>135</v>
      </c>
      <c r="Q9" t="n">
        <v>3000</v>
      </c>
      <c r="AU9" t="n">
        <v>3e-05</v>
      </c>
      <c r="AV9" t="n">
        <v>0.004</v>
      </c>
      <c r="AW9" t="n">
        <v>200</v>
      </c>
      <c r="BA9" t="n">
        <v>0.005</v>
      </c>
      <c r="BB9" t="n">
        <v>0.8</v>
      </c>
      <c r="BE9" t="inlineStr">
        <is>
          <t>http://darion-svet.com/shop/product/4690612003757-led-jc-standard-15vt-12v-g4-3000k-135lm-asd</t>
        </is>
      </c>
      <c r="BI9" t="n">
        <v>50</v>
      </c>
      <c r="BJ9" t="n">
        <v>28</v>
      </c>
      <c r="BK9" t="n">
        <v>0</v>
      </c>
      <c r="BL9" t="n">
        <v>17</v>
      </c>
    </row>
    <row r="10">
      <c r="A10" t="n">
        <v>4690612003764</v>
      </c>
      <c r="B10" t="inlineStr">
        <is>
          <t>Лампа светодиодная LED-JCD-standard 3Вт 230В G9 3000К 270Лм ASD</t>
        </is>
      </c>
      <c r="C10" t="inlineStr">
        <is>
          <t>Лампа светодиодная LED-JCD-standard</t>
        </is>
      </c>
      <c r="E10" t="inlineStr">
        <is>
          <t>http://darion-svet.com/web/binary/image?model=product.product&amp;id=6262&amp;field=image</t>
        </is>
      </c>
      <c r="F10" t="n">
        <v>2</v>
      </c>
      <c r="G10" t="inlineStr">
        <is>
          <t>Китай</t>
        </is>
      </c>
      <c r="H10" t="inlineStr">
        <is>
          <t>ASD</t>
        </is>
      </c>
      <c r="K10" t="inlineStr">
        <is>
          <t>LED</t>
        </is>
      </c>
      <c r="M10" t="n">
        <v>3</v>
      </c>
      <c r="N10" t="inlineStr">
        <is>
          <t>G9</t>
        </is>
      </c>
      <c r="P10" t="n">
        <v>270</v>
      </c>
      <c r="Q10" t="n">
        <v>3000</v>
      </c>
      <c r="U10" t="n">
        <v>0</v>
      </c>
      <c r="W10" t="n">
        <v>48</v>
      </c>
      <c r="AB10" t="n">
        <v>0.013</v>
      </c>
      <c r="AS10" t="inlineStr">
        <is>
          <t>Картон</t>
        </is>
      </c>
      <c r="AT10" t="inlineStr">
        <is>
          <t>Да</t>
        </is>
      </c>
      <c r="AU10" t="n">
        <v>5e-05</v>
      </c>
      <c r="AV10" t="n">
        <v>0.0145</v>
      </c>
      <c r="AW10" t="n">
        <v>20</v>
      </c>
      <c r="AX10" t="n">
        <v>23</v>
      </c>
      <c r="AY10" t="n">
        <v>23</v>
      </c>
      <c r="AZ10" t="n">
        <v>55</v>
      </c>
      <c r="BA10" t="n">
        <v>0.00104</v>
      </c>
      <c r="BB10" t="n">
        <v>0.29</v>
      </c>
      <c r="BE10" t="inlineStr">
        <is>
          <t>http://darion-svet.com/shop/product/4690612003764-led-jcd-standard-3vt-160-260v-g9-3000k</t>
        </is>
      </c>
      <c r="BF10" t="inlineStr">
        <is>
          <t>http://darion-svet.com/web/binary/saveas?model=product.product&amp;field=conformity_cert&amp;filename_field=conformity_cert_filename&amp;id=6262</t>
        </is>
      </c>
      <c r="BG10" t="inlineStr">
        <is>
          <t>http://darion-svet.com/web/binary/saveas?model=product.product&amp;field=datasheet&amp;filename_field=datasheet_filename&amp;id=6262</t>
        </is>
      </c>
      <c r="BI10" t="n">
        <v>1</v>
      </c>
      <c r="BJ10" t="n">
        <v>26</v>
      </c>
      <c r="BK10" t="n">
        <v>0</v>
      </c>
      <c r="BL10" t="n">
        <v>28</v>
      </c>
    </row>
    <row r="11">
      <c r="A11" t="n">
        <v>4690612003979</v>
      </c>
      <c r="B11" t="inlineStr">
        <is>
          <t>Лампа светодиодная LED-ШАР-standard 7.5Вт 230В Е14 4000К 675Лм ASD</t>
        </is>
      </c>
      <c r="C11" t="inlineStr">
        <is>
          <t>Лампа светодиодная LED-ШАР-standard</t>
        </is>
      </c>
      <c r="E11" t="inlineStr">
        <is>
          <t>http://darion-svet.com/web/binary/image?model=product.product&amp;id=6333&amp;field=image</t>
        </is>
      </c>
      <c r="F11" t="n">
        <v>2</v>
      </c>
      <c r="G11" t="inlineStr">
        <is>
          <t>Китай</t>
        </is>
      </c>
      <c r="H11" t="inlineStr">
        <is>
          <t>ASD</t>
        </is>
      </c>
      <c r="K11" t="inlineStr">
        <is>
          <t>LED</t>
        </is>
      </c>
      <c r="M11" t="n">
        <v>8</v>
      </c>
      <c r="N11" t="inlineStr">
        <is>
          <t>E14</t>
        </is>
      </c>
      <c r="P11" t="n">
        <v>675</v>
      </c>
      <c r="Q11" t="n">
        <v>4000</v>
      </c>
      <c r="U11" t="n">
        <v>0</v>
      </c>
      <c r="W11" t="n">
        <v>83</v>
      </c>
      <c r="AB11" t="n">
        <v>0.0418</v>
      </c>
      <c r="AS11" t="inlineStr">
        <is>
          <t>Картон</t>
        </is>
      </c>
      <c r="AT11" t="inlineStr">
        <is>
          <t>Нет</t>
        </is>
      </c>
      <c r="AU11" t="n">
        <v>0.00023</v>
      </c>
      <c r="AV11" t="n">
        <v>0.028</v>
      </c>
      <c r="AW11" t="n">
        <v>100</v>
      </c>
      <c r="AX11" t="n">
        <v>46</v>
      </c>
      <c r="AY11" t="n">
        <v>46</v>
      </c>
      <c r="AZ11" t="n">
        <v>85</v>
      </c>
      <c r="BA11" t="n">
        <v>0.023</v>
      </c>
      <c r="BB11" t="n">
        <v>2.8</v>
      </c>
      <c r="BE11" t="inlineStr">
        <is>
          <t>http://darion-svet.com/shop/product/4690612003979-led-shar-standard-75vt-160-260v-e14-4000k-600lm</t>
        </is>
      </c>
      <c r="BF11" t="inlineStr">
        <is>
          <t>http://darion-svet.com/web/binary/saveas?model=product.product&amp;field=conformity_cert&amp;filename_field=conformity_cert_filename&amp;id=6333</t>
        </is>
      </c>
      <c r="BG11" t="inlineStr">
        <is>
          <t>http://darion-svet.com/web/binary/saveas?model=product.product&amp;field=datasheet&amp;filename_field=datasheet_filename&amp;id=6333</t>
        </is>
      </c>
      <c r="BI11" t="n">
        <v>4</v>
      </c>
      <c r="BJ11" t="n">
        <v>20</v>
      </c>
      <c r="BK11" t="n">
        <v>0</v>
      </c>
      <c r="BL11" t="n">
        <v>28</v>
      </c>
    </row>
    <row r="12">
      <c r="A12" t="n">
        <v>4690612003993</v>
      </c>
      <c r="B12" t="inlineStr">
        <is>
          <t>Лампа светодиодная LED-ШАР-standard 7.5Вт 230В Е27 4000К 675Лм ASD</t>
        </is>
      </c>
      <c r="C12" t="inlineStr">
        <is>
          <t>Лампа светодиодная LED-ШАР-standard</t>
        </is>
      </c>
      <c r="E12" t="inlineStr">
        <is>
          <t>http://darion-svet.com/web/binary/image?model=product.product&amp;id=6335&amp;field=image</t>
        </is>
      </c>
      <c r="F12" t="n">
        <v>2</v>
      </c>
      <c r="G12" t="inlineStr">
        <is>
          <t>Китай</t>
        </is>
      </c>
      <c r="H12" t="inlineStr">
        <is>
          <t>ASD</t>
        </is>
      </c>
      <c r="K12" t="inlineStr">
        <is>
          <t>LED</t>
        </is>
      </c>
      <c r="M12" t="n">
        <v>8</v>
      </c>
      <c r="N12" t="inlineStr">
        <is>
          <t>E27</t>
        </is>
      </c>
      <c r="P12" t="n">
        <v>675</v>
      </c>
      <c r="Q12" t="n">
        <v>4000</v>
      </c>
      <c r="U12" t="n">
        <v>0</v>
      </c>
      <c r="W12" t="n">
        <v>83</v>
      </c>
      <c r="AB12" t="n">
        <v>0.0425</v>
      </c>
      <c r="AS12" t="inlineStr">
        <is>
          <t>Картон</t>
        </is>
      </c>
      <c r="AT12" t="inlineStr">
        <is>
          <t>Да</t>
        </is>
      </c>
      <c r="AU12" t="n">
        <v>0.00024</v>
      </c>
      <c r="AV12" t="n">
        <v>0.0462</v>
      </c>
      <c r="AW12" t="n">
        <v>10</v>
      </c>
      <c r="AX12" t="n">
        <v>46</v>
      </c>
      <c r="AY12" t="n">
        <v>46</v>
      </c>
      <c r="AZ12" t="n">
        <v>85</v>
      </c>
      <c r="BA12" t="n">
        <v>0.00239</v>
      </c>
      <c r="BB12" t="n">
        <v>0.462</v>
      </c>
      <c r="BE12" t="inlineStr">
        <is>
          <t>http://darion-svet.com/shop/product/4690612003993-led-shar-standard-75vt-160-260v-e27-4000k-asd</t>
        </is>
      </c>
      <c r="BF12" t="inlineStr">
        <is>
          <t>http://darion-svet.com/web/binary/saveas?model=product.product&amp;field=conformity_cert&amp;filename_field=conformity_cert_filename&amp;id=6335</t>
        </is>
      </c>
      <c r="BG12" t="inlineStr">
        <is>
          <t>http://darion-svet.com/web/binary/saveas?model=product.product&amp;field=datasheet&amp;filename_field=datasheet_filename&amp;id=6335</t>
        </is>
      </c>
      <c r="BI12" t="n">
        <v>8</v>
      </c>
      <c r="BJ12" t="n">
        <v>20</v>
      </c>
      <c r="BK12" t="n">
        <v>0</v>
      </c>
      <c r="BL12" t="n">
        <v>28</v>
      </c>
    </row>
    <row r="13">
      <c r="A13" t="n">
        <v>4690612004198</v>
      </c>
      <c r="B13" t="inlineStr">
        <is>
          <t>Лампа светодиодная LED-A60-standard 20Вт 230В Е27 3000К 1800Лм ASD</t>
        </is>
      </c>
      <c r="C13" t="inlineStr">
        <is>
          <t>Лампа светодиодная LED-A60-standard</t>
        </is>
      </c>
      <c r="E13" t="inlineStr">
        <is>
          <t>http://darion-svet.com/web/binary/image?model=product.product&amp;id=6254&amp;field=image</t>
        </is>
      </c>
      <c r="F13" t="n">
        <v>2</v>
      </c>
      <c r="G13" t="inlineStr">
        <is>
          <t>Китай</t>
        </is>
      </c>
      <c r="H13" t="inlineStr">
        <is>
          <t>ASD</t>
        </is>
      </c>
      <c r="K13" t="inlineStr">
        <is>
          <t>LED</t>
        </is>
      </c>
      <c r="M13" t="n">
        <v>20</v>
      </c>
      <c r="N13" t="inlineStr">
        <is>
          <t>E27</t>
        </is>
      </c>
      <c r="P13" t="n">
        <v>1800</v>
      </c>
      <c r="Q13" t="n">
        <v>3000</v>
      </c>
      <c r="U13" t="n">
        <v>0</v>
      </c>
      <c r="W13" t="n">
        <v>118</v>
      </c>
      <c r="AB13" t="n">
        <v>0.0784</v>
      </c>
      <c r="AS13" t="inlineStr">
        <is>
          <t>Картон</t>
        </is>
      </c>
      <c r="AT13" t="inlineStr">
        <is>
          <t>Нет</t>
        </is>
      </c>
      <c r="AU13" t="n">
        <v>0.0005</v>
      </c>
      <c r="AV13" t="n">
        <v>0.061</v>
      </c>
      <c r="AW13" t="n">
        <v>100</v>
      </c>
      <c r="AX13" t="n">
        <v>66</v>
      </c>
      <c r="AY13" t="n">
        <v>66</v>
      </c>
      <c r="AZ13" t="n">
        <v>133</v>
      </c>
      <c r="BA13" t="n">
        <v>0.05</v>
      </c>
      <c r="BB13" t="n">
        <v>6.1</v>
      </c>
      <c r="BE13" t="inlineStr">
        <is>
          <t>http://darion-svet.com/shop/product/4690612004198-led-a60-standard-20vt-160-260v-e27-3000k-asd</t>
        </is>
      </c>
      <c r="BF13" t="inlineStr">
        <is>
          <t>http://darion-svet.com/web/binary/saveas?model=product.product&amp;field=conformity_cert&amp;filename_field=conformity_cert_filename&amp;id=6254</t>
        </is>
      </c>
      <c r="BG13" t="inlineStr">
        <is>
          <t>http://darion-svet.com/web/binary/saveas?model=product.product&amp;field=datasheet&amp;filename_field=datasheet_filename&amp;id=6254</t>
        </is>
      </c>
      <c r="BI13" t="n">
        <v>27</v>
      </c>
      <c r="BJ13" t="n">
        <v>51</v>
      </c>
      <c r="BK13" t="n">
        <v>0</v>
      </c>
      <c r="BL13" t="n">
        <v>28</v>
      </c>
    </row>
    <row r="14">
      <c r="A14" t="n">
        <v>4690612004204</v>
      </c>
      <c r="B14" t="inlineStr">
        <is>
          <t>Лампа светодиодная LED-A60-standard 20Вт 230В Е27 4000К 1800Лм ASD</t>
        </is>
      </c>
      <c r="C14" t="inlineStr">
        <is>
          <t>Лампа светодиодная LED-A60-standard</t>
        </is>
      </c>
      <c r="E14" t="inlineStr">
        <is>
          <t>http://darion-svet.com/web/binary/image?model=product.product&amp;id=6255&amp;field=image</t>
        </is>
      </c>
      <c r="F14" t="n">
        <v>2</v>
      </c>
      <c r="G14" t="inlineStr">
        <is>
          <t>Китай</t>
        </is>
      </c>
      <c r="H14" t="inlineStr">
        <is>
          <t>ASD</t>
        </is>
      </c>
      <c r="K14" t="inlineStr">
        <is>
          <t>LED</t>
        </is>
      </c>
      <c r="M14" t="n">
        <v>20</v>
      </c>
      <c r="N14" t="inlineStr">
        <is>
          <t>E27</t>
        </is>
      </c>
      <c r="P14" t="n">
        <v>1800</v>
      </c>
      <c r="Q14" t="n">
        <v>4000</v>
      </c>
      <c r="U14" t="n">
        <v>0</v>
      </c>
      <c r="W14" t="n">
        <v>118</v>
      </c>
      <c r="AB14" t="n">
        <v>0.0784</v>
      </c>
      <c r="AS14" t="inlineStr">
        <is>
          <t>Картон</t>
        </is>
      </c>
      <c r="AT14" t="inlineStr">
        <is>
          <t>Нет</t>
        </is>
      </c>
      <c r="AU14" t="n">
        <v>0.0005</v>
      </c>
      <c r="AV14" t="n">
        <v>0.061</v>
      </c>
      <c r="AW14" t="n">
        <v>100</v>
      </c>
      <c r="AX14" t="n">
        <v>66</v>
      </c>
      <c r="AY14" t="n">
        <v>66</v>
      </c>
      <c r="AZ14" t="n">
        <v>133</v>
      </c>
      <c r="BA14" t="n">
        <v>0.05</v>
      </c>
      <c r="BB14" t="n">
        <v>6.1</v>
      </c>
      <c r="BE14" t="inlineStr">
        <is>
          <t>http://darion-svet.com/shop/product/4690612004204-led-a60-standard-20vt-160-260v-e27-4000k-asd</t>
        </is>
      </c>
      <c r="BI14" t="n">
        <v>5</v>
      </c>
      <c r="BJ14" t="n">
        <v>34</v>
      </c>
      <c r="BK14" t="n">
        <v>0</v>
      </c>
      <c r="BL14" t="n">
        <v>26</v>
      </c>
    </row>
    <row r="15">
      <c r="A15" t="inlineStr">
        <is>
          <t>4690612004204-10</t>
        </is>
      </c>
      <c r="B15" t="inlineStr">
        <is>
          <t>Лампа светодиодная LED-A60-standard 20Вт 230В Е27 4000К 1800Лм ASD (10 штук в упаковке)</t>
        </is>
      </c>
      <c r="C15" t="inlineStr">
        <is>
          <t>Лампа светодиодная LED-A60-standard</t>
        </is>
      </c>
      <c r="E15" t="inlineStr">
        <is>
          <t>http://darion-svet.com/web/binary/image?model=product.product&amp;id=30185&amp;field=image</t>
        </is>
      </c>
      <c r="G15" t="inlineStr">
        <is>
          <t>Китай</t>
        </is>
      </c>
      <c r="M15" t="n">
        <v>20</v>
      </c>
      <c r="BE15" t="inlineStr">
        <is>
          <t>http://darion-svet.com/shop/product/4690612004204-10-lampa-svetodiodnaya-led-a60-standard-20vt-230v-e27-4000k-1800lm-asd-10-shtuk-v-upakovke</t>
        </is>
      </c>
      <c r="BI15" t="n">
        <v>2</v>
      </c>
      <c r="BJ15" t="n">
        <v>135</v>
      </c>
      <c r="BK15" t="n">
        <v>0</v>
      </c>
      <c r="BL15" t="n">
        <v>7</v>
      </c>
    </row>
    <row r="16">
      <c r="A16" t="n">
        <v>4690612004648</v>
      </c>
      <c r="B16" t="inlineStr">
        <is>
          <t>Лампа светодиодная LED-JC-standard 3Вт 12В G4 4000К 270Лм ASD</t>
        </is>
      </c>
      <c r="C16" t="inlineStr">
        <is>
          <t>Лампа светодиодная LED-JC-standard</t>
        </is>
      </c>
      <c r="E16" t="inlineStr">
        <is>
          <t>http://darion-svet.com/web/binary/image?model=product.product&amp;id=6260&amp;field=image</t>
        </is>
      </c>
      <c r="F16" t="n">
        <v>2</v>
      </c>
      <c r="G16" t="inlineStr">
        <is>
          <t>Китай</t>
        </is>
      </c>
      <c r="H16" t="inlineStr">
        <is>
          <t>ASD</t>
        </is>
      </c>
      <c r="K16" t="inlineStr">
        <is>
          <t>LED</t>
        </is>
      </c>
      <c r="M16" t="n">
        <v>3</v>
      </c>
      <c r="N16" t="inlineStr">
        <is>
          <t>G4</t>
        </is>
      </c>
      <c r="P16" t="n">
        <v>270</v>
      </c>
      <c r="Q16" t="n">
        <v>4000</v>
      </c>
      <c r="U16" t="n">
        <v>0</v>
      </c>
      <c r="W16" t="n">
        <v>45</v>
      </c>
      <c r="AB16" t="n">
        <v>0.01425</v>
      </c>
      <c r="AS16" t="inlineStr">
        <is>
          <t>Картон</t>
        </is>
      </c>
      <c r="AT16" t="inlineStr">
        <is>
          <t>Да</t>
        </is>
      </c>
      <c r="AU16" t="n">
        <v>9.000000000000001e-05</v>
      </c>
      <c r="AV16" t="n">
        <v>0.01785</v>
      </c>
      <c r="AW16" t="n">
        <v>20</v>
      </c>
      <c r="AX16" t="n">
        <v>23</v>
      </c>
      <c r="AY16" t="n">
        <v>23</v>
      </c>
      <c r="AZ16" t="n">
        <v>55</v>
      </c>
      <c r="BA16" t="n">
        <v>0.00182</v>
      </c>
      <c r="BB16" t="n">
        <v>0.357</v>
      </c>
      <c r="BE16" t="inlineStr">
        <is>
          <t>http://darion-svet.com/shop/product/4690612004648-led-jc-standard-3vt-12v-g4-4000k-asd</t>
        </is>
      </c>
      <c r="BI16" t="n">
        <v>2</v>
      </c>
      <c r="BJ16" t="n">
        <v>43</v>
      </c>
      <c r="BK16" t="n">
        <v>0</v>
      </c>
      <c r="BL16" t="n">
        <v>26</v>
      </c>
    </row>
    <row r="17">
      <c r="A17" t="n">
        <v>4690612004655</v>
      </c>
      <c r="B17" t="inlineStr">
        <is>
          <t>Лампа светодиодная LED-JC-standard 5Вт 12В G4 3000К 450Лм ASD</t>
        </is>
      </c>
      <c r="C17" t="inlineStr">
        <is>
          <t>Лампа светодиодная LED-JC-standard</t>
        </is>
      </c>
      <c r="E17" t="inlineStr">
        <is>
          <t>http://darion-svet.com/web/binary/image?model=product.product&amp;id=6261&amp;field=image</t>
        </is>
      </c>
      <c r="F17" t="n">
        <v>2</v>
      </c>
      <c r="G17" t="inlineStr">
        <is>
          <t>Китай</t>
        </is>
      </c>
      <c r="H17" t="inlineStr">
        <is>
          <t>ASD</t>
        </is>
      </c>
      <c r="K17" t="inlineStr">
        <is>
          <t>LED</t>
        </is>
      </c>
      <c r="M17" t="n">
        <v>5</v>
      </c>
      <c r="N17" t="inlineStr">
        <is>
          <t>G4</t>
        </is>
      </c>
      <c r="P17" t="n">
        <v>450</v>
      </c>
      <c r="Q17" t="n">
        <v>3000</v>
      </c>
      <c r="U17" t="n">
        <v>0</v>
      </c>
      <c r="W17" t="n">
        <v>62</v>
      </c>
      <c r="AB17" t="n">
        <v>0.008</v>
      </c>
      <c r="AS17" t="inlineStr">
        <is>
          <t>Картон</t>
        </is>
      </c>
      <c r="AT17" t="inlineStr">
        <is>
          <t>Да</t>
        </is>
      </c>
      <c r="AU17" t="n">
        <v>9.000000000000001e-05</v>
      </c>
      <c r="AV17" t="n">
        <v>0.011</v>
      </c>
      <c r="AW17" t="n">
        <v>20</v>
      </c>
      <c r="AX17" t="n">
        <v>23</v>
      </c>
      <c r="AY17" t="n">
        <v>23</v>
      </c>
      <c r="AZ17" t="n">
        <v>68</v>
      </c>
      <c r="BA17" t="n">
        <v>0.00182</v>
      </c>
      <c r="BB17" t="n">
        <v>0.22</v>
      </c>
      <c r="BE17" t="inlineStr">
        <is>
          <t>http://darion-svet.com/shop/product/4690612004655-led-jc-standard-5vt-12v-g4-3000k-asd</t>
        </is>
      </c>
      <c r="BI17" t="n">
        <v>20</v>
      </c>
      <c r="BJ17" t="n">
        <v>46</v>
      </c>
      <c r="BK17" t="n">
        <v>0</v>
      </c>
      <c r="BL17" t="n">
        <v>26</v>
      </c>
    </row>
    <row r="18">
      <c r="A18" t="n">
        <v>4690612005089</v>
      </c>
      <c r="B18" t="inlineStr">
        <is>
          <t>Лампа светодиодная LED-GX53-standard 6Вт 230В 4000К 540Лм ASD</t>
        </is>
      </c>
      <c r="C18" t="inlineStr">
        <is>
          <t>Лампа светодиодная LED-GX53-standard</t>
        </is>
      </c>
      <c r="E18" t="inlineStr">
        <is>
          <t>http://darion-svet.com/web/binary/image?model=product.product&amp;id=7940&amp;field=image</t>
        </is>
      </c>
      <c r="F18" t="n">
        <v>2</v>
      </c>
      <c r="G18" t="inlineStr">
        <is>
          <t>Китай</t>
        </is>
      </c>
      <c r="H18" t="inlineStr">
        <is>
          <t>ASD</t>
        </is>
      </c>
      <c r="K18" t="inlineStr">
        <is>
          <t>LED</t>
        </is>
      </c>
      <c r="M18" t="n">
        <v>6</v>
      </c>
      <c r="N18" t="inlineStr">
        <is>
          <t>GX53</t>
        </is>
      </c>
      <c r="P18" t="n">
        <v>540</v>
      </c>
      <c r="Q18" t="n">
        <v>4000</v>
      </c>
      <c r="U18" t="n">
        <v>0</v>
      </c>
      <c r="W18" t="n">
        <v>24</v>
      </c>
      <c r="AB18" t="n">
        <v>0.04</v>
      </c>
      <c r="AS18" t="inlineStr">
        <is>
          <t>Картон</t>
        </is>
      </c>
      <c r="AT18" t="inlineStr">
        <is>
          <t>Нет</t>
        </is>
      </c>
      <c r="AU18" t="n">
        <v>0.00018</v>
      </c>
      <c r="AV18" t="n">
        <v>0.037</v>
      </c>
      <c r="AW18" t="n">
        <v>50</v>
      </c>
      <c r="AX18" t="n">
        <v>75</v>
      </c>
      <c r="AY18" t="n">
        <v>25</v>
      </c>
      <c r="AZ18" t="n">
        <v>75</v>
      </c>
      <c r="BA18" t="n">
        <v>0.008999999999999999</v>
      </c>
      <c r="BB18" t="n">
        <v>1.85</v>
      </c>
      <c r="BE18" t="inlineStr">
        <is>
          <t>http://darion-svet.com/shop/product/4690612005089-led-gx53-standard-6vt-160-260v-4000k-480lm-asd</t>
        </is>
      </c>
      <c r="BF18" t="inlineStr">
        <is>
          <t>http://darion-svet.com/web/binary/saveas?model=product.product&amp;field=conformity_cert&amp;filename_field=conformity_cert_filename&amp;id=7940</t>
        </is>
      </c>
      <c r="BG18" t="inlineStr">
        <is>
          <t>http://darion-svet.com/web/binary/saveas?model=product.product&amp;field=datasheet&amp;filename_field=datasheet_filename&amp;id=7940</t>
        </is>
      </c>
      <c r="BI18" t="n">
        <v>1</v>
      </c>
      <c r="BJ18" t="n">
        <v>21</v>
      </c>
      <c r="BK18" t="n">
        <v>0</v>
      </c>
      <c r="BL18" t="n">
        <v>28</v>
      </c>
    </row>
    <row r="19">
      <c r="A19" t="n">
        <v>4690612005096</v>
      </c>
      <c r="B19" t="inlineStr">
        <is>
          <t>Лампа светодиодная LED-GX53-standard 8Вт 230В 3000К 720Лм ASD</t>
        </is>
      </c>
      <c r="C19" t="inlineStr">
        <is>
          <t>Лампа светодиодная LED-GX53-standard</t>
        </is>
      </c>
      <c r="E19" t="inlineStr">
        <is>
          <t>http://darion-svet.com/web/binary/image?model=product.product&amp;id=8332&amp;field=image</t>
        </is>
      </c>
      <c r="F19" t="n">
        <v>2</v>
      </c>
      <c r="G19" t="inlineStr">
        <is>
          <t>Китай</t>
        </is>
      </c>
      <c r="H19" t="inlineStr">
        <is>
          <t>ASD</t>
        </is>
      </c>
      <c r="K19" t="inlineStr">
        <is>
          <t>LED</t>
        </is>
      </c>
      <c r="M19" t="n">
        <v>8</v>
      </c>
      <c r="N19" t="inlineStr">
        <is>
          <t>GX53</t>
        </is>
      </c>
      <c r="P19" t="n">
        <v>720</v>
      </c>
      <c r="Q19" t="n">
        <v>3000</v>
      </c>
      <c r="U19" t="n">
        <v>0</v>
      </c>
      <c r="W19" t="n">
        <v>24</v>
      </c>
      <c r="AB19" t="n">
        <v>0.045</v>
      </c>
      <c r="AS19" t="inlineStr">
        <is>
          <t>Картон</t>
        </is>
      </c>
      <c r="AT19" t="inlineStr">
        <is>
          <t>Нет</t>
        </is>
      </c>
      <c r="AU19" t="n">
        <v>0.00018</v>
      </c>
      <c r="AV19" t="n">
        <v>0.038</v>
      </c>
      <c r="AW19" t="n">
        <v>50</v>
      </c>
      <c r="AX19" t="n">
        <v>75</v>
      </c>
      <c r="AY19" t="n">
        <v>25</v>
      </c>
      <c r="AZ19" t="n">
        <v>75</v>
      </c>
      <c r="BA19" t="n">
        <v>0.008999999999999999</v>
      </c>
      <c r="BB19" t="n">
        <v>1.9</v>
      </c>
      <c r="BE19" t="inlineStr">
        <is>
          <t>http://darion-svet.com/shop/product/4690612005096-led-gx53-standard-8vt-230v-3000k-720lm-asd</t>
        </is>
      </c>
      <c r="BF19" t="inlineStr">
        <is>
          <t>http://darion-svet.com/web/binary/saveas?model=product.product&amp;field=conformity_cert&amp;filename_field=conformity_cert_filename&amp;id=8332</t>
        </is>
      </c>
      <c r="BG19" t="inlineStr">
        <is>
          <t>http://darion-svet.com/web/binary/saveas?model=product.product&amp;field=datasheet&amp;filename_field=datasheet_filename&amp;id=8332</t>
        </is>
      </c>
      <c r="BI19" t="n">
        <v>5</v>
      </c>
      <c r="BJ19" t="n">
        <v>21</v>
      </c>
      <c r="BK19" t="n">
        <v>0</v>
      </c>
      <c r="BL19" t="n">
        <v>28</v>
      </c>
    </row>
    <row r="20">
      <c r="A20" t="n">
        <v>4690612005102</v>
      </c>
      <c r="B20" t="inlineStr">
        <is>
          <t>Лампа светодиодная LED-GX53-standard 8Вт 230В 4000К 720Лм ASD</t>
        </is>
      </c>
      <c r="C20" t="inlineStr">
        <is>
          <t>Лампа светодиодная LED-GX53-standard</t>
        </is>
      </c>
      <c r="E20" t="inlineStr">
        <is>
          <t>http://darion-svet.com/web/binary/image?model=product.product&amp;id=7941&amp;field=image</t>
        </is>
      </c>
      <c r="F20" t="n">
        <v>2</v>
      </c>
      <c r="G20" t="inlineStr">
        <is>
          <t>Китай</t>
        </is>
      </c>
      <c r="H20" t="inlineStr">
        <is>
          <t>ASD</t>
        </is>
      </c>
      <c r="K20" t="inlineStr">
        <is>
          <t>LED</t>
        </is>
      </c>
      <c r="M20" t="n">
        <v>8</v>
      </c>
      <c r="N20" t="inlineStr">
        <is>
          <t>GX53</t>
        </is>
      </c>
      <c r="P20" t="n">
        <v>720</v>
      </c>
      <c r="Q20" t="n">
        <v>4000</v>
      </c>
      <c r="U20" t="n">
        <v>0</v>
      </c>
      <c r="W20" t="n">
        <v>24</v>
      </c>
      <c r="AB20" t="n">
        <v>0.045</v>
      </c>
      <c r="AS20" t="inlineStr">
        <is>
          <t>Картон</t>
        </is>
      </c>
      <c r="AT20" t="inlineStr">
        <is>
          <t>Да</t>
        </is>
      </c>
      <c r="AU20" t="n">
        <v>0.00019</v>
      </c>
      <c r="AV20" t="n">
        <v>0.05</v>
      </c>
      <c r="AW20" t="n">
        <v>10</v>
      </c>
      <c r="AX20" t="n">
        <v>75</v>
      </c>
      <c r="AY20" t="n">
        <v>25</v>
      </c>
      <c r="AZ20" t="n">
        <v>75</v>
      </c>
      <c r="BA20" t="n">
        <v>0.00188</v>
      </c>
      <c r="BB20" t="n">
        <v>0.5</v>
      </c>
      <c r="BE20" t="inlineStr">
        <is>
          <t>http://darion-svet.com/shop/product/4690612005102-led-gx53-standard-8vt-160-260v-4000k-640lm-asd</t>
        </is>
      </c>
      <c r="BI20" t="n">
        <v>1</v>
      </c>
      <c r="BJ20" t="n">
        <v>40</v>
      </c>
      <c r="BK20" t="n">
        <v>0</v>
      </c>
      <c r="BL20" t="n">
        <v>26</v>
      </c>
    </row>
    <row r="21">
      <c r="A21" t="n">
        <v>4690612006789</v>
      </c>
      <c r="B21" t="inlineStr">
        <is>
          <t>Лампа светодиодная LED-СВЕЧА-deco 7Вт 230В Е14 4000К 630Лм матовая IN HOME</t>
        </is>
      </c>
      <c r="C21" t="inlineStr">
        <is>
          <t>Лампа светодиодная LED-СВЕЧА-DECO</t>
        </is>
      </c>
      <c r="E21" t="inlineStr">
        <is>
          <t>http://darion-svet.com/web/binary/image?model=product.product&amp;id=11265&amp;field=image</t>
        </is>
      </c>
      <c r="F21" t="n">
        <v>2</v>
      </c>
      <c r="G21" t="inlineStr">
        <is>
          <t>Китай</t>
        </is>
      </c>
      <c r="H21" t="inlineStr">
        <is>
          <t>IN HOME</t>
        </is>
      </c>
      <c r="K21" t="inlineStr">
        <is>
          <t>LED</t>
        </is>
      </c>
      <c r="M21" t="n">
        <v>7</v>
      </c>
      <c r="N21" t="inlineStr">
        <is>
          <t>E14</t>
        </is>
      </c>
      <c r="P21" t="n">
        <v>630</v>
      </c>
      <c r="Q21" t="n">
        <v>4000</v>
      </c>
      <c r="AB21" t="n">
        <v>0.036</v>
      </c>
      <c r="AS21" t="inlineStr">
        <is>
          <t>Картон</t>
        </is>
      </c>
      <c r="AT21" t="inlineStr">
        <is>
          <t>Да</t>
        </is>
      </c>
      <c r="AU21" t="n">
        <v>0.00026</v>
      </c>
      <c r="AV21" t="n">
        <v>0.025</v>
      </c>
      <c r="AW21" t="n">
        <v>10</v>
      </c>
      <c r="BA21" t="n">
        <v>0.0026</v>
      </c>
      <c r="BB21" t="n">
        <v>0.25</v>
      </c>
      <c r="BE21" t="inlineStr">
        <is>
          <t>http://darion-svet.com/shop/product/4690612006789-led-svecha-deco-7vt-230v-e14-4000k-630lm-matovaya-in-home</t>
        </is>
      </c>
      <c r="BI21" t="n">
        <v>1</v>
      </c>
      <c r="BJ21" t="n">
        <v>40</v>
      </c>
      <c r="BK21" t="n">
        <v>0</v>
      </c>
      <c r="BL21" t="n">
        <v>21</v>
      </c>
    </row>
    <row r="22">
      <c r="A22" t="n">
        <v>4690612007199</v>
      </c>
      <c r="B22" t="inlineStr">
        <is>
          <t>Лампа светодиодная LED-СВЕЧА ВИТАЯ-deco 5Вт 230В Е14 3000К 450Лм золотистая IN HOME</t>
        </is>
      </c>
      <c r="C22" t="inlineStr">
        <is>
          <t>Лампа светодиодная LED-СВЕЧА-DECO</t>
        </is>
      </c>
      <c r="E22" t="inlineStr">
        <is>
          <t>http://darion-svet.com/web/binary/image?model=product.product&amp;id=11268&amp;field=image</t>
        </is>
      </c>
      <c r="F22" t="n">
        <v>2</v>
      </c>
      <c r="G22" t="inlineStr">
        <is>
          <t>Китай</t>
        </is>
      </c>
      <c r="H22" t="inlineStr">
        <is>
          <t>IN HOME</t>
        </is>
      </c>
      <c r="K22" t="inlineStr">
        <is>
          <t>LED</t>
        </is>
      </c>
      <c r="M22" t="n">
        <v>5</v>
      </c>
      <c r="N22" t="inlineStr">
        <is>
          <t>E14</t>
        </is>
      </c>
      <c r="P22" t="n">
        <v>450</v>
      </c>
      <c r="Q22" t="n">
        <v>3000</v>
      </c>
      <c r="AB22" t="n">
        <v>0.029</v>
      </c>
      <c r="AS22" t="inlineStr">
        <is>
          <t>Картон</t>
        </is>
      </c>
      <c r="AT22" t="inlineStr">
        <is>
          <t>Да</t>
        </is>
      </c>
      <c r="AU22" t="n">
        <v>0.00024</v>
      </c>
      <c r="AV22" t="n">
        <v>0.029</v>
      </c>
      <c r="AW22" t="n">
        <v>10</v>
      </c>
      <c r="BA22" t="n">
        <v>0.0024</v>
      </c>
      <c r="BB22" t="n">
        <v>0.29</v>
      </c>
      <c r="BE22" t="inlineStr">
        <is>
          <t>http://darion-svet.com/shop/product/4690612007199-led-svecha-vitaya-deco-5vt-230v-e14-3000k-450lm-zolotistaya-in-home</t>
        </is>
      </c>
      <c r="BI22" t="n">
        <v>48</v>
      </c>
      <c r="BJ22" t="n">
        <v>43</v>
      </c>
      <c r="BK22" t="n">
        <v>0</v>
      </c>
      <c r="BL22" t="n">
        <v>21</v>
      </c>
    </row>
    <row r="23">
      <c r="A23" t="n">
        <v>4690612007243</v>
      </c>
      <c r="B23" t="inlineStr">
        <is>
          <t>Лампа светодиодная LED-СВЕЧА-ECO 5Вт 230В Е14 4000К 375Лм (5шт в упаковке) IN HOME</t>
        </is>
      </c>
      <c r="C23" t="inlineStr">
        <is>
          <t>Лампа светодиодная LED-СВЕЧА-standard</t>
        </is>
      </c>
      <c r="E23" t="inlineStr">
        <is>
          <t>http://darion-svet.com/web/binary/image?model=product.product&amp;id=8376&amp;field=image</t>
        </is>
      </c>
      <c r="U23" t="n">
        <v>0</v>
      </c>
      <c r="AT23" t="inlineStr">
        <is>
          <t>Да</t>
        </is>
      </c>
      <c r="AU23" t="n">
        <v>0.00115</v>
      </c>
      <c r="AV23" t="n">
        <v>0.22</v>
      </c>
      <c r="AW23" t="n">
        <v>20</v>
      </c>
      <c r="BA23" t="n">
        <v>0.023</v>
      </c>
      <c r="BB23" t="n">
        <v>4.4</v>
      </c>
      <c r="BE23" t="inlineStr">
        <is>
          <t>http://darion-svet.com/shop/product/4690612007243-led-svecha-eco-5vt-230v-e14-4000k-375lm-5sht-v-upakovke-in-home</t>
        </is>
      </c>
      <c r="BI23" t="n">
        <v>3</v>
      </c>
      <c r="BJ23" t="n">
        <v>144</v>
      </c>
      <c r="BK23" t="n">
        <v>0</v>
      </c>
      <c r="BL23" t="n">
        <v>12</v>
      </c>
    </row>
    <row r="24">
      <c r="A24" t="n">
        <v>4690612007250</v>
      </c>
      <c r="B24" t="inlineStr">
        <is>
          <t>Лампа светодиодная LED-СВЕЧА-ECO 5Вт 230В Е27 4000К 375Лм (5шт в упаковке) IN HOME</t>
        </is>
      </c>
      <c r="C24" t="inlineStr">
        <is>
          <t>Лампа светодиодная LED-СВЕЧА-standard</t>
        </is>
      </c>
      <c r="E24" t="inlineStr">
        <is>
          <t>http://darion-svet.com/web/binary/image?model=product.product&amp;id=8377&amp;field=image</t>
        </is>
      </c>
      <c r="U24" t="n">
        <v>0</v>
      </c>
      <c r="AT24" t="inlineStr">
        <is>
          <t>Да</t>
        </is>
      </c>
      <c r="AU24" t="n">
        <v>0.00102</v>
      </c>
      <c r="AV24" t="n">
        <v>0.22</v>
      </c>
      <c r="AW24" t="n">
        <v>20</v>
      </c>
      <c r="BA24" t="n">
        <v>0.0203</v>
      </c>
      <c r="BB24" t="n">
        <v>4.4</v>
      </c>
      <c r="BE24" t="inlineStr">
        <is>
          <t>http://darion-svet.com/shop/product/4690612007250-led-svecha-eco-5vt-230v-e27-4000k-375lm-5sht-v-upakovke-in-home</t>
        </is>
      </c>
      <c r="BI24" t="n">
        <v>1</v>
      </c>
      <c r="BJ24" t="n">
        <v>1.5</v>
      </c>
      <c r="BK24" t="n">
        <v>0</v>
      </c>
      <c r="BL24" t="n">
        <v>12</v>
      </c>
    </row>
    <row r="25">
      <c r="A25" t="n">
        <v>4690612007267</v>
      </c>
      <c r="B25" t="inlineStr">
        <is>
          <t>Лампа светодиодная LED-ШАР-ECO 5Вт 230В Е14 4000К 375Лм (5шт в упаковке) IN HOME</t>
        </is>
      </c>
      <c r="C25" t="inlineStr">
        <is>
          <t>Лампа светодиодная LED-ШАР-standard</t>
        </is>
      </c>
      <c r="E25" t="inlineStr">
        <is>
          <t>http://darion-svet.com/web/binary/image?model=product.product&amp;id=8380&amp;field=image</t>
        </is>
      </c>
      <c r="K25" t="inlineStr">
        <is>
          <t>LED</t>
        </is>
      </c>
      <c r="M25" t="n">
        <v>5</v>
      </c>
      <c r="N25" t="inlineStr">
        <is>
          <t>E14</t>
        </is>
      </c>
      <c r="P25" t="n">
        <v>375</v>
      </c>
      <c r="Q25" t="n">
        <v>4000</v>
      </c>
      <c r="U25" t="n">
        <v>0</v>
      </c>
      <c r="AT25" t="inlineStr">
        <is>
          <t>Да</t>
        </is>
      </c>
      <c r="AU25" t="n">
        <v>0.00085</v>
      </c>
      <c r="AV25" t="n">
        <v>0.21</v>
      </c>
      <c r="AW25" t="n">
        <v>20</v>
      </c>
      <c r="BA25" t="n">
        <v>0.017</v>
      </c>
      <c r="BB25" t="n">
        <v>4.2</v>
      </c>
      <c r="BE25" t="inlineStr">
        <is>
          <t>http://darion-svet.com/shop/product/4690612007267-led-shar-eco-5vt-230v-e14-4000k-375lm-5sht-v-upakovke-in-home</t>
        </is>
      </c>
      <c r="BI25" t="n">
        <v>13</v>
      </c>
      <c r="BJ25" t="n">
        <v>1.5</v>
      </c>
      <c r="BK25" t="n">
        <v>0</v>
      </c>
      <c r="BL25" t="n">
        <v>17</v>
      </c>
    </row>
    <row r="26">
      <c r="A26" t="n">
        <v>4690612007274</v>
      </c>
      <c r="B26" t="inlineStr">
        <is>
          <t>Лампа светодиодная LED-ШАР-ECO 5Вт 230В Е27 4000К 375Лм (5шт в упаковке) IN HOME</t>
        </is>
      </c>
      <c r="C26" t="inlineStr">
        <is>
          <t>Лампа светодиодная LED-ШАР-standard</t>
        </is>
      </c>
      <c r="E26" t="inlineStr">
        <is>
          <t>http://darion-svet.com/web/binary/image?model=product.product&amp;id=8381&amp;field=image</t>
        </is>
      </c>
      <c r="U26" t="n">
        <v>0</v>
      </c>
      <c r="AT26" t="inlineStr">
        <is>
          <t>Да</t>
        </is>
      </c>
      <c r="AU26" t="n">
        <v>0.00095</v>
      </c>
      <c r="AV26" t="n">
        <v>0.22</v>
      </c>
      <c r="AW26" t="n">
        <v>20</v>
      </c>
      <c r="BA26" t="n">
        <v>0.019</v>
      </c>
      <c r="BB26" t="n">
        <v>4.4</v>
      </c>
      <c r="BE26" t="inlineStr">
        <is>
          <t>http://darion-svet.com/shop/product/4690612007274-led-shar-eco-5vt-230v-e27-4000k-375lm-5sht-v-upakovke-in-home</t>
        </is>
      </c>
      <c r="BI26" t="n">
        <v>6</v>
      </c>
      <c r="BJ26" t="n">
        <v>1.5</v>
      </c>
      <c r="BK26" t="n">
        <v>0</v>
      </c>
      <c r="BL26" t="n">
        <v>12</v>
      </c>
    </row>
    <row r="27">
      <c r="A27" t="n">
        <v>4690612007298</v>
      </c>
      <c r="B27" t="inlineStr">
        <is>
          <t>Лампа светодиодная LED-JCDR-ECO 7Вт 230В GU5.3 4000К 525Лм (5шт в упаковке) IN HOME</t>
        </is>
      </c>
      <c r="C27" t="inlineStr">
        <is>
          <t>Лампа светодиодная LED-JCDR-standard</t>
        </is>
      </c>
      <c r="E27" t="inlineStr">
        <is>
          <t>http://darion-svet.com/web/binary/image?model=product.product&amp;id=8379&amp;field=image</t>
        </is>
      </c>
      <c r="K27" t="inlineStr">
        <is>
          <t>LED</t>
        </is>
      </c>
      <c r="M27" t="n">
        <v>7</v>
      </c>
      <c r="N27" t="inlineStr">
        <is>
          <t>GU5.3</t>
        </is>
      </c>
      <c r="P27" t="n">
        <v>525</v>
      </c>
      <c r="Q27" t="n">
        <v>4000</v>
      </c>
      <c r="U27" t="n">
        <v>0</v>
      </c>
      <c r="AT27" t="inlineStr">
        <is>
          <t>Да</t>
        </is>
      </c>
      <c r="AU27" t="n">
        <v>0.00075</v>
      </c>
      <c r="AV27" t="n">
        <v>0.19</v>
      </c>
      <c r="AW27" t="n">
        <v>20</v>
      </c>
      <c r="BA27" t="n">
        <v>0.015</v>
      </c>
      <c r="BB27" t="n">
        <v>3.8</v>
      </c>
      <c r="BE27" t="inlineStr">
        <is>
          <t>http://darion-svet.com/shop/product/4690612007298-led-jcdr-eco-7vt-230v-gu53-4000k-525lm-5sht-v-upakovke-in-home</t>
        </is>
      </c>
      <c r="BI27" t="n">
        <v>2</v>
      </c>
      <c r="BJ27" t="n">
        <v>1.5</v>
      </c>
      <c r="BK27" t="n">
        <v>0</v>
      </c>
      <c r="BL27" t="n">
        <v>17</v>
      </c>
    </row>
    <row r="28">
      <c r="A28" t="n">
        <v>4690612007601</v>
      </c>
      <c r="B28" t="inlineStr">
        <is>
          <t>Лампа светодиодная LED-СВЕЧА-deco 7Вт 230В Е14 3000К 810Лм прозрачная IN HOME</t>
        </is>
      </c>
      <c r="C28" t="inlineStr">
        <is>
          <t>Лампа светодиодная LED-СВЕЧА-DECO</t>
        </is>
      </c>
      <c r="D28" t="n">
        <v>4690612007601</v>
      </c>
      <c r="E28" t="inlineStr">
        <is>
          <t>http://darion-svet.com/web/binary/image?model=product.product&amp;id=11260&amp;field=image</t>
        </is>
      </c>
      <c r="F28" t="n">
        <v>2</v>
      </c>
      <c r="G28" t="inlineStr">
        <is>
          <t>Китай</t>
        </is>
      </c>
      <c r="H28" t="inlineStr">
        <is>
          <t>IN HOME</t>
        </is>
      </c>
      <c r="K28" t="inlineStr">
        <is>
          <t>LED</t>
        </is>
      </c>
      <c r="M28" t="n">
        <v>7</v>
      </c>
      <c r="N28" t="inlineStr">
        <is>
          <t>E14</t>
        </is>
      </c>
      <c r="O28" t="inlineStr">
        <is>
          <t>filament</t>
        </is>
      </c>
      <c r="P28" t="n">
        <v>630</v>
      </c>
      <c r="Q28" t="n">
        <v>3000</v>
      </c>
      <c r="R28" t="n">
        <v>80</v>
      </c>
      <c r="T28" t="inlineStr">
        <is>
          <t>Д</t>
        </is>
      </c>
      <c r="U28" t="n">
        <v>30000</v>
      </c>
      <c r="V28" t="n">
        <v>100</v>
      </c>
      <c r="W28" t="n">
        <v>35</v>
      </c>
      <c r="AB28" t="n">
        <v>0.025</v>
      </c>
      <c r="AE28" t="inlineStr">
        <is>
          <t>стекло</t>
        </is>
      </c>
      <c r="AJ28" t="inlineStr">
        <is>
          <t>A1</t>
        </is>
      </c>
      <c r="AK28" t="n">
        <v>0.85</v>
      </c>
      <c r="AL28" t="n">
        <v>5</v>
      </c>
      <c r="AM28" t="n">
        <v>0.06</v>
      </c>
      <c r="AN28" t="n">
        <v>150</v>
      </c>
      <c r="AO28" t="n">
        <v>275</v>
      </c>
      <c r="AP28" t="n">
        <v>-10</v>
      </c>
      <c r="AQ28" t="n">
        <v>40</v>
      </c>
      <c r="AS28" t="inlineStr">
        <is>
          <t>Картон</t>
        </is>
      </c>
      <c r="AT28" t="inlineStr">
        <is>
          <t>Нет</t>
        </is>
      </c>
      <c r="AU28" t="n">
        <v>0.0002</v>
      </c>
      <c r="AV28" t="n">
        <v>0.025</v>
      </c>
      <c r="AW28" t="n">
        <v>50</v>
      </c>
      <c r="AX28" t="n">
        <v>36</v>
      </c>
      <c r="AY28" t="n">
        <v>36</v>
      </c>
      <c r="AZ28" t="n">
        <v>105</v>
      </c>
      <c r="BA28" t="n">
        <v>0.01</v>
      </c>
      <c r="BB28" t="n">
        <v>1.25</v>
      </c>
      <c r="BC28" t="n">
        <v>4690612007601</v>
      </c>
      <c r="BE28" t="inlineStr">
        <is>
          <t>http://darion-svet.com/shop/product/4690612007601-led-svecha-deco-7vt-230v-e14-3000k-630lm-prozrachnaya-in-home</t>
        </is>
      </c>
      <c r="BF28" t="inlineStr">
        <is>
          <t>http://darion-svet.com/web/binary/saveas?model=product.product&amp;field=conformity_cert&amp;filename_field=conformity_cert_filename&amp;id=11260</t>
        </is>
      </c>
      <c r="BG28" t="inlineStr">
        <is>
          <t>http://darion-svet.com/web/binary/saveas?model=product.product&amp;field=datasheet&amp;filename_field=datasheet_filename&amp;id=11260</t>
        </is>
      </c>
      <c r="BI28" t="n">
        <v>57</v>
      </c>
      <c r="BJ28" t="n">
        <v>43</v>
      </c>
      <c r="BK28" t="n">
        <v>0</v>
      </c>
      <c r="BL28" t="n">
        <v>43</v>
      </c>
    </row>
    <row r="29">
      <c r="A29" t="n">
        <v>4690612007618</v>
      </c>
      <c r="B29" t="inlineStr">
        <is>
          <t>Лампа светодиодная LED-СВЕЧА-deco 7Вт 230В Е14 4000К 810Лм прозрачная IN HOME</t>
        </is>
      </c>
      <c r="C29" t="inlineStr">
        <is>
          <t>Лампа светодиодная LED-СВЕЧА-DECO</t>
        </is>
      </c>
      <c r="D29" t="n">
        <v>4690612007618</v>
      </c>
      <c r="E29" t="inlineStr">
        <is>
          <t>http://darion-svet.com/web/binary/image?model=product.product&amp;id=11261&amp;field=image</t>
        </is>
      </c>
      <c r="F29" t="n">
        <v>2</v>
      </c>
      <c r="G29" t="inlineStr">
        <is>
          <t>Китай</t>
        </is>
      </c>
      <c r="H29" t="inlineStr">
        <is>
          <t>IN HOME</t>
        </is>
      </c>
      <c r="K29" t="inlineStr">
        <is>
          <t>LED</t>
        </is>
      </c>
      <c r="M29" t="n">
        <v>7</v>
      </c>
      <c r="N29" t="inlineStr">
        <is>
          <t>E14</t>
        </is>
      </c>
      <c r="O29" t="inlineStr">
        <is>
          <t>filament</t>
        </is>
      </c>
      <c r="P29" t="n">
        <v>630</v>
      </c>
      <c r="Q29" t="n">
        <v>4000</v>
      </c>
      <c r="R29" t="n">
        <v>80</v>
      </c>
      <c r="T29" t="inlineStr">
        <is>
          <t>Д</t>
        </is>
      </c>
      <c r="U29" t="n">
        <v>30000</v>
      </c>
      <c r="V29" t="n">
        <v>100</v>
      </c>
      <c r="W29" t="n">
        <v>35</v>
      </c>
      <c r="AB29" t="n">
        <v>0.025</v>
      </c>
      <c r="AE29" t="inlineStr">
        <is>
          <t>стекло</t>
        </is>
      </c>
      <c r="AJ29" t="inlineStr">
        <is>
          <t>A1</t>
        </is>
      </c>
      <c r="AK29" t="n">
        <v>0.85</v>
      </c>
      <c r="AL29" t="n">
        <v>5</v>
      </c>
      <c r="AM29" t="n">
        <v>0.06</v>
      </c>
      <c r="AN29" t="n">
        <v>150</v>
      </c>
      <c r="AO29" t="n">
        <v>275</v>
      </c>
      <c r="AP29" t="n">
        <v>-10</v>
      </c>
      <c r="AQ29" t="n">
        <v>40</v>
      </c>
      <c r="AS29" t="inlineStr">
        <is>
          <t>Картон</t>
        </is>
      </c>
      <c r="AT29" t="inlineStr">
        <is>
          <t>Нет</t>
        </is>
      </c>
      <c r="AU29" t="n">
        <v>0.0002</v>
      </c>
      <c r="AV29" t="n">
        <v>0.025</v>
      </c>
      <c r="AW29" t="n">
        <v>50</v>
      </c>
      <c r="AX29" t="n">
        <v>36</v>
      </c>
      <c r="AY29" t="n">
        <v>36</v>
      </c>
      <c r="AZ29" t="n">
        <v>105</v>
      </c>
      <c r="BA29" t="n">
        <v>0.01</v>
      </c>
      <c r="BB29" t="n">
        <v>1.25</v>
      </c>
      <c r="BC29" t="n">
        <v>4690612007618</v>
      </c>
      <c r="BE29" t="inlineStr">
        <is>
          <t>http://darion-svet.com/shop/product/4690612007618-led-svecha-deco-7vt-230v-e14-4000k-630lm-prozrachnaya-in-home</t>
        </is>
      </c>
      <c r="BF29" t="inlineStr">
        <is>
          <t>http://darion-svet.com/web/binary/saveas?model=product.product&amp;field=conformity_cert&amp;filename_field=conformity_cert_filename&amp;id=11261</t>
        </is>
      </c>
      <c r="BG29" t="inlineStr">
        <is>
          <t>http://darion-svet.com/web/binary/saveas?model=product.product&amp;field=datasheet&amp;filename_field=datasheet_filename&amp;id=11261</t>
        </is>
      </c>
      <c r="BI29" t="n">
        <v>50</v>
      </c>
      <c r="BJ29" t="n">
        <v>43</v>
      </c>
      <c r="BK29" t="n">
        <v>0</v>
      </c>
      <c r="BL29" t="n">
        <v>43</v>
      </c>
    </row>
    <row r="30">
      <c r="A30" t="n">
        <v>4690612007663</v>
      </c>
      <c r="B30" t="inlineStr">
        <is>
          <t>Лампа светодиодная LED-СВЕЧА НА ВЕТРУ-deco 7Вт 230В Е14 3000К 630Лм прозрачная IN HOME</t>
        </is>
      </c>
      <c r="C30" t="inlineStr">
        <is>
          <t>Лампа светодиодная LED-СВЕЧА НА ВЕТРУ-DECO</t>
        </is>
      </c>
      <c r="D30" t="n">
        <v>4690612007663</v>
      </c>
      <c r="E30" t="inlineStr">
        <is>
          <t>http://darion-svet.com/web/binary/image?model=product.product&amp;id=11271&amp;field=image</t>
        </is>
      </c>
      <c r="F30" t="n">
        <v>2</v>
      </c>
      <c r="G30" t="inlineStr">
        <is>
          <t>Китай</t>
        </is>
      </c>
      <c r="H30" t="inlineStr">
        <is>
          <t>IN HOME</t>
        </is>
      </c>
      <c r="K30" t="inlineStr">
        <is>
          <t>LED</t>
        </is>
      </c>
      <c r="M30" t="n">
        <v>7</v>
      </c>
      <c r="N30" t="inlineStr">
        <is>
          <t>E14</t>
        </is>
      </c>
      <c r="O30" t="inlineStr">
        <is>
          <t>filament</t>
        </is>
      </c>
      <c r="P30" t="n">
        <v>630</v>
      </c>
      <c r="Q30" t="n">
        <v>3000</v>
      </c>
      <c r="R30" t="n">
        <v>80</v>
      </c>
      <c r="T30" t="inlineStr">
        <is>
          <t>Д</t>
        </is>
      </c>
      <c r="U30" t="n">
        <v>30000</v>
      </c>
      <c r="V30" t="n">
        <v>125</v>
      </c>
      <c r="W30" t="n">
        <v>35</v>
      </c>
      <c r="AB30" t="n">
        <v>0.026</v>
      </c>
      <c r="AE30" t="inlineStr">
        <is>
          <t>стекло</t>
        </is>
      </c>
      <c r="AJ30" t="inlineStr">
        <is>
          <t>A1</t>
        </is>
      </c>
      <c r="AK30" t="n">
        <v>0.85</v>
      </c>
      <c r="AL30" t="n">
        <v>5</v>
      </c>
      <c r="AM30" t="n">
        <v>0.06</v>
      </c>
      <c r="AN30" t="n">
        <v>150</v>
      </c>
      <c r="AO30" t="n">
        <v>275</v>
      </c>
      <c r="AP30" t="n">
        <v>-10</v>
      </c>
      <c r="AQ30" t="n">
        <v>40</v>
      </c>
      <c r="AS30" t="inlineStr">
        <is>
          <t>Картон</t>
        </is>
      </c>
      <c r="AT30" t="inlineStr">
        <is>
          <t>Нет</t>
        </is>
      </c>
      <c r="AU30" t="n">
        <v>0.00022</v>
      </c>
      <c r="AV30" t="n">
        <v>0.026</v>
      </c>
      <c r="AW30" t="n">
        <v>50</v>
      </c>
      <c r="AX30" t="n">
        <v>35</v>
      </c>
      <c r="AY30" t="n">
        <v>35</v>
      </c>
      <c r="AZ30" t="n">
        <v>130</v>
      </c>
      <c r="BA30" t="n">
        <v>0.011</v>
      </c>
      <c r="BB30" t="n">
        <v>1.3</v>
      </c>
      <c r="BC30" t="n">
        <v>4690612007663</v>
      </c>
      <c r="BE30" t="inlineStr">
        <is>
          <t>http://darion-svet.com/shop/product/4690612007663-led-svecha-na-vetru-deco-7vt-230v-e14-3000k-630lm-prozrachnaya-in-home</t>
        </is>
      </c>
      <c r="BF30" t="inlineStr">
        <is>
          <t>http://darion-svet.com/web/binary/saveas?model=product.product&amp;field=conformity_cert&amp;filename_field=conformity_cert_filename&amp;id=11271</t>
        </is>
      </c>
      <c r="BG30" t="inlineStr">
        <is>
          <t>http://darion-svet.com/web/binary/saveas?model=product.product&amp;field=datasheet&amp;filename_field=datasheet_filename&amp;id=11271</t>
        </is>
      </c>
      <c r="BI30" t="n">
        <v>24</v>
      </c>
      <c r="BJ30" t="n">
        <v>43</v>
      </c>
      <c r="BK30" t="n">
        <v>0</v>
      </c>
      <c r="BL30" t="n">
        <v>43</v>
      </c>
    </row>
    <row r="31">
      <c r="A31" t="n">
        <v>4690612008059</v>
      </c>
      <c r="B31" t="inlineStr">
        <is>
          <t>Лампа светодиодная LED-A60-deco 7Вт 230В Е27 4000К 630Лм прозрачная IN HOME</t>
        </is>
      </c>
      <c r="C31" t="inlineStr">
        <is>
          <t>Лампа светодиодная LED-A60 DECO</t>
        </is>
      </c>
      <c r="E31" t="inlineStr">
        <is>
          <t>http://darion-svet.com/web/binary/image?model=product.product&amp;id=10023&amp;field=image</t>
        </is>
      </c>
      <c r="F31" t="n">
        <v>2</v>
      </c>
      <c r="G31" t="inlineStr">
        <is>
          <t>Китай</t>
        </is>
      </c>
      <c r="H31" t="inlineStr">
        <is>
          <t>IN HOME</t>
        </is>
      </c>
      <c r="K31" t="inlineStr">
        <is>
          <t>LED</t>
        </is>
      </c>
      <c r="M31" t="n">
        <v>7</v>
      </c>
      <c r="N31" t="inlineStr">
        <is>
          <t>E27</t>
        </is>
      </c>
      <c r="P31" t="n">
        <v>630</v>
      </c>
      <c r="Q31" t="n">
        <v>4000</v>
      </c>
      <c r="AB31" t="n">
        <v>0.08799999999999999</v>
      </c>
      <c r="AS31" t="inlineStr">
        <is>
          <t>Картон</t>
        </is>
      </c>
      <c r="AT31" t="inlineStr">
        <is>
          <t>Да</t>
        </is>
      </c>
      <c r="AU31" t="n">
        <v>0.00072</v>
      </c>
      <c r="AV31" t="n">
        <v>0.08799999999999999</v>
      </c>
      <c r="AW31" t="n">
        <v>10</v>
      </c>
      <c r="BA31" t="n">
        <v>0.0072</v>
      </c>
      <c r="BB31" t="n">
        <v>0.88</v>
      </c>
      <c r="BE31" t="inlineStr">
        <is>
          <t>http://darion-svet.com/shop/product/4690612008059-led-a60-deco-7vt-230v-e27-4000k-630lm-prozrachnaya-in-home</t>
        </is>
      </c>
      <c r="BI31" t="n">
        <v>3</v>
      </c>
      <c r="BJ31" t="n">
        <v>42</v>
      </c>
      <c r="BK31" t="n">
        <v>0</v>
      </c>
      <c r="BL31" t="n">
        <v>21</v>
      </c>
    </row>
    <row r="32">
      <c r="A32" t="n">
        <v>4690612008073</v>
      </c>
      <c r="B32" t="inlineStr">
        <is>
          <t>Лампа светодиодная LED-A60-deco 9Вт 230В Е27 4000К 1040Лм прозрачная IN HOME</t>
        </is>
      </c>
      <c r="C32" t="inlineStr">
        <is>
          <t>Лампа светодиодная LED-A60 DECO</t>
        </is>
      </c>
      <c r="D32" t="n">
        <v>4690612008073</v>
      </c>
      <c r="E32" t="inlineStr">
        <is>
          <t>http://darion-svet.com/web/binary/image?model=product.product&amp;id=10935&amp;field=image</t>
        </is>
      </c>
      <c r="F32" t="n">
        <v>2</v>
      </c>
      <c r="G32" t="inlineStr">
        <is>
          <t>Китай</t>
        </is>
      </c>
      <c r="H32" t="inlineStr">
        <is>
          <t>IN HOME</t>
        </is>
      </c>
      <c r="K32" t="inlineStr">
        <is>
          <t>LED</t>
        </is>
      </c>
      <c r="M32" t="n">
        <v>9</v>
      </c>
      <c r="N32" t="inlineStr">
        <is>
          <t>E27</t>
        </is>
      </c>
      <c r="O32" t="inlineStr">
        <is>
          <t>filament</t>
        </is>
      </c>
      <c r="P32" t="n">
        <v>810</v>
      </c>
      <c r="Q32" t="n">
        <v>4000</v>
      </c>
      <c r="R32" t="n">
        <v>80</v>
      </c>
      <c r="T32" t="inlineStr">
        <is>
          <t>Д</t>
        </is>
      </c>
      <c r="U32" t="n">
        <v>30000</v>
      </c>
      <c r="V32" t="n">
        <v>107</v>
      </c>
      <c r="W32" t="n">
        <v>60</v>
      </c>
      <c r="AB32" t="n">
        <v>0.045</v>
      </c>
      <c r="AE32" t="inlineStr">
        <is>
          <t>стекло</t>
        </is>
      </c>
      <c r="AJ32" t="inlineStr">
        <is>
          <t>A1</t>
        </is>
      </c>
      <c r="AK32" t="n">
        <v>0.85</v>
      </c>
      <c r="AL32" t="n">
        <v>5</v>
      </c>
      <c r="AM32" t="n">
        <v>0.07000000000000001</v>
      </c>
      <c r="AN32" t="n">
        <v>150</v>
      </c>
      <c r="AO32" t="n">
        <v>275</v>
      </c>
      <c r="AP32" t="n">
        <v>-10</v>
      </c>
      <c r="AQ32" t="n">
        <v>40</v>
      </c>
      <c r="AS32" t="inlineStr">
        <is>
          <t>Картон</t>
        </is>
      </c>
      <c r="AT32" t="inlineStr">
        <is>
          <t>Нет</t>
        </is>
      </c>
      <c r="AU32" t="n">
        <v>0.00056</v>
      </c>
      <c r="AV32" t="n">
        <v>0.044</v>
      </c>
      <c r="AW32" t="n">
        <v>50</v>
      </c>
      <c r="AX32" t="n">
        <v>62</v>
      </c>
      <c r="AY32" t="n">
        <v>62</v>
      </c>
      <c r="AZ32" t="n">
        <v>120</v>
      </c>
      <c r="BA32" t="n">
        <v>0.028</v>
      </c>
      <c r="BB32" t="n">
        <v>2.20001</v>
      </c>
      <c r="BC32" t="n">
        <v>4690612008073</v>
      </c>
      <c r="BE32" t="inlineStr">
        <is>
          <t>http://darion-svet.com/shop/product/4690612008073-led-a60-deco-9vt-230v-e27-4000k-810lm-prozrachnaya-in-home</t>
        </is>
      </c>
      <c r="BF32" t="inlineStr">
        <is>
          <t>http://darion-svet.com/web/binary/saveas?model=product.product&amp;field=conformity_cert&amp;filename_field=conformity_cert_filename&amp;id=10935</t>
        </is>
      </c>
      <c r="BG32" t="inlineStr">
        <is>
          <t>http://darion-svet.com/web/binary/saveas?model=product.product&amp;field=datasheet&amp;filename_field=datasheet_filename&amp;id=10935</t>
        </is>
      </c>
      <c r="BI32" t="n">
        <v>6</v>
      </c>
      <c r="BJ32" t="n">
        <v>58</v>
      </c>
      <c r="BK32" t="n">
        <v>0</v>
      </c>
      <c r="BL32" t="n">
        <v>43</v>
      </c>
    </row>
    <row r="33">
      <c r="A33" t="n">
        <v>4690612012278</v>
      </c>
      <c r="B33" t="inlineStr">
        <is>
          <t>Лампа светодиодная LED-JCDR-standard 7.5Вт 230В GU5.3 6500К 675Лм ASD</t>
        </is>
      </c>
      <c r="C33" t="inlineStr">
        <is>
          <t>Лампа светодиодная LED-JCDR-standard</t>
        </is>
      </c>
      <c r="E33" t="inlineStr">
        <is>
          <t>http://darion-svet.com/web/binary/image?model=product.product&amp;id=17321&amp;field=image</t>
        </is>
      </c>
      <c r="F33" t="n">
        <v>1</v>
      </c>
      <c r="G33" t="inlineStr">
        <is>
          <t>Китай</t>
        </is>
      </c>
      <c r="H33" t="inlineStr">
        <is>
          <t>ASD</t>
        </is>
      </c>
      <c r="K33" t="inlineStr">
        <is>
          <t>LED</t>
        </is>
      </c>
      <c r="M33" t="n">
        <v>7</v>
      </c>
      <c r="N33" t="inlineStr">
        <is>
          <t>GU5.3</t>
        </is>
      </c>
      <c r="P33" t="n">
        <v>675</v>
      </c>
      <c r="Q33" t="n">
        <v>6500</v>
      </c>
      <c r="U33" t="n">
        <v>30000</v>
      </c>
      <c r="V33" t="n">
        <v>51</v>
      </c>
      <c r="W33" t="n">
        <v>50</v>
      </c>
      <c r="X33" t="n">
        <v>50</v>
      </c>
      <c r="AB33" t="n">
        <v>0.03</v>
      </c>
      <c r="AJ33" t="inlineStr">
        <is>
          <t>A</t>
        </is>
      </c>
      <c r="AN33" t="n">
        <v>220</v>
      </c>
      <c r="AO33" t="n">
        <v>220</v>
      </c>
      <c r="AS33" t="inlineStr">
        <is>
          <t>Картон</t>
        </is>
      </c>
      <c r="AT33" t="inlineStr">
        <is>
          <t>Нет</t>
        </is>
      </c>
      <c r="AU33" t="n">
        <v>0.00021</v>
      </c>
      <c r="AV33" t="n">
        <v>0.03</v>
      </c>
      <c r="AW33" t="n">
        <v>100</v>
      </c>
      <c r="BA33" t="n">
        <v>0.021</v>
      </c>
      <c r="BB33" t="n">
        <v>3</v>
      </c>
      <c r="BE33" t="inlineStr">
        <is>
          <t>http://darion-svet.com/shop/product/4690612012278-led-jcdr-standard-75vt-230v-gu53-6500k-675lm-asd</t>
        </is>
      </c>
      <c r="BF33" t="inlineStr">
        <is>
          <t>http://darion-svet.com/web/binary/saveas?model=product.product&amp;field=conformity_cert&amp;filename_field=conformity_cert_filename&amp;id=17321</t>
        </is>
      </c>
      <c r="BG33" t="inlineStr">
        <is>
          <t>http://darion-svet.com/web/binary/saveas?model=product.product&amp;field=datasheet&amp;filename_field=datasheet_filename&amp;id=17321</t>
        </is>
      </c>
      <c r="BI33" t="n">
        <v>60</v>
      </c>
      <c r="BJ33" t="n">
        <v>21</v>
      </c>
      <c r="BK33" t="n">
        <v>0</v>
      </c>
      <c r="BL33" t="n">
        <v>30</v>
      </c>
    </row>
    <row r="34">
      <c r="A34" t="n">
        <v>4690612015446</v>
      </c>
      <c r="B34" t="inlineStr">
        <is>
          <t>Лампа светодиодная LED-ШАР-standard 10Вт 230В Е14 3000К 900Лм ASD</t>
        </is>
      </c>
      <c r="C34" t="inlineStr">
        <is>
          <t>Лампа светодиодная LED-ШАР-standard</t>
        </is>
      </c>
      <c r="E34" t="inlineStr">
        <is>
          <t>http://darion-svet.com/web/binary/image?model=product.product&amp;id=11964&amp;field=image</t>
        </is>
      </c>
      <c r="F34" t="n">
        <v>2</v>
      </c>
      <c r="G34" t="inlineStr">
        <is>
          <t>Китай</t>
        </is>
      </c>
      <c r="H34" t="inlineStr">
        <is>
          <t>ASD</t>
        </is>
      </c>
      <c r="K34" t="inlineStr">
        <is>
          <t>LED</t>
        </is>
      </c>
      <c r="M34" t="n">
        <v>10</v>
      </c>
      <c r="N34" t="inlineStr">
        <is>
          <t>E14</t>
        </is>
      </c>
      <c r="P34" t="n">
        <v>900</v>
      </c>
      <c r="Q34" t="n">
        <v>3000</v>
      </c>
      <c r="AS34" t="inlineStr">
        <is>
          <t>Картон</t>
        </is>
      </c>
      <c r="AT34" t="inlineStr">
        <is>
          <t>Нет</t>
        </is>
      </c>
      <c r="AU34" t="n">
        <v>0.00023</v>
      </c>
      <c r="AV34" t="n">
        <v>0.036</v>
      </c>
      <c r="AW34" t="n">
        <v>100</v>
      </c>
      <c r="AX34" t="n">
        <v>46</v>
      </c>
      <c r="AY34" t="n">
        <v>46</v>
      </c>
      <c r="AZ34" t="n">
        <v>85</v>
      </c>
      <c r="BA34" t="n">
        <v>0.023</v>
      </c>
      <c r="BB34" t="n">
        <v>3.6</v>
      </c>
      <c r="BE34" t="inlineStr">
        <is>
          <t>http://darion-svet.com/shop/product/4690612015446-led-shar-standard-10vt-230v-e14-3000k-900lm-asd</t>
        </is>
      </c>
      <c r="BF34" t="inlineStr">
        <is>
          <t>http://darion-svet.com/web/binary/saveas?model=product.product&amp;field=conformity_cert&amp;filename_field=conformity_cert_filename&amp;id=11964</t>
        </is>
      </c>
      <c r="BG34" t="inlineStr">
        <is>
          <t>http://darion-svet.com/web/binary/saveas?model=product.product&amp;field=datasheet&amp;filename_field=datasheet_filename&amp;id=11964</t>
        </is>
      </c>
      <c r="BI34" t="n">
        <v>30</v>
      </c>
      <c r="BJ34" t="n">
        <v>25</v>
      </c>
      <c r="BK34" t="n">
        <v>0</v>
      </c>
      <c r="BL34" t="n">
        <v>25</v>
      </c>
    </row>
    <row r="35">
      <c r="A35" t="n">
        <v>4690612015477</v>
      </c>
      <c r="B35" t="inlineStr">
        <is>
          <t>Лампа светодиодная LED-ШАР-standard 10Вт 230В Е27 3000К 900Лм ASD</t>
        </is>
      </c>
      <c r="C35" t="inlineStr">
        <is>
          <t>Лампа светодиодная LED-ШАР-standard</t>
        </is>
      </c>
      <c r="E35" t="inlineStr">
        <is>
          <t>http://darion-svet.com/web/binary/image?model=product.product&amp;id=11970&amp;field=image</t>
        </is>
      </c>
      <c r="F35" t="n">
        <v>2</v>
      </c>
      <c r="G35" t="inlineStr">
        <is>
          <t>Китай</t>
        </is>
      </c>
      <c r="H35" t="inlineStr">
        <is>
          <t>ASD</t>
        </is>
      </c>
      <c r="K35" t="inlineStr">
        <is>
          <t>LED</t>
        </is>
      </c>
      <c r="M35" t="n">
        <v>10</v>
      </c>
      <c r="N35" t="inlineStr">
        <is>
          <t>E27</t>
        </is>
      </c>
      <c r="P35" t="n">
        <v>900</v>
      </c>
      <c r="Q35" t="n">
        <v>3000</v>
      </c>
      <c r="AU35" t="n">
        <v>0.00024</v>
      </c>
      <c r="AV35" t="n">
        <v>0.0455</v>
      </c>
      <c r="AW35" t="n">
        <v>10</v>
      </c>
      <c r="AX35" t="n">
        <v>46</v>
      </c>
      <c r="AY35" t="n">
        <v>46</v>
      </c>
      <c r="AZ35" t="n">
        <v>85</v>
      </c>
      <c r="BA35" t="n">
        <v>0.00239</v>
      </c>
      <c r="BB35" t="n">
        <v>0.455</v>
      </c>
      <c r="BE35" t="inlineStr">
        <is>
          <t>http://darion-svet.com/shop/product/4690612015477-led-shar-standard-10vt-230v-e27-3000k-900lm-asd</t>
        </is>
      </c>
      <c r="BF35" t="inlineStr">
        <is>
          <t>http://darion-svet.com/web/binary/saveas?model=product.product&amp;field=conformity_cert&amp;filename_field=conformity_cert_filename&amp;id=11970</t>
        </is>
      </c>
      <c r="BG35" t="inlineStr">
        <is>
          <t>http://darion-svet.com/web/binary/saveas?model=product.product&amp;field=datasheet&amp;filename_field=datasheet_filename&amp;id=11970</t>
        </is>
      </c>
      <c r="BI35" t="n">
        <v>9</v>
      </c>
      <c r="BJ35" t="n">
        <v>30</v>
      </c>
      <c r="BK35" t="n">
        <v>0</v>
      </c>
      <c r="BL35" t="n">
        <v>23</v>
      </c>
    </row>
    <row r="36">
      <c r="A36" t="n">
        <v>4690612015484</v>
      </c>
      <c r="B36" t="inlineStr">
        <is>
          <t>Лампа светодиодная LED-ШАР-standard 10Вт 230В Е27 4000К 900Лм ASD</t>
        </is>
      </c>
      <c r="C36" t="inlineStr">
        <is>
          <t>Лампа светодиодная LED-ШАР-standard</t>
        </is>
      </c>
      <c r="E36" t="inlineStr">
        <is>
          <t>http://darion-svet.com/web/binary/image?model=product.product&amp;id=11971&amp;field=image</t>
        </is>
      </c>
      <c r="F36" t="n">
        <v>2</v>
      </c>
      <c r="G36" t="inlineStr">
        <is>
          <t>Китай</t>
        </is>
      </c>
      <c r="H36" t="inlineStr">
        <is>
          <t>ASD</t>
        </is>
      </c>
      <c r="K36" t="inlineStr">
        <is>
          <t>LED</t>
        </is>
      </c>
      <c r="M36" t="n">
        <v>10</v>
      </c>
      <c r="N36" t="inlineStr">
        <is>
          <t>E27</t>
        </is>
      </c>
      <c r="P36" t="n">
        <v>900</v>
      </c>
      <c r="Q36" t="n">
        <v>4000</v>
      </c>
      <c r="AS36" t="inlineStr">
        <is>
          <t>Картон</t>
        </is>
      </c>
      <c r="AT36" t="inlineStr">
        <is>
          <t>Нет</t>
        </is>
      </c>
      <c r="AU36" t="n">
        <v>0.00023</v>
      </c>
      <c r="AV36" t="n">
        <v>0.036</v>
      </c>
      <c r="AW36" t="n">
        <v>100</v>
      </c>
      <c r="AX36" t="n">
        <v>46</v>
      </c>
      <c r="AY36" t="n">
        <v>46</v>
      </c>
      <c r="AZ36" t="n">
        <v>85</v>
      </c>
      <c r="BA36" t="n">
        <v>0.023</v>
      </c>
      <c r="BB36" t="n">
        <v>3.6</v>
      </c>
      <c r="BE36" t="inlineStr">
        <is>
          <t>http://darion-svet.com/shop/product/4690612015484-led-shar-standard-10vt-230v-e27-4000k-900lm-asd</t>
        </is>
      </c>
      <c r="BF36" t="inlineStr">
        <is>
          <t>http://darion-svet.com/web/binary/saveas?model=product.product&amp;field=conformity_cert&amp;filename_field=conformity_cert_filename&amp;id=11971</t>
        </is>
      </c>
      <c r="BG36" t="inlineStr">
        <is>
          <t>http://darion-svet.com/web/binary/saveas?model=product.product&amp;field=datasheet&amp;filename_field=datasheet_filename&amp;id=11971</t>
        </is>
      </c>
      <c r="BI36" t="n">
        <v>1</v>
      </c>
      <c r="BJ36" t="n">
        <v>25</v>
      </c>
      <c r="BK36" t="n">
        <v>0</v>
      </c>
      <c r="BL36" t="n">
        <v>25</v>
      </c>
    </row>
    <row r="37">
      <c r="A37" t="n">
        <v>4690612015507</v>
      </c>
      <c r="B37" t="inlineStr">
        <is>
          <t>Лампа светодиодная LED-СВЕЧА-standard 10Вт 230В Е14 3000К 900Лм ASD</t>
        </is>
      </c>
      <c r="C37" t="inlineStr">
        <is>
          <t>ASD лампы LED</t>
        </is>
      </c>
      <c r="E37" t="inlineStr">
        <is>
          <t>http://darion-svet.com/web/binary/image?model=product.product&amp;id=11825&amp;field=image</t>
        </is>
      </c>
      <c r="F37" t="n">
        <v>2</v>
      </c>
      <c r="G37" t="inlineStr">
        <is>
          <t>Китай</t>
        </is>
      </c>
      <c r="K37" t="inlineStr">
        <is>
          <t>LED</t>
        </is>
      </c>
      <c r="M37" t="n">
        <v>10</v>
      </c>
      <c r="N37" t="inlineStr">
        <is>
          <t>E14</t>
        </is>
      </c>
      <c r="P37" t="n">
        <v>900</v>
      </c>
      <c r="Q37" t="n">
        <v>3000</v>
      </c>
      <c r="AS37" t="inlineStr">
        <is>
          <t>Картон</t>
        </is>
      </c>
      <c r="AT37" t="inlineStr">
        <is>
          <t>Нет</t>
        </is>
      </c>
      <c r="AU37" t="n">
        <v>0.00019</v>
      </c>
      <c r="AV37" t="n">
        <v>0.033</v>
      </c>
      <c r="AW37" t="n">
        <v>100</v>
      </c>
      <c r="BA37" t="n">
        <v>0.019</v>
      </c>
      <c r="BB37" t="n">
        <v>3.3</v>
      </c>
      <c r="BE37" t="inlineStr">
        <is>
          <t>http://darion-svet.com/shop/product/4690612015507-led-svecha-standard-10vt-230v-e14-3000k-900lm-asd</t>
        </is>
      </c>
      <c r="BF37" t="inlineStr">
        <is>
          <t>http://darion-svet.com/web/binary/saveas?model=product.product&amp;field=conformity_cert&amp;filename_field=conformity_cert_filename&amp;id=11825</t>
        </is>
      </c>
      <c r="BG37" t="inlineStr">
        <is>
          <t>http://darion-svet.com/web/binary/saveas?model=product.product&amp;field=datasheet&amp;filename_field=datasheet_filename&amp;id=11825</t>
        </is>
      </c>
      <c r="BI37" t="n">
        <v>6</v>
      </c>
      <c r="BJ37" t="n">
        <v>25</v>
      </c>
      <c r="BK37" t="n">
        <v>0</v>
      </c>
      <c r="BL37" t="n">
        <v>21</v>
      </c>
    </row>
    <row r="38">
      <c r="A38" t="n">
        <v>4690612015576</v>
      </c>
      <c r="B38" t="inlineStr">
        <is>
          <t>Лампа светодиодная LED-СВЕЧА-standard 10Вт 230В Е14 4000К 900Лм ASD</t>
        </is>
      </c>
      <c r="C38" t="inlineStr">
        <is>
          <t>Лампа светодиодная LED-СВЕЧА-standard</t>
        </is>
      </c>
      <c r="E38" t="inlineStr">
        <is>
          <t>http://darion-svet.com/web/binary/image?model=product.product&amp;id=11791&amp;field=image</t>
        </is>
      </c>
      <c r="F38" t="n">
        <v>2</v>
      </c>
      <c r="G38" t="inlineStr">
        <is>
          <t>Китай</t>
        </is>
      </c>
      <c r="H38" t="inlineStr">
        <is>
          <t>ASD</t>
        </is>
      </c>
      <c r="K38" t="inlineStr">
        <is>
          <t>LED</t>
        </is>
      </c>
      <c r="M38" t="n">
        <v>10</v>
      </c>
      <c r="N38" t="inlineStr">
        <is>
          <t>E14</t>
        </is>
      </c>
      <c r="P38" t="n">
        <v>900</v>
      </c>
      <c r="Q38" t="n">
        <v>4000</v>
      </c>
      <c r="AS38" t="inlineStr">
        <is>
          <t>Картон</t>
        </is>
      </c>
      <c r="AT38" t="inlineStr">
        <is>
          <t>Нет</t>
        </is>
      </c>
      <c r="AU38" t="n">
        <v>0.00019</v>
      </c>
      <c r="AV38" t="n">
        <v>0.033</v>
      </c>
      <c r="AW38" t="n">
        <v>100</v>
      </c>
      <c r="BA38" t="n">
        <v>0.019</v>
      </c>
      <c r="BB38" t="n">
        <v>3.3</v>
      </c>
      <c r="BE38" t="inlineStr">
        <is>
          <t>http://darion-svet.com/shop/product/4690612015576-led-svecha-standard-10vt-230v-e14-4000k-900lm-asd</t>
        </is>
      </c>
      <c r="BF38" t="inlineStr">
        <is>
          <t>http://darion-svet.com/web/binary/saveas?model=product.product&amp;field=conformity_cert&amp;filename_field=conformity_cert_filename&amp;id=11791</t>
        </is>
      </c>
      <c r="BG38" t="inlineStr">
        <is>
          <t>http://darion-svet.com/web/binary/saveas?model=product.product&amp;field=datasheet&amp;filename_field=datasheet_filename&amp;id=11791</t>
        </is>
      </c>
      <c r="BI38" t="n">
        <v>3</v>
      </c>
      <c r="BJ38" t="n">
        <v>25</v>
      </c>
      <c r="BK38" t="n">
        <v>0</v>
      </c>
      <c r="BL38" t="n">
        <v>22</v>
      </c>
    </row>
    <row r="39">
      <c r="A39" t="n">
        <v>4690612015828</v>
      </c>
      <c r="B39" t="inlineStr">
        <is>
          <t>Лампа светодиодная LED-JCDR-standard 10Вт 230В GU5.3 4000К 900Лм ASD</t>
        </is>
      </c>
      <c r="C39" t="inlineStr">
        <is>
          <t>Лампа светодиодная LED-JCDR-standard</t>
        </is>
      </c>
      <c r="E39" t="inlineStr">
        <is>
          <t>http://darion-svet.com/web/binary/image?model=product.product&amp;id=11959&amp;field=image</t>
        </is>
      </c>
      <c r="F39" t="n">
        <v>2</v>
      </c>
      <c r="G39" t="inlineStr">
        <is>
          <t>Китай</t>
        </is>
      </c>
      <c r="H39" t="inlineStr">
        <is>
          <t>ASD</t>
        </is>
      </c>
      <c r="K39" t="inlineStr">
        <is>
          <t>LED</t>
        </is>
      </c>
      <c r="M39" t="n">
        <v>10</v>
      </c>
      <c r="N39" t="inlineStr">
        <is>
          <t>GU5.3</t>
        </is>
      </c>
      <c r="P39" t="n">
        <v>900</v>
      </c>
      <c r="Q39" t="n">
        <v>4000</v>
      </c>
      <c r="R39" t="n">
        <v>80</v>
      </c>
      <c r="U39" t="inlineStr">
        <is>
          <t>30 000 часов</t>
        </is>
      </c>
      <c r="AJ39" t="inlineStr">
        <is>
          <t>A</t>
        </is>
      </c>
      <c r="AK39" t="n">
        <v>0.85</v>
      </c>
      <c r="AL39" t="n">
        <v>5</v>
      </c>
      <c r="AN39" t="n">
        <v>170</v>
      </c>
      <c r="AO39" t="n">
        <v>265</v>
      </c>
      <c r="AS39" t="inlineStr">
        <is>
          <t>Картон</t>
        </is>
      </c>
      <c r="AT39" t="inlineStr">
        <is>
          <t>Нет</t>
        </is>
      </c>
      <c r="AU39" t="n">
        <v>0.00021</v>
      </c>
      <c r="AV39" t="n">
        <v>0.037</v>
      </c>
      <c r="AW39" t="n">
        <v>100</v>
      </c>
      <c r="AX39" t="n">
        <v>52</v>
      </c>
      <c r="AY39" t="n">
        <v>52</v>
      </c>
      <c r="AZ39" t="n">
        <v>50</v>
      </c>
      <c r="BA39" t="n">
        <v>0.021</v>
      </c>
      <c r="BB39" t="n">
        <v>3.7</v>
      </c>
      <c r="BE39" t="inlineStr">
        <is>
          <t>http://darion-svet.com/shop/product/4690612015828-led-jcdr-standard-10vt-230v-gu53-4000k-900lm-asd</t>
        </is>
      </c>
      <c r="BF39" t="inlineStr">
        <is>
          <t>http://darion-svet.com/web/binary/saveas?model=product.product&amp;field=conformity_cert&amp;filename_field=conformity_cert_filename&amp;id=11959</t>
        </is>
      </c>
      <c r="BG39" t="inlineStr">
        <is>
          <t>http://darion-svet.com/web/binary/saveas?model=product.product&amp;field=datasheet&amp;filename_field=datasheet_filename&amp;id=11959</t>
        </is>
      </c>
      <c r="BI39" t="n">
        <v>5</v>
      </c>
      <c r="BJ39" t="n">
        <v>26</v>
      </c>
      <c r="BK39" t="n">
        <v>0</v>
      </c>
      <c r="BL39" t="n">
        <v>32</v>
      </c>
    </row>
    <row r="40">
      <c r="A40" t="n">
        <v>4690612016320</v>
      </c>
      <c r="B40" t="inlineStr">
        <is>
          <t>Лампа светодиодная LED-ШАР-deco 7Вт 230В Е27 3000К 810Лм прозрачная IN HOME</t>
        </is>
      </c>
      <c r="C40" t="inlineStr">
        <is>
          <t>Лампа светодиодная LED-ШАР-DECO</t>
        </is>
      </c>
      <c r="D40" t="n">
        <v>4690612016320</v>
      </c>
      <c r="E40" t="inlineStr">
        <is>
          <t>http://darion-svet.com/web/binary/image?model=product.product&amp;id=14049&amp;field=image</t>
        </is>
      </c>
      <c r="F40" t="n">
        <v>2</v>
      </c>
      <c r="G40" t="inlineStr">
        <is>
          <t>Китай</t>
        </is>
      </c>
      <c r="H40" t="inlineStr">
        <is>
          <t>IN HOME</t>
        </is>
      </c>
      <c r="K40" t="inlineStr">
        <is>
          <t>LED</t>
        </is>
      </c>
      <c r="M40" t="n">
        <v>7</v>
      </c>
      <c r="N40" t="inlineStr">
        <is>
          <t>E27</t>
        </is>
      </c>
      <c r="O40" t="inlineStr">
        <is>
          <t>filament</t>
        </is>
      </c>
      <c r="P40" t="n">
        <v>630</v>
      </c>
      <c r="Q40" t="n">
        <v>3000</v>
      </c>
      <c r="R40" t="n">
        <v>80</v>
      </c>
      <c r="T40" t="inlineStr">
        <is>
          <t>Д</t>
        </is>
      </c>
      <c r="U40" t="n">
        <v>30000</v>
      </c>
      <c r="V40" t="n">
        <v>78</v>
      </c>
      <c r="W40" t="n">
        <v>45</v>
      </c>
      <c r="AB40" t="n">
        <v>0.0428</v>
      </c>
      <c r="AE40" t="inlineStr">
        <is>
          <t>стекло</t>
        </is>
      </c>
      <c r="AJ40" t="inlineStr">
        <is>
          <t>A1</t>
        </is>
      </c>
      <c r="AK40" t="n">
        <v>0.85</v>
      </c>
      <c r="AL40" t="n">
        <v>5</v>
      </c>
      <c r="AM40" t="n">
        <v>0.06</v>
      </c>
      <c r="AN40" t="n">
        <v>150</v>
      </c>
      <c r="AO40" t="n">
        <v>275</v>
      </c>
      <c r="AP40" t="n">
        <v>-10</v>
      </c>
      <c r="AQ40" t="n">
        <v>40</v>
      </c>
      <c r="AS40" t="inlineStr">
        <is>
          <t>Картон</t>
        </is>
      </c>
      <c r="AT40" t="inlineStr">
        <is>
          <t>Нет</t>
        </is>
      </c>
      <c r="AU40" t="n">
        <v>0.00024</v>
      </c>
      <c r="AV40" t="n">
        <v>0.043</v>
      </c>
      <c r="AW40" t="n">
        <v>50</v>
      </c>
      <c r="AX40" t="n">
        <v>46</v>
      </c>
      <c r="AY40" t="n">
        <v>46</v>
      </c>
      <c r="AZ40" t="n">
        <v>85</v>
      </c>
      <c r="BA40" t="n">
        <v>0.012</v>
      </c>
      <c r="BB40" t="n">
        <v>2.15</v>
      </c>
      <c r="BC40" t="n">
        <v>4690612016320</v>
      </c>
      <c r="BE40" t="inlineStr">
        <is>
          <t>http://darion-svet.com/shop/product/4690612016320-led-shar-deco-7vt-230v-e27-3000k-630lm-prozrachnaya-in-home</t>
        </is>
      </c>
      <c r="BF40" t="inlineStr">
        <is>
          <t>http://darion-svet.com/web/binary/saveas?model=product.product&amp;field=conformity_cert&amp;filename_field=conformity_cert_filename&amp;id=14049</t>
        </is>
      </c>
      <c r="BG40" t="inlineStr">
        <is>
          <t>http://darion-svet.com/web/binary/saveas?model=product.product&amp;field=datasheet&amp;filename_field=datasheet_filename&amp;id=14049</t>
        </is>
      </c>
      <c r="BI40" t="n">
        <v>43</v>
      </c>
      <c r="BJ40" t="n">
        <v>51</v>
      </c>
      <c r="BK40" t="n">
        <v>0</v>
      </c>
      <c r="BL40" t="n">
        <v>43</v>
      </c>
    </row>
    <row r="41">
      <c r="A41" t="n">
        <v>4690612016337</v>
      </c>
      <c r="B41" t="inlineStr">
        <is>
          <t>Лампа светодиодная LED-ШАР-deco 7Вт 230В Е27 4000К 810Лм прозрачная IN HOME</t>
        </is>
      </c>
      <c r="C41" t="inlineStr">
        <is>
          <t>Лампа светодиодная LED-ШАР-DECO</t>
        </is>
      </c>
      <c r="D41" t="n">
        <v>4690612016337</v>
      </c>
      <c r="E41" t="inlineStr">
        <is>
          <t>http://darion-svet.com/web/binary/image?model=product.product&amp;id=14050&amp;field=image</t>
        </is>
      </c>
      <c r="F41" t="n">
        <v>2</v>
      </c>
      <c r="G41" t="inlineStr">
        <is>
          <t>Китай</t>
        </is>
      </c>
      <c r="H41" t="inlineStr">
        <is>
          <t>IN HOME</t>
        </is>
      </c>
      <c r="K41" t="inlineStr">
        <is>
          <t>LED</t>
        </is>
      </c>
      <c r="M41" t="n">
        <v>7</v>
      </c>
      <c r="N41" t="inlineStr">
        <is>
          <t>E27</t>
        </is>
      </c>
      <c r="O41" t="inlineStr">
        <is>
          <t>filament</t>
        </is>
      </c>
      <c r="P41" t="n">
        <v>630</v>
      </c>
      <c r="Q41" t="n">
        <v>4000</v>
      </c>
      <c r="R41" t="n">
        <v>80</v>
      </c>
      <c r="T41" t="inlineStr">
        <is>
          <t>Д</t>
        </is>
      </c>
      <c r="U41" t="n">
        <v>30000</v>
      </c>
      <c r="V41" t="n">
        <v>78</v>
      </c>
      <c r="W41" t="n">
        <v>45</v>
      </c>
      <c r="AB41" t="n">
        <v>0.0428</v>
      </c>
      <c r="AE41" t="inlineStr">
        <is>
          <t>стекло</t>
        </is>
      </c>
      <c r="AJ41" t="inlineStr">
        <is>
          <t>A1</t>
        </is>
      </c>
      <c r="AK41" t="n">
        <v>0.85</v>
      </c>
      <c r="AL41" t="n">
        <v>5</v>
      </c>
      <c r="AM41" t="n">
        <v>0.06</v>
      </c>
      <c r="AN41" t="n">
        <v>150</v>
      </c>
      <c r="AO41" t="n">
        <v>275</v>
      </c>
      <c r="AP41" t="n">
        <v>-10</v>
      </c>
      <c r="AQ41" t="n">
        <v>40</v>
      </c>
      <c r="AS41" t="inlineStr">
        <is>
          <t>Картон</t>
        </is>
      </c>
      <c r="AT41" t="inlineStr">
        <is>
          <t>Нет</t>
        </is>
      </c>
      <c r="AU41" t="n">
        <v>0.00024</v>
      </c>
      <c r="AV41" t="n">
        <v>0.043</v>
      </c>
      <c r="AW41" t="n">
        <v>50</v>
      </c>
      <c r="AX41" t="n">
        <v>46</v>
      </c>
      <c r="AY41" t="n">
        <v>46</v>
      </c>
      <c r="AZ41" t="n">
        <v>85</v>
      </c>
      <c r="BA41" t="n">
        <v>0.012</v>
      </c>
      <c r="BB41" t="n">
        <v>2.15</v>
      </c>
      <c r="BC41" t="n">
        <v>4690612016337</v>
      </c>
      <c r="BE41" t="inlineStr">
        <is>
          <t>http://darion-svet.com/shop/product/4690612016337-led-shar-deco-7vt-230v-e27-4000k-630lm-prozrachnaya-in-home</t>
        </is>
      </c>
      <c r="BF41" t="inlineStr">
        <is>
          <t>http://darion-svet.com/web/binary/saveas?model=product.product&amp;field=conformity_cert&amp;filename_field=conformity_cert_filename&amp;id=14050</t>
        </is>
      </c>
      <c r="BG41" t="inlineStr">
        <is>
          <t>http://darion-svet.com/web/binary/saveas?model=product.product&amp;field=datasheet&amp;filename_field=datasheet_filename&amp;id=14050</t>
        </is>
      </c>
      <c r="BI41" t="n">
        <v>53</v>
      </c>
      <c r="BJ41" t="n">
        <v>51</v>
      </c>
      <c r="BK41" t="n">
        <v>0</v>
      </c>
      <c r="BL41" t="n">
        <v>43</v>
      </c>
    </row>
    <row r="42">
      <c r="A42" t="n">
        <v>4690612016399</v>
      </c>
      <c r="B42" t="inlineStr">
        <is>
          <t>Лампа светодиодная LED-СВЕЧА-deco 7Вт 230В Е27 4000К 630Лм прозрачная IN HOME</t>
        </is>
      </c>
      <c r="C42" t="inlineStr">
        <is>
          <t>Лампа светодиодная LED-СВЕЧА-DECO</t>
        </is>
      </c>
      <c r="E42" t="inlineStr">
        <is>
          <t>http://darion-svet.com/web/binary/image?model=product.product&amp;id=11425&amp;field=image</t>
        </is>
      </c>
      <c r="F42" t="n">
        <v>2</v>
      </c>
      <c r="G42" t="inlineStr">
        <is>
          <t>Китай</t>
        </is>
      </c>
      <c r="K42" t="inlineStr">
        <is>
          <t>LED</t>
        </is>
      </c>
      <c r="M42" t="n">
        <v>7</v>
      </c>
      <c r="N42" t="inlineStr">
        <is>
          <t>E27</t>
        </is>
      </c>
      <c r="P42" t="n">
        <v>630</v>
      </c>
      <c r="Q42" t="n">
        <v>4000</v>
      </c>
      <c r="AU42" t="n">
        <v>0.00026</v>
      </c>
      <c r="AV42" t="n">
        <v>0.025</v>
      </c>
      <c r="AW42" t="n">
        <v>50</v>
      </c>
      <c r="BA42" t="n">
        <v>0.013</v>
      </c>
      <c r="BB42" t="n">
        <v>1.25</v>
      </c>
      <c r="BE42" t="inlineStr">
        <is>
          <t>http://darion-svet.com/shop/product/4690612016399-led-svecha-deco-7vt-230v-e27-4000k-630lm-prozrachnaya-in-home</t>
        </is>
      </c>
      <c r="BF42" t="inlineStr">
        <is>
          <t>http://darion-svet.com/web/binary/saveas?model=product.product&amp;field=conformity_cert&amp;filename_field=conformity_cert_filename&amp;id=11425</t>
        </is>
      </c>
      <c r="BG42" t="inlineStr">
        <is>
          <t>http://darion-svet.com/web/binary/saveas?model=product.product&amp;field=datasheet&amp;filename_field=datasheet_filename&amp;id=11425</t>
        </is>
      </c>
      <c r="BI42" t="n">
        <v>2</v>
      </c>
      <c r="BJ42" t="n">
        <v>40</v>
      </c>
      <c r="BK42" t="n">
        <v>0</v>
      </c>
      <c r="BL42" t="n">
        <v>19</v>
      </c>
    </row>
    <row r="43">
      <c r="A43" t="n">
        <v>4690612018737</v>
      </c>
      <c r="B43" t="inlineStr">
        <is>
          <t>Лампа сд LED-GX53-std 16Вт 230В 4000К 1440Лм ASD</t>
        </is>
      </c>
      <c r="C43" t="inlineStr">
        <is>
          <t>Лампа светодиодная LED-GX53-standard</t>
        </is>
      </c>
      <c r="E43" t="inlineStr">
        <is>
          <t>http://darion-svet.com/web/binary/image?model=product.product&amp;id=15059&amp;field=image</t>
        </is>
      </c>
      <c r="F43" t="n">
        <v>2</v>
      </c>
      <c r="G43" t="inlineStr">
        <is>
          <t>Китай</t>
        </is>
      </c>
      <c r="H43" t="inlineStr">
        <is>
          <t>ASD</t>
        </is>
      </c>
      <c r="K43" t="inlineStr">
        <is>
          <t>LED</t>
        </is>
      </c>
      <c r="M43" t="n">
        <v>230</v>
      </c>
      <c r="N43" t="inlineStr">
        <is>
          <t>GX53</t>
        </is>
      </c>
      <c r="P43" t="n">
        <v>1440</v>
      </c>
      <c r="Q43" t="n">
        <v>4000</v>
      </c>
      <c r="AJ43" t="inlineStr">
        <is>
          <t>A1</t>
        </is>
      </c>
      <c r="AN43" t="n">
        <v>200</v>
      </c>
      <c r="AO43" t="n">
        <v>240</v>
      </c>
      <c r="BE43" t="inlineStr">
        <is>
          <t>http://darion-svet.com/shop/product/4690612018737-lampa-sd-led-gx53-std-16vt-230v-4000k-1440lm-asd</t>
        </is>
      </c>
      <c r="BF43" t="inlineStr">
        <is>
          <t>http://darion-svet.com/web/binary/saveas?model=product.product&amp;field=conformity_cert&amp;filename_field=conformity_cert_filename&amp;id=15059</t>
        </is>
      </c>
      <c r="BG43" t="inlineStr">
        <is>
          <t>http://darion-svet.com/web/binary/saveas?model=product.product&amp;field=datasheet&amp;filename_field=datasheet_filename&amp;id=15059</t>
        </is>
      </c>
      <c r="BI43" t="n">
        <v>5</v>
      </c>
      <c r="BJ43" t="n">
        <v>78</v>
      </c>
      <c r="BK43" t="n">
        <v>0</v>
      </c>
      <c r="BL43" t="n">
        <v>18</v>
      </c>
    </row>
    <row r="44">
      <c r="A44" t="n">
        <v>4690612019161</v>
      </c>
      <c r="B44" t="inlineStr">
        <is>
          <t>Лампа светодиодная LED-JCDRC-standard 5.5Вт 230В GU10 6500К 495Лм ASD</t>
        </is>
      </c>
      <c r="C44" t="inlineStr">
        <is>
          <t>ASD лампы LED</t>
        </is>
      </c>
      <c r="E44" t="inlineStr">
        <is>
          <t>http://darion-svet.com/web/binary/image?model=product.product&amp;id=12721&amp;field=image</t>
        </is>
      </c>
      <c r="F44" t="n">
        <v>2</v>
      </c>
      <c r="G44" t="inlineStr">
        <is>
          <t>Китай</t>
        </is>
      </c>
      <c r="K44" t="inlineStr">
        <is>
          <t>LED</t>
        </is>
      </c>
      <c r="M44" t="n">
        <v>6</v>
      </c>
      <c r="N44" t="inlineStr">
        <is>
          <t>GU10</t>
        </is>
      </c>
      <c r="P44" t="n">
        <v>495</v>
      </c>
      <c r="Q44" t="n">
        <v>6500</v>
      </c>
      <c r="AS44" t="inlineStr">
        <is>
          <t>Картон</t>
        </is>
      </c>
      <c r="AT44" t="inlineStr">
        <is>
          <t>Нет</t>
        </is>
      </c>
      <c r="AU44" t="n">
        <v>0.00022</v>
      </c>
      <c r="AV44" t="n">
        <v>0.032</v>
      </c>
      <c r="AW44" t="n">
        <v>100</v>
      </c>
      <c r="BA44" t="n">
        <v>0.022</v>
      </c>
      <c r="BB44" t="n">
        <v>3.2</v>
      </c>
      <c r="BE44" t="inlineStr">
        <is>
          <t>http://darion-svet.com/shop/product/4690612019161-led-jcdrc-standard-55vt-230v-gu10-6500k-495lm-asd</t>
        </is>
      </c>
      <c r="BF44" t="inlineStr">
        <is>
          <t>http://darion-svet.com/web/binary/saveas?model=product.product&amp;field=conformity_cert&amp;filename_field=conformity_cert_filename&amp;id=12721</t>
        </is>
      </c>
      <c r="BG44" t="inlineStr">
        <is>
          <t>http://darion-svet.com/web/binary/saveas?model=product.product&amp;field=datasheet&amp;filename_field=datasheet_filename&amp;id=12721</t>
        </is>
      </c>
      <c r="BI44" t="n">
        <v>30</v>
      </c>
      <c r="BJ44" t="n">
        <v>20</v>
      </c>
      <c r="BK44" t="n">
        <v>0</v>
      </c>
      <c r="BL44" t="n">
        <v>21</v>
      </c>
    </row>
    <row r="45">
      <c r="A45" t="n">
        <v>4690612019765</v>
      </c>
      <c r="B45" t="inlineStr">
        <is>
          <t>Лампа светодиодная LED-JC-VC 1.5Вт 12В G4 6500К 135Лм IN HOME</t>
        </is>
      </c>
      <c r="C45" t="inlineStr">
        <is>
          <t>Лампа светодиодная LED-JC-standard</t>
        </is>
      </c>
      <c r="E45" t="inlineStr">
        <is>
          <t>http://darion-svet.com/web/binary/image?model=product.product&amp;id=14082&amp;field=image</t>
        </is>
      </c>
      <c r="F45" t="n">
        <v>2</v>
      </c>
      <c r="G45" t="inlineStr">
        <is>
          <t>Китай</t>
        </is>
      </c>
      <c r="H45" t="inlineStr">
        <is>
          <t>IN HOME</t>
        </is>
      </c>
      <c r="K45" t="inlineStr">
        <is>
          <t>LED</t>
        </is>
      </c>
      <c r="M45" t="n">
        <v>2</v>
      </c>
      <c r="N45" t="inlineStr">
        <is>
          <t>G4</t>
        </is>
      </c>
      <c r="AU45" t="n">
        <v>3e-05</v>
      </c>
      <c r="AV45" t="n">
        <v>0.004</v>
      </c>
      <c r="AW45" t="n">
        <v>20</v>
      </c>
      <c r="BA45" t="n">
        <v>0.0005</v>
      </c>
      <c r="BB45" t="n">
        <v>0.08</v>
      </c>
      <c r="BE45" t="inlineStr">
        <is>
          <t>http://darion-svet.com/shop/product/4690612019765-led-jc-vc-15vt-12v-g4-6500k-135lm-in-home</t>
        </is>
      </c>
      <c r="BF45" t="inlineStr">
        <is>
          <t>http://darion-svet.com/web/binary/saveas?model=product.product&amp;field=conformity_cert&amp;filename_field=conformity_cert_filename&amp;id=14082</t>
        </is>
      </c>
      <c r="BG45" t="inlineStr">
        <is>
          <t>http://darion-svet.com/web/binary/saveas?model=product.product&amp;field=datasheet&amp;filename_field=datasheet_filename&amp;id=14082</t>
        </is>
      </c>
      <c r="BI45" t="n">
        <v>1</v>
      </c>
      <c r="BJ45" t="n">
        <v>28</v>
      </c>
      <c r="BK45" t="n">
        <v>0</v>
      </c>
      <c r="BL45" t="n">
        <v>18</v>
      </c>
    </row>
    <row r="46">
      <c r="A46" t="n">
        <v>4690612019857</v>
      </c>
      <c r="B46" t="inlineStr">
        <is>
          <t>Лампа светодиодная LED-JCD-VC 3Вт 230В G9 3000К 270Лм IN HOME</t>
        </is>
      </c>
      <c r="C46" t="inlineStr">
        <is>
          <t>Лампа светодиодная LED-JCD-standard</t>
        </is>
      </c>
      <c r="E46" t="inlineStr">
        <is>
          <t>http://darion-svet.com/web/binary/image?model=product.product&amp;id=14089&amp;field=image</t>
        </is>
      </c>
      <c r="F46" t="n">
        <v>2</v>
      </c>
      <c r="G46" t="inlineStr">
        <is>
          <t>Китай</t>
        </is>
      </c>
      <c r="H46" t="inlineStr">
        <is>
          <t>IN HOME</t>
        </is>
      </c>
      <c r="K46" t="inlineStr">
        <is>
          <t>LED</t>
        </is>
      </c>
      <c r="M46" t="n">
        <v>3</v>
      </c>
      <c r="N46" t="inlineStr">
        <is>
          <t>G9</t>
        </is>
      </c>
      <c r="P46" t="n">
        <v>260</v>
      </c>
      <c r="Q46" t="n">
        <v>3000</v>
      </c>
      <c r="R46" t="n">
        <v>80</v>
      </c>
      <c r="U46" t="n">
        <v>30000</v>
      </c>
      <c r="V46" t="n">
        <v>48</v>
      </c>
      <c r="W46" t="n">
        <v>16</v>
      </c>
      <c r="X46" t="n">
        <v>48</v>
      </c>
      <c r="AB46" t="n">
        <v>0.015</v>
      </c>
      <c r="AJ46" t="inlineStr">
        <is>
          <t>A1</t>
        </is>
      </c>
      <c r="AK46" t="n">
        <v>0.85</v>
      </c>
      <c r="AL46" t="n">
        <v>5</v>
      </c>
      <c r="AN46" t="n">
        <v>170</v>
      </c>
      <c r="AO46" t="n">
        <v>265</v>
      </c>
      <c r="AS46" t="inlineStr">
        <is>
          <t>Картон</t>
        </is>
      </c>
      <c r="AT46" t="inlineStr">
        <is>
          <t>Нет</t>
        </is>
      </c>
      <c r="AU46" t="n">
        <v>4e-05</v>
      </c>
      <c r="AV46" t="n">
        <v>0.015</v>
      </c>
      <c r="AW46" t="n">
        <v>200</v>
      </c>
      <c r="BA46" t="n">
        <v>0.007</v>
      </c>
      <c r="BB46" t="n">
        <v>3</v>
      </c>
      <c r="BE46" t="inlineStr">
        <is>
          <t>http://darion-svet.com/shop/product/4690612019857-led-jcd-vc-3vt-230v-g9-3000k-270lm-in-home</t>
        </is>
      </c>
      <c r="BF46" t="inlineStr">
        <is>
          <t>http://darion-svet.com/web/binary/saveas?model=product.product&amp;field=conformity_cert&amp;filename_field=conformity_cert_filename&amp;id=14089</t>
        </is>
      </c>
      <c r="BG46" t="inlineStr">
        <is>
          <t>http://darion-svet.com/web/binary/saveas?model=product.product&amp;field=datasheet&amp;filename_field=datasheet_filename&amp;id=14089</t>
        </is>
      </c>
      <c r="BI46" t="n">
        <v>13</v>
      </c>
      <c r="BJ46" t="n">
        <v>32</v>
      </c>
      <c r="BK46" t="n">
        <v>0</v>
      </c>
      <c r="BL46" t="n">
        <v>33</v>
      </c>
    </row>
    <row r="47">
      <c r="A47" t="n">
        <v>4690612019864</v>
      </c>
      <c r="B47" t="inlineStr">
        <is>
          <t>Лампа светодиодная LED-JCD-VC 3Вт 230В G9 4000К 270Лм IN HOME</t>
        </is>
      </c>
      <c r="C47" t="inlineStr">
        <is>
          <t>Лампа светодиодная LED-JCD-standard</t>
        </is>
      </c>
      <c r="E47" t="inlineStr">
        <is>
          <t>http://darion-svet.com/web/binary/image?model=product.product&amp;id=14090&amp;field=image</t>
        </is>
      </c>
      <c r="F47" t="n">
        <v>2</v>
      </c>
      <c r="G47" t="inlineStr">
        <is>
          <t>Китай</t>
        </is>
      </c>
      <c r="H47" t="inlineStr">
        <is>
          <t>IN HOME</t>
        </is>
      </c>
      <c r="K47" t="inlineStr">
        <is>
          <t>LED</t>
        </is>
      </c>
      <c r="M47" t="n">
        <v>3</v>
      </c>
      <c r="N47" t="inlineStr">
        <is>
          <t>G9</t>
        </is>
      </c>
      <c r="AU47" t="n">
        <v>5e-05</v>
      </c>
      <c r="AV47" t="n">
        <v>0.015</v>
      </c>
      <c r="AW47" t="n">
        <v>20</v>
      </c>
      <c r="BA47" t="n">
        <v>0.0009</v>
      </c>
      <c r="BB47" t="n">
        <v>0.3</v>
      </c>
      <c r="BE47" t="inlineStr">
        <is>
          <t>http://darion-svet.com/shop/product/4690612019864-led-jcd-vc-3vt-230v-g9-4000k-270lm-in-home</t>
        </is>
      </c>
      <c r="BF47" t="inlineStr">
        <is>
          <t>http://darion-svet.com/web/binary/saveas?model=product.product&amp;field=conformity_cert&amp;filename_field=conformity_cert_filename&amp;id=14090</t>
        </is>
      </c>
      <c r="BG47" t="inlineStr">
        <is>
          <t>http://darion-svet.com/web/binary/saveas?model=product.product&amp;field=datasheet&amp;filename_field=datasheet_filename&amp;id=14090</t>
        </is>
      </c>
      <c r="BI47" t="n">
        <v>4</v>
      </c>
      <c r="BJ47" t="n">
        <v>32</v>
      </c>
      <c r="BK47" t="n">
        <v>0</v>
      </c>
      <c r="BL47" t="n">
        <v>18</v>
      </c>
    </row>
    <row r="48">
      <c r="A48" t="n">
        <v>4690612020204</v>
      </c>
      <c r="B48" t="inlineStr">
        <is>
          <t>Лампа светодиодная LED-A60-VC 10Вт 230В Е27 3000К 950Лм IN HOME</t>
        </is>
      </c>
      <c r="C48" t="inlineStr">
        <is>
          <t>Лампа светодиодная LED-A60-standard</t>
        </is>
      </c>
      <c r="D48" t="n">
        <v>4690612020204</v>
      </c>
      <c r="E48" t="inlineStr">
        <is>
          <t>http://darion-svet.com/web/binary/image?model=product.product&amp;id=14051&amp;field=image</t>
        </is>
      </c>
      <c r="F48" t="n">
        <v>2</v>
      </c>
      <c r="G48" t="inlineStr">
        <is>
          <t>Китай</t>
        </is>
      </c>
      <c r="H48" t="inlineStr">
        <is>
          <t>IN HOME</t>
        </is>
      </c>
      <c r="K48" t="inlineStr">
        <is>
          <t>LED</t>
        </is>
      </c>
      <c r="M48" t="n">
        <v>10</v>
      </c>
      <c r="N48" t="inlineStr">
        <is>
          <t>E27</t>
        </is>
      </c>
      <c r="O48" t="inlineStr">
        <is>
          <t>SMD</t>
        </is>
      </c>
      <c r="P48" t="n">
        <v>900</v>
      </c>
      <c r="Q48" t="n">
        <v>3000</v>
      </c>
      <c r="R48" t="n">
        <v>80</v>
      </c>
      <c r="T48" t="inlineStr">
        <is>
          <t>Д</t>
        </is>
      </c>
      <c r="U48" t="n">
        <v>30000</v>
      </c>
      <c r="V48" t="n">
        <v>110</v>
      </c>
      <c r="W48" t="n">
        <v>60</v>
      </c>
      <c r="Y48" t="n">
        <v>60</v>
      </c>
      <c r="Z48" t="n">
        <v>60</v>
      </c>
      <c r="AB48" t="n">
        <v>0.046</v>
      </c>
      <c r="AD48" t="inlineStr">
        <is>
          <t>полимерный материал</t>
        </is>
      </c>
      <c r="AE48" t="inlineStr">
        <is>
          <t>ABS пластик</t>
        </is>
      </c>
      <c r="AH48" t="inlineStr">
        <is>
          <t>A60/Грушевидная (тип A)</t>
        </is>
      </c>
      <c r="AJ48" t="inlineStr">
        <is>
          <t>A1</t>
        </is>
      </c>
      <c r="AK48" t="n">
        <v>0.85</v>
      </c>
      <c r="AL48" t="n">
        <v>5</v>
      </c>
      <c r="AM48" t="n">
        <v>0.08</v>
      </c>
      <c r="AN48" t="n">
        <v>150</v>
      </c>
      <c r="AO48" t="n">
        <v>275</v>
      </c>
      <c r="AP48" t="n">
        <v>-10</v>
      </c>
      <c r="AQ48" t="n">
        <v>40</v>
      </c>
      <c r="AS48" t="inlineStr">
        <is>
          <t>Картон</t>
        </is>
      </c>
      <c r="AT48" t="inlineStr">
        <is>
          <t>Нет</t>
        </is>
      </c>
      <c r="AU48" t="n">
        <v>0.0004</v>
      </c>
      <c r="AV48" t="n">
        <v>0.046</v>
      </c>
      <c r="AW48" t="n">
        <v>100</v>
      </c>
      <c r="AX48" t="n">
        <v>61</v>
      </c>
      <c r="AY48" t="n">
        <v>61</v>
      </c>
      <c r="AZ48" t="n">
        <v>110</v>
      </c>
      <c r="BA48" t="n">
        <v>0.04001</v>
      </c>
      <c r="BB48" t="n">
        <v>4.6</v>
      </c>
      <c r="BC48" t="n">
        <v>4690612020204</v>
      </c>
      <c r="BE48" t="inlineStr">
        <is>
          <t>http://darion-svet.com/shop/product/4690612020204-led-a60-vc-10vt-230v-e27-3000k-900lm-in-home</t>
        </is>
      </c>
      <c r="BF48" t="inlineStr">
        <is>
          <t>http://darion-svet.com/web/binary/saveas?model=product.product&amp;field=conformity_cert&amp;filename_field=conformity_cert_filename&amp;id=14051</t>
        </is>
      </c>
      <c r="BG48" t="inlineStr">
        <is>
          <t>http://darion-svet.com/web/binary/saveas?model=product.product&amp;field=datasheet&amp;filename_field=datasheet_filename&amp;id=14051</t>
        </is>
      </c>
      <c r="BI48" t="n">
        <v>1</v>
      </c>
      <c r="BJ48" t="n">
        <v>31</v>
      </c>
      <c r="BK48" t="n">
        <v>0</v>
      </c>
      <c r="BL48" t="n">
        <v>47</v>
      </c>
    </row>
    <row r="49">
      <c r="A49" t="n">
        <v>4690612020273</v>
      </c>
      <c r="B49" t="inlineStr">
        <is>
          <t>Лампа светодиодная LED-A60-VC 15Вт 230В Е27 4000К 1430Лм IN HOME</t>
        </is>
      </c>
      <c r="C49" t="inlineStr">
        <is>
          <t>Лампа светодиодная LED-A60-standard</t>
        </is>
      </c>
      <c r="D49" t="n">
        <v>4690612020273</v>
      </c>
      <c r="E49" t="inlineStr">
        <is>
          <t>http://darion-svet.com/web/binary/image?model=product.product&amp;id=14056&amp;field=image</t>
        </is>
      </c>
      <c r="F49" t="n">
        <v>2</v>
      </c>
      <c r="G49" t="inlineStr">
        <is>
          <t>Китай</t>
        </is>
      </c>
      <c r="H49" t="inlineStr">
        <is>
          <t>IN HOME</t>
        </is>
      </c>
      <c r="K49" t="inlineStr">
        <is>
          <t>LED</t>
        </is>
      </c>
      <c r="M49" t="n">
        <v>15</v>
      </c>
      <c r="N49" t="inlineStr">
        <is>
          <t>E27</t>
        </is>
      </c>
      <c r="O49" t="inlineStr">
        <is>
          <t>SMD</t>
        </is>
      </c>
      <c r="P49" t="n">
        <v>1350</v>
      </c>
      <c r="Q49" t="n">
        <v>4000</v>
      </c>
      <c r="R49" t="n">
        <v>80</v>
      </c>
      <c r="T49" t="inlineStr">
        <is>
          <t>Д</t>
        </is>
      </c>
      <c r="U49" t="n">
        <v>30000</v>
      </c>
      <c r="V49" t="n">
        <v>110</v>
      </c>
      <c r="W49" t="n">
        <v>60</v>
      </c>
      <c r="Z49" t="n">
        <v>60</v>
      </c>
      <c r="AB49" t="n">
        <v>0.055</v>
      </c>
      <c r="AD49" t="inlineStr">
        <is>
          <t>полимерный материал</t>
        </is>
      </c>
      <c r="AE49" t="inlineStr">
        <is>
          <t>ABS пластик</t>
        </is>
      </c>
      <c r="AH49" t="inlineStr">
        <is>
          <t>A60/Грушевидная (тип A)</t>
        </is>
      </c>
      <c r="AJ49" t="inlineStr">
        <is>
          <t>A1</t>
        </is>
      </c>
      <c r="AK49" t="n">
        <v>0.85</v>
      </c>
      <c r="AL49" t="n">
        <v>5</v>
      </c>
      <c r="AM49" t="n">
        <v>0.11</v>
      </c>
      <c r="AN49" t="n">
        <v>150</v>
      </c>
      <c r="AO49" t="n">
        <v>275</v>
      </c>
      <c r="AP49" t="n">
        <v>-10</v>
      </c>
      <c r="AQ49" t="n">
        <v>40</v>
      </c>
      <c r="AS49" t="inlineStr">
        <is>
          <t>Картон</t>
        </is>
      </c>
      <c r="AT49" t="inlineStr">
        <is>
          <t>Нет</t>
        </is>
      </c>
      <c r="AU49" t="n">
        <v>0.0004</v>
      </c>
      <c r="AV49" t="n">
        <v>0.055</v>
      </c>
      <c r="AW49" t="n">
        <v>100</v>
      </c>
      <c r="AX49" t="n">
        <v>61</v>
      </c>
      <c r="AY49" t="n">
        <v>61</v>
      </c>
      <c r="AZ49" t="n">
        <v>110</v>
      </c>
      <c r="BA49" t="n">
        <v>0.04001</v>
      </c>
      <c r="BB49" t="n">
        <v>5.5</v>
      </c>
      <c r="BC49" t="n">
        <v>4690612020273</v>
      </c>
      <c r="BE49" t="inlineStr">
        <is>
          <t>http://darion-svet.com/shop/product/4690612020273-led-a60-vc-15vt-230v-e27-4000k-1350lm-in-home</t>
        </is>
      </c>
      <c r="BF49" t="inlineStr">
        <is>
          <t>http://darion-svet.com/web/binary/saveas?model=product.product&amp;field=conformity_cert&amp;filename_field=conformity_cert_filename&amp;id=14056</t>
        </is>
      </c>
      <c r="BG49" t="inlineStr">
        <is>
          <t>http://darion-svet.com/web/binary/saveas?model=product.product&amp;field=datasheet&amp;filename_field=datasheet_filename&amp;id=14056</t>
        </is>
      </c>
      <c r="BI49" t="n">
        <v>9</v>
      </c>
      <c r="BJ49" t="n">
        <v>60</v>
      </c>
      <c r="BK49" t="n">
        <v>0</v>
      </c>
      <c r="BL49" t="n">
        <v>46</v>
      </c>
    </row>
    <row r="50">
      <c r="A50" t="n">
        <v>4690612020280</v>
      </c>
      <c r="B50" t="inlineStr">
        <is>
          <t>Лампа светодиодная LED-A60-VC 15Вт 230В Е27 6500К 1430Лм IN HOME</t>
        </is>
      </c>
      <c r="C50" t="inlineStr">
        <is>
          <t>Лампа светодиодная LED-A60-standard</t>
        </is>
      </c>
      <c r="D50" t="n">
        <v>4690612020280</v>
      </c>
      <c r="E50" t="inlineStr">
        <is>
          <t>http://darion-svet.com/web/binary/image?model=product.product&amp;id=14025&amp;field=image</t>
        </is>
      </c>
      <c r="F50" t="n">
        <v>2</v>
      </c>
      <c r="G50" t="inlineStr">
        <is>
          <t>Китай</t>
        </is>
      </c>
      <c r="H50" t="inlineStr">
        <is>
          <t>IN HOME</t>
        </is>
      </c>
      <c r="K50" t="inlineStr">
        <is>
          <t>LED</t>
        </is>
      </c>
      <c r="M50" t="n">
        <v>15</v>
      </c>
      <c r="N50" t="inlineStr">
        <is>
          <t>E27</t>
        </is>
      </c>
      <c r="O50" t="inlineStr">
        <is>
          <t>SMD</t>
        </is>
      </c>
      <c r="P50" t="n">
        <v>1350</v>
      </c>
      <c r="Q50" t="n">
        <v>6500</v>
      </c>
      <c r="R50" t="n">
        <v>80</v>
      </c>
      <c r="T50" t="inlineStr">
        <is>
          <t>Д</t>
        </is>
      </c>
      <c r="U50" t="n">
        <v>30000</v>
      </c>
      <c r="V50" t="n">
        <v>110</v>
      </c>
      <c r="W50" t="n">
        <v>60</v>
      </c>
      <c r="AB50" t="n">
        <v>0.055</v>
      </c>
      <c r="AD50" t="inlineStr">
        <is>
          <t>полимерный материал</t>
        </is>
      </c>
      <c r="AE50" t="inlineStr">
        <is>
          <t>ABS пластик</t>
        </is>
      </c>
      <c r="AJ50" t="inlineStr">
        <is>
          <t>A1</t>
        </is>
      </c>
      <c r="AK50" t="n">
        <v>0.85</v>
      </c>
      <c r="AL50" t="n">
        <v>5</v>
      </c>
      <c r="AM50" t="n">
        <v>0.11</v>
      </c>
      <c r="AN50" t="n">
        <v>150</v>
      </c>
      <c r="AO50" t="n">
        <v>275</v>
      </c>
      <c r="AP50" t="n">
        <v>-10</v>
      </c>
      <c r="AQ50" t="n">
        <v>40</v>
      </c>
      <c r="AS50" t="inlineStr">
        <is>
          <t>Картон</t>
        </is>
      </c>
      <c r="AT50" t="inlineStr">
        <is>
          <t>Нет</t>
        </is>
      </c>
      <c r="AU50" t="n">
        <v>0.0004</v>
      </c>
      <c r="AV50" t="n">
        <v>0.055</v>
      </c>
      <c r="AW50" t="n">
        <v>100</v>
      </c>
      <c r="AX50" t="n">
        <v>61</v>
      </c>
      <c r="AY50" t="n">
        <v>61</v>
      </c>
      <c r="AZ50" t="n">
        <v>110</v>
      </c>
      <c r="BA50" t="n">
        <v>0.04001</v>
      </c>
      <c r="BB50" t="n">
        <v>5.5</v>
      </c>
      <c r="BC50" t="n">
        <v>4690612020280</v>
      </c>
      <c r="BE50" t="inlineStr">
        <is>
          <t>http://darion-svet.com/shop/product/4690612020280-led-a60-vc-15vt-230v-e27-6500k-1350lm-in-home</t>
        </is>
      </c>
      <c r="BF50" t="inlineStr">
        <is>
          <t>http://darion-svet.com/web/binary/saveas?model=product.product&amp;field=conformity_cert&amp;filename_field=conformity_cert_filename&amp;id=14025</t>
        </is>
      </c>
      <c r="BG50" t="inlineStr">
        <is>
          <t>http://darion-svet.com/web/binary/saveas?model=product.product&amp;field=datasheet&amp;filename_field=datasheet_filename&amp;id=14025</t>
        </is>
      </c>
      <c r="BI50" t="n">
        <v>5</v>
      </c>
      <c r="BJ50" t="n">
        <v>40</v>
      </c>
      <c r="BK50" t="n">
        <v>0</v>
      </c>
      <c r="BL50" t="n">
        <v>44</v>
      </c>
    </row>
    <row r="51">
      <c r="A51" t="n">
        <v>4690612020297</v>
      </c>
      <c r="B51" t="inlineStr">
        <is>
          <t>Лампа светодиодная LED-A60-VC 20Вт 230В Е27 3000К 1900Лм IN HOME</t>
        </is>
      </c>
      <c r="C51" t="inlineStr">
        <is>
          <t>Лампа светодиодная LED-A60-standard</t>
        </is>
      </c>
      <c r="D51" t="n">
        <v>4690612020297</v>
      </c>
      <c r="E51" t="inlineStr">
        <is>
          <t>http://darion-svet.com/web/binary/image?model=product.product&amp;id=14057&amp;field=image</t>
        </is>
      </c>
      <c r="F51" t="n">
        <v>2</v>
      </c>
      <c r="G51" t="inlineStr">
        <is>
          <t>Китай</t>
        </is>
      </c>
      <c r="H51" t="inlineStr">
        <is>
          <t>IN HOME</t>
        </is>
      </c>
      <c r="K51" t="inlineStr">
        <is>
          <t>LED</t>
        </is>
      </c>
      <c r="M51" t="n">
        <v>20</v>
      </c>
      <c r="N51" t="inlineStr">
        <is>
          <t>E27</t>
        </is>
      </c>
      <c r="O51" t="inlineStr">
        <is>
          <t>SMD</t>
        </is>
      </c>
      <c r="P51" t="n">
        <v>1800</v>
      </c>
      <c r="Q51" t="n">
        <v>3000</v>
      </c>
      <c r="R51" t="n">
        <v>80</v>
      </c>
      <c r="T51" t="inlineStr">
        <is>
          <t>Д</t>
        </is>
      </c>
      <c r="U51" t="n">
        <v>30000</v>
      </c>
      <c r="V51" t="n">
        <v>112</v>
      </c>
      <c r="W51" t="n">
        <v>60</v>
      </c>
      <c r="AB51" t="n">
        <v>0.055</v>
      </c>
      <c r="AD51" t="inlineStr">
        <is>
          <t>полимерный материал</t>
        </is>
      </c>
      <c r="AE51" t="inlineStr">
        <is>
          <t>ABS пластик</t>
        </is>
      </c>
      <c r="AJ51" t="inlineStr">
        <is>
          <t>A1</t>
        </is>
      </c>
      <c r="AK51" t="n">
        <v>0.85</v>
      </c>
      <c r="AL51" t="n">
        <v>5</v>
      </c>
      <c r="AM51" t="n">
        <v>0.15</v>
      </c>
      <c r="AN51" t="n">
        <v>150</v>
      </c>
      <c r="AO51" t="n">
        <v>275</v>
      </c>
      <c r="AP51" t="n">
        <v>-10</v>
      </c>
      <c r="AQ51" t="n">
        <v>40</v>
      </c>
      <c r="AS51" t="inlineStr">
        <is>
          <t>Картон</t>
        </is>
      </c>
      <c r="AT51" t="inlineStr">
        <is>
          <t>Нет</t>
        </is>
      </c>
      <c r="AU51" t="n">
        <v>0.0004</v>
      </c>
      <c r="AV51" t="n">
        <v>0.055</v>
      </c>
      <c r="AW51" t="n">
        <v>100</v>
      </c>
      <c r="AX51" t="n">
        <v>61</v>
      </c>
      <c r="AY51" t="n">
        <v>61</v>
      </c>
      <c r="AZ51" t="n">
        <v>120</v>
      </c>
      <c r="BA51" t="n">
        <v>0.04001</v>
      </c>
      <c r="BB51" t="n">
        <v>5.5</v>
      </c>
      <c r="BC51" t="n">
        <v>4690612020297</v>
      </c>
      <c r="BE51" t="inlineStr">
        <is>
          <t>http://darion-svet.com/shop/product/4690612020297-led-a65-vc-20vt-230v-e27-3000k-1800lm-in-home</t>
        </is>
      </c>
      <c r="BF51" t="inlineStr">
        <is>
          <t>http://darion-svet.com/web/binary/saveas?model=product.product&amp;field=conformity_cert&amp;filename_field=conformity_cert_filename&amp;id=14057</t>
        </is>
      </c>
      <c r="BG51" t="inlineStr">
        <is>
          <t>http://darion-svet.com/web/binary/saveas?model=product.product&amp;field=datasheet&amp;filename_field=datasheet_filename&amp;id=14057</t>
        </is>
      </c>
      <c r="BI51" t="n">
        <v>13</v>
      </c>
      <c r="BJ51" t="n">
        <v>45</v>
      </c>
      <c r="BK51" t="n">
        <v>0</v>
      </c>
      <c r="BL51" t="n">
        <v>44</v>
      </c>
    </row>
    <row r="52">
      <c r="A52" t="n">
        <v>4690612020303</v>
      </c>
      <c r="B52" t="inlineStr">
        <is>
          <t>Лампа светодиодная LED-A60-VC 20Вт 230В Е27 4000К 1900Лм IN HOME</t>
        </is>
      </c>
      <c r="C52" t="inlineStr">
        <is>
          <t>Лампа светодиодная LED-A60-standard</t>
        </is>
      </c>
      <c r="D52" t="n">
        <v>4690612020303</v>
      </c>
      <c r="E52" t="inlineStr">
        <is>
          <t>http://darion-svet.com/web/binary/image?model=product.product&amp;id=13036&amp;field=image</t>
        </is>
      </c>
      <c r="F52" t="n">
        <v>2</v>
      </c>
      <c r="G52" t="inlineStr">
        <is>
          <t>Китай</t>
        </is>
      </c>
      <c r="H52" t="inlineStr">
        <is>
          <t>IN HOME</t>
        </is>
      </c>
      <c r="K52" t="inlineStr">
        <is>
          <t>LED</t>
        </is>
      </c>
      <c r="M52" t="n">
        <v>20</v>
      </c>
      <c r="N52" t="inlineStr">
        <is>
          <t>E27</t>
        </is>
      </c>
      <c r="O52" t="inlineStr">
        <is>
          <t>SMD</t>
        </is>
      </c>
      <c r="P52" t="n">
        <v>1800</v>
      </c>
      <c r="Q52" t="n">
        <v>4000</v>
      </c>
      <c r="R52" t="n">
        <v>80</v>
      </c>
      <c r="T52" t="inlineStr">
        <is>
          <t>Д</t>
        </is>
      </c>
      <c r="U52" t="n">
        <v>30000</v>
      </c>
      <c r="V52" t="n">
        <v>112</v>
      </c>
      <c r="W52" t="n">
        <v>60</v>
      </c>
      <c r="AB52" t="n">
        <v>0.055</v>
      </c>
      <c r="AD52" t="inlineStr">
        <is>
          <t>полимерный материал</t>
        </is>
      </c>
      <c r="AE52" t="inlineStr">
        <is>
          <t>ABS пластик</t>
        </is>
      </c>
      <c r="AJ52" t="inlineStr">
        <is>
          <t>A1</t>
        </is>
      </c>
      <c r="AK52" t="n">
        <v>0.85</v>
      </c>
      <c r="AL52" t="n">
        <v>5</v>
      </c>
      <c r="AM52" t="n">
        <v>0.15</v>
      </c>
      <c r="AN52" t="n">
        <v>150</v>
      </c>
      <c r="AO52" t="n">
        <v>275</v>
      </c>
      <c r="AP52" t="n">
        <v>-10</v>
      </c>
      <c r="AQ52" t="n">
        <v>40</v>
      </c>
      <c r="AS52" t="inlineStr">
        <is>
          <t>Картон</t>
        </is>
      </c>
      <c r="AT52" t="inlineStr">
        <is>
          <t>Нет</t>
        </is>
      </c>
      <c r="AU52" t="n">
        <v>0.0004</v>
      </c>
      <c r="AV52" t="n">
        <v>0.055</v>
      </c>
      <c r="AW52" t="n">
        <v>100</v>
      </c>
      <c r="AX52" t="n">
        <v>61</v>
      </c>
      <c r="AY52" t="n">
        <v>61</v>
      </c>
      <c r="AZ52" t="n">
        <v>120</v>
      </c>
      <c r="BA52" t="n">
        <v>0.04001</v>
      </c>
      <c r="BB52" t="n">
        <v>5.5</v>
      </c>
      <c r="BC52" t="n">
        <v>4690612020303</v>
      </c>
      <c r="BE52" t="inlineStr">
        <is>
          <t>http://darion-svet.com/shop/product/4690612020303-led-a65-vc-20vt-230v-e27-4000k-1800lm-in-home</t>
        </is>
      </c>
      <c r="BF52" t="inlineStr">
        <is>
          <t>http://darion-svet.com/web/binary/saveas?model=product.product&amp;field=conformity_cert&amp;filename_field=conformity_cert_filename&amp;id=13036</t>
        </is>
      </c>
      <c r="BG52" t="inlineStr">
        <is>
          <t>http://darion-svet.com/web/binary/saveas?model=product.product&amp;field=datasheet&amp;filename_field=datasheet_filename&amp;id=13036</t>
        </is>
      </c>
      <c r="BI52" t="n">
        <v>2</v>
      </c>
      <c r="BJ52" t="n">
        <v>45</v>
      </c>
      <c r="BK52" t="n">
        <v>0</v>
      </c>
      <c r="BL52" t="n">
        <v>44</v>
      </c>
    </row>
    <row r="53">
      <c r="A53" t="n">
        <v>4690612020310</v>
      </c>
      <c r="B53" t="inlineStr">
        <is>
          <t>Лампа светодиодная LED-A60-VC 20Вт 230В Е27 6500К 1900Лм IN HOME</t>
        </is>
      </c>
      <c r="C53" t="inlineStr">
        <is>
          <t>Лампа светодиодная LED-A60-standard</t>
        </is>
      </c>
      <c r="D53" t="n">
        <v>4690612020310</v>
      </c>
      <c r="E53" t="inlineStr">
        <is>
          <t>http://darion-svet.com/web/binary/image?model=product.product&amp;id=14058&amp;field=image</t>
        </is>
      </c>
      <c r="F53" t="n">
        <v>2</v>
      </c>
      <c r="G53" t="inlineStr">
        <is>
          <t>Китай</t>
        </is>
      </c>
      <c r="H53" t="inlineStr">
        <is>
          <t>IN HOME</t>
        </is>
      </c>
      <c r="K53" t="inlineStr">
        <is>
          <t>LED</t>
        </is>
      </c>
      <c r="M53" t="n">
        <v>20</v>
      </c>
      <c r="N53" t="inlineStr">
        <is>
          <t>E27</t>
        </is>
      </c>
      <c r="O53" t="inlineStr">
        <is>
          <t>SMD</t>
        </is>
      </c>
      <c r="P53" t="n">
        <v>1800</v>
      </c>
      <c r="Q53" t="n">
        <v>6500</v>
      </c>
      <c r="R53" t="n">
        <v>80</v>
      </c>
      <c r="T53" t="inlineStr">
        <is>
          <t>Д</t>
        </is>
      </c>
      <c r="U53" t="n">
        <v>30000</v>
      </c>
      <c r="V53" t="n">
        <v>112</v>
      </c>
      <c r="W53" t="n">
        <v>60</v>
      </c>
      <c r="AB53" t="n">
        <v>0.055</v>
      </c>
      <c r="AD53" t="inlineStr">
        <is>
          <t>полимерный материал</t>
        </is>
      </c>
      <c r="AE53" t="inlineStr">
        <is>
          <t>ABS пластик</t>
        </is>
      </c>
      <c r="AJ53" t="inlineStr">
        <is>
          <t>A1</t>
        </is>
      </c>
      <c r="AK53" t="n">
        <v>0.85</v>
      </c>
      <c r="AL53" t="n">
        <v>5</v>
      </c>
      <c r="AM53" t="n">
        <v>0.15</v>
      </c>
      <c r="AN53" t="n">
        <v>150</v>
      </c>
      <c r="AO53" t="n">
        <v>275</v>
      </c>
      <c r="AP53" t="n">
        <v>-10</v>
      </c>
      <c r="AQ53" t="n">
        <v>40</v>
      </c>
      <c r="AS53" t="inlineStr">
        <is>
          <t>Картон</t>
        </is>
      </c>
      <c r="AT53" t="inlineStr">
        <is>
          <t>Нет</t>
        </is>
      </c>
      <c r="AU53" t="n">
        <v>0.0004</v>
      </c>
      <c r="AV53" t="n">
        <v>0.055</v>
      </c>
      <c r="AW53" t="n">
        <v>100</v>
      </c>
      <c r="AX53" t="n">
        <v>61</v>
      </c>
      <c r="AY53" t="n">
        <v>61</v>
      </c>
      <c r="AZ53" t="n">
        <v>120</v>
      </c>
      <c r="BA53" t="n">
        <v>0.04001</v>
      </c>
      <c r="BB53" t="n">
        <v>5.5</v>
      </c>
      <c r="BC53" t="n">
        <v>4690612020310</v>
      </c>
      <c r="BE53" t="inlineStr">
        <is>
          <t>http://darion-svet.com/shop/product/4690612020310-led-a60-vc-20vt-230v-e27-6500k-1800lm-in-home</t>
        </is>
      </c>
      <c r="BF53" t="inlineStr">
        <is>
          <t>http://darion-svet.com/web/binary/saveas?model=product.product&amp;field=conformity_cert&amp;filename_field=conformity_cert_filename&amp;id=14058</t>
        </is>
      </c>
      <c r="BG53" t="inlineStr">
        <is>
          <t>http://darion-svet.com/web/binary/saveas?model=product.product&amp;field=datasheet&amp;filename_field=datasheet_filename&amp;id=14058</t>
        </is>
      </c>
      <c r="BI53" t="n">
        <v>3</v>
      </c>
      <c r="BJ53" t="n">
        <v>45</v>
      </c>
      <c r="BK53" t="n">
        <v>0</v>
      </c>
      <c r="BL53" t="n">
        <v>44</v>
      </c>
    </row>
    <row r="54">
      <c r="A54" t="n">
        <v>4690612020327</v>
      </c>
      <c r="B54" t="inlineStr">
        <is>
          <t>Лампа светодиодная LED-JCDR-VC 8Вт 230В GU5.3 3000К 720Лм IN HOME</t>
        </is>
      </c>
      <c r="C54" t="inlineStr">
        <is>
          <t>Лампа светодиодная LED-JCDR-standard</t>
        </is>
      </c>
      <c r="D54" t="n">
        <v>4690612020327</v>
      </c>
      <c r="E54" t="inlineStr">
        <is>
          <t>http://darion-svet.com/web/binary/image?model=product.product&amp;id=14102&amp;field=image</t>
        </is>
      </c>
      <c r="F54" t="n">
        <v>2</v>
      </c>
      <c r="G54" t="inlineStr">
        <is>
          <t>Китай</t>
        </is>
      </c>
      <c r="H54" t="inlineStr">
        <is>
          <t>IN HOME</t>
        </is>
      </c>
      <c r="K54" t="inlineStr">
        <is>
          <t>LED</t>
        </is>
      </c>
      <c r="M54" t="n">
        <v>8</v>
      </c>
      <c r="N54" t="inlineStr">
        <is>
          <t>GU5.3</t>
        </is>
      </c>
      <c r="O54" t="inlineStr">
        <is>
          <t>SMD</t>
        </is>
      </c>
      <c r="P54" t="n">
        <v>720</v>
      </c>
      <c r="Q54" t="n">
        <v>3000</v>
      </c>
      <c r="R54" t="n">
        <v>80</v>
      </c>
      <c r="T54" t="inlineStr">
        <is>
          <t>Г</t>
        </is>
      </c>
      <c r="U54" t="n">
        <v>30000</v>
      </c>
      <c r="V54" t="n">
        <v>51</v>
      </c>
      <c r="W54" t="n">
        <v>50</v>
      </c>
      <c r="AB54" t="n">
        <v>0.03</v>
      </c>
      <c r="AD54" t="inlineStr">
        <is>
          <t>полимерный материал</t>
        </is>
      </c>
      <c r="AE54" t="inlineStr">
        <is>
          <t>ABS пластик</t>
        </is>
      </c>
      <c r="AJ54" t="inlineStr">
        <is>
          <t>A1</t>
        </is>
      </c>
      <c r="AK54" t="n">
        <v>0.85</v>
      </c>
      <c r="AL54" t="n">
        <v>5</v>
      </c>
      <c r="AM54" t="n">
        <v>0.06</v>
      </c>
      <c r="AN54" t="n">
        <v>150</v>
      </c>
      <c r="AO54" t="n">
        <v>275</v>
      </c>
      <c r="AP54" t="n">
        <v>-10</v>
      </c>
      <c r="AQ54" t="n">
        <v>40</v>
      </c>
      <c r="AS54" t="inlineStr">
        <is>
          <t>Картон</t>
        </is>
      </c>
      <c r="AT54" t="inlineStr">
        <is>
          <t>Нет</t>
        </is>
      </c>
      <c r="AU54" t="n">
        <v>0.00021</v>
      </c>
      <c r="AV54" t="n">
        <v>0.03</v>
      </c>
      <c r="AW54" t="n">
        <v>100</v>
      </c>
      <c r="AX54" t="n">
        <v>52</v>
      </c>
      <c r="AY54" t="n">
        <v>52</v>
      </c>
      <c r="AZ54" t="n">
        <v>50</v>
      </c>
      <c r="BA54" t="n">
        <v>0.021</v>
      </c>
      <c r="BB54" t="n">
        <v>3</v>
      </c>
      <c r="BC54" t="n">
        <v>4690612020327</v>
      </c>
      <c r="BE54" t="inlineStr">
        <is>
          <t>http://darion-svet.com/shop/product/4690612020327-led-jcdr-vc-8vt-230v-gu53-3000k-600lm-in-home</t>
        </is>
      </c>
      <c r="BF54" t="inlineStr">
        <is>
          <t>http://darion-svet.com/web/binary/saveas?model=product.product&amp;field=conformity_cert&amp;filename_field=conformity_cert_filename&amp;id=14102</t>
        </is>
      </c>
      <c r="BG54" t="inlineStr">
        <is>
          <t>http://darion-svet.com/web/binary/saveas?model=product.product&amp;field=datasheet&amp;filename_field=datasheet_filename&amp;id=14102</t>
        </is>
      </c>
      <c r="BI54" t="n">
        <v>64</v>
      </c>
      <c r="BJ54" t="n">
        <v>34</v>
      </c>
      <c r="BK54" t="n">
        <v>0</v>
      </c>
      <c r="BL54" t="n">
        <v>44</v>
      </c>
    </row>
    <row r="55">
      <c r="A55" t="n">
        <v>4690612020341</v>
      </c>
      <c r="B55" t="inlineStr">
        <is>
          <t>Лампа светодиодная LED-JCDR-VC 11Вт 230В GU5.3 3000К 990Лм IN HOME</t>
        </is>
      </c>
      <c r="C55" t="inlineStr">
        <is>
          <t>Лампа светодиодная LED-JCDR-standard</t>
        </is>
      </c>
      <c r="D55" t="n">
        <v>4690612020341</v>
      </c>
      <c r="E55" t="inlineStr">
        <is>
          <t>http://darion-svet.com/web/binary/image?model=product.product&amp;id=14098&amp;field=image</t>
        </is>
      </c>
      <c r="F55" t="n">
        <v>2</v>
      </c>
      <c r="G55" t="inlineStr">
        <is>
          <t>Китай</t>
        </is>
      </c>
      <c r="H55" t="inlineStr">
        <is>
          <t>IN HOME</t>
        </is>
      </c>
      <c r="K55" t="inlineStr">
        <is>
          <t>LED</t>
        </is>
      </c>
      <c r="M55" t="n">
        <v>11</v>
      </c>
      <c r="N55" t="inlineStr">
        <is>
          <t>GU5.3</t>
        </is>
      </c>
      <c r="O55" t="inlineStr">
        <is>
          <t>SMD</t>
        </is>
      </c>
      <c r="P55" t="n">
        <v>990</v>
      </c>
      <c r="Q55" t="n">
        <v>3000</v>
      </c>
      <c r="R55" t="n">
        <v>80</v>
      </c>
      <c r="T55" t="inlineStr">
        <is>
          <t>Г</t>
        </is>
      </c>
      <c r="U55" t="n">
        <v>30000</v>
      </c>
      <c r="V55" t="n">
        <v>51</v>
      </c>
      <c r="W55" t="n">
        <v>50</v>
      </c>
      <c r="AB55" t="n">
        <v>0.037</v>
      </c>
      <c r="AD55" t="inlineStr">
        <is>
          <t>полимерный материал</t>
        </is>
      </c>
      <c r="AE55" t="inlineStr">
        <is>
          <t>ABS пластик</t>
        </is>
      </c>
      <c r="AJ55" t="inlineStr">
        <is>
          <t>A1</t>
        </is>
      </c>
      <c r="AK55" t="n">
        <v>0.85</v>
      </c>
      <c r="AL55" t="n">
        <v>5</v>
      </c>
      <c r="AM55" t="n">
        <v>0.08</v>
      </c>
      <c r="AN55" t="n">
        <v>150</v>
      </c>
      <c r="AO55" t="n">
        <v>275</v>
      </c>
      <c r="AP55" t="n">
        <v>-10</v>
      </c>
      <c r="AQ55" t="n">
        <v>40</v>
      </c>
      <c r="AS55" t="inlineStr">
        <is>
          <t>Картон</t>
        </is>
      </c>
      <c r="AT55" t="inlineStr">
        <is>
          <t>Нет</t>
        </is>
      </c>
      <c r="AU55" t="n">
        <v>0.00021</v>
      </c>
      <c r="AV55" t="n">
        <v>0.037</v>
      </c>
      <c r="AW55" t="n">
        <v>100</v>
      </c>
      <c r="AX55" t="n">
        <v>52</v>
      </c>
      <c r="AY55" t="n">
        <v>52</v>
      </c>
      <c r="AZ55" t="n">
        <v>50</v>
      </c>
      <c r="BA55" t="n">
        <v>0.021</v>
      </c>
      <c r="BB55" t="n">
        <v>3.7</v>
      </c>
      <c r="BC55" t="n">
        <v>4690612020341</v>
      </c>
      <c r="BE55" t="inlineStr">
        <is>
          <t>http://darion-svet.com/shop/product/4690612020341-led-jcdr-vc-11vt-230v-gu53-3000k-820lm-in-home</t>
        </is>
      </c>
      <c r="BF55" t="inlineStr">
        <is>
          <t>http://darion-svet.com/web/binary/saveas?model=product.product&amp;field=conformity_cert&amp;filename_field=conformity_cert_filename&amp;id=14098</t>
        </is>
      </c>
      <c r="BG55" t="inlineStr">
        <is>
          <t>http://darion-svet.com/web/binary/saveas?model=product.product&amp;field=datasheet&amp;filename_field=datasheet_filename&amp;id=14098</t>
        </is>
      </c>
      <c r="BI55" t="n">
        <v>4</v>
      </c>
      <c r="BJ55" t="n">
        <v>37</v>
      </c>
      <c r="BK55" t="n">
        <v>0</v>
      </c>
      <c r="BL55" t="n">
        <v>44</v>
      </c>
    </row>
    <row r="56">
      <c r="A56" t="n">
        <v>4690612020358</v>
      </c>
      <c r="B56" t="inlineStr">
        <is>
          <t>Лампа светодиодная LED-JCDR-VC 11Вт 230В GU5.3 4000К 990Лм IN HOME</t>
        </is>
      </c>
      <c r="C56" t="inlineStr">
        <is>
          <t>Лампа светодиодная LED-JCDR-standard</t>
        </is>
      </c>
      <c r="D56" t="n">
        <v>4690612020358</v>
      </c>
      <c r="E56" t="inlineStr">
        <is>
          <t>http://darion-svet.com/web/binary/image?model=product.product&amp;id=14099&amp;field=image</t>
        </is>
      </c>
      <c r="F56" t="n">
        <v>2</v>
      </c>
      <c r="G56" t="inlineStr">
        <is>
          <t>Китай</t>
        </is>
      </c>
      <c r="H56" t="inlineStr">
        <is>
          <t>IN HOME</t>
        </is>
      </c>
      <c r="K56" t="inlineStr">
        <is>
          <t>LED</t>
        </is>
      </c>
      <c r="M56" t="n">
        <v>11</v>
      </c>
      <c r="N56" t="inlineStr">
        <is>
          <t>GU5.3</t>
        </is>
      </c>
      <c r="O56" t="inlineStr">
        <is>
          <t>SMD</t>
        </is>
      </c>
      <c r="P56" t="n">
        <v>990</v>
      </c>
      <c r="Q56" t="n">
        <v>4000</v>
      </c>
      <c r="R56" t="n">
        <v>80</v>
      </c>
      <c r="T56" t="inlineStr">
        <is>
          <t>Г</t>
        </is>
      </c>
      <c r="U56" t="n">
        <v>30000</v>
      </c>
      <c r="V56" t="n">
        <v>51</v>
      </c>
      <c r="W56" t="n">
        <v>50</v>
      </c>
      <c r="AB56" t="n">
        <v>0.037</v>
      </c>
      <c r="AD56" t="inlineStr">
        <is>
          <t>полимерный материал</t>
        </is>
      </c>
      <c r="AE56" t="inlineStr">
        <is>
          <t>ABS пластик</t>
        </is>
      </c>
      <c r="AJ56" t="inlineStr">
        <is>
          <t>A1</t>
        </is>
      </c>
      <c r="AK56" t="n">
        <v>0.85</v>
      </c>
      <c r="AL56" t="n">
        <v>5</v>
      </c>
      <c r="AM56" t="n">
        <v>0.08</v>
      </c>
      <c r="AN56" t="n">
        <v>150</v>
      </c>
      <c r="AO56" t="n">
        <v>275</v>
      </c>
      <c r="AP56" t="n">
        <v>-10</v>
      </c>
      <c r="AQ56" t="n">
        <v>40</v>
      </c>
      <c r="AS56" t="inlineStr">
        <is>
          <t>Картон</t>
        </is>
      </c>
      <c r="AT56" t="inlineStr">
        <is>
          <t>Нет</t>
        </is>
      </c>
      <c r="AU56" t="n">
        <v>0.00021</v>
      </c>
      <c r="AV56" t="n">
        <v>0.037</v>
      </c>
      <c r="AW56" t="n">
        <v>100</v>
      </c>
      <c r="AX56" t="n">
        <v>52</v>
      </c>
      <c r="AY56" t="n">
        <v>52</v>
      </c>
      <c r="AZ56" t="n">
        <v>50</v>
      </c>
      <c r="BA56" t="n">
        <v>0.021</v>
      </c>
      <c r="BB56" t="n">
        <v>3.7</v>
      </c>
      <c r="BC56" t="n">
        <v>4690612020358</v>
      </c>
      <c r="BE56" t="inlineStr">
        <is>
          <t>http://darion-svet.com/shop/product/4690612020358-led-jcdr-vc-11vt-230v-gu53-4000k-820lm-in-home</t>
        </is>
      </c>
      <c r="BF56" t="inlineStr">
        <is>
          <t>http://darion-svet.com/web/binary/saveas?model=product.product&amp;field=conformity_cert&amp;filename_field=conformity_cert_filename&amp;id=14099</t>
        </is>
      </c>
      <c r="BG56" t="inlineStr">
        <is>
          <t>http://darion-svet.com/web/binary/saveas?model=product.product&amp;field=datasheet&amp;filename_field=datasheet_filename&amp;id=14099</t>
        </is>
      </c>
      <c r="BI56" t="n">
        <v>15</v>
      </c>
      <c r="BJ56" t="n">
        <v>37</v>
      </c>
      <c r="BK56" t="n">
        <v>0</v>
      </c>
      <c r="BL56" t="n">
        <v>44</v>
      </c>
    </row>
    <row r="57">
      <c r="A57" t="n">
        <v>4690612020365</v>
      </c>
      <c r="B57" t="inlineStr">
        <is>
          <t>Лампа светодиодная LED-JCDR-VC 6Вт 230В GU5.3 3000К 530Лм IN HOME</t>
        </is>
      </c>
      <c r="C57" t="inlineStr">
        <is>
          <t>Лампа светодиодная LED-JCDR-standard</t>
        </is>
      </c>
      <c r="D57" t="n">
        <v>4690612020365</v>
      </c>
      <c r="E57" t="inlineStr">
        <is>
          <t>http://darion-svet.com/web/binary/image?model=product.product&amp;id=14100&amp;field=image</t>
        </is>
      </c>
      <c r="F57" t="n">
        <v>2</v>
      </c>
      <c r="G57" t="inlineStr">
        <is>
          <t>Китай</t>
        </is>
      </c>
      <c r="H57" t="inlineStr">
        <is>
          <t>IN HOME</t>
        </is>
      </c>
      <c r="K57" t="inlineStr">
        <is>
          <t>LED</t>
        </is>
      </c>
      <c r="M57" t="n">
        <v>6</v>
      </c>
      <c r="N57" t="inlineStr">
        <is>
          <t>GU5.3</t>
        </is>
      </c>
      <c r="O57" t="inlineStr">
        <is>
          <t>SMD</t>
        </is>
      </c>
      <c r="P57" t="n">
        <v>525</v>
      </c>
      <c r="Q57" t="n">
        <v>3000</v>
      </c>
      <c r="R57" t="n">
        <v>80</v>
      </c>
      <c r="T57" t="inlineStr">
        <is>
          <t>Г</t>
        </is>
      </c>
      <c r="U57" t="n">
        <v>30000</v>
      </c>
      <c r="V57" t="n">
        <v>51</v>
      </c>
      <c r="W57" t="n">
        <v>50</v>
      </c>
      <c r="AB57" t="n">
        <v>0.03</v>
      </c>
      <c r="AD57" t="inlineStr">
        <is>
          <t>полимерный материал</t>
        </is>
      </c>
      <c r="AE57" t="inlineStr">
        <is>
          <t>ABS пластик</t>
        </is>
      </c>
      <c r="AJ57" t="inlineStr">
        <is>
          <t>A1</t>
        </is>
      </c>
      <c r="AK57" t="n">
        <v>0.85</v>
      </c>
      <c r="AL57" t="n">
        <v>5</v>
      </c>
      <c r="AM57" t="n">
        <v>0.05</v>
      </c>
      <c r="AN57" t="n">
        <v>150</v>
      </c>
      <c r="AO57" t="n">
        <v>275</v>
      </c>
      <c r="AP57" t="n">
        <v>-10</v>
      </c>
      <c r="AQ57" t="n">
        <v>40</v>
      </c>
      <c r="AS57" t="inlineStr">
        <is>
          <t>Картон</t>
        </is>
      </c>
      <c r="AT57" t="inlineStr">
        <is>
          <t>Нет</t>
        </is>
      </c>
      <c r="AU57" t="n">
        <v>0.00021</v>
      </c>
      <c r="AV57" t="n">
        <v>0.03</v>
      </c>
      <c r="AW57" t="n">
        <v>100</v>
      </c>
      <c r="AX57" t="n">
        <v>52</v>
      </c>
      <c r="AY57" t="n">
        <v>52</v>
      </c>
      <c r="AZ57" t="n">
        <v>50</v>
      </c>
      <c r="BA57" t="n">
        <v>0.021</v>
      </c>
      <c r="BB57" t="n">
        <v>3</v>
      </c>
      <c r="BC57" t="n">
        <v>4690612020365</v>
      </c>
      <c r="BE57" t="inlineStr">
        <is>
          <t>http://darion-svet.com/shop/product/4690612020365-led-jcdr-vc-6vt-230v-gu53-3000k-480lm-in-home</t>
        </is>
      </c>
      <c r="BF57" t="inlineStr">
        <is>
          <t>http://darion-svet.com/web/binary/saveas?model=product.product&amp;field=conformity_cert&amp;filename_field=conformity_cert_filename&amp;id=14100</t>
        </is>
      </c>
      <c r="BG57" t="inlineStr">
        <is>
          <t>http://darion-svet.com/web/binary/saveas?model=product.product&amp;field=datasheet&amp;filename_field=datasheet_filename&amp;id=14100</t>
        </is>
      </c>
      <c r="BI57" t="n">
        <v>23</v>
      </c>
      <c r="BJ57" t="n">
        <v>33</v>
      </c>
      <c r="BK57" t="n">
        <v>0</v>
      </c>
      <c r="BL57" t="n">
        <v>44</v>
      </c>
    </row>
    <row r="58">
      <c r="A58" t="n">
        <v>4690612020372</v>
      </c>
      <c r="B58" t="inlineStr">
        <is>
          <t>Лампа светодиодная LED-JCDR-VC 6Вт 230В GU5.3 4000К 530Лм IN HOME</t>
        </is>
      </c>
      <c r="C58" t="inlineStr">
        <is>
          <t>Лампа светодиодная LED-JCDR-standard</t>
        </is>
      </c>
      <c r="D58" t="n">
        <v>4690612020372</v>
      </c>
      <c r="E58" t="inlineStr">
        <is>
          <t>http://darion-svet.com/web/binary/image?model=product.product&amp;id=14101&amp;field=image</t>
        </is>
      </c>
      <c r="F58" t="n">
        <v>2</v>
      </c>
      <c r="G58" t="inlineStr">
        <is>
          <t>Китай</t>
        </is>
      </c>
      <c r="H58" t="inlineStr">
        <is>
          <t>IN HOME</t>
        </is>
      </c>
      <c r="K58" t="inlineStr">
        <is>
          <t>LED</t>
        </is>
      </c>
      <c r="M58" t="n">
        <v>6</v>
      </c>
      <c r="N58" t="inlineStr">
        <is>
          <t>GU5.3</t>
        </is>
      </c>
      <c r="O58" t="inlineStr">
        <is>
          <t>SMD</t>
        </is>
      </c>
      <c r="P58" t="n">
        <v>525</v>
      </c>
      <c r="Q58" t="n">
        <v>4000</v>
      </c>
      <c r="R58" t="n">
        <v>80</v>
      </c>
      <c r="T58" t="inlineStr">
        <is>
          <t>Г</t>
        </is>
      </c>
      <c r="U58" t="n">
        <v>30000</v>
      </c>
      <c r="V58" t="n">
        <v>51</v>
      </c>
      <c r="W58" t="n">
        <v>50</v>
      </c>
      <c r="AB58" t="n">
        <v>0.03</v>
      </c>
      <c r="AD58" t="inlineStr">
        <is>
          <t>полимерный материал</t>
        </is>
      </c>
      <c r="AE58" t="inlineStr">
        <is>
          <t>ABS пластик</t>
        </is>
      </c>
      <c r="AJ58" t="inlineStr">
        <is>
          <t>A1</t>
        </is>
      </c>
      <c r="AK58" t="n">
        <v>0.85</v>
      </c>
      <c r="AL58" t="n">
        <v>5</v>
      </c>
      <c r="AM58" t="n">
        <v>0.05</v>
      </c>
      <c r="AN58" t="n">
        <v>150</v>
      </c>
      <c r="AO58" t="n">
        <v>275</v>
      </c>
      <c r="AP58" t="n">
        <v>-10</v>
      </c>
      <c r="AQ58" t="n">
        <v>40</v>
      </c>
      <c r="AS58" t="inlineStr">
        <is>
          <t>Картон</t>
        </is>
      </c>
      <c r="AT58" t="inlineStr">
        <is>
          <t>Нет</t>
        </is>
      </c>
      <c r="AU58" t="n">
        <v>0.00021</v>
      </c>
      <c r="AV58" t="n">
        <v>0.03</v>
      </c>
      <c r="AW58" t="n">
        <v>100</v>
      </c>
      <c r="AX58" t="n">
        <v>52</v>
      </c>
      <c r="AY58" t="n">
        <v>52</v>
      </c>
      <c r="AZ58" t="n">
        <v>50</v>
      </c>
      <c r="BA58" t="n">
        <v>0.021</v>
      </c>
      <c r="BB58" t="n">
        <v>3</v>
      </c>
      <c r="BC58" t="n">
        <v>4690612020372</v>
      </c>
      <c r="BE58" t="inlineStr">
        <is>
          <t>http://darion-svet.com/shop/product/4690612020372-led-jcdr-vc-6vt-230v-gu53-4000k-480lm-in-home</t>
        </is>
      </c>
      <c r="BF58" t="inlineStr">
        <is>
          <t>http://darion-svet.com/web/binary/saveas?model=product.product&amp;field=conformity_cert&amp;filename_field=conformity_cert_filename&amp;id=14101</t>
        </is>
      </c>
      <c r="BG58" t="inlineStr">
        <is>
          <t>http://darion-svet.com/web/binary/saveas?model=product.product&amp;field=datasheet&amp;filename_field=datasheet_filename&amp;id=14101</t>
        </is>
      </c>
      <c r="BI58" t="n">
        <v>1</v>
      </c>
      <c r="BJ58" t="n">
        <v>33</v>
      </c>
      <c r="BK58" t="n">
        <v>0</v>
      </c>
      <c r="BL58" t="n">
        <v>44</v>
      </c>
    </row>
    <row r="59">
      <c r="A59" t="n">
        <v>4690612020396</v>
      </c>
      <c r="B59" t="inlineStr">
        <is>
          <t>Лампа светодиодная LED-СВЕЧА-VC 6Вт 230В Е14 4000К 570Лм IN HOME</t>
        </is>
      </c>
      <c r="C59" t="inlineStr">
        <is>
          <t>Лампа светодиодная LED-СВЕЧА-standard</t>
        </is>
      </c>
      <c r="D59" t="n">
        <v>4690612020396</v>
      </c>
      <c r="E59" t="inlineStr">
        <is>
          <t>http://darion-svet.com/web/binary/image?model=product.product&amp;id=14064&amp;field=image</t>
        </is>
      </c>
      <c r="F59" t="n">
        <v>2</v>
      </c>
      <c r="G59" t="inlineStr">
        <is>
          <t>Китай</t>
        </is>
      </c>
      <c r="H59" t="inlineStr">
        <is>
          <t>IN HOME</t>
        </is>
      </c>
      <c r="K59" t="inlineStr">
        <is>
          <t>LED</t>
        </is>
      </c>
      <c r="M59" t="n">
        <v>6</v>
      </c>
      <c r="N59" t="inlineStr">
        <is>
          <t>E14</t>
        </is>
      </c>
      <c r="O59" t="inlineStr">
        <is>
          <t>SMD</t>
        </is>
      </c>
      <c r="P59" t="n">
        <v>540</v>
      </c>
      <c r="Q59" t="n">
        <v>4000</v>
      </c>
      <c r="R59" t="n">
        <v>80</v>
      </c>
      <c r="T59" t="inlineStr">
        <is>
          <t>Д</t>
        </is>
      </c>
      <c r="U59" t="n">
        <v>30000</v>
      </c>
      <c r="V59" t="n">
        <v>107</v>
      </c>
      <c r="W59" t="n">
        <v>37</v>
      </c>
      <c r="AB59" t="n">
        <v>0.03</v>
      </c>
      <c r="AD59" t="inlineStr">
        <is>
          <t>полимерный материал</t>
        </is>
      </c>
      <c r="AE59" t="inlineStr">
        <is>
          <t>ABS пластик</t>
        </is>
      </c>
      <c r="AJ59" t="inlineStr">
        <is>
          <t>A1</t>
        </is>
      </c>
      <c r="AK59" t="n">
        <v>0.85</v>
      </c>
      <c r="AL59" t="n">
        <v>5</v>
      </c>
      <c r="AM59" t="n">
        <v>0.05</v>
      </c>
      <c r="AN59" t="n">
        <v>150</v>
      </c>
      <c r="AO59" t="n">
        <v>275</v>
      </c>
      <c r="AP59" t="n">
        <v>-10</v>
      </c>
      <c r="AQ59" t="n">
        <v>40</v>
      </c>
      <c r="AS59" t="inlineStr">
        <is>
          <t>Картон</t>
        </is>
      </c>
      <c r="AT59" t="inlineStr">
        <is>
          <t>Нет</t>
        </is>
      </c>
      <c r="AU59" t="n">
        <v>0.00019</v>
      </c>
      <c r="AV59" t="n">
        <v>0.03</v>
      </c>
      <c r="AW59" t="n">
        <v>100</v>
      </c>
      <c r="AX59" t="n">
        <v>38</v>
      </c>
      <c r="AY59" t="n">
        <v>38</v>
      </c>
      <c r="AZ59" t="n">
        <v>107</v>
      </c>
      <c r="BA59" t="n">
        <v>0.019</v>
      </c>
      <c r="BB59" t="n">
        <v>3</v>
      </c>
      <c r="BC59" t="n">
        <v>4690612020396</v>
      </c>
      <c r="BE59" t="inlineStr">
        <is>
          <t>http://darion-svet.com/shop/product/4690612020396-led-svecha-vc-6vt-230v-e14-4000k-480lm-in-home</t>
        </is>
      </c>
      <c r="BF59" t="inlineStr">
        <is>
          <t>http://darion-svet.com/web/binary/saveas?model=product.product&amp;field=conformity_cert&amp;filename_field=conformity_cert_filename&amp;id=14064</t>
        </is>
      </c>
      <c r="BG59" t="inlineStr">
        <is>
          <t>http://darion-svet.com/web/binary/saveas?model=product.product&amp;field=datasheet&amp;filename_field=datasheet_filename&amp;id=14064</t>
        </is>
      </c>
      <c r="BI59" t="n">
        <v>2</v>
      </c>
      <c r="BJ59" t="n">
        <v>33</v>
      </c>
      <c r="BK59" t="n">
        <v>0</v>
      </c>
      <c r="BL59" t="n">
        <v>44</v>
      </c>
    </row>
    <row r="60">
      <c r="A60" t="n">
        <v>4690612020402</v>
      </c>
      <c r="B60" t="inlineStr">
        <is>
          <t>Лампа светодиодная LED-СВЕЧА-VC 6Вт 230В Е27 3000К 570Лм IN HOME</t>
        </is>
      </c>
      <c r="C60" t="inlineStr">
        <is>
          <t>Лампа светодиодная LED-СВЕЧА-standard</t>
        </is>
      </c>
      <c r="D60" t="n">
        <v>4690612020402</v>
      </c>
      <c r="E60" t="inlineStr">
        <is>
          <t>http://darion-svet.com/web/binary/image?model=product.product&amp;id=14065&amp;field=image</t>
        </is>
      </c>
      <c r="F60" t="n">
        <v>2</v>
      </c>
      <c r="G60" t="inlineStr">
        <is>
          <t>Китай</t>
        </is>
      </c>
      <c r="H60" t="inlineStr">
        <is>
          <t>IN HOME</t>
        </is>
      </c>
      <c r="K60" t="inlineStr">
        <is>
          <t>LED</t>
        </is>
      </c>
      <c r="M60" t="n">
        <v>6</v>
      </c>
      <c r="N60" t="inlineStr">
        <is>
          <t>E27</t>
        </is>
      </c>
      <c r="O60" t="inlineStr">
        <is>
          <t>SMD</t>
        </is>
      </c>
      <c r="P60" t="n">
        <v>540</v>
      </c>
      <c r="Q60" t="n">
        <v>3000</v>
      </c>
      <c r="R60" t="n">
        <v>80</v>
      </c>
      <c r="T60" t="inlineStr">
        <is>
          <t>Д</t>
        </is>
      </c>
      <c r="U60" t="n">
        <v>30000</v>
      </c>
      <c r="V60" t="n">
        <v>107</v>
      </c>
      <c r="W60" t="n">
        <v>37</v>
      </c>
      <c r="AB60" t="n">
        <v>0.027</v>
      </c>
      <c r="AD60" t="inlineStr">
        <is>
          <t>полимерный материал</t>
        </is>
      </c>
      <c r="AE60" t="inlineStr">
        <is>
          <t>ABS пластик</t>
        </is>
      </c>
      <c r="AJ60" t="inlineStr">
        <is>
          <t>A1</t>
        </is>
      </c>
      <c r="AK60" t="n">
        <v>0.85</v>
      </c>
      <c r="AL60" t="n">
        <v>5</v>
      </c>
      <c r="AM60" t="n">
        <v>0.05</v>
      </c>
      <c r="AN60" t="n">
        <v>150</v>
      </c>
      <c r="AO60" t="n">
        <v>275</v>
      </c>
      <c r="AP60" t="n">
        <v>-10</v>
      </c>
      <c r="AQ60" t="n">
        <v>40</v>
      </c>
      <c r="AS60" t="inlineStr">
        <is>
          <t>Картон</t>
        </is>
      </c>
      <c r="AT60" t="inlineStr">
        <is>
          <t>Нет</t>
        </is>
      </c>
      <c r="AU60" t="n">
        <v>0.00019</v>
      </c>
      <c r="AV60" t="n">
        <v>0.027</v>
      </c>
      <c r="AW60" t="n">
        <v>100</v>
      </c>
      <c r="AX60" t="n">
        <v>38</v>
      </c>
      <c r="AY60" t="n">
        <v>38</v>
      </c>
      <c r="AZ60" t="n">
        <v>107</v>
      </c>
      <c r="BA60" t="n">
        <v>0.019</v>
      </c>
      <c r="BB60" t="n">
        <v>2.7</v>
      </c>
      <c r="BC60" t="n">
        <v>4690612020402</v>
      </c>
      <c r="BE60" t="inlineStr">
        <is>
          <t>http://darion-svet.com/shop/product/4690612020402-led-svecha-vc-6vt-230v-e27-3000k-480lm-in-home</t>
        </is>
      </c>
      <c r="BF60" t="inlineStr">
        <is>
          <t>http://darion-svet.com/web/binary/saveas?model=product.product&amp;field=conformity_cert&amp;filename_field=conformity_cert_filename&amp;id=14065</t>
        </is>
      </c>
      <c r="BG60" t="inlineStr">
        <is>
          <t>http://darion-svet.com/web/binary/saveas?model=product.product&amp;field=datasheet&amp;filename_field=datasheet_filename&amp;id=14065</t>
        </is>
      </c>
      <c r="BI60" t="n">
        <v>7</v>
      </c>
      <c r="BJ60" t="n">
        <v>29</v>
      </c>
      <c r="BK60" t="n">
        <v>0</v>
      </c>
      <c r="BL60" t="n">
        <v>44</v>
      </c>
    </row>
    <row r="61">
      <c r="A61" t="n">
        <v>4690612020433</v>
      </c>
      <c r="B61" t="inlineStr">
        <is>
          <t>Лампа светодиодная LED-СВЕЧА-VC 8Вт 230В Е14 4000К 760Лм IN HOME</t>
        </is>
      </c>
      <c r="C61" t="inlineStr">
        <is>
          <t>Лампа светодиодная LED-СВЕЧА-standard</t>
        </is>
      </c>
      <c r="D61" t="n">
        <v>4690612020433</v>
      </c>
      <c r="E61" t="inlineStr">
        <is>
          <t>http://darion-svet.com/web/binary/image?model=product.product&amp;id=14028&amp;field=image</t>
        </is>
      </c>
      <c r="F61" t="n">
        <v>2</v>
      </c>
      <c r="G61" t="inlineStr">
        <is>
          <t>Китай</t>
        </is>
      </c>
      <c r="H61" t="inlineStr">
        <is>
          <t>IN HOME</t>
        </is>
      </c>
      <c r="K61" t="inlineStr">
        <is>
          <t>LED</t>
        </is>
      </c>
      <c r="M61" t="n">
        <v>8</v>
      </c>
      <c r="N61" t="inlineStr">
        <is>
          <t>E14</t>
        </is>
      </c>
      <c r="O61" t="inlineStr">
        <is>
          <t>SMD</t>
        </is>
      </c>
      <c r="P61" t="n">
        <v>720</v>
      </c>
      <c r="Q61" t="n">
        <v>4000</v>
      </c>
      <c r="R61" t="n">
        <v>80</v>
      </c>
      <c r="T61" t="inlineStr">
        <is>
          <t>Д</t>
        </is>
      </c>
      <c r="U61" t="n">
        <v>30000</v>
      </c>
      <c r="V61" t="n">
        <v>107</v>
      </c>
      <c r="W61" t="n">
        <v>37</v>
      </c>
      <c r="AB61" t="n">
        <v>0.028</v>
      </c>
      <c r="AD61" t="inlineStr">
        <is>
          <t>полимерный материал</t>
        </is>
      </c>
      <c r="AE61" t="inlineStr">
        <is>
          <t>ABS пластик</t>
        </is>
      </c>
      <c r="AJ61" t="inlineStr">
        <is>
          <t>A1</t>
        </is>
      </c>
      <c r="AK61" t="n">
        <v>0.85</v>
      </c>
      <c r="AL61" t="n">
        <v>5</v>
      </c>
      <c r="AM61" t="n">
        <v>0.06</v>
      </c>
      <c r="AN61" t="n">
        <v>150</v>
      </c>
      <c r="AO61" t="n">
        <v>275</v>
      </c>
      <c r="AP61" t="n">
        <v>-10</v>
      </c>
      <c r="AQ61" t="n">
        <v>40</v>
      </c>
      <c r="AS61" t="inlineStr">
        <is>
          <t>Картон</t>
        </is>
      </c>
      <c r="AT61" t="inlineStr">
        <is>
          <t>Нет</t>
        </is>
      </c>
      <c r="AU61" t="n">
        <v>0.00019</v>
      </c>
      <c r="AV61" t="n">
        <v>0.028</v>
      </c>
      <c r="AW61" t="n">
        <v>100</v>
      </c>
      <c r="AX61" t="n">
        <v>38</v>
      </c>
      <c r="AY61" t="n">
        <v>38</v>
      </c>
      <c r="AZ61" t="n">
        <v>107</v>
      </c>
      <c r="BA61" t="n">
        <v>0.019</v>
      </c>
      <c r="BB61" t="n">
        <v>2.8</v>
      </c>
      <c r="BC61" t="n">
        <v>4690612020433</v>
      </c>
      <c r="BE61" t="inlineStr">
        <is>
          <t>http://darion-svet.com/shop/product/4690612020433-led-svecha-vc-8vt-230v-e14-4000k-600lm-in-home</t>
        </is>
      </c>
      <c r="BF61" t="inlineStr">
        <is>
          <t>http://darion-svet.com/web/binary/saveas?model=product.product&amp;field=conformity_cert&amp;filename_field=conformity_cert_filename&amp;id=14028</t>
        </is>
      </c>
      <c r="BG61" t="inlineStr">
        <is>
          <t>http://darion-svet.com/web/binary/saveas?model=product.product&amp;field=datasheet&amp;filename_field=datasheet_filename&amp;id=14028</t>
        </is>
      </c>
      <c r="BI61" t="n">
        <v>28</v>
      </c>
      <c r="BJ61" t="n">
        <v>34</v>
      </c>
      <c r="BK61" t="n">
        <v>0</v>
      </c>
      <c r="BL61" t="n">
        <v>44</v>
      </c>
    </row>
    <row r="62">
      <c r="A62" t="n">
        <v>4690612020440</v>
      </c>
      <c r="B62" t="inlineStr">
        <is>
          <t>Лампа светодиодная LED-СВЕЧА-VC 8Вт 230В Е27 3000К 760Лм IN HOME</t>
        </is>
      </c>
      <c r="C62" t="inlineStr">
        <is>
          <t>Лампа светодиодная LED-СВЕЧА-standard</t>
        </is>
      </c>
      <c r="D62" t="n">
        <v>4690612020440</v>
      </c>
      <c r="E62" t="inlineStr">
        <is>
          <t>http://darion-svet.com/web/binary/image?model=product.product&amp;id=14068&amp;field=image</t>
        </is>
      </c>
      <c r="F62" t="n">
        <v>2</v>
      </c>
      <c r="G62" t="inlineStr">
        <is>
          <t>Китай</t>
        </is>
      </c>
      <c r="H62" t="inlineStr">
        <is>
          <t>IN HOME</t>
        </is>
      </c>
      <c r="K62" t="inlineStr">
        <is>
          <t>LED</t>
        </is>
      </c>
      <c r="M62" t="n">
        <v>8</v>
      </c>
      <c r="N62" t="inlineStr">
        <is>
          <t>E27</t>
        </is>
      </c>
      <c r="O62" t="inlineStr">
        <is>
          <t>SMD</t>
        </is>
      </c>
      <c r="P62" t="n">
        <v>720</v>
      </c>
      <c r="Q62" t="n">
        <v>3000</v>
      </c>
      <c r="R62" t="n">
        <v>80</v>
      </c>
      <c r="T62" t="inlineStr">
        <is>
          <t>Д</t>
        </is>
      </c>
      <c r="U62" t="n">
        <v>30000</v>
      </c>
      <c r="V62" t="n">
        <v>107</v>
      </c>
      <c r="W62" t="n">
        <v>37</v>
      </c>
      <c r="AB62" t="n">
        <v>0.028</v>
      </c>
      <c r="AD62" t="inlineStr">
        <is>
          <t>полимерный материал</t>
        </is>
      </c>
      <c r="AE62" t="inlineStr">
        <is>
          <t>ABS пластик</t>
        </is>
      </c>
      <c r="AJ62" t="inlineStr">
        <is>
          <t>A1</t>
        </is>
      </c>
      <c r="AK62" t="n">
        <v>0.85</v>
      </c>
      <c r="AL62" t="n">
        <v>5</v>
      </c>
      <c r="AM62" t="n">
        <v>0.06</v>
      </c>
      <c r="AN62" t="n">
        <v>150</v>
      </c>
      <c r="AO62" t="n">
        <v>275</v>
      </c>
      <c r="AP62" t="n">
        <v>-10</v>
      </c>
      <c r="AQ62" t="n">
        <v>40</v>
      </c>
      <c r="AS62" t="inlineStr">
        <is>
          <t>Картон</t>
        </is>
      </c>
      <c r="AT62" t="inlineStr">
        <is>
          <t>Нет</t>
        </is>
      </c>
      <c r="AU62" t="n">
        <v>0.00019</v>
      </c>
      <c r="AV62" t="n">
        <v>0.028</v>
      </c>
      <c r="AW62" t="n">
        <v>100</v>
      </c>
      <c r="AX62" t="n">
        <v>38</v>
      </c>
      <c r="AY62" t="n">
        <v>38</v>
      </c>
      <c r="AZ62" t="n">
        <v>107</v>
      </c>
      <c r="BA62" t="n">
        <v>0.019</v>
      </c>
      <c r="BB62" t="n">
        <v>2.8</v>
      </c>
      <c r="BC62" t="n">
        <v>4690612020440</v>
      </c>
      <c r="BE62" t="inlineStr">
        <is>
          <t>http://darion-svet.com/shop/product/4690612020440-led-svecha-vc-8vt-230v-e27-3000k-600lm-in-home</t>
        </is>
      </c>
      <c r="BF62" t="inlineStr">
        <is>
          <t>http://darion-svet.com/web/binary/saveas?model=product.product&amp;field=conformity_cert&amp;filename_field=conformity_cert_filename&amp;id=14068</t>
        </is>
      </c>
      <c r="BG62" t="inlineStr">
        <is>
          <t>http://darion-svet.com/web/binary/saveas?model=product.product&amp;field=datasheet&amp;filename_field=datasheet_filename&amp;id=14068</t>
        </is>
      </c>
      <c r="BI62" t="n">
        <v>53</v>
      </c>
      <c r="BJ62" t="n">
        <v>34</v>
      </c>
      <c r="BK62" t="n">
        <v>0</v>
      </c>
      <c r="BL62" t="n">
        <v>44</v>
      </c>
    </row>
    <row r="63">
      <c r="A63" t="n">
        <v>4690612020457</v>
      </c>
      <c r="B63" t="inlineStr">
        <is>
          <t>Лампа светодиодная LED-СВЕЧА-VC 8Вт 230В Е27 4000К 760Лм IN HOME</t>
        </is>
      </c>
      <c r="C63" t="inlineStr">
        <is>
          <t>Лампа светодиодная LED-СВЕЧА-standard</t>
        </is>
      </c>
      <c r="D63" t="n">
        <v>4690612020457</v>
      </c>
      <c r="E63" t="inlineStr">
        <is>
          <t>http://darion-svet.com/web/binary/image?model=product.product&amp;id=14069&amp;field=image</t>
        </is>
      </c>
      <c r="F63" t="n">
        <v>2</v>
      </c>
      <c r="G63" t="inlineStr">
        <is>
          <t>Китай</t>
        </is>
      </c>
      <c r="H63" t="inlineStr">
        <is>
          <t>IN HOME</t>
        </is>
      </c>
      <c r="K63" t="inlineStr">
        <is>
          <t>LED</t>
        </is>
      </c>
      <c r="M63" t="n">
        <v>8</v>
      </c>
      <c r="N63" t="inlineStr">
        <is>
          <t>E27</t>
        </is>
      </c>
      <c r="O63" t="inlineStr">
        <is>
          <t>SMD</t>
        </is>
      </c>
      <c r="P63" t="n">
        <v>720</v>
      </c>
      <c r="Q63" t="n">
        <v>4000</v>
      </c>
      <c r="R63" t="n">
        <v>80</v>
      </c>
      <c r="T63" t="inlineStr">
        <is>
          <t>Д</t>
        </is>
      </c>
      <c r="U63" t="n">
        <v>30000</v>
      </c>
      <c r="V63" t="n">
        <v>107</v>
      </c>
      <c r="W63" t="n">
        <v>37</v>
      </c>
      <c r="AB63" t="n">
        <v>0.028</v>
      </c>
      <c r="AD63" t="inlineStr">
        <is>
          <t>полимерный материал</t>
        </is>
      </c>
      <c r="AE63" t="inlineStr">
        <is>
          <t>ABS пластик</t>
        </is>
      </c>
      <c r="AJ63" t="inlineStr">
        <is>
          <t>A1</t>
        </is>
      </c>
      <c r="AK63" t="n">
        <v>0.85</v>
      </c>
      <c r="AL63" t="n">
        <v>5</v>
      </c>
      <c r="AM63" t="n">
        <v>0.06</v>
      </c>
      <c r="AN63" t="n">
        <v>150</v>
      </c>
      <c r="AO63" t="n">
        <v>275</v>
      </c>
      <c r="AP63" t="n">
        <v>-10</v>
      </c>
      <c r="AQ63" t="n">
        <v>40</v>
      </c>
      <c r="AS63" t="inlineStr">
        <is>
          <t>Картон</t>
        </is>
      </c>
      <c r="AT63" t="inlineStr">
        <is>
          <t>Нет</t>
        </is>
      </c>
      <c r="AU63" t="n">
        <v>0.00019</v>
      </c>
      <c r="AV63" t="n">
        <v>0.028</v>
      </c>
      <c r="AW63" t="n">
        <v>100</v>
      </c>
      <c r="AX63" t="n">
        <v>38</v>
      </c>
      <c r="AY63" t="n">
        <v>38</v>
      </c>
      <c r="AZ63" t="n">
        <v>107</v>
      </c>
      <c r="BA63" t="n">
        <v>0.019</v>
      </c>
      <c r="BB63" t="n">
        <v>2.8</v>
      </c>
      <c r="BC63" t="n">
        <v>4690612020457</v>
      </c>
      <c r="BE63" t="inlineStr">
        <is>
          <t>http://darion-svet.com/shop/product/4690612020457-led-svecha-vc-8vt-230v-e27-4000k-600lm-in-home</t>
        </is>
      </c>
      <c r="BF63" t="inlineStr">
        <is>
          <t>http://darion-svet.com/web/binary/saveas?model=product.product&amp;field=conformity_cert&amp;filename_field=conformity_cert_filename&amp;id=14069</t>
        </is>
      </c>
      <c r="BG63" t="inlineStr">
        <is>
          <t>http://darion-svet.com/web/binary/saveas?model=product.product&amp;field=datasheet&amp;filename_field=datasheet_filename&amp;id=14069</t>
        </is>
      </c>
      <c r="BI63" t="n">
        <v>12</v>
      </c>
      <c r="BJ63" t="n">
        <v>34</v>
      </c>
      <c r="BK63" t="n">
        <v>0</v>
      </c>
      <c r="BL63" t="n">
        <v>44</v>
      </c>
    </row>
    <row r="64">
      <c r="A64" t="n">
        <v>4690612020464</v>
      </c>
      <c r="B64" t="inlineStr">
        <is>
          <t>Лампа светодиодная LED-СВЕЧА-VC 11Вт 230В Е14 3000К 1050Лм IN HOME</t>
        </is>
      </c>
      <c r="C64" t="inlineStr">
        <is>
          <t>Лампа светодиодная LED-СВЕЧА-standard</t>
        </is>
      </c>
      <c r="D64" t="n">
        <v>4690612020464</v>
      </c>
      <c r="E64" t="inlineStr">
        <is>
          <t>http://darion-svet.com/web/binary/image?model=product.product&amp;id=14059&amp;field=image</t>
        </is>
      </c>
      <c r="F64" t="n">
        <v>2</v>
      </c>
      <c r="G64" t="inlineStr">
        <is>
          <t>Китай</t>
        </is>
      </c>
      <c r="H64" t="inlineStr">
        <is>
          <t>IN HOME</t>
        </is>
      </c>
      <c r="K64" t="inlineStr">
        <is>
          <t>LED</t>
        </is>
      </c>
      <c r="M64" t="n">
        <v>11</v>
      </c>
      <c r="N64" t="inlineStr">
        <is>
          <t>E14</t>
        </is>
      </c>
      <c r="O64" t="inlineStr">
        <is>
          <t>SMD</t>
        </is>
      </c>
      <c r="P64" t="n">
        <v>990</v>
      </c>
      <c r="Q64" t="n">
        <v>3000</v>
      </c>
      <c r="R64" t="n">
        <v>80</v>
      </c>
      <c r="T64" t="inlineStr">
        <is>
          <t>Д</t>
        </is>
      </c>
      <c r="U64" t="n">
        <v>30000</v>
      </c>
      <c r="V64" t="n">
        <v>107</v>
      </c>
      <c r="W64" t="n">
        <v>37</v>
      </c>
      <c r="AB64" t="n">
        <v>0.035</v>
      </c>
      <c r="AD64" t="inlineStr">
        <is>
          <t>полимерный материал</t>
        </is>
      </c>
      <c r="AE64" t="inlineStr">
        <is>
          <t>ABS пластик</t>
        </is>
      </c>
      <c r="AJ64" t="inlineStr">
        <is>
          <t>A1</t>
        </is>
      </c>
      <c r="AK64" t="n">
        <v>0.85</v>
      </c>
      <c r="AL64" t="n">
        <v>5</v>
      </c>
      <c r="AM64" t="n">
        <v>0.08</v>
      </c>
      <c r="AN64" t="n">
        <v>150</v>
      </c>
      <c r="AO64" t="n">
        <v>275</v>
      </c>
      <c r="AP64" t="n">
        <v>-10</v>
      </c>
      <c r="AQ64" t="n">
        <v>40</v>
      </c>
      <c r="AS64" t="inlineStr">
        <is>
          <t>Картон</t>
        </is>
      </c>
      <c r="AT64" t="inlineStr">
        <is>
          <t>Нет</t>
        </is>
      </c>
      <c r="AU64" t="n">
        <v>0.00019</v>
      </c>
      <c r="AV64" t="n">
        <v>0.035</v>
      </c>
      <c r="AW64" t="n">
        <v>100</v>
      </c>
      <c r="AX64" t="n">
        <v>38</v>
      </c>
      <c r="AY64" t="n">
        <v>38</v>
      </c>
      <c r="AZ64" t="n">
        <v>107</v>
      </c>
      <c r="BA64" t="n">
        <v>0.019</v>
      </c>
      <c r="BB64" t="n">
        <v>3.5</v>
      </c>
      <c r="BC64" t="n">
        <v>4690612020464</v>
      </c>
      <c r="BE64" t="inlineStr">
        <is>
          <t>http://darion-svet.com/shop/product/4690612020464-led-svecha-vc-11vt-230v-e14-3000k-820lm-in-home</t>
        </is>
      </c>
      <c r="BF64" t="inlineStr">
        <is>
          <t>http://darion-svet.com/web/binary/saveas?model=product.product&amp;field=conformity_cert&amp;filename_field=conformity_cert_filename&amp;id=14059</t>
        </is>
      </c>
      <c r="BG64" t="inlineStr">
        <is>
          <t>http://darion-svet.com/web/binary/saveas?model=product.product&amp;field=datasheet&amp;filename_field=datasheet_filename&amp;id=14059</t>
        </is>
      </c>
      <c r="BI64" t="n">
        <v>36</v>
      </c>
      <c r="BJ64" t="n">
        <v>35</v>
      </c>
      <c r="BK64" t="n">
        <v>0</v>
      </c>
      <c r="BL64" t="n">
        <v>44</v>
      </c>
    </row>
    <row r="65">
      <c r="A65" t="n">
        <v>4690612020471</v>
      </c>
      <c r="B65" t="inlineStr">
        <is>
          <t>Лампа светодиодная LED-СВЕЧА-VC 11Вт 230В Е14 4000К 1050Лм IN HOME</t>
        </is>
      </c>
      <c r="C65" t="inlineStr">
        <is>
          <t>Лампа светодиодная LED-СВЕЧА-standard</t>
        </is>
      </c>
      <c r="D65" t="n">
        <v>4690612020471</v>
      </c>
      <c r="E65" t="inlineStr">
        <is>
          <t>http://darion-svet.com/web/binary/image?model=product.product&amp;id=14060&amp;field=image</t>
        </is>
      </c>
      <c r="F65" t="n">
        <v>2</v>
      </c>
      <c r="G65" t="inlineStr">
        <is>
          <t>Китай</t>
        </is>
      </c>
      <c r="H65" t="inlineStr">
        <is>
          <t>IN HOME</t>
        </is>
      </c>
      <c r="K65" t="inlineStr">
        <is>
          <t>LED</t>
        </is>
      </c>
      <c r="M65" t="n">
        <v>11</v>
      </c>
      <c r="N65" t="inlineStr">
        <is>
          <t>E14</t>
        </is>
      </c>
      <c r="O65" t="inlineStr">
        <is>
          <t>SMD</t>
        </is>
      </c>
      <c r="P65" t="n">
        <v>990</v>
      </c>
      <c r="Q65" t="n">
        <v>4000</v>
      </c>
      <c r="R65" t="n">
        <v>80</v>
      </c>
      <c r="T65" t="inlineStr">
        <is>
          <t>Д</t>
        </is>
      </c>
      <c r="U65" t="n">
        <v>30000</v>
      </c>
      <c r="V65" t="n">
        <v>107</v>
      </c>
      <c r="W65" t="n">
        <v>37</v>
      </c>
      <c r="AB65" t="n">
        <v>0.035</v>
      </c>
      <c r="AD65" t="inlineStr">
        <is>
          <t>полимерный материал</t>
        </is>
      </c>
      <c r="AE65" t="inlineStr">
        <is>
          <t>ABS пластик</t>
        </is>
      </c>
      <c r="AJ65" t="inlineStr">
        <is>
          <t>A1</t>
        </is>
      </c>
      <c r="AK65" t="n">
        <v>0.85</v>
      </c>
      <c r="AL65" t="n">
        <v>5</v>
      </c>
      <c r="AM65" t="n">
        <v>0.08</v>
      </c>
      <c r="AN65" t="n">
        <v>150</v>
      </c>
      <c r="AO65" t="n">
        <v>275</v>
      </c>
      <c r="AP65" t="n">
        <v>-10</v>
      </c>
      <c r="AQ65" t="n">
        <v>40</v>
      </c>
      <c r="AS65" t="inlineStr">
        <is>
          <t>Картон</t>
        </is>
      </c>
      <c r="AT65" t="inlineStr">
        <is>
          <t>Нет</t>
        </is>
      </c>
      <c r="AU65" t="n">
        <v>0.00019</v>
      </c>
      <c r="AV65" t="n">
        <v>0.035</v>
      </c>
      <c r="AW65" t="n">
        <v>100</v>
      </c>
      <c r="AX65" t="n">
        <v>38</v>
      </c>
      <c r="AY65" t="n">
        <v>38</v>
      </c>
      <c r="AZ65" t="n">
        <v>107</v>
      </c>
      <c r="BA65" t="n">
        <v>0.019</v>
      </c>
      <c r="BB65" t="n">
        <v>3.5</v>
      </c>
      <c r="BC65" t="n">
        <v>4690612020471</v>
      </c>
      <c r="BE65" t="inlineStr">
        <is>
          <t>http://darion-svet.com/shop/product/4690612020471-led-svecha-vc-11vt-230v-e14-4000k-820lm-in-home</t>
        </is>
      </c>
      <c r="BF65" t="inlineStr">
        <is>
          <t>http://darion-svet.com/web/binary/saveas?model=product.product&amp;field=conformity_cert&amp;filename_field=conformity_cert_filename&amp;id=14060</t>
        </is>
      </c>
      <c r="BG65" t="inlineStr">
        <is>
          <t>http://darion-svet.com/web/binary/saveas?model=product.product&amp;field=datasheet&amp;filename_field=datasheet_filename&amp;id=14060</t>
        </is>
      </c>
      <c r="BI65" t="n">
        <v>32</v>
      </c>
      <c r="BJ65" t="n">
        <v>35</v>
      </c>
      <c r="BK65" t="n">
        <v>0</v>
      </c>
      <c r="BL65" t="n">
        <v>44</v>
      </c>
    </row>
    <row r="66">
      <c r="A66" t="n">
        <v>4690612020495</v>
      </c>
      <c r="B66" t="inlineStr">
        <is>
          <t>Лампа светодиодная LED-СВЕЧА-VC 11Вт 230В Е27 4000К 1050Лм IN HOME</t>
        </is>
      </c>
      <c r="C66" t="inlineStr">
        <is>
          <t>Лампа светодиодная LED-СВЕЧА-standard</t>
        </is>
      </c>
      <c r="D66" t="n">
        <v>4690612020495</v>
      </c>
      <c r="E66" t="inlineStr">
        <is>
          <t>http://darion-svet.com/web/binary/image?model=product.product&amp;id=14062&amp;field=image</t>
        </is>
      </c>
      <c r="F66" t="n">
        <v>2</v>
      </c>
      <c r="G66" t="inlineStr">
        <is>
          <t>Китай</t>
        </is>
      </c>
      <c r="H66" t="inlineStr">
        <is>
          <t>IN HOME</t>
        </is>
      </c>
      <c r="K66" t="inlineStr">
        <is>
          <t>LED</t>
        </is>
      </c>
      <c r="M66" t="n">
        <v>11</v>
      </c>
      <c r="N66" t="inlineStr">
        <is>
          <t>E27</t>
        </is>
      </c>
      <c r="O66" t="inlineStr">
        <is>
          <t>SMD</t>
        </is>
      </c>
      <c r="P66" t="n">
        <v>990</v>
      </c>
      <c r="Q66" t="n">
        <v>4000</v>
      </c>
      <c r="R66" t="n">
        <v>80</v>
      </c>
      <c r="T66" t="inlineStr">
        <is>
          <t>Д</t>
        </is>
      </c>
      <c r="U66" t="n">
        <v>30000</v>
      </c>
      <c r="V66" t="n">
        <v>107</v>
      </c>
      <c r="W66" t="n">
        <v>37</v>
      </c>
      <c r="AB66" t="n">
        <v>0.036</v>
      </c>
      <c r="AD66" t="inlineStr">
        <is>
          <t>полимерный материал</t>
        </is>
      </c>
      <c r="AE66" t="inlineStr">
        <is>
          <t>ABS пластик</t>
        </is>
      </c>
      <c r="AJ66" t="inlineStr">
        <is>
          <t>A1</t>
        </is>
      </c>
      <c r="AK66" t="n">
        <v>0.85</v>
      </c>
      <c r="AL66" t="n">
        <v>5</v>
      </c>
      <c r="AM66" t="n">
        <v>0.08</v>
      </c>
      <c r="AN66" t="n">
        <v>150</v>
      </c>
      <c r="AO66" t="n">
        <v>275</v>
      </c>
      <c r="AP66" t="n">
        <v>-10</v>
      </c>
      <c r="AQ66" t="n">
        <v>40</v>
      </c>
      <c r="AS66" t="inlineStr">
        <is>
          <t>Картон</t>
        </is>
      </c>
      <c r="AT66" t="inlineStr">
        <is>
          <t>Нет</t>
        </is>
      </c>
      <c r="AU66" t="n">
        <v>0.00019</v>
      </c>
      <c r="AV66" t="n">
        <v>0.036</v>
      </c>
      <c r="AW66" t="n">
        <v>100</v>
      </c>
      <c r="AX66" t="n">
        <v>38</v>
      </c>
      <c r="AY66" t="n">
        <v>38</v>
      </c>
      <c r="AZ66" t="n">
        <v>107</v>
      </c>
      <c r="BA66" t="n">
        <v>0.019</v>
      </c>
      <c r="BB66" t="n">
        <v>3.6</v>
      </c>
      <c r="BC66" t="n">
        <v>4690612020495</v>
      </c>
      <c r="BE66" t="inlineStr">
        <is>
          <t>http://darion-svet.com/shop/product/4690612020495-led-svecha-vc-11vt-230v-e27-4000k-820lm-in-home</t>
        </is>
      </c>
      <c r="BF66" t="inlineStr">
        <is>
          <t>http://darion-svet.com/web/binary/saveas?model=product.product&amp;field=conformity_cert&amp;filename_field=conformity_cert_filename&amp;id=14062</t>
        </is>
      </c>
      <c r="BG66" t="inlineStr">
        <is>
          <t>http://darion-svet.com/web/binary/saveas?model=product.product&amp;field=datasheet&amp;filename_field=datasheet_filename&amp;id=14062</t>
        </is>
      </c>
      <c r="BI66" t="n">
        <v>12</v>
      </c>
      <c r="BJ66" t="n">
        <v>35</v>
      </c>
      <c r="BK66" t="n">
        <v>0</v>
      </c>
      <c r="BL66" t="n">
        <v>44</v>
      </c>
    </row>
    <row r="67">
      <c r="A67" t="n">
        <v>4690612020501</v>
      </c>
      <c r="B67" t="inlineStr">
        <is>
          <t>Лампа светодиодная LED-ШАР-VC 6Вт 230В Е14 3000К 570Лм IN HOME</t>
        </is>
      </c>
      <c r="C67" t="inlineStr">
        <is>
          <t>Лампа светодиодная LED-ШАР-standard</t>
        </is>
      </c>
      <c r="D67" t="n">
        <v>4690612020501</v>
      </c>
      <c r="E67" t="inlineStr">
        <is>
          <t>http://darion-svet.com/web/binary/image?model=product.product&amp;id=14074&amp;field=image</t>
        </is>
      </c>
      <c r="F67" t="n">
        <v>2</v>
      </c>
      <c r="G67" t="inlineStr">
        <is>
          <t>Китай</t>
        </is>
      </c>
      <c r="H67" t="inlineStr">
        <is>
          <t>IN HOME</t>
        </is>
      </c>
      <c r="K67" t="inlineStr">
        <is>
          <t>LED</t>
        </is>
      </c>
      <c r="M67" t="n">
        <v>6</v>
      </c>
      <c r="N67" t="inlineStr">
        <is>
          <t>E14</t>
        </is>
      </c>
      <c r="O67" t="inlineStr">
        <is>
          <t>SMD</t>
        </is>
      </c>
      <c r="P67" t="n">
        <v>540</v>
      </c>
      <c r="Q67" t="n">
        <v>3000</v>
      </c>
      <c r="R67" t="n">
        <v>80</v>
      </c>
      <c r="T67" t="inlineStr">
        <is>
          <t>Д</t>
        </is>
      </c>
      <c r="U67" t="n">
        <v>30000</v>
      </c>
      <c r="V67" t="n">
        <v>83</v>
      </c>
      <c r="W67" t="n">
        <v>45</v>
      </c>
      <c r="AB67" t="n">
        <v>0.031</v>
      </c>
      <c r="AD67" t="inlineStr">
        <is>
          <t>полимерный материал</t>
        </is>
      </c>
      <c r="AE67" t="inlineStr">
        <is>
          <t>ABS пластик</t>
        </is>
      </c>
      <c r="AJ67" t="inlineStr">
        <is>
          <t>A1</t>
        </is>
      </c>
      <c r="AK67" t="n">
        <v>0.85</v>
      </c>
      <c r="AL67" t="n">
        <v>5</v>
      </c>
      <c r="AM67" t="n">
        <v>0.05</v>
      </c>
      <c r="AN67" t="n">
        <v>150</v>
      </c>
      <c r="AO67" t="n">
        <v>275</v>
      </c>
      <c r="AP67" t="n">
        <v>-10</v>
      </c>
      <c r="AQ67" t="n">
        <v>40</v>
      </c>
      <c r="AS67" t="inlineStr">
        <is>
          <t>Картон</t>
        </is>
      </c>
      <c r="AT67" t="inlineStr">
        <is>
          <t>Нет</t>
        </is>
      </c>
      <c r="AU67" t="n">
        <v>0.00023</v>
      </c>
      <c r="AV67" t="n">
        <v>0.031</v>
      </c>
      <c r="AW67" t="n">
        <v>100</v>
      </c>
      <c r="AX67" t="n">
        <v>46</v>
      </c>
      <c r="AY67" t="n">
        <v>46</v>
      </c>
      <c r="AZ67" t="n">
        <v>85</v>
      </c>
      <c r="BA67" t="n">
        <v>0.023</v>
      </c>
      <c r="BB67" t="n">
        <v>3.1</v>
      </c>
      <c r="BC67" t="n">
        <v>4690612020501</v>
      </c>
      <c r="BE67" t="inlineStr">
        <is>
          <t>http://darion-svet.com/shop/product/4690612020501-led-shar-vc-6vt-230v-e14-3000k-480lm-in-home</t>
        </is>
      </c>
      <c r="BF67" t="inlineStr">
        <is>
          <t>http://darion-svet.com/web/binary/saveas?model=product.product&amp;field=conformity_cert&amp;filename_field=conformity_cert_filename&amp;id=14074</t>
        </is>
      </c>
      <c r="BG67" t="inlineStr">
        <is>
          <t>http://darion-svet.com/web/binary/saveas?model=product.product&amp;field=datasheet&amp;filename_field=datasheet_filename&amp;id=14074</t>
        </is>
      </c>
      <c r="BI67" t="n">
        <v>13</v>
      </c>
      <c r="BJ67" t="n">
        <v>26</v>
      </c>
      <c r="BK67" t="n">
        <v>0</v>
      </c>
      <c r="BL67" t="n">
        <v>44</v>
      </c>
    </row>
    <row r="68">
      <c r="A68" t="n">
        <v>4690612020518</v>
      </c>
      <c r="B68" t="inlineStr">
        <is>
          <t>Лампа светодиодная LED-ШАР-VC 6Вт 230В Е14 4000К 570Лм IN HOME</t>
        </is>
      </c>
      <c r="C68" t="inlineStr">
        <is>
          <t>Лампа светодиодная LED-ШАР-standard</t>
        </is>
      </c>
      <c r="D68" t="n">
        <v>4690612020518</v>
      </c>
      <c r="E68" t="inlineStr">
        <is>
          <t>http://darion-svet.com/web/binary/image?model=product.product&amp;id=14075&amp;field=image</t>
        </is>
      </c>
      <c r="F68" t="n">
        <v>2</v>
      </c>
      <c r="G68" t="inlineStr">
        <is>
          <t>Китай</t>
        </is>
      </c>
      <c r="H68" t="inlineStr">
        <is>
          <t>IN HOME</t>
        </is>
      </c>
      <c r="K68" t="inlineStr">
        <is>
          <t>LED</t>
        </is>
      </c>
      <c r="M68" t="n">
        <v>6</v>
      </c>
      <c r="N68" t="inlineStr">
        <is>
          <t>E14</t>
        </is>
      </c>
      <c r="O68" t="inlineStr">
        <is>
          <t>SMD</t>
        </is>
      </c>
      <c r="P68" t="n">
        <v>540</v>
      </c>
      <c r="Q68" t="n">
        <v>4000</v>
      </c>
      <c r="R68" t="n">
        <v>80</v>
      </c>
      <c r="T68" t="inlineStr">
        <is>
          <t>Д</t>
        </is>
      </c>
      <c r="U68" t="n">
        <v>30000</v>
      </c>
      <c r="V68" t="n">
        <v>83</v>
      </c>
      <c r="W68" t="n">
        <v>45</v>
      </c>
      <c r="AB68" t="n">
        <v>0.031</v>
      </c>
      <c r="AD68" t="inlineStr">
        <is>
          <t>полимерный материал</t>
        </is>
      </c>
      <c r="AE68" t="inlineStr">
        <is>
          <t>ABS пластик</t>
        </is>
      </c>
      <c r="AJ68" t="inlineStr">
        <is>
          <t>A1</t>
        </is>
      </c>
      <c r="AK68" t="n">
        <v>0.85</v>
      </c>
      <c r="AL68" t="n">
        <v>5</v>
      </c>
      <c r="AM68" t="n">
        <v>0.05</v>
      </c>
      <c r="AN68" t="n">
        <v>150</v>
      </c>
      <c r="AO68" t="n">
        <v>275</v>
      </c>
      <c r="AP68" t="n">
        <v>-10</v>
      </c>
      <c r="AQ68" t="n">
        <v>40</v>
      </c>
      <c r="AS68" t="inlineStr">
        <is>
          <t>Картон</t>
        </is>
      </c>
      <c r="AT68" t="inlineStr">
        <is>
          <t>Нет</t>
        </is>
      </c>
      <c r="AU68" t="n">
        <v>0.00023</v>
      </c>
      <c r="AV68" t="n">
        <v>0.031</v>
      </c>
      <c r="AW68" t="n">
        <v>100</v>
      </c>
      <c r="AX68" t="n">
        <v>46</v>
      </c>
      <c r="AY68" t="n">
        <v>46</v>
      </c>
      <c r="AZ68" t="n">
        <v>85</v>
      </c>
      <c r="BA68" t="n">
        <v>0.023</v>
      </c>
      <c r="BB68" t="n">
        <v>3.1</v>
      </c>
      <c r="BC68" t="n">
        <v>4690612020518</v>
      </c>
      <c r="BE68" t="inlineStr">
        <is>
          <t>http://darion-svet.com/shop/product/4690612020518-led-shar-vc-6vt-230v-e14-4000k-480lm-in-home</t>
        </is>
      </c>
      <c r="BF68" t="inlineStr">
        <is>
          <t>http://darion-svet.com/web/binary/saveas?model=product.product&amp;field=conformity_cert&amp;filename_field=conformity_cert_filename&amp;id=14075</t>
        </is>
      </c>
      <c r="BG68" t="inlineStr">
        <is>
          <t>http://darion-svet.com/web/binary/saveas?model=product.product&amp;field=datasheet&amp;filename_field=datasheet_filename&amp;id=14075</t>
        </is>
      </c>
      <c r="BI68" t="n">
        <v>30</v>
      </c>
      <c r="BJ68" t="n">
        <v>33</v>
      </c>
      <c r="BK68" t="n">
        <v>0</v>
      </c>
      <c r="BL68" t="n">
        <v>44</v>
      </c>
    </row>
    <row r="69">
      <c r="A69" t="n">
        <v>4690612020525</v>
      </c>
      <c r="B69" t="inlineStr">
        <is>
          <t>Лампа светодиодная LED-ШАР-VC 6Вт 230В Е27 3000К 570Лм IN HOME</t>
        </is>
      </c>
      <c r="C69" t="inlineStr">
        <is>
          <t>Лампа светодиодная LED-ШАР-standard</t>
        </is>
      </c>
      <c r="D69" t="n">
        <v>4690612020525</v>
      </c>
      <c r="E69" t="inlineStr">
        <is>
          <t>http://darion-svet.com/web/binary/image?model=product.product&amp;id=14076&amp;field=image</t>
        </is>
      </c>
      <c r="F69" t="n">
        <v>2</v>
      </c>
      <c r="G69" t="inlineStr">
        <is>
          <t>Китай</t>
        </is>
      </c>
      <c r="H69" t="inlineStr">
        <is>
          <t>IN HOME</t>
        </is>
      </c>
      <c r="K69" t="inlineStr">
        <is>
          <t>LED</t>
        </is>
      </c>
      <c r="M69" t="n">
        <v>6</v>
      </c>
      <c r="N69" t="inlineStr">
        <is>
          <t>E27</t>
        </is>
      </c>
      <c r="O69" t="inlineStr">
        <is>
          <t>SMD</t>
        </is>
      </c>
      <c r="P69" t="n">
        <v>540</v>
      </c>
      <c r="Q69" t="n">
        <v>3000</v>
      </c>
      <c r="R69" t="n">
        <v>80</v>
      </c>
      <c r="T69" t="inlineStr">
        <is>
          <t>Д</t>
        </is>
      </c>
      <c r="U69" t="n">
        <v>30000</v>
      </c>
      <c r="V69" t="n">
        <v>83</v>
      </c>
      <c r="W69" t="n">
        <v>45</v>
      </c>
      <c r="AB69" t="n">
        <v>0.031</v>
      </c>
      <c r="AD69" t="inlineStr">
        <is>
          <t>полимерный материал</t>
        </is>
      </c>
      <c r="AE69" t="inlineStr">
        <is>
          <t>ABS пластик</t>
        </is>
      </c>
      <c r="AJ69" t="inlineStr">
        <is>
          <t>A1</t>
        </is>
      </c>
      <c r="AK69" t="n">
        <v>0.85</v>
      </c>
      <c r="AL69" t="n">
        <v>5</v>
      </c>
      <c r="AM69" t="n">
        <v>0.05</v>
      </c>
      <c r="AN69" t="n">
        <v>150</v>
      </c>
      <c r="AO69" t="n">
        <v>275</v>
      </c>
      <c r="AP69" t="n">
        <v>-10</v>
      </c>
      <c r="AQ69" t="n">
        <v>40</v>
      </c>
      <c r="AS69" t="inlineStr">
        <is>
          <t>Картон</t>
        </is>
      </c>
      <c r="AT69" t="inlineStr">
        <is>
          <t>Нет</t>
        </is>
      </c>
      <c r="AU69" t="n">
        <v>0.00023</v>
      </c>
      <c r="AV69" t="n">
        <v>0.031</v>
      </c>
      <c r="AW69" t="n">
        <v>100</v>
      </c>
      <c r="AX69" t="n">
        <v>46</v>
      </c>
      <c r="AY69" t="n">
        <v>46</v>
      </c>
      <c r="AZ69" t="n">
        <v>85</v>
      </c>
      <c r="BA69" t="n">
        <v>0.023</v>
      </c>
      <c r="BB69" t="n">
        <v>3.1</v>
      </c>
      <c r="BC69" t="n">
        <v>4690612020525</v>
      </c>
      <c r="BE69" t="inlineStr">
        <is>
          <t>http://darion-svet.com/shop/product/4690612020525-led-shar-vc-6vt-230v-e27-3000k-480lm-in-home</t>
        </is>
      </c>
      <c r="BF69" t="inlineStr">
        <is>
          <t>http://darion-svet.com/web/binary/saveas?model=product.product&amp;field=conformity_cert&amp;filename_field=conformity_cert_filename&amp;id=14076</t>
        </is>
      </c>
      <c r="BG69" t="inlineStr">
        <is>
          <t>http://darion-svet.com/web/binary/saveas?model=product.product&amp;field=datasheet&amp;filename_field=datasheet_filename&amp;id=14076</t>
        </is>
      </c>
      <c r="BI69" t="n">
        <v>7</v>
      </c>
      <c r="BJ69" t="n">
        <v>33</v>
      </c>
      <c r="BK69" t="n">
        <v>0</v>
      </c>
      <c r="BL69" t="n">
        <v>44</v>
      </c>
    </row>
    <row r="70">
      <c r="A70" t="n">
        <v>4690612020549</v>
      </c>
      <c r="B70" t="inlineStr">
        <is>
          <t>Лампа светодиодная LED-ШАР-VC 8Вт 230В Е14 3000К 760Лм IN HOME</t>
        </is>
      </c>
      <c r="C70" t="inlineStr">
        <is>
          <t>Лампа светодиодная LED-ШАР-standard</t>
        </is>
      </c>
      <c r="D70" t="n">
        <v>4690612020549</v>
      </c>
      <c r="E70" t="inlineStr">
        <is>
          <t>http://darion-svet.com/web/binary/image?model=product.product&amp;id=14078&amp;field=image</t>
        </is>
      </c>
      <c r="F70" t="n">
        <v>2</v>
      </c>
      <c r="G70" t="inlineStr">
        <is>
          <t>Китай</t>
        </is>
      </c>
      <c r="H70" t="inlineStr">
        <is>
          <t>IN HOME</t>
        </is>
      </c>
      <c r="K70" t="inlineStr">
        <is>
          <t>LED</t>
        </is>
      </c>
      <c r="M70" t="n">
        <v>8</v>
      </c>
      <c r="N70" t="inlineStr">
        <is>
          <t>E14</t>
        </is>
      </c>
      <c r="O70" t="inlineStr">
        <is>
          <t>SMD</t>
        </is>
      </c>
      <c r="P70" t="n">
        <v>720</v>
      </c>
      <c r="Q70" t="n">
        <v>3000</v>
      </c>
      <c r="R70" t="n">
        <v>80</v>
      </c>
      <c r="T70" t="inlineStr">
        <is>
          <t>Д</t>
        </is>
      </c>
      <c r="U70" t="n">
        <v>30000</v>
      </c>
      <c r="V70" t="n">
        <v>83</v>
      </c>
      <c r="W70" t="n">
        <v>45</v>
      </c>
      <c r="AB70" t="n">
        <v>0.032</v>
      </c>
      <c r="AD70" t="inlineStr">
        <is>
          <t>полимерный материал</t>
        </is>
      </c>
      <c r="AE70" t="inlineStr">
        <is>
          <t>ABS пластик</t>
        </is>
      </c>
      <c r="AJ70" t="inlineStr">
        <is>
          <t>A1</t>
        </is>
      </c>
      <c r="AK70" t="n">
        <v>0.85</v>
      </c>
      <c r="AL70" t="n">
        <v>5</v>
      </c>
      <c r="AM70" t="n">
        <v>0.06</v>
      </c>
      <c r="AN70" t="n">
        <v>150</v>
      </c>
      <c r="AO70" t="n">
        <v>275</v>
      </c>
      <c r="AP70" t="n">
        <v>-10</v>
      </c>
      <c r="AQ70" t="n">
        <v>40</v>
      </c>
      <c r="AS70" t="inlineStr">
        <is>
          <t>Картон</t>
        </is>
      </c>
      <c r="AT70" t="inlineStr">
        <is>
          <t>Нет</t>
        </is>
      </c>
      <c r="AU70" t="n">
        <v>0.00023</v>
      </c>
      <c r="AV70" t="n">
        <v>0.032</v>
      </c>
      <c r="AW70" t="n">
        <v>100</v>
      </c>
      <c r="AX70" t="n">
        <v>46</v>
      </c>
      <c r="AY70" t="n">
        <v>46</v>
      </c>
      <c r="AZ70" t="n">
        <v>85</v>
      </c>
      <c r="BA70" t="n">
        <v>0.023</v>
      </c>
      <c r="BB70" t="n">
        <v>3.2</v>
      </c>
      <c r="BC70" t="n">
        <v>4690612020549</v>
      </c>
      <c r="BE70" t="inlineStr">
        <is>
          <t>http://darion-svet.com/shop/product/4690612020549-led-shar-vc-8vt-230v-e14-3000k-600lm-in-home</t>
        </is>
      </c>
      <c r="BF70" t="inlineStr">
        <is>
          <t>http://darion-svet.com/web/binary/saveas?model=product.product&amp;field=conformity_cert&amp;filename_field=conformity_cert_filename&amp;id=14078</t>
        </is>
      </c>
      <c r="BG70" t="inlineStr">
        <is>
          <t>http://darion-svet.com/web/binary/saveas?model=product.product&amp;field=datasheet&amp;filename_field=datasheet_filename&amp;id=14078</t>
        </is>
      </c>
      <c r="BI70" t="n">
        <v>5</v>
      </c>
      <c r="BJ70" t="n">
        <v>34</v>
      </c>
      <c r="BK70" t="n">
        <v>0</v>
      </c>
      <c r="BL70" t="n">
        <v>44</v>
      </c>
    </row>
    <row r="71">
      <c r="A71" t="n">
        <v>4690612020556</v>
      </c>
      <c r="B71" t="inlineStr">
        <is>
          <t>Лампа светодиодная LED-ШАР-VC 8Вт 230В Е14 4000К 760Лм IN HOME</t>
        </is>
      </c>
      <c r="C71" t="inlineStr">
        <is>
          <t>Лампа светодиодная LED-ШАР-standard</t>
        </is>
      </c>
      <c r="D71" t="n">
        <v>4690612020556</v>
      </c>
      <c r="E71" t="inlineStr">
        <is>
          <t>http://darion-svet.com/web/binary/image?model=product.product&amp;id=14079&amp;field=image</t>
        </is>
      </c>
      <c r="F71" t="n">
        <v>2</v>
      </c>
      <c r="G71" t="inlineStr">
        <is>
          <t>Китай</t>
        </is>
      </c>
      <c r="H71" t="inlineStr">
        <is>
          <t>IN HOME</t>
        </is>
      </c>
      <c r="K71" t="inlineStr">
        <is>
          <t>LED</t>
        </is>
      </c>
      <c r="M71" t="n">
        <v>8</v>
      </c>
      <c r="N71" t="inlineStr">
        <is>
          <t>E14</t>
        </is>
      </c>
      <c r="O71" t="inlineStr">
        <is>
          <t>SMD</t>
        </is>
      </c>
      <c r="P71" t="n">
        <v>720</v>
      </c>
      <c r="Q71" t="n">
        <v>4000</v>
      </c>
      <c r="R71" t="n">
        <v>80</v>
      </c>
      <c r="T71" t="inlineStr">
        <is>
          <t>Д</t>
        </is>
      </c>
      <c r="U71" t="n">
        <v>30000</v>
      </c>
      <c r="V71" t="n">
        <v>83</v>
      </c>
      <c r="W71" t="n">
        <v>45</v>
      </c>
      <c r="AB71" t="n">
        <v>0.031</v>
      </c>
      <c r="AD71" t="inlineStr">
        <is>
          <t>полимерный материал</t>
        </is>
      </c>
      <c r="AE71" t="inlineStr">
        <is>
          <t>ABS пластик</t>
        </is>
      </c>
      <c r="AJ71" t="inlineStr">
        <is>
          <t>A1</t>
        </is>
      </c>
      <c r="AK71" t="n">
        <v>0.85</v>
      </c>
      <c r="AL71" t="n">
        <v>5</v>
      </c>
      <c r="AM71" t="n">
        <v>0.06</v>
      </c>
      <c r="AN71" t="n">
        <v>150</v>
      </c>
      <c r="AO71" t="n">
        <v>275</v>
      </c>
      <c r="AP71" t="n">
        <v>-10</v>
      </c>
      <c r="AQ71" t="n">
        <v>40</v>
      </c>
      <c r="AS71" t="inlineStr">
        <is>
          <t>Картон</t>
        </is>
      </c>
      <c r="AT71" t="inlineStr">
        <is>
          <t>Нет</t>
        </is>
      </c>
      <c r="AU71" t="n">
        <v>0.00023</v>
      </c>
      <c r="AV71" t="n">
        <v>0.031</v>
      </c>
      <c r="AW71" t="n">
        <v>100</v>
      </c>
      <c r="AX71" t="n">
        <v>46</v>
      </c>
      <c r="AY71" t="n">
        <v>46</v>
      </c>
      <c r="AZ71" t="n">
        <v>85</v>
      </c>
      <c r="BA71" t="n">
        <v>0.023</v>
      </c>
      <c r="BB71" t="n">
        <v>3.1</v>
      </c>
      <c r="BC71" t="n">
        <v>4690612020556</v>
      </c>
      <c r="BE71" t="inlineStr">
        <is>
          <t>http://darion-svet.com/shop/product/4690612020556-led-shar-vc-8vt-230v-e14-4000k-600lm-in-home</t>
        </is>
      </c>
      <c r="BF71" t="inlineStr">
        <is>
          <t>http://darion-svet.com/web/binary/saveas?model=product.product&amp;field=conformity_cert&amp;filename_field=conformity_cert_filename&amp;id=14079</t>
        </is>
      </c>
      <c r="BG71" t="inlineStr">
        <is>
          <t>http://darion-svet.com/web/binary/saveas?model=product.product&amp;field=datasheet&amp;filename_field=datasheet_filename&amp;id=14079</t>
        </is>
      </c>
      <c r="BI71" t="n">
        <v>1</v>
      </c>
      <c r="BJ71" t="n">
        <v>34</v>
      </c>
      <c r="BK71" t="n">
        <v>0</v>
      </c>
      <c r="BL71" t="n">
        <v>44</v>
      </c>
    </row>
    <row r="72">
      <c r="A72" t="n">
        <v>4690612020563</v>
      </c>
      <c r="B72" t="inlineStr">
        <is>
          <t>Лампа светодиодная LED-ШАР-VC 8Вт 230В Е27 3000К 760Лм IN HOME</t>
        </is>
      </c>
      <c r="C72" t="inlineStr">
        <is>
          <t>Лампа светодиодная LED-ШАР-standard</t>
        </is>
      </c>
      <c r="D72" t="n">
        <v>4690612020563</v>
      </c>
      <c r="E72" t="inlineStr">
        <is>
          <t>http://darion-svet.com/web/binary/image?model=product.product&amp;id=14080&amp;field=image</t>
        </is>
      </c>
      <c r="F72" t="n">
        <v>2</v>
      </c>
      <c r="G72" t="inlineStr">
        <is>
          <t>Китай</t>
        </is>
      </c>
      <c r="H72" t="inlineStr">
        <is>
          <t>IN HOME</t>
        </is>
      </c>
      <c r="K72" t="inlineStr">
        <is>
          <t>LED</t>
        </is>
      </c>
      <c r="M72" t="n">
        <v>8</v>
      </c>
      <c r="N72" t="inlineStr">
        <is>
          <t>E27</t>
        </is>
      </c>
      <c r="O72" t="inlineStr">
        <is>
          <t>SMD</t>
        </is>
      </c>
      <c r="P72" t="n">
        <v>720</v>
      </c>
      <c r="Q72" t="n">
        <v>3000</v>
      </c>
      <c r="R72" t="n">
        <v>80</v>
      </c>
      <c r="T72" t="inlineStr">
        <is>
          <t>Д</t>
        </is>
      </c>
      <c r="U72" t="n">
        <v>30000</v>
      </c>
      <c r="V72" t="n">
        <v>83</v>
      </c>
      <c r="W72" t="n">
        <v>45</v>
      </c>
      <c r="AB72" t="n">
        <v>0.031</v>
      </c>
      <c r="AD72" t="inlineStr">
        <is>
          <t>полимерный материал</t>
        </is>
      </c>
      <c r="AE72" t="inlineStr">
        <is>
          <t>ABS пластик</t>
        </is>
      </c>
      <c r="AJ72" t="inlineStr">
        <is>
          <t>A1</t>
        </is>
      </c>
      <c r="AK72" t="n">
        <v>0.85</v>
      </c>
      <c r="AL72" t="n">
        <v>5</v>
      </c>
      <c r="AM72" t="n">
        <v>0.06</v>
      </c>
      <c r="AN72" t="n">
        <v>150</v>
      </c>
      <c r="AO72" t="n">
        <v>275</v>
      </c>
      <c r="AP72" t="n">
        <v>-10</v>
      </c>
      <c r="AQ72" t="n">
        <v>40</v>
      </c>
      <c r="AS72" t="inlineStr">
        <is>
          <t>Картон</t>
        </is>
      </c>
      <c r="AT72" t="inlineStr">
        <is>
          <t>Нет</t>
        </is>
      </c>
      <c r="AU72" t="n">
        <v>0.00023</v>
      </c>
      <c r="AV72" t="n">
        <v>0.031</v>
      </c>
      <c r="AW72" t="n">
        <v>100</v>
      </c>
      <c r="AX72" t="n">
        <v>46</v>
      </c>
      <c r="AY72" t="n">
        <v>46</v>
      </c>
      <c r="AZ72" t="n">
        <v>85</v>
      </c>
      <c r="BA72" t="n">
        <v>0.023</v>
      </c>
      <c r="BB72" t="n">
        <v>3.1</v>
      </c>
      <c r="BC72" t="n">
        <v>4690612020563</v>
      </c>
      <c r="BE72" t="inlineStr">
        <is>
          <t>http://darion-svet.com/shop/product/4690612020563-led-shar-vc-8vt-230v-e27-3000k-600lm-in-home</t>
        </is>
      </c>
      <c r="BF72" t="inlineStr">
        <is>
          <t>http://darion-svet.com/web/binary/saveas?model=product.product&amp;field=conformity_cert&amp;filename_field=conformity_cert_filename&amp;id=14080</t>
        </is>
      </c>
      <c r="BG72" t="inlineStr">
        <is>
          <t>http://darion-svet.com/web/binary/saveas?model=product.product&amp;field=datasheet&amp;filename_field=datasheet_filename&amp;id=14080</t>
        </is>
      </c>
      <c r="BI72" t="n">
        <v>27</v>
      </c>
      <c r="BJ72" t="n">
        <v>34</v>
      </c>
      <c r="BK72" t="n">
        <v>0</v>
      </c>
      <c r="BL72" t="n">
        <v>44</v>
      </c>
    </row>
    <row r="73">
      <c r="A73" t="n">
        <v>4690612020570</v>
      </c>
      <c r="B73" t="inlineStr">
        <is>
          <t>Лампа светодиодная LED-ШАР-VC 8Вт 230В Е27 4000К 760Лм IN HOME</t>
        </is>
      </c>
      <c r="C73" t="inlineStr">
        <is>
          <t>Лампа светодиодная LED-ШАР-standard</t>
        </is>
      </c>
      <c r="D73" t="n">
        <v>4690612020570</v>
      </c>
      <c r="E73" t="inlineStr">
        <is>
          <t>http://darion-svet.com/web/binary/image?model=product.product&amp;id=12874&amp;field=image</t>
        </is>
      </c>
      <c r="F73" t="n">
        <v>2</v>
      </c>
      <c r="G73" t="inlineStr">
        <is>
          <t>Китай</t>
        </is>
      </c>
      <c r="H73" t="inlineStr">
        <is>
          <t>IN HOME</t>
        </is>
      </c>
      <c r="K73" t="inlineStr">
        <is>
          <t>LED</t>
        </is>
      </c>
      <c r="M73" t="n">
        <v>8</v>
      </c>
      <c r="N73" t="inlineStr">
        <is>
          <t>E27</t>
        </is>
      </c>
      <c r="O73" t="inlineStr">
        <is>
          <t>SMD</t>
        </is>
      </c>
      <c r="P73" t="n">
        <v>720</v>
      </c>
      <c r="Q73" t="n">
        <v>4000</v>
      </c>
      <c r="R73" t="n">
        <v>80</v>
      </c>
      <c r="T73" t="inlineStr">
        <is>
          <t>Д</t>
        </is>
      </c>
      <c r="U73" t="n">
        <v>30000</v>
      </c>
      <c r="V73" t="n">
        <v>83</v>
      </c>
      <c r="W73" t="n">
        <v>45</v>
      </c>
      <c r="AB73" t="n">
        <v>0.031</v>
      </c>
      <c r="AD73" t="inlineStr">
        <is>
          <t>полимерный материал</t>
        </is>
      </c>
      <c r="AE73" t="inlineStr">
        <is>
          <t>ABS пластик</t>
        </is>
      </c>
      <c r="AJ73" t="inlineStr">
        <is>
          <t>A1</t>
        </is>
      </c>
      <c r="AK73" t="n">
        <v>0.85</v>
      </c>
      <c r="AL73" t="n">
        <v>5</v>
      </c>
      <c r="AM73" t="n">
        <v>0.06</v>
      </c>
      <c r="AN73" t="n">
        <v>150</v>
      </c>
      <c r="AO73" t="n">
        <v>275</v>
      </c>
      <c r="AP73" t="n">
        <v>-10</v>
      </c>
      <c r="AQ73" t="n">
        <v>40</v>
      </c>
      <c r="AS73" t="inlineStr">
        <is>
          <t>Картон</t>
        </is>
      </c>
      <c r="AT73" t="inlineStr">
        <is>
          <t>Нет</t>
        </is>
      </c>
      <c r="AU73" t="n">
        <v>0.00023</v>
      </c>
      <c r="AV73" t="n">
        <v>0.031</v>
      </c>
      <c r="AW73" t="n">
        <v>100</v>
      </c>
      <c r="AX73" t="n">
        <v>46</v>
      </c>
      <c r="AY73" t="n">
        <v>46</v>
      </c>
      <c r="AZ73" t="n">
        <v>85</v>
      </c>
      <c r="BA73" t="n">
        <v>0.023</v>
      </c>
      <c r="BB73" t="n">
        <v>3.1</v>
      </c>
      <c r="BC73" t="n">
        <v>4690612020570</v>
      </c>
      <c r="BE73" t="inlineStr">
        <is>
          <t>http://darion-svet.com/shop/product/4690612020570-led-shar-vc-8vt-230v-e27-4000k-600lm-in-home</t>
        </is>
      </c>
      <c r="BF73" t="inlineStr">
        <is>
          <t>http://darion-svet.com/web/binary/saveas?model=product.product&amp;field=conformity_cert&amp;filename_field=conformity_cert_filename&amp;id=12874</t>
        </is>
      </c>
      <c r="BG73" t="inlineStr">
        <is>
          <t>http://darion-svet.com/web/binary/saveas?model=product.product&amp;field=datasheet&amp;filename_field=datasheet_filename&amp;id=12874</t>
        </is>
      </c>
      <c r="BI73" t="n">
        <v>2</v>
      </c>
      <c r="BJ73" t="n">
        <v>34</v>
      </c>
      <c r="BK73" t="n">
        <v>0</v>
      </c>
      <c r="BL73" t="n">
        <v>44</v>
      </c>
    </row>
    <row r="74">
      <c r="A74" t="n">
        <v>4690612020587</v>
      </c>
      <c r="B74" t="inlineStr">
        <is>
          <t>Лампа светодиодная LED-ШАР-VC 11Вт 230В Е14 3000К 1050Лм IN HOME</t>
        </is>
      </c>
      <c r="C74" t="inlineStr">
        <is>
          <t>Лампа светодиодная LED-ШАР-standard</t>
        </is>
      </c>
      <c r="D74" t="n">
        <v>4690612020587</v>
      </c>
      <c r="E74" t="inlineStr">
        <is>
          <t>http://darion-svet.com/web/binary/image?model=product.product&amp;id=14070&amp;field=image</t>
        </is>
      </c>
      <c r="F74" t="n">
        <v>2</v>
      </c>
      <c r="G74" t="inlineStr">
        <is>
          <t>Китай</t>
        </is>
      </c>
      <c r="H74" t="inlineStr">
        <is>
          <t>IN HOME</t>
        </is>
      </c>
      <c r="K74" t="inlineStr">
        <is>
          <t>LED</t>
        </is>
      </c>
      <c r="M74" t="n">
        <v>11</v>
      </c>
      <c r="N74" t="inlineStr">
        <is>
          <t>E14</t>
        </is>
      </c>
      <c r="O74" t="inlineStr">
        <is>
          <t>SMD</t>
        </is>
      </c>
      <c r="P74" t="n">
        <v>990</v>
      </c>
      <c r="Q74" t="n">
        <v>3000</v>
      </c>
      <c r="R74" t="n">
        <v>80</v>
      </c>
      <c r="T74" t="inlineStr">
        <is>
          <t>Д</t>
        </is>
      </c>
      <c r="U74" t="n">
        <v>30000</v>
      </c>
      <c r="V74" t="n">
        <v>89</v>
      </c>
      <c r="W74" t="n">
        <v>45</v>
      </c>
      <c r="AB74" t="n">
        <v>0.036</v>
      </c>
      <c r="AD74" t="inlineStr">
        <is>
          <t>полимерный материал</t>
        </is>
      </c>
      <c r="AE74" t="inlineStr">
        <is>
          <t>ABS пластик</t>
        </is>
      </c>
      <c r="AJ74" t="inlineStr">
        <is>
          <t>A1</t>
        </is>
      </c>
      <c r="AK74" t="n">
        <v>0.85</v>
      </c>
      <c r="AL74" t="n">
        <v>5</v>
      </c>
      <c r="AM74" t="n">
        <v>0.08</v>
      </c>
      <c r="AN74" t="n">
        <v>150</v>
      </c>
      <c r="AO74" t="n">
        <v>275</v>
      </c>
      <c r="AP74" t="n">
        <v>-10</v>
      </c>
      <c r="AQ74" t="n">
        <v>40</v>
      </c>
      <c r="AS74" t="inlineStr">
        <is>
          <t>Картон</t>
        </is>
      </c>
      <c r="AT74" t="inlineStr">
        <is>
          <t>Нет</t>
        </is>
      </c>
      <c r="AU74" t="n">
        <v>0.00024</v>
      </c>
      <c r="AV74" t="n">
        <v>0.036</v>
      </c>
      <c r="AW74" t="n">
        <v>100</v>
      </c>
      <c r="AX74" t="n">
        <v>46</v>
      </c>
      <c r="AY74" t="n">
        <v>46</v>
      </c>
      <c r="AZ74" t="n">
        <v>89</v>
      </c>
      <c r="BA74" t="n">
        <v>0.024</v>
      </c>
      <c r="BB74" t="n">
        <v>3.6</v>
      </c>
      <c r="BC74" t="n">
        <v>4690612020587</v>
      </c>
      <c r="BE74" t="inlineStr">
        <is>
          <t>http://darion-svet.com/shop/product/4690612020587-led-shar-vc-11vt-230v-e14-3000k-820lm-in-home</t>
        </is>
      </c>
      <c r="BF74" t="inlineStr">
        <is>
          <t>http://darion-svet.com/web/binary/saveas?model=product.product&amp;field=conformity_cert&amp;filename_field=conformity_cert_filename&amp;id=14070</t>
        </is>
      </c>
      <c r="BG74" t="inlineStr">
        <is>
          <t>http://darion-svet.com/web/binary/saveas?model=product.product&amp;field=datasheet&amp;filename_field=datasheet_filename&amp;id=14070</t>
        </is>
      </c>
      <c r="BI74" t="n">
        <v>61</v>
      </c>
      <c r="BJ74" t="n">
        <v>35</v>
      </c>
      <c r="BK74" t="n">
        <v>0</v>
      </c>
      <c r="BL74" t="n">
        <v>44</v>
      </c>
    </row>
    <row r="75">
      <c r="A75" t="n">
        <v>4690612020594</v>
      </c>
      <c r="B75" t="inlineStr">
        <is>
          <t>Лампа светодиодная LED-ШАР-VC 11Вт 230В Е14 4000К 1050Лм IN HOME</t>
        </is>
      </c>
      <c r="C75" t="inlineStr">
        <is>
          <t>Лампа светодиодная LED-ШАР-standard</t>
        </is>
      </c>
      <c r="D75" t="n">
        <v>4690612020594</v>
      </c>
      <c r="E75" t="inlineStr">
        <is>
          <t>http://darion-svet.com/web/binary/image?model=product.product&amp;id=14071&amp;field=image</t>
        </is>
      </c>
      <c r="F75" t="n">
        <v>2</v>
      </c>
      <c r="G75" t="inlineStr">
        <is>
          <t>Китай</t>
        </is>
      </c>
      <c r="H75" t="inlineStr">
        <is>
          <t>IN HOME</t>
        </is>
      </c>
      <c r="K75" t="inlineStr">
        <is>
          <t>LED</t>
        </is>
      </c>
      <c r="M75" t="n">
        <v>11</v>
      </c>
      <c r="N75" t="inlineStr">
        <is>
          <t>E14</t>
        </is>
      </c>
      <c r="O75" t="inlineStr">
        <is>
          <t>SMD</t>
        </is>
      </c>
      <c r="P75" t="n">
        <v>990</v>
      </c>
      <c r="Q75" t="n">
        <v>4000</v>
      </c>
      <c r="R75" t="n">
        <v>80</v>
      </c>
      <c r="T75" t="inlineStr">
        <is>
          <t>Д</t>
        </is>
      </c>
      <c r="U75" t="n">
        <v>30000</v>
      </c>
      <c r="V75" t="n">
        <v>89</v>
      </c>
      <c r="W75" t="n">
        <v>45</v>
      </c>
      <c r="AB75" t="n">
        <v>0.036</v>
      </c>
      <c r="AD75" t="inlineStr">
        <is>
          <t>полимерный материал</t>
        </is>
      </c>
      <c r="AE75" t="inlineStr">
        <is>
          <t>ABS пластик</t>
        </is>
      </c>
      <c r="AJ75" t="inlineStr">
        <is>
          <t>A1</t>
        </is>
      </c>
      <c r="AK75" t="n">
        <v>0.85</v>
      </c>
      <c r="AL75" t="n">
        <v>5</v>
      </c>
      <c r="AM75" t="n">
        <v>0.08</v>
      </c>
      <c r="AN75" t="n">
        <v>150</v>
      </c>
      <c r="AO75" t="n">
        <v>275</v>
      </c>
      <c r="AP75" t="n">
        <v>-10</v>
      </c>
      <c r="AQ75" t="n">
        <v>40</v>
      </c>
      <c r="AS75" t="inlineStr">
        <is>
          <t>Картон</t>
        </is>
      </c>
      <c r="AT75" t="inlineStr">
        <is>
          <t>Нет</t>
        </is>
      </c>
      <c r="AU75" t="n">
        <v>0.00024</v>
      </c>
      <c r="AV75" t="n">
        <v>0.036</v>
      </c>
      <c r="AW75" t="n">
        <v>100</v>
      </c>
      <c r="AX75" t="n">
        <v>46</v>
      </c>
      <c r="AY75" t="n">
        <v>46</v>
      </c>
      <c r="AZ75" t="n">
        <v>89</v>
      </c>
      <c r="BA75" t="n">
        <v>0.024</v>
      </c>
      <c r="BB75" t="n">
        <v>3.6</v>
      </c>
      <c r="BC75" t="n">
        <v>4690612020594</v>
      </c>
      <c r="BE75" t="inlineStr">
        <is>
          <t>http://darion-svet.com/shop/product/4690612020594-led-shar-vc-11vt-230v-e14-4000k-820lm-in-home</t>
        </is>
      </c>
      <c r="BF75" t="inlineStr">
        <is>
          <t>http://darion-svet.com/web/binary/saveas?model=product.product&amp;field=conformity_cert&amp;filename_field=conformity_cert_filename&amp;id=14071</t>
        </is>
      </c>
      <c r="BG75" t="inlineStr">
        <is>
          <t>http://darion-svet.com/web/binary/saveas?model=product.product&amp;field=datasheet&amp;filename_field=datasheet_filename&amp;id=14071</t>
        </is>
      </c>
      <c r="BI75" t="n">
        <v>89</v>
      </c>
      <c r="BJ75" t="n">
        <v>35</v>
      </c>
      <c r="BK75" t="n">
        <v>0</v>
      </c>
      <c r="BL75" t="n">
        <v>44</v>
      </c>
    </row>
    <row r="76">
      <c r="A76" t="n">
        <v>4690612020600</v>
      </c>
      <c r="B76" t="inlineStr">
        <is>
          <t>Лампа светодиодная LED-ШАР-VC 11Вт 230В Е27 3000К 1050Лм IN HOME</t>
        </is>
      </c>
      <c r="C76" t="inlineStr">
        <is>
          <t>Лампа светодиодная LED-ШАР-standard</t>
        </is>
      </c>
      <c r="D76" t="n">
        <v>4690612020600</v>
      </c>
      <c r="E76" t="inlineStr">
        <is>
          <t>http://darion-svet.com/web/binary/image?model=product.product&amp;id=14072&amp;field=image</t>
        </is>
      </c>
      <c r="F76" t="n">
        <v>2</v>
      </c>
      <c r="G76" t="inlineStr">
        <is>
          <t>Китай</t>
        </is>
      </c>
      <c r="H76" t="inlineStr">
        <is>
          <t>IN HOME</t>
        </is>
      </c>
      <c r="K76" t="inlineStr">
        <is>
          <t>LED</t>
        </is>
      </c>
      <c r="M76" t="n">
        <v>11</v>
      </c>
      <c r="N76" t="inlineStr">
        <is>
          <t>E27</t>
        </is>
      </c>
      <c r="O76" t="inlineStr">
        <is>
          <t>SMD</t>
        </is>
      </c>
      <c r="P76" t="n">
        <v>990</v>
      </c>
      <c r="Q76" t="n">
        <v>3000</v>
      </c>
      <c r="R76" t="n">
        <v>80</v>
      </c>
      <c r="T76" t="inlineStr">
        <is>
          <t>Д</t>
        </is>
      </c>
      <c r="U76" t="n">
        <v>30000</v>
      </c>
      <c r="V76" t="n">
        <v>89</v>
      </c>
      <c r="W76" t="n">
        <v>45</v>
      </c>
      <c r="AB76" t="n">
        <v>0.036</v>
      </c>
      <c r="AD76" t="inlineStr">
        <is>
          <t>полимерный материал</t>
        </is>
      </c>
      <c r="AE76" t="inlineStr">
        <is>
          <t>ABS пластик</t>
        </is>
      </c>
      <c r="AJ76" t="inlineStr">
        <is>
          <t>A1</t>
        </is>
      </c>
      <c r="AK76" t="n">
        <v>0.85</v>
      </c>
      <c r="AL76" t="n">
        <v>5</v>
      </c>
      <c r="AM76" t="n">
        <v>0.08</v>
      </c>
      <c r="AN76" t="n">
        <v>150</v>
      </c>
      <c r="AO76" t="n">
        <v>275</v>
      </c>
      <c r="AP76" t="n">
        <v>-10</v>
      </c>
      <c r="AQ76" t="n">
        <v>40</v>
      </c>
      <c r="AS76" t="inlineStr">
        <is>
          <t>Картон</t>
        </is>
      </c>
      <c r="AT76" t="inlineStr">
        <is>
          <t>Нет</t>
        </is>
      </c>
      <c r="AU76" t="n">
        <v>0.00024</v>
      </c>
      <c r="AV76" t="n">
        <v>0.036</v>
      </c>
      <c r="AW76" t="n">
        <v>100</v>
      </c>
      <c r="AX76" t="n">
        <v>46</v>
      </c>
      <c r="AY76" t="n">
        <v>46</v>
      </c>
      <c r="AZ76" t="n">
        <v>89</v>
      </c>
      <c r="BA76" t="n">
        <v>0.024</v>
      </c>
      <c r="BB76" t="n">
        <v>3.6</v>
      </c>
      <c r="BC76" t="n">
        <v>4690612020600</v>
      </c>
      <c r="BE76" t="inlineStr">
        <is>
          <t>http://darion-svet.com/shop/product/4690612020600-led-shar-vc-11vt-230v-e27-3000k-820lm-in-home</t>
        </is>
      </c>
      <c r="BF76" t="inlineStr">
        <is>
          <t>http://darion-svet.com/web/binary/saveas?model=product.product&amp;field=conformity_cert&amp;filename_field=conformity_cert_filename&amp;id=14072</t>
        </is>
      </c>
      <c r="BG76" t="inlineStr">
        <is>
          <t>http://darion-svet.com/web/binary/saveas?model=product.product&amp;field=datasheet&amp;filename_field=datasheet_filename&amp;id=14072</t>
        </is>
      </c>
      <c r="BI76" t="n">
        <v>80</v>
      </c>
      <c r="BJ76" t="n">
        <v>35</v>
      </c>
      <c r="BK76" t="n">
        <v>0</v>
      </c>
      <c r="BL76" t="n">
        <v>44</v>
      </c>
    </row>
    <row r="77">
      <c r="A77" t="n">
        <v>4690612020617</v>
      </c>
      <c r="B77" t="inlineStr">
        <is>
          <t>Лампа светодиодная LED-ШАР-VC 11Вт 230В Е27 4000К 1050Лм IN HOME</t>
        </is>
      </c>
      <c r="C77" t="inlineStr">
        <is>
          <t>Лампа светодиодная LED-ШАР-standard</t>
        </is>
      </c>
      <c r="D77" t="n">
        <v>4690612020617</v>
      </c>
      <c r="E77" t="inlineStr">
        <is>
          <t>http://darion-svet.com/web/binary/image?model=product.product&amp;id=14073&amp;field=image</t>
        </is>
      </c>
      <c r="F77" t="n">
        <v>2</v>
      </c>
      <c r="G77" t="inlineStr">
        <is>
          <t>Китай</t>
        </is>
      </c>
      <c r="H77" t="inlineStr">
        <is>
          <t>IN HOME</t>
        </is>
      </c>
      <c r="K77" t="inlineStr">
        <is>
          <t>LED</t>
        </is>
      </c>
      <c r="M77" t="n">
        <v>11</v>
      </c>
      <c r="N77" t="inlineStr">
        <is>
          <t>E27</t>
        </is>
      </c>
      <c r="O77" t="inlineStr">
        <is>
          <t>SMD</t>
        </is>
      </c>
      <c r="P77" t="n">
        <v>990</v>
      </c>
      <c r="Q77" t="n">
        <v>4000</v>
      </c>
      <c r="R77" t="n">
        <v>80</v>
      </c>
      <c r="T77" t="inlineStr">
        <is>
          <t>Д</t>
        </is>
      </c>
      <c r="U77" t="n">
        <v>30000</v>
      </c>
      <c r="V77" t="n">
        <v>89</v>
      </c>
      <c r="W77" t="n">
        <v>45</v>
      </c>
      <c r="AB77" t="n">
        <v>0.036</v>
      </c>
      <c r="AD77" t="inlineStr">
        <is>
          <t>полимерный материал</t>
        </is>
      </c>
      <c r="AE77" t="inlineStr">
        <is>
          <t>ABS пластик</t>
        </is>
      </c>
      <c r="AJ77" t="inlineStr">
        <is>
          <t>A1</t>
        </is>
      </c>
      <c r="AK77" t="n">
        <v>0.85</v>
      </c>
      <c r="AL77" t="n">
        <v>5</v>
      </c>
      <c r="AM77" t="n">
        <v>0.08</v>
      </c>
      <c r="AN77" t="n">
        <v>150</v>
      </c>
      <c r="AO77" t="n">
        <v>275</v>
      </c>
      <c r="AP77" t="n">
        <v>-10</v>
      </c>
      <c r="AQ77" t="n">
        <v>40</v>
      </c>
      <c r="AS77" t="inlineStr">
        <is>
          <t>Картон</t>
        </is>
      </c>
      <c r="AT77" t="inlineStr">
        <is>
          <t>Нет</t>
        </is>
      </c>
      <c r="AU77" t="n">
        <v>0.00024</v>
      </c>
      <c r="AV77" t="n">
        <v>0.036</v>
      </c>
      <c r="AW77" t="n">
        <v>100</v>
      </c>
      <c r="AX77" t="n">
        <v>46</v>
      </c>
      <c r="AY77" t="n">
        <v>46</v>
      </c>
      <c r="AZ77" t="n">
        <v>89</v>
      </c>
      <c r="BA77" t="n">
        <v>0.024</v>
      </c>
      <c r="BB77" t="n">
        <v>3.6</v>
      </c>
      <c r="BC77" t="n">
        <v>4690612020617</v>
      </c>
      <c r="BE77" t="inlineStr">
        <is>
          <t>http://darion-svet.com/shop/product/4690612020617-led-shar-vc-11vt-230v-e27-4000k-820lm-in-home</t>
        </is>
      </c>
      <c r="BF77" t="inlineStr">
        <is>
          <t>http://darion-svet.com/web/binary/saveas?model=product.product&amp;field=conformity_cert&amp;filename_field=conformity_cert_filename&amp;id=14073</t>
        </is>
      </c>
      <c r="BG77" t="inlineStr">
        <is>
          <t>http://darion-svet.com/web/binary/saveas?model=product.product&amp;field=datasheet&amp;filename_field=datasheet_filename&amp;id=14073</t>
        </is>
      </c>
      <c r="BI77" t="n">
        <v>21</v>
      </c>
      <c r="BJ77" t="n">
        <v>35</v>
      </c>
      <c r="BK77" t="n">
        <v>0</v>
      </c>
      <c r="BL77" t="n">
        <v>44</v>
      </c>
    </row>
    <row r="78">
      <c r="A78" t="n">
        <v>4690612020723</v>
      </c>
      <c r="B78" t="inlineStr">
        <is>
          <t>Лампа светодиодная LED-GX53-VC 8Вт 230В 3000К 760Лм IN HOME</t>
        </is>
      </c>
      <c r="C78" t="inlineStr">
        <is>
          <t>Лампа светодиодная LED-GX53-standard</t>
        </is>
      </c>
      <c r="D78" t="n">
        <v>4690612020723</v>
      </c>
      <c r="E78" t="inlineStr">
        <is>
          <t>http://darion-svet.com/web/binary/image?model=product.product&amp;id=14113&amp;field=image</t>
        </is>
      </c>
      <c r="F78" t="n">
        <v>2</v>
      </c>
      <c r="G78" t="inlineStr">
        <is>
          <t>Китай</t>
        </is>
      </c>
      <c r="H78" t="inlineStr">
        <is>
          <t>IN HOME</t>
        </is>
      </c>
      <c r="K78" t="inlineStr">
        <is>
          <t>LED</t>
        </is>
      </c>
      <c r="M78" t="n">
        <v>8</v>
      </c>
      <c r="N78" t="inlineStr">
        <is>
          <t>GX53</t>
        </is>
      </c>
      <c r="O78" t="inlineStr">
        <is>
          <t>SMD</t>
        </is>
      </c>
      <c r="P78" t="n">
        <v>720</v>
      </c>
      <c r="Q78" t="n">
        <v>3000</v>
      </c>
      <c r="R78" t="n">
        <v>80</v>
      </c>
      <c r="T78" t="inlineStr">
        <is>
          <t>Д</t>
        </is>
      </c>
      <c r="U78" t="n">
        <v>30000</v>
      </c>
      <c r="V78" t="n">
        <v>27</v>
      </c>
      <c r="W78" t="n">
        <v>74</v>
      </c>
      <c r="AB78" t="n">
        <v>0.035</v>
      </c>
      <c r="AD78" t="inlineStr">
        <is>
          <t>полимерный материал</t>
        </is>
      </c>
      <c r="AE78" t="inlineStr">
        <is>
          <t>ABS пластик</t>
        </is>
      </c>
      <c r="AJ78" t="inlineStr">
        <is>
          <t>A1</t>
        </is>
      </c>
      <c r="AK78" t="n">
        <v>0.85</v>
      </c>
      <c r="AL78" t="n">
        <v>5</v>
      </c>
      <c r="AM78" t="n">
        <v>0.06</v>
      </c>
      <c r="AN78" t="n">
        <v>150</v>
      </c>
      <c r="AO78" t="n">
        <v>275</v>
      </c>
      <c r="AP78" t="n">
        <v>-10</v>
      </c>
      <c r="AQ78" t="n">
        <v>40</v>
      </c>
      <c r="AS78" t="inlineStr">
        <is>
          <t>Картон</t>
        </is>
      </c>
      <c r="AT78" t="inlineStr">
        <is>
          <t>Нет</t>
        </is>
      </c>
      <c r="AU78" t="n">
        <v>0.00021</v>
      </c>
      <c r="AV78" t="n">
        <v>0.035</v>
      </c>
      <c r="AW78" t="n">
        <v>100</v>
      </c>
      <c r="AX78" t="n">
        <v>75</v>
      </c>
      <c r="AY78" t="n">
        <v>28</v>
      </c>
      <c r="AZ78" t="n">
        <v>75</v>
      </c>
      <c r="BA78" t="n">
        <v>0.021</v>
      </c>
      <c r="BB78" t="n">
        <v>3.5</v>
      </c>
      <c r="BC78" t="n">
        <v>4690612020723</v>
      </c>
      <c r="BE78" t="inlineStr">
        <is>
          <t>http://darion-svet.com/shop/product/4690612020723-led-gx53-vc-8vt-230v-3000k-640lm-in-home</t>
        </is>
      </c>
      <c r="BF78" t="inlineStr">
        <is>
          <t>http://darion-svet.com/web/binary/saveas?model=product.product&amp;field=conformity_cert&amp;filename_field=conformity_cert_filename&amp;id=14113</t>
        </is>
      </c>
      <c r="BG78" t="inlineStr">
        <is>
          <t>http://darion-svet.com/web/binary/saveas?model=product.product&amp;field=datasheet&amp;filename_field=datasheet_filename&amp;id=14113</t>
        </is>
      </c>
      <c r="BI78" t="n">
        <v>41</v>
      </c>
      <c r="BJ78" t="n">
        <v>33</v>
      </c>
      <c r="BK78" t="n">
        <v>0</v>
      </c>
      <c r="BL78" t="n">
        <v>44</v>
      </c>
    </row>
    <row r="79">
      <c r="A79" t="n">
        <v>4690612020747</v>
      </c>
      <c r="B79" t="inlineStr">
        <is>
          <t>Лампа светодиодная LED-GX53-VC 8Вт 230В 6500К 760Лм IN HOME</t>
        </is>
      </c>
      <c r="C79" t="inlineStr">
        <is>
          <t>Лампа светодиодная LED-GX53-standard</t>
        </is>
      </c>
      <c r="D79" t="n">
        <v>4690612020747</v>
      </c>
      <c r="E79" t="inlineStr">
        <is>
          <t>http://darion-svet.com/web/binary/image?model=product.product&amp;id=14115&amp;field=image</t>
        </is>
      </c>
      <c r="F79" t="n">
        <v>2</v>
      </c>
      <c r="G79" t="inlineStr">
        <is>
          <t>Китай</t>
        </is>
      </c>
      <c r="H79" t="inlineStr">
        <is>
          <t>IN HOME</t>
        </is>
      </c>
      <c r="K79" t="inlineStr">
        <is>
          <t>LED</t>
        </is>
      </c>
      <c r="M79" t="n">
        <v>8</v>
      </c>
      <c r="N79" t="inlineStr">
        <is>
          <t>GX53</t>
        </is>
      </c>
      <c r="O79" t="inlineStr">
        <is>
          <t>SMD</t>
        </is>
      </c>
      <c r="P79" t="n">
        <v>720</v>
      </c>
      <c r="Q79" t="n">
        <v>6500</v>
      </c>
      <c r="R79" t="n">
        <v>80</v>
      </c>
      <c r="T79" t="inlineStr">
        <is>
          <t>Д</t>
        </is>
      </c>
      <c r="U79" t="n">
        <v>30000</v>
      </c>
      <c r="V79" t="n">
        <v>27</v>
      </c>
      <c r="W79" t="n">
        <v>74</v>
      </c>
      <c r="AB79" t="n">
        <v>0.035</v>
      </c>
      <c r="AD79" t="inlineStr">
        <is>
          <t>полимерный материал</t>
        </is>
      </c>
      <c r="AE79" t="inlineStr">
        <is>
          <t>ABS пластик</t>
        </is>
      </c>
      <c r="AJ79" t="inlineStr">
        <is>
          <t>A1</t>
        </is>
      </c>
      <c r="AK79" t="n">
        <v>0.85</v>
      </c>
      <c r="AL79" t="n">
        <v>5</v>
      </c>
      <c r="AM79" t="n">
        <v>0.06</v>
      </c>
      <c r="AN79" t="n">
        <v>150</v>
      </c>
      <c r="AO79" t="n">
        <v>275</v>
      </c>
      <c r="AP79" t="n">
        <v>-10</v>
      </c>
      <c r="AQ79" t="n">
        <v>40</v>
      </c>
      <c r="AS79" t="inlineStr">
        <is>
          <t>Картон</t>
        </is>
      </c>
      <c r="AT79" t="inlineStr">
        <is>
          <t>Нет</t>
        </is>
      </c>
      <c r="AU79" t="n">
        <v>0.00021</v>
      </c>
      <c r="AV79" t="n">
        <v>0.035</v>
      </c>
      <c r="AW79" t="n">
        <v>100</v>
      </c>
      <c r="AX79" t="n">
        <v>75</v>
      </c>
      <c r="AY79" t="n">
        <v>28</v>
      </c>
      <c r="AZ79" t="n">
        <v>75</v>
      </c>
      <c r="BA79" t="n">
        <v>0.021</v>
      </c>
      <c r="BB79" t="n">
        <v>3.5</v>
      </c>
      <c r="BC79" t="n">
        <v>4690612020747</v>
      </c>
      <c r="BE79" t="inlineStr">
        <is>
          <t>http://darion-svet.com/shop/product/4690612020747-led-gx53-vc-8vt-230v-6500k-640lm-in-home</t>
        </is>
      </c>
      <c r="BF79" t="inlineStr">
        <is>
          <t>http://darion-svet.com/web/binary/saveas?model=product.product&amp;field=conformity_cert&amp;filename_field=conformity_cert_filename&amp;id=14115</t>
        </is>
      </c>
      <c r="BG79" t="inlineStr">
        <is>
          <t>http://darion-svet.com/web/binary/saveas?model=product.product&amp;field=datasheet&amp;filename_field=datasheet_filename&amp;id=14115</t>
        </is>
      </c>
      <c r="BI79" t="n">
        <v>3</v>
      </c>
      <c r="BJ79" t="n">
        <v>33</v>
      </c>
      <c r="BK79" t="n">
        <v>0</v>
      </c>
      <c r="BL79" t="n">
        <v>44</v>
      </c>
    </row>
    <row r="80">
      <c r="A80" t="n">
        <v>4690612020754</v>
      </c>
      <c r="B80" t="inlineStr">
        <is>
          <t>Лампа светодиодная LED-GX53-VC 10Вт 230В 3000К 950Лм IN HOME</t>
        </is>
      </c>
      <c r="C80" t="inlineStr">
        <is>
          <t>Лампа светодиодная LED-GX53-standard</t>
        </is>
      </c>
      <c r="D80" t="n">
        <v>4690612020754</v>
      </c>
      <c r="E80" t="inlineStr">
        <is>
          <t>http://darion-svet.com/web/binary/image?model=product.product&amp;id=14104&amp;field=image</t>
        </is>
      </c>
      <c r="F80" t="n">
        <v>2</v>
      </c>
      <c r="G80" t="inlineStr">
        <is>
          <t>Китай</t>
        </is>
      </c>
      <c r="H80" t="inlineStr">
        <is>
          <t>IN HOME</t>
        </is>
      </c>
      <c r="K80" t="inlineStr">
        <is>
          <t>LED</t>
        </is>
      </c>
      <c r="M80" t="n">
        <v>10</v>
      </c>
      <c r="N80" t="inlineStr">
        <is>
          <t>GX53</t>
        </is>
      </c>
      <c r="O80" t="inlineStr">
        <is>
          <t>SMD</t>
        </is>
      </c>
      <c r="P80" t="n">
        <v>900</v>
      </c>
      <c r="Q80" t="n">
        <v>3000</v>
      </c>
      <c r="R80" t="n">
        <v>80</v>
      </c>
      <c r="T80" t="inlineStr">
        <is>
          <t>Д</t>
        </is>
      </c>
      <c r="U80" t="n">
        <v>30000</v>
      </c>
      <c r="V80" t="n">
        <v>27</v>
      </c>
      <c r="W80" t="n">
        <v>74</v>
      </c>
      <c r="AB80" t="n">
        <v>0.037</v>
      </c>
      <c r="AD80" t="inlineStr">
        <is>
          <t>полимерный материал</t>
        </is>
      </c>
      <c r="AE80" t="inlineStr">
        <is>
          <t>ABS пластик</t>
        </is>
      </c>
      <c r="AJ80" t="inlineStr">
        <is>
          <t>A1</t>
        </is>
      </c>
      <c r="AK80" t="n">
        <v>0.85</v>
      </c>
      <c r="AL80" t="n">
        <v>5</v>
      </c>
      <c r="AM80" t="n">
        <v>0.08</v>
      </c>
      <c r="AN80" t="n">
        <v>150</v>
      </c>
      <c r="AO80" t="n">
        <v>275</v>
      </c>
      <c r="AP80" t="n">
        <v>-10</v>
      </c>
      <c r="AQ80" t="n">
        <v>40</v>
      </c>
      <c r="AS80" t="inlineStr">
        <is>
          <t>Картон</t>
        </is>
      </c>
      <c r="AT80" t="inlineStr">
        <is>
          <t>Нет</t>
        </is>
      </c>
      <c r="AU80" t="n">
        <v>0.00021</v>
      </c>
      <c r="AV80" t="n">
        <v>0.037</v>
      </c>
      <c r="AW80" t="n">
        <v>100</v>
      </c>
      <c r="AX80" t="n">
        <v>75</v>
      </c>
      <c r="AY80" t="n">
        <v>28</v>
      </c>
      <c r="AZ80" t="n">
        <v>75</v>
      </c>
      <c r="BA80" t="n">
        <v>0.021</v>
      </c>
      <c r="BB80" t="n">
        <v>3.7</v>
      </c>
      <c r="BC80" t="n">
        <v>4690612020754</v>
      </c>
      <c r="BE80" t="inlineStr">
        <is>
          <t>http://darion-svet.com/shop/product/4690612020754-led-gx53-vc-10vt-230v-3000k-800lm-in-home</t>
        </is>
      </c>
      <c r="BF80" t="inlineStr">
        <is>
          <t>http://darion-svet.com/web/binary/saveas?model=product.product&amp;field=conformity_cert&amp;filename_field=conformity_cert_filename&amp;id=14104</t>
        </is>
      </c>
      <c r="BG80" t="inlineStr">
        <is>
          <t>http://darion-svet.com/web/binary/saveas?model=product.product&amp;field=datasheet&amp;filename_field=datasheet_filename&amp;id=14104</t>
        </is>
      </c>
      <c r="BI80" t="n">
        <v>93</v>
      </c>
      <c r="BJ80" t="n">
        <v>34</v>
      </c>
      <c r="BK80" t="n">
        <v>0</v>
      </c>
      <c r="BL80" t="n">
        <v>44</v>
      </c>
    </row>
    <row r="81">
      <c r="A81" t="n">
        <v>4690612020778</v>
      </c>
      <c r="B81" t="inlineStr">
        <is>
          <t>Лампа светодиодная LED-GX53-VC 10Вт 230В 6500К 950Лм IN HOME</t>
        </is>
      </c>
      <c r="C81" t="inlineStr">
        <is>
          <t>Лампа светодиодная LED-GX53-standard</t>
        </is>
      </c>
      <c r="D81" t="n">
        <v>4690612020778</v>
      </c>
      <c r="E81" t="inlineStr">
        <is>
          <t>http://darion-svet.com/web/binary/image?model=product.product&amp;id=14106&amp;field=image</t>
        </is>
      </c>
      <c r="F81" t="n">
        <v>2</v>
      </c>
      <c r="G81" t="inlineStr">
        <is>
          <t>Китай</t>
        </is>
      </c>
      <c r="H81" t="inlineStr">
        <is>
          <t>IN HOME</t>
        </is>
      </c>
      <c r="K81" t="inlineStr">
        <is>
          <t>LED</t>
        </is>
      </c>
      <c r="M81" t="n">
        <v>10</v>
      </c>
      <c r="N81" t="inlineStr">
        <is>
          <t>GX53</t>
        </is>
      </c>
      <c r="O81" t="inlineStr">
        <is>
          <t>SMD</t>
        </is>
      </c>
      <c r="P81" t="n">
        <v>900</v>
      </c>
      <c r="Q81" t="n">
        <v>6500</v>
      </c>
      <c r="R81" t="n">
        <v>80</v>
      </c>
      <c r="T81" t="inlineStr">
        <is>
          <t>Д</t>
        </is>
      </c>
      <c r="U81" t="n">
        <v>30000</v>
      </c>
      <c r="V81" t="n">
        <v>27</v>
      </c>
      <c r="W81" t="n">
        <v>74</v>
      </c>
      <c r="AB81" t="n">
        <v>0.037</v>
      </c>
      <c r="AD81" t="inlineStr">
        <is>
          <t>полимерный материал</t>
        </is>
      </c>
      <c r="AE81" t="inlineStr">
        <is>
          <t>ABS пластик</t>
        </is>
      </c>
      <c r="AJ81" t="inlineStr">
        <is>
          <t>A1</t>
        </is>
      </c>
      <c r="AK81" t="n">
        <v>0.85</v>
      </c>
      <c r="AL81" t="n">
        <v>5</v>
      </c>
      <c r="AM81" t="n">
        <v>0.08</v>
      </c>
      <c r="AN81" t="n">
        <v>150</v>
      </c>
      <c r="AO81" t="n">
        <v>275</v>
      </c>
      <c r="AP81" t="n">
        <v>-10</v>
      </c>
      <c r="AQ81" t="n">
        <v>40</v>
      </c>
      <c r="AS81" t="inlineStr">
        <is>
          <t>Картон</t>
        </is>
      </c>
      <c r="AT81" t="inlineStr">
        <is>
          <t>Нет</t>
        </is>
      </c>
      <c r="AU81" t="n">
        <v>0.00021</v>
      </c>
      <c r="AV81" t="n">
        <v>0.037</v>
      </c>
      <c r="AW81" t="n">
        <v>100</v>
      </c>
      <c r="AX81" t="n">
        <v>75</v>
      </c>
      <c r="AY81" t="n">
        <v>28</v>
      </c>
      <c r="AZ81" t="n">
        <v>75</v>
      </c>
      <c r="BA81" t="n">
        <v>0.021</v>
      </c>
      <c r="BB81" t="n">
        <v>3.7</v>
      </c>
      <c r="BC81" t="n">
        <v>4690612020778</v>
      </c>
      <c r="BE81" t="inlineStr">
        <is>
          <t>http://darion-svet.com/shop/product/4690612020778-led-gx53-vc-10vt-230v-6500k-800lm-in-home</t>
        </is>
      </c>
      <c r="BF81" t="inlineStr">
        <is>
          <t>http://darion-svet.com/web/binary/saveas?model=product.product&amp;field=conformity_cert&amp;filename_field=conformity_cert_filename&amp;id=14106</t>
        </is>
      </c>
      <c r="BG81" t="inlineStr">
        <is>
          <t>http://darion-svet.com/web/binary/saveas?model=product.product&amp;field=datasheet&amp;filename_field=datasheet_filename&amp;id=14106</t>
        </is>
      </c>
      <c r="BI81" t="n">
        <v>65</v>
      </c>
      <c r="BJ81" t="n">
        <v>34</v>
      </c>
      <c r="BK81" t="n">
        <v>0</v>
      </c>
      <c r="BL81" t="n">
        <v>44</v>
      </c>
    </row>
    <row r="82">
      <c r="A82" t="n">
        <v>4690612020785</v>
      </c>
      <c r="B82" t="inlineStr">
        <is>
          <t>Лампа светодиодная LED-GX53-VC 12Вт 230В 3000К 1140Лм IN HOME</t>
        </is>
      </c>
      <c r="C82" t="inlineStr">
        <is>
          <t>Лампа светодиодная LED-GX53-standard</t>
        </is>
      </c>
      <c r="D82" t="n">
        <v>4690612020785</v>
      </c>
      <c r="E82" t="inlineStr">
        <is>
          <t>http://darion-svet.com/web/binary/image?model=product.product&amp;id=14107&amp;field=image</t>
        </is>
      </c>
      <c r="F82" t="n">
        <v>2</v>
      </c>
      <c r="G82" t="inlineStr">
        <is>
          <t>Китай</t>
        </is>
      </c>
      <c r="H82" t="inlineStr">
        <is>
          <t>IN HOME</t>
        </is>
      </c>
      <c r="K82" t="inlineStr">
        <is>
          <t>LED</t>
        </is>
      </c>
      <c r="M82" t="n">
        <v>12</v>
      </c>
      <c r="N82" t="inlineStr">
        <is>
          <t>GX53</t>
        </is>
      </c>
      <c r="O82" t="inlineStr">
        <is>
          <t>SMD</t>
        </is>
      </c>
      <c r="P82" t="n">
        <v>1080</v>
      </c>
      <c r="Q82" t="n">
        <v>3000</v>
      </c>
      <c r="R82" t="n">
        <v>80</v>
      </c>
      <c r="T82" t="inlineStr">
        <is>
          <t>Д</t>
        </is>
      </c>
      <c r="U82" t="n">
        <v>30000</v>
      </c>
      <c r="V82" t="n">
        <v>27</v>
      </c>
      <c r="W82" t="n">
        <v>74</v>
      </c>
      <c r="AB82" t="n">
        <v>0.038</v>
      </c>
      <c r="AD82" t="inlineStr">
        <is>
          <t>полимерный материал</t>
        </is>
      </c>
      <c r="AE82" t="inlineStr">
        <is>
          <t>ABS пластик</t>
        </is>
      </c>
      <c r="AJ82" t="inlineStr">
        <is>
          <t>A1</t>
        </is>
      </c>
      <c r="AK82" t="n">
        <v>0.85</v>
      </c>
      <c r="AL82" t="n">
        <v>5</v>
      </c>
      <c r="AM82" t="n">
        <v>0.09</v>
      </c>
      <c r="AN82" t="n">
        <v>150</v>
      </c>
      <c r="AO82" t="n">
        <v>275</v>
      </c>
      <c r="AP82" t="n">
        <v>-10</v>
      </c>
      <c r="AQ82" t="n">
        <v>40</v>
      </c>
      <c r="AS82" t="inlineStr">
        <is>
          <t>Картон</t>
        </is>
      </c>
      <c r="AT82" t="inlineStr">
        <is>
          <t>Нет</t>
        </is>
      </c>
      <c r="AU82" t="n">
        <v>0.00021</v>
      </c>
      <c r="AV82" t="n">
        <v>0.038</v>
      </c>
      <c r="AW82" t="n">
        <v>100</v>
      </c>
      <c r="AX82" t="n">
        <v>75</v>
      </c>
      <c r="AY82" t="n">
        <v>28</v>
      </c>
      <c r="AZ82" t="n">
        <v>75</v>
      </c>
      <c r="BA82" t="n">
        <v>0.021</v>
      </c>
      <c r="BB82" t="n">
        <v>3.8</v>
      </c>
      <c r="BC82" t="n">
        <v>4690612020785</v>
      </c>
      <c r="BE82" t="inlineStr">
        <is>
          <t>http://darion-svet.com/shop/product/4690612020785-led-gx53-vc-12vt-230v-3000k-960lm-in-home</t>
        </is>
      </c>
      <c r="BF82" t="inlineStr">
        <is>
          <t>http://darion-svet.com/web/binary/saveas?model=product.product&amp;field=conformity_cert&amp;filename_field=conformity_cert_filename&amp;id=14107</t>
        </is>
      </c>
      <c r="BG82" t="inlineStr">
        <is>
          <t>http://darion-svet.com/web/binary/saveas?model=product.product&amp;field=datasheet&amp;filename_field=datasheet_filename&amp;id=14107</t>
        </is>
      </c>
      <c r="BI82" t="n">
        <v>68</v>
      </c>
      <c r="BJ82" t="n">
        <v>36</v>
      </c>
      <c r="BK82" t="n">
        <v>0</v>
      </c>
      <c r="BL82" t="n">
        <v>44</v>
      </c>
    </row>
    <row r="83">
      <c r="A83" t="n">
        <v>4690612020792</v>
      </c>
      <c r="B83" t="inlineStr">
        <is>
          <t>Лампа светодиодная LED-GX53-VC 12Вт 230В 4000К 1140Лм IN HOME</t>
        </is>
      </c>
      <c r="C83" t="inlineStr">
        <is>
          <t>Лампа светодиодная LED-GX53-standard</t>
        </is>
      </c>
      <c r="D83" t="n">
        <v>4690612020792</v>
      </c>
      <c r="E83" t="inlineStr">
        <is>
          <t>http://darion-svet.com/web/binary/image?model=product.product&amp;id=14108&amp;field=image</t>
        </is>
      </c>
      <c r="F83" t="n">
        <v>2</v>
      </c>
      <c r="G83" t="inlineStr">
        <is>
          <t>Китай</t>
        </is>
      </c>
      <c r="H83" t="inlineStr">
        <is>
          <t>IN HOME</t>
        </is>
      </c>
      <c r="K83" t="inlineStr">
        <is>
          <t>LED</t>
        </is>
      </c>
      <c r="M83" t="n">
        <v>12</v>
      </c>
      <c r="N83" t="inlineStr">
        <is>
          <t>GX53</t>
        </is>
      </c>
      <c r="O83" t="inlineStr">
        <is>
          <t>SMD</t>
        </is>
      </c>
      <c r="P83" t="n">
        <v>1080</v>
      </c>
      <c r="Q83" t="n">
        <v>4000</v>
      </c>
      <c r="R83" t="n">
        <v>80</v>
      </c>
      <c r="T83" t="inlineStr">
        <is>
          <t>Д</t>
        </is>
      </c>
      <c r="U83" t="n">
        <v>30000</v>
      </c>
      <c r="V83" t="n">
        <v>27</v>
      </c>
      <c r="W83" t="n">
        <v>74</v>
      </c>
      <c r="AB83" t="n">
        <v>0.038</v>
      </c>
      <c r="AD83" t="inlineStr">
        <is>
          <t>полимерный материал</t>
        </is>
      </c>
      <c r="AE83" t="inlineStr">
        <is>
          <t>ABS пластик</t>
        </is>
      </c>
      <c r="AJ83" t="inlineStr">
        <is>
          <t>A1</t>
        </is>
      </c>
      <c r="AK83" t="n">
        <v>0.85</v>
      </c>
      <c r="AL83" t="n">
        <v>5</v>
      </c>
      <c r="AM83" t="n">
        <v>0.09</v>
      </c>
      <c r="AN83" t="n">
        <v>150</v>
      </c>
      <c r="AO83" t="n">
        <v>275</v>
      </c>
      <c r="AP83" t="n">
        <v>-10</v>
      </c>
      <c r="AQ83" t="n">
        <v>40</v>
      </c>
      <c r="AS83" t="inlineStr">
        <is>
          <t>Картон</t>
        </is>
      </c>
      <c r="AT83" t="inlineStr">
        <is>
          <t>Нет</t>
        </is>
      </c>
      <c r="AU83" t="n">
        <v>0.00021</v>
      </c>
      <c r="AV83" t="n">
        <v>0.038</v>
      </c>
      <c r="AW83" t="n">
        <v>100</v>
      </c>
      <c r="AX83" t="n">
        <v>75</v>
      </c>
      <c r="AY83" t="n">
        <v>28</v>
      </c>
      <c r="AZ83" t="n">
        <v>75</v>
      </c>
      <c r="BA83" t="n">
        <v>0.021</v>
      </c>
      <c r="BB83" t="n">
        <v>3.8</v>
      </c>
      <c r="BC83" t="n">
        <v>4690612020792</v>
      </c>
      <c r="BE83" t="inlineStr">
        <is>
          <t>http://darion-svet.com/shop/product/4690612020792-led-gx53-vc-12vt-230v-4000k-960lm-in-home</t>
        </is>
      </c>
      <c r="BF83" t="inlineStr">
        <is>
          <t>http://darion-svet.com/web/binary/saveas?model=product.product&amp;field=conformity_cert&amp;filename_field=conformity_cert_filename&amp;id=14108</t>
        </is>
      </c>
      <c r="BG83" t="inlineStr">
        <is>
          <t>http://darion-svet.com/web/binary/saveas?model=product.product&amp;field=datasheet&amp;filename_field=datasheet_filename&amp;id=14108</t>
        </is>
      </c>
      <c r="BI83" t="n">
        <v>1</v>
      </c>
      <c r="BJ83" t="n">
        <v>36</v>
      </c>
      <c r="BK83" t="n">
        <v>0</v>
      </c>
      <c r="BL83" t="n">
        <v>44</v>
      </c>
    </row>
    <row r="84">
      <c r="A84" t="n">
        <v>4690612020808</v>
      </c>
      <c r="B84" t="inlineStr">
        <is>
          <t>Лампа светодиодная LED-GX53-VC 12Вт 230В 6500К 1140Лм IN HOME</t>
        </is>
      </c>
      <c r="C84" t="inlineStr">
        <is>
          <t>Лампа светодиодная LED-GX53-standard</t>
        </is>
      </c>
      <c r="D84" t="n">
        <v>4690612020808</v>
      </c>
      <c r="E84" t="inlineStr">
        <is>
          <t>http://darion-svet.com/web/binary/image?model=product.product&amp;id=14109&amp;field=image</t>
        </is>
      </c>
      <c r="F84" t="n">
        <v>2</v>
      </c>
      <c r="G84" t="inlineStr">
        <is>
          <t>Китай</t>
        </is>
      </c>
      <c r="H84" t="inlineStr">
        <is>
          <t>IN HOME</t>
        </is>
      </c>
      <c r="K84" t="inlineStr">
        <is>
          <t>LED</t>
        </is>
      </c>
      <c r="M84" t="n">
        <v>12</v>
      </c>
      <c r="N84" t="inlineStr">
        <is>
          <t>GX53</t>
        </is>
      </c>
      <c r="O84" t="inlineStr">
        <is>
          <t>SMD</t>
        </is>
      </c>
      <c r="P84" t="n">
        <v>1080</v>
      </c>
      <c r="Q84" t="n">
        <v>6500</v>
      </c>
      <c r="R84" t="n">
        <v>80</v>
      </c>
      <c r="T84" t="inlineStr">
        <is>
          <t>Д</t>
        </is>
      </c>
      <c r="U84" t="n">
        <v>30000</v>
      </c>
      <c r="V84" t="n">
        <v>27</v>
      </c>
      <c r="W84" t="n">
        <v>74</v>
      </c>
      <c r="AB84" t="n">
        <v>0.038</v>
      </c>
      <c r="AD84" t="inlineStr">
        <is>
          <t>полимерный материал</t>
        </is>
      </c>
      <c r="AE84" t="inlineStr">
        <is>
          <t>ABS пластик</t>
        </is>
      </c>
      <c r="AJ84" t="inlineStr">
        <is>
          <t>A1</t>
        </is>
      </c>
      <c r="AK84" t="n">
        <v>0.85</v>
      </c>
      <c r="AL84" t="n">
        <v>5</v>
      </c>
      <c r="AM84" t="n">
        <v>0.09</v>
      </c>
      <c r="AN84" t="n">
        <v>150</v>
      </c>
      <c r="AO84" t="n">
        <v>275</v>
      </c>
      <c r="AP84" t="n">
        <v>-10</v>
      </c>
      <c r="AQ84" t="n">
        <v>40</v>
      </c>
      <c r="AS84" t="inlineStr">
        <is>
          <t>Картон</t>
        </is>
      </c>
      <c r="AT84" t="inlineStr">
        <is>
          <t>Нет</t>
        </is>
      </c>
      <c r="AU84" t="n">
        <v>0.00021</v>
      </c>
      <c r="AV84" t="n">
        <v>0.038</v>
      </c>
      <c r="AW84" t="n">
        <v>100</v>
      </c>
      <c r="AX84" t="n">
        <v>75</v>
      </c>
      <c r="AY84" t="n">
        <v>28</v>
      </c>
      <c r="AZ84" t="n">
        <v>75</v>
      </c>
      <c r="BA84" t="n">
        <v>0.021</v>
      </c>
      <c r="BB84" t="n">
        <v>3.8</v>
      </c>
      <c r="BC84" t="n">
        <v>4690612020808</v>
      </c>
      <c r="BE84" t="inlineStr">
        <is>
          <t>http://darion-svet.com/shop/product/4690612020808-led-gx53-vc-12vt-230v-6500k-960lm-in-home</t>
        </is>
      </c>
      <c r="BF84" t="inlineStr">
        <is>
          <t>http://darion-svet.com/web/binary/saveas?model=product.product&amp;field=conformity_cert&amp;filename_field=conformity_cert_filename&amp;id=14109</t>
        </is>
      </c>
      <c r="BG84" t="inlineStr">
        <is>
          <t>http://darion-svet.com/web/binary/saveas?model=product.product&amp;field=datasheet&amp;filename_field=datasheet_filename&amp;id=14109</t>
        </is>
      </c>
      <c r="BI84" t="n">
        <v>40</v>
      </c>
      <c r="BJ84" t="n">
        <v>36</v>
      </c>
      <c r="BK84" t="n">
        <v>0</v>
      </c>
      <c r="BL84" t="n">
        <v>44</v>
      </c>
    </row>
    <row r="85">
      <c r="A85" t="n">
        <v>4690612020815</v>
      </c>
      <c r="B85" t="inlineStr">
        <is>
          <t>Лампа светодиодная LED-GX53-VC 15Вт 230В 3000К 1430Лм IN HOME</t>
        </is>
      </c>
      <c r="C85" t="inlineStr">
        <is>
          <t>Лампа светодиодная LED-GX53-standard</t>
        </is>
      </c>
      <c r="D85" t="n">
        <v>4690612020815</v>
      </c>
      <c r="E85" t="inlineStr">
        <is>
          <t>http://darion-svet.com/web/binary/image?model=product.product&amp;id=14110&amp;field=image</t>
        </is>
      </c>
      <c r="F85" t="n">
        <v>2</v>
      </c>
      <c r="G85" t="inlineStr">
        <is>
          <t>Китай</t>
        </is>
      </c>
      <c r="H85" t="inlineStr">
        <is>
          <t>IN HOME</t>
        </is>
      </c>
      <c r="K85" t="inlineStr">
        <is>
          <t>LED</t>
        </is>
      </c>
      <c r="M85" t="n">
        <v>15</v>
      </c>
      <c r="N85" t="inlineStr">
        <is>
          <t>GX53</t>
        </is>
      </c>
      <c r="O85" t="inlineStr">
        <is>
          <t>SMD</t>
        </is>
      </c>
      <c r="P85" t="n">
        <v>1350</v>
      </c>
      <c r="Q85" t="n">
        <v>3000</v>
      </c>
      <c r="R85" t="n">
        <v>80</v>
      </c>
      <c r="T85" t="inlineStr">
        <is>
          <t>Д</t>
        </is>
      </c>
      <c r="U85" t="n">
        <v>30000</v>
      </c>
      <c r="V85" t="n">
        <v>27</v>
      </c>
      <c r="W85" t="n">
        <v>74</v>
      </c>
      <c r="AB85" t="n">
        <v>0.051</v>
      </c>
      <c r="AD85" t="inlineStr">
        <is>
          <t>полимерный материал</t>
        </is>
      </c>
      <c r="AE85" t="inlineStr">
        <is>
          <t>ABS пластик</t>
        </is>
      </c>
      <c r="AJ85" t="inlineStr">
        <is>
          <t>A1</t>
        </is>
      </c>
      <c r="AK85" t="n">
        <v>0.85</v>
      </c>
      <c r="AL85" t="n">
        <v>5</v>
      </c>
      <c r="AM85" t="n">
        <v>0.11</v>
      </c>
      <c r="AN85" t="n">
        <v>150</v>
      </c>
      <c r="AO85" t="n">
        <v>275</v>
      </c>
      <c r="AP85" t="n">
        <v>-10</v>
      </c>
      <c r="AQ85" t="n">
        <v>40</v>
      </c>
      <c r="AS85" t="inlineStr">
        <is>
          <t>Картон</t>
        </is>
      </c>
      <c r="AT85" t="inlineStr">
        <is>
          <t>Нет</t>
        </is>
      </c>
      <c r="AU85" t="n">
        <v>0.00021</v>
      </c>
      <c r="AV85" t="n">
        <v>0.051</v>
      </c>
      <c r="AW85" t="n">
        <v>100</v>
      </c>
      <c r="AX85" t="n">
        <v>75</v>
      </c>
      <c r="AY85" t="n">
        <v>28</v>
      </c>
      <c r="AZ85" t="n">
        <v>75</v>
      </c>
      <c r="BA85" t="n">
        <v>0.021</v>
      </c>
      <c r="BB85" t="n">
        <v>5.1</v>
      </c>
      <c r="BC85" t="n">
        <v>4690612020815</v>
      </c>
      <c r="BE85" t="inlineStr">
        <is>
          <t>http://darion-svet.com/shop/product/4690612020815-led-gx53-vc-15vt-230v-3000k-1200lm-in-home</t>
        </is>
      </c>
      <c r="BF85" t="inlineStr">
        <is>
          <t>http://darion-svet.com/web/binary/saveas?model=product.product&amp;field=conformity_cert&amp;filename_field=conformity_cert_filename&amp;id=14110</t>
        </is>
      </c>
      <c r="BG85" t="inlineStr">
        <is>
          <t>http://darion-svet.com/web/binary/saveas?model=product.product&amp;field=datasheet&amp;filename_field=datasheet_filename&amp;id=14110</t>
        </is>
      </c>
      <c r="BI85" t="n">
        <v>9</v>
      </c>
      <c r="BJ85" t="n">
        <v>43</v>
      </c>
      <c r="BK85" t="n">
        <v>0</v>
      </c>
      <c r="BL85" t="n">
        <v>44</v>
      </c>
    </row>
    <row r="86">
      <c r="A86" t="n">
        <v>4690612020822</v>
      </c>
      <c r="B86" t="inlineStr">
        <is>
          <t>Лампа светодиодная LED-GX53-VC 15Вт 230В 4000К 1430Лм IN HOME</t>
        </is>
      </c>
      <c r="C86" t="inlineStr">
        <is>
          <t>Лампа светодиодная LED-GX53-standard</t>
        </is>
      </c>
      <c r="D86" t="n">
        <v>4690612020822</v>
      </c>
      <c r="E86" t="inlineStr">
        <is>
          <t>http://darion-svet.com/web/binary/image?model=product.product&amp;id=14111&amp;field=image</t>
        </is>
      </c>
      <c r="F86" t="n">
        <v>2</v>
      </c>
      <c r="G86" t="inlineStr">
        <is>
          <t>Китай</t>
        </is>
      </c>
      <c r="H86" t="inlineStr">
        <is>
          <t>IN HOME</t>
        </is>
      </c>
      <c r="K86" t="inlineStr">
        <is>
          <t>LED</t>
        </is>
      </c>
      <c r="M86" t="n">
        <v>15</v>
      </c>
      <c r="N86" t="inlineStr">
        <is>
          <t>GX53</t>
        </is>
      </c>
      <c r="O86" t="inlineStr">
        <is>
          <t>SMD</t>
        </is>
      </c>
      <c r="P86" t="n">
        <v>1350</v>
      </c>
      <c r="Q86" t="n">
        <v>4000</v>
      </c>
      <c r="R86" t="n">
        <v>80</v>
      </c>
      <c r="T86" t="inlineStr">
        <is>
          <t>Д</t>
        </is>
      </c>
      <c r="U86" t="n">
        <v>30000</v>
      </c>
      <c r="V86" t="n">
        <v>27</v>
      </c>
      <c r="W86" t="n">
        <v>74</v>
      </c>
      <c r="AB86" t="n">
        <v>0.051</v>
      </c>
      <c r="AD86" t="inlineStr">
        <is>
          <t>полимерный материал</t>
        </is>
      </c>
      <c r="AE86" t="inlineStr">
        <is>
          <t>ABS пластик</t>
        </is>
      </c>
      <c r="AJ86" t="inlineStr">
        <is>
          <t>A1</t>
        </is>
      </c>
      <c r="AK86" t="n">
        <v>0.85</v>
      </c>
      <c r="AL86" t="n">
        <v>5</v>
      </c>
      <c r="AM86" t="n">
        <v>0.11</v>
      </c>
      <c r="AN86" t="n">
        <v>150</v>
      </c>
      <c r="AO86" t="n">
        <v>275</v>
      </c>
      <c r="AP86" t="n">
        <v>-10</v>
      </c>
      <c r="AQ86" t="n">
        <v>40</v>
      </c>
      <c r="AS86" t="inlineStr">
        <is>
          <t>Картон</t>
        </is>
      </c>
      <c r="AT86" t="inlineStr">
        <is>
          <t>Нет</t>
        </is>
      </c>
      <c r="AU86" t="n">
        <v>0.00021</v>
      </c>
      <c r="AV86" t="n">
        <v>0.051</v>
      </c>
      <c r="AW86" t="n">
        <v>100</v>
      </c>
      <c r="AX86" t="n">
        <v>75</v>
      </c>
      <c r="AY86" t="n">
        <v>28</v>
      </c>
      <c r="AZ86" t="n">
        <v>75</v>
      </c>
      <c r="BA86" t="n">
        <v>0.021</v>
      </c>
      <c r="BB86" t="n">
        <v>5.1</v>
      </c>
      <c r="BC86" t="n">
        <v>4690612020822</v>
      </c>
      <c r="BE86" t="inlineStr">
        <is>
          <t>http://darion-svet.com/shop/product/4690612020822-led-gx53-vc15vt-230v-4000k-1200lm-in-home</t>
        </is>
      </c>
      <c r="BF86" t="inlineStr">
        <is>
          <t>http://darion-svet.com/web/binary/saveas?model=product.product&amp;field=conformity_cert&amp;filename_field=conformity_cert_filename&amp;id=14111</t>
        </is>
      </c>
      <c r="BG86" t="inlineStr">
        <is>
          <t>http://darion-svet.com/web/binary/saveas?model=product.product&amp;field=datasheet&amp;filename_field=datasheet_filename&amp;id=14111</t>
        </is>
      </c>
      <c r="BI86" t="n">
        <v>5</v>
      </c>
      <c r="BJ86" t="n">
        <v>43</v>
      </c>
      <c r="BK86" t="n">
        <v>0</v>
      </c>
      <c r="BL86" t="n">
        <v>44</v>
      </c>
    </row>
    <row r="87">
      <c r="A87" t="n">
        <v>4690612020839</v>
      </c>
      <c r="B87" t="inlineStr">
        <is>
          <t>Лампа светодиодная LED-GX53-VC 15Вт 230В 6500К 1430Лм IN HOME</t>
        </is>
      </c>
      <c r="C87" t="inlineStr">
        <is>
          <t>Лампа светодиодная LED-GX53-standard</t>
        </is>
      </c>
      <c r="D87" t="n">
        <v>4690612020839</v>
      </c>
      <c r="E87" t="inlineStr">
        <is>
          <t>http://darion-svet.com/web/binary/image?model=product.product&amp;id=14112&amp;field=image</t>
        </is>
      </c>
      <c r="F87" t="n">
        <v>2</v>
      </c>
      <c r="G87" t="inlineStr">
        <is>
          <t>Китай</t>
        </is>
      </c>
      <c r="H87" t="inlineStr">
        <is>
          <t>IN HOME</t>
        </is>
      </c>
      <c r="K87" t="inlineStr">
        <is>
          <t>LED</t>
        </is>
      </c>
      <c r="M87" t="n">
        <v>15</v>
      </c>
      <c r="N87" t="inlineStr">
        <is>
          <t>GX53</t>
        </is>
      </c>
      <c r="O87" t="inlineStr">
        <is>
          <t>SMD</t>
        </is>
      </c>
      <c r="P87" t="n">
        <v>1350</v>
      </c>
      <c r="Q87" t="n">
        <v>6500</v>
      </c>
      <c r="R87" t="n">
        <v>80</v>
      </c>
      <c r="T87" t="inlineStr">
        <is>
          <t>Д</t>
        </is>
      </c>
      <c r="U87" t="n">
        <v>30000</v>
      </c>
      <c r="V87" t="n">
        <v>27</v>
      </c>
      <c r="W87" t="n">
        <v>74</v>
      </c>
      <c r="AB87" t="n">
        <v>0.051</v>
      </c>
      <c r="AD87" t="inlineStr">
        <is>
          <t>полимерный материал</t>
        </is>
      </c>
      <c r="AE87" t="inlineStr">
        <is>
          <t>ABS пластик</t>
        </is>
      </c>
      <c r="AJ87" t="inlineStr">
        <is>
          <t>A1</t>
        </is>
      </c>
      <c r="AK87" t="n">
        <v>0.85</v>
      </c>
      <c r="AL87" t="n">
        <v>5</v>
      </c>
      <c r="AM87" t="n">
        <v>0.11</v>
      </c>
      <c r="AN87" t="n">
        <v>150</v>
      </c>
      <c r="AO87" t="n">
        <v>275</v>
      </c>
      <c r="AP87" t="n">
        <v>-10</v>
      </c>
      <c r="AQ87" t="n">
        <v>40</v>
      </c>
      <c r="AS87" t="inlineStr">
        <is>
          <t>Картон</t>
        </is>
      </c>
      <c r="AT87" t="inlineStr">
        <is>
          <t>Нет</t>
        </is>
      </c>
      <c r="AU87" t="n">
        <v>0.00021</v>
      </c>
      <c r="AV87" t="n">
        <v>0.051</v>
      </c>
      <c r="AW87" t="n">
        <v>100</v>
      </c>
      <c r="AX87" t="n">
        <v>75</v>
      </c>
      <c r="AY87" t="n">
        <v>28</v>
      </c>
      <c r="AZ87" t="n">
        <v>75</v>
      </c>
      <c r="BA87" t="n">
        <v>0.021</v>
      </c>
      <c r="BB87" t="n">
        <v>5.1</v>
      </c>
      <c r="BC87" t="n">
        <v>4690612020839</v>
      </c>
      <c r="BE87" t="inlineStr">
        <is>
          <t>http://darion-svet.com/shop/product/4690612020839-led-gx53-vc-15vt-230v-6500k-1200lm-in-home</t>
        </is>
      </c>
      <c r="BF87" t="inlineStr">
        <is>
          <t>http://darion-svet.com/web/binary/saveas?model=product.product&amp;field=conformity_cert&amp;filename_field=conformity_cert_filename&amp;id=14112</t>
        </is>
      </c>
      <c r="BG87" t="inlineStr">
        <is>
          <t>http://darion-svet.com/web/binary/saveas?model=product.product&amp;field=datasheet&amp;filename_field=datasheet_filename&amp;id=14112</t>
        </is>
      </c>
      <c r="BI87" t="n">
        <v>71</v>
      </c>
      <c r="BJ87" t="n">
        <v>43</v>
      </c>
      <c r="BK87" t="n">
        <v>0</v>
      </c>
      <c r="BL87" t="n">
        <v>44</v>
      </c>
    </row>
    <row r="88">
      <c r="A88" t="n">
        <v>4690612021546</v>
      </c>
      <c r="B88" t="inlineStr">
        <is>
          <t>Лампа светодиодная LED-GX70-VC 16Вт 230В 4000К 1520Лм IN HOME</t>
        </is>
      </c>
      <c r="C88" t="inlineStr">
        <is>
          <t>ASD лампы LED</t>
        </is>
      </c>
      <c r="D88" t="n">
        <v>4690612021546</v>
      </c>
      <c r="E88" t="inlineStr">
        <is>
          <t>http://darion-svet.com/web/binary/image?model=product.product&amp;id=14116&amp;field=image</t>
        </is>
      </c>
      <c r="F88" t="n">
        <v>2</v>
      </c>
      <c r="G88" t="inlineStr">
        <is>
          <t>Китай</t>
        </is>
      </c>
      <c r="H88" t="inlineStr">
        <is>
          <t>IN HOME</t>
        </is>
      </c>
      <c r="K88" t="inlineStr">
        <is>
          <t>LED</t>
        </is>
      </c>
      <c r="M88" t="n">
        <v>16</v>
      </c>
      <c r="N88" t="inlineStr">
        <is>
          <t>GX70</t>
        </is>
      </c>
      <c r="O88" t="inlineStr">
        <is>
          <t>SMD</t>
        </is>
      </c>
      <c r="P88" t="n">
        <v>1280</v>
      </c>
      <c r="Q88" t="n">
        <v>4000</v>
      </c>
      <c r="R88" t="n">
        <v>80</v>
      </c>
      <c r="T88" t="inlineStr">
        <is>
          <t>Д</t>
        </is>
      </c>
      <c r="U88" t="n">
        <v>30000</v>
      </c>
      <c r="V88" t="n">
        <v>43</v>
      </c>
      <c r="W88" t="n">
        <v>111</v>
      </c>
      <c r="AB88" t="n">
        <v>0.15</v>
      </c>
      <c r="AD88" t="inlineStr">
        <is>
          <t>полимерный материал</t>
        </is>
      </c>
      <c r="AE88" t="inlineStr">
        <is>
          <t>ABS пластик</t>
        </is>
      </c>
      <c r="AJ88" t="inlineStr">
        <is>
          <t>A1</t>
        </is>
      </c>
      <c r="AK88" t="n">
        <v>0.85</v>
      </c>
      <c r="AL88" t="n">
        <v>5</v>
      </c>
      <c r="AM88" t="n">
        <v>0.12</v>
      </c>
      <c r="AN88" t="n">
        <v>150</v>
      </c>
      <c r="AO88" t="n">
        <v>275</v>
      </c>
      <c r="AP88" t="n">
        <v>-10</v>
      </c>
      <c r="AQ88" t="n">
        <v>40</v>
      </c>
      <c r="AS88" t="inlineStr">
        <is>
          <t>Картон</t>
        </is>
      </c>
      <c r="AT88" t="inlineStr">
        <is>
          <t>Нет</t>
        </is>
      </c>
      <c r="AU88" t="n">
        <v>0.0007</v>
      </c>
      <c r="AV88" t="n">
        <v>0.15</v>
      </c>
      <c r="AW88" t="n">
        <v>50</v>
      </c>
      <c r="AX88" t="n">
        <v>115</v>
      </c>
      <c r="AY88" t="n">
        <v>115</v>
      </c>
      <c r="AZ88" t="n">
        <v>55</v>
      </c>
      <c r="BA88" t="n">
        <v>0.035</v>
      </c>
      <c r="BB88" t="n">
        <v>7.5</v>
      </c>
      <c r="BC88" t="n">
        <v>4690612021546</v>
      </c>
      <c r="BE88" t="inlineStr">
        <is>
          <t>http://darion-svet.com/shop/product/4690612021546-led-gx70-vc-16vt-230v-4000k-1280lm-in-home</t>
        </is>
      </c>
      <c r="BF88" t="inlineStr">
        <is>
          <t>http://darion-svet.com/web/binary/saveas?model=product.product&amp;field=conformity_cert&amp;filename_field=conformity_cert_filename&amp;id=14116</t>
        </is>
      </c>
      <c r="BG88" t="inlineStr">
        <is>
          <t>http://darion-svet.com/web/binary/saveas?model=product.product&amp;field=datasheet&amp;filename_field=datasheet_filename&amp;id=14116</t>
        </is>
      </c>
      <c r="BI88" t="n">
        <v>4</v>
      </c>
      <c r="BJ88" t="n">
        <v>111</v>
      </c>
      <c r="BK88" t="n">
        <v>0</v>
      </c>
      <c r="BL88" t="n">
        <v>44</v>
      </c>
    </row>
    <row r="89">
      <c r="A89" t="n">
        <v>4690612023380</v>
      </c>
      <c r="B89" t="inlineStr">
        <is>
          <t>Лампа светодиодная LED-JCDRC-VC 6Вт 230В GU10 3000К 530Лм IN HOME</t>
        </is>
      </c>
      <c r="C89" t="inlineStr">
        <is>
          <t>Лампа светодиодная LED-JCDR-standard</t>
        </is>
      </c>
      <c r="D89" t="n">
        <v>4690612023380</v>
      </c>
      <c r="E89" t="inlineStr">
        <is>
          <t>http://darion-svet.com/web/binary/image?model=product.product&amp;id=16582&amp;field=image</t>
        </is>
      </c>
      <c r="F89" t="n">
        <v>2</v>
      </c>
      <c r="G89" t="inlineStr">
        <is>
          <t>Китай</t>
        </is>
      </c>
      <c r="H89" t="inlineStr">
        <is>
          <t>IN HOME</t>
        </is>
      </c>
      <c r="K89" t="inlineStr">
        <is>
          <t>LED</t>
        </is>
      </c>
      <c r="M89" t="n">
        <v>6</v>
      </c>
      <c r="N89" t="inlineStr">
        <is>
          <t>GU10</t>
        </is>
      </c>
      <c r="O89" t="inlineStr">
        <is>
          <t>SMD</t>
        </is>
      </c>
      <c r="P89" t="n">
        <v>525</v>
      </c>
      <c r="Q89" t="n">
        <v>3000</v>
      </c>
      <c r="R89" t="n">
        <v>80</v>
      </c>
      <c r="T89" t="inlineStr">
        <is>
          <t>Г</t>
        </is>
      </c>
      <c r="U89" t="n">
        <v>30000</v>
      </c>
      <c r="V89" t="n">
        <v>55</v>
      </c>
      <c r="W89" t="n">
        <v>50</v>
      </c>
      <c r="AB89" t="n">
        <v>0.035</v>
      </c>
      <c r="AD89" t="inlineStr">
        <is>
          <t>полимерный материал</t>
        </is>
      </c>
      <c r="AE89" t="inlineStr">
        <is>
          <t>ABS пластик</t>
        </is>
      </c>
      <c r="AJ89" t="inlineStr">
        <is>
          <t>A1</t>
        </is>
      </c>
      <c r="AK89" t="n">
        <v>0.85</v>
      </c>
      <c r="AL89" t="n">
        <v>5</v>
      </c>
      <c r="AM89" t="n">
        <v>0.05</v>
      </c>
      <c r="AN89" t="n">
        <v>150</v>
      </c>
      <c r="AO89" t="n">
        <v>275</v>
      </c>
      <c r="AP89" t="n">
        <v>-10</v>
      </c>
      <c r="AQ89" t="n">
        <v>40</v>
      </c>
      <c r="AS89" t="inlineStr">
        <is>
          <t>Картон</t>
        </is>
      </c>
      <c r="AT89" t="inlineStr">
        <is>
          <t>Нет</t>
        </is>
      </c>
      <c r="AU89" t="n">
        <v>0.00021</v>
      </c>
      <c r="AV89" t="n">
        <v>0.035</v>
      </c>
      <c r="AW89" t="n">
        <v>100</v>
      </c>
      <c r="AX89" t="n">
        <v>52</v>
      </c>
      <c r="AY89" t="n">
        <v>52</v>
      </c>
      <c r="AZ89" t="n">
        <v>55</v>
      </c>
      <c r="BA89" t="n">
        <v>0.021</v>
      </c>
      <c r="BB89" t="n">
        <v>3.5</v>
      </c>
      <c r="BC89" t="n">
        <v>4690612023380</v>
      </c>
      <c r="BE89" t="inlineStr">
        <is>
          <t>http://darion-svet.com/shop/product/4690612023380-led-jcdrc-vc-6vt-230v-gu10-3000k-480lm-in-home</t>
        </is>
      </c>
      <c r="BF89" t="inlineStr">
        <is>
          <t>http://darion-svet.com/web/binary/saveas?model=product.product&amp;field=conformity_cert&amp;filename_field=conformity_cert_filename&amp;id=16582</t>
        </is>
      </c>
      <c r="BG89" t="inlineStr">
        <is>
          <t>http://darion-svet.com/web/binary/saveas?model=product.product&amp;field=datasheet&amp;filename_field=datasheet_filename&amp;id=16582</t>
        </is>
      </c>
      <c r="BI89" t="n">
        <v>39</v>
      </c>
      <c r="BJ89" t="n">
        <v>27</v>
      </c>
      <c r="BK89" t="n">
        <v>0</v>
      </c>
      <c r="BL89" t="n">
        <v>44</v>
      </c>
    </row>
    <row r="90">
      <c r="A90" t="n">
        <v>4690612023403</v>
      </c>
      <c r="B90" t="inlineStr">
        <is>
          <t>Лампа светодиодная LED-JCDRC-VC 6Вт 230В GU10 4000К 530Лм IN HOME</t>
        </is>
      </c>
      <c r="C90" t="inlineStr">
        <is>
          <t>Лампа светодиодная LED-JCDR-standard</t>
        </is>
      </c>
      <c r="D90" t="n">
        <v>4690612023403</v>
      </c>
      <c r="E90" t="inlineStr">
        <is>
          <t>http://darion-svet.com/web/binary/image?model=product.product&amp;id=16583&amp;field=image</t>
        </is>
      </c>
      <c r="F90" t="n">
        <v>2</v>
      </c>
      <c r="G90" t="inlineStr">
        <is>
          <t>Китай</t>
        </is>
      </c>
      <c r="H90" t="inlineStr">
        <is>
          <t>IN HOME</t>
        </is>
      </c>
      <c r="K90" t="inlineStr">
        <is>
          <t>LED</t>
        </is>
      </c>
      <c r="M90" t="n">
        <v>6</v>
      </c>
      <c r="N90" t="inlineStr">
        <is>
          <t>GU10</t>
        </is>
      </c>
      <c r="O90" t="inlineStr">
        <is>
          <t>SMD</t>
        </is>
      </c>
      <c r="P90" t="n">
        <v>525</v>
      </c>
      <c r="Q90" t="n">
        <v>4000</v>
      </c>
      <c r="R90" t="n">
        <v>80</v>
      </c>
      <c r="T90" t="inlineStr">
        <is>
          <t>Г</t>
        </is>
      </c>
      <c r="U90" t="n">
        <v>30000</v>
      </c>
      <c r="V90" t="n">
        <v>55</v>
      </c>
      <c r="W90" t="n">
        <v>50</v>
      </c>
      <c r="AB90" t="n">
        <v>0.035</v>
      </c>
      <c r="AD90" t="inlineStr">
        <is>
          <t>полимерный материал</t>
        </is>
      </c>
      <c r="AE90" t="inlineStr">
        <is>
          <t>ABS пластик</t>
        </is>
      </c>
      <c r="AJ90" t="inlineStr">
        <is>
          <t>A1</t>
        </is>
      </c>
      <c r="AK90" t="n">
        <v>0.85</v>
      </c>
      <c r="AL90" t="n">
        <v>5</v>
      </c>
      <c r="AM90" t="n">
        <v>0.05</v>
      </c>
      <c r="AN90" t="n">
        <v>150</v>
      </c>
      <c r="AO90" t="n">
        <v>275</v>
      </c>
      <c r="AP90" t="n">
        <v>-10</v>
      </c>
      <c r="AQ90" t="n">
        <v>40</v>
      </c>
      <c r="AS90" t="inlineStr">
        <is>
          <t>Картон</t>
        </is>
      </c>
      <c r="AT90" t="inlineStr">
        <is>
          <t>Нет</t>
        </is>
      </c>
      <c r="AU90" t="n">
        <v>0.00021</v>
      </c>
      <c r="AV90" t="n">
        <v>0.035</v>
      </c>
      <c r="AW90" t="n">
        <v>100</v>
      </c>
      <c r="AX90" t="n">
        <v>52</v>
      </c>
      <c r="AY90" t="n">
        <v>52</v>
      </c>
      <c r="AZ90" t="n">
        <v>55</v>
      </c>
      <c r="BA90" t="n">
        <v>0.021</v>
      </c>
      <c r="BB90" t="n">
        <v>3.5</v>
      </c>
      <c r="BC90" t="n">
        <v>4690612023403</v>
      </c>
      <c r="BE90" t="inlineStr">
        <is>
          <t>http://darion-svet.com/shop/product/4690612023403-led-jcdrc-vc-6vt-230v-gu10-4000k-480lm-in-home</t>
        </is>
      </c>
      <c r="BF90" t="inlineStr">
        <is>
          <t>http://darion-svet.com/web/binary/saveas?model=product.product&amp;field=conformity_cert&amp;filename_field=conformity_cert_filename&amp;id=16583</t>
        </is>
      </c>
      <c r="BG90" t="inlineStr">
        <is>
          <t>http://darion-svet.com/web/binary/saveas?model=product.product&amp;field=datasheet&amp;filename_field=datasheet_filename&amp;id=16583</t>
        </is>
      </c>
      <c r="BI90" t="n">
        <v>60</v>
      </c>
      <c r="BJ90" t="n">
        <v>27</v>
      </c>
      <c r="BK90" t="n">
        <v>0</v>
      </c>
      <c r="BL90" t="n">
        <v>44</v>
      </c>
    </row>
    <row r="91">
      <c r="A91" t="n">
        <v>4690612023427</v>
      </c>
      <c r="B91" t="inlineStr">
        <is>
          <t>Лампа светодиодная LED-JCDRC-VC 8Вт 230В GU10 3000К 720Лм IN HOME</t>
        </is>
      </c>
      <c r="C91" t="inlineStr">
        <is>
          <t>Лампа светодиодная LED-JCDR-standard</t>
        </is>
      </c>
      <c r="D91" t="n">
        <v>4690612023427</v>
      </c>
      <c r="E91" t="inlineStr">
        <is>
          <t>http://darion-svet.com/web/binary/image?model=product.product&amp;id=16585&amp;field=image</t>
        </is>
      </c>
      <c r="F91" t="n">
        <v>2</v>
      </c>
      <c r="G91" t="inlineStr">
        <is>
          <t>Китай</t>
        </is>
      </c>
      <c r="H91" t="inlineStr">
        <is>
          <t>IN HOME</t>
        </is>
      </c>
      <c r="K91" t="inlineStr">
        <is>
          <t>LED</t>
        </is>
      </c>
      <c r="M91" t="n">
        <v>8</v>
      </c>
      <c r="N91" t="inlineStr">
        <is>
          <t>GU10</t>
        </is>
      </c>
      <c r="O91" t="inlineStr">
        <is>
          <t>SMD</t>
        </is>
      </c>
      <c r="P91" t="n">
        <v>720</v>
      </c>
      <c r="Q91" t="n">
        <v>3000</v>
      </c>
      <c r="R91" t="n">
        <v>80</v>
      </c>
      <c r="T91" t="inlineStr">
        <is>
          <t>Г</t>
        </is>
      </c>
      <c r="U91" t="n">
        <v>30000</v>
      </c>
      <c r="V91" t="n">
        <v>55</v>
      </c>
      <c r="W91" t="n">
        <v>50</v>
      </c>
      <c r="AB91" t="n">
        <v>0.035</v>
      </c>
      <c r="AD91" t="inlineStr">
        <is>
          <t>полимерный материал</t>
        </is>
      </c>
      <c r="AE91" t="inlineStr">
        <is>
          <t>ABS пластик</t>
        </is>
      </c>
      <c r="AJ91" t="inlineStr">
        <is>
          <t>A1</t>
        </is>
      </c>
      <c r="AK91" t="n">
        <v>0.85</v>
      </c>
      <c r="AL91" t="n">
        <v>5</v>
      </c>
      <c r="AM91" t="n">
        <v>0.06</v>
      </c>
      <c r="AN91" t="n">
        <v>150</v>
      </c>
      <c r="AO91" t="n">
        <v>275</v>
      </c>
      <c r="AP91" t="n">
        <v>-10</v>
      </c>
      <c r="AQ91" t="n">
        <v>40</v>
      </c>
      <c r="AS91" t="inlineStr">
        <is>
          <t>Картон</t>
        </is>
      </c>
      <c r="AT91" t="inlineStr">
        <is>
          <t>Нет</t>
        </is>
      </c>
      <c r="AU91" t="n">
        <v>0.00021</v>
      </c>
      <c r="AV91" t="n">
        <v>0.035</v>
      </c>
      <c r="AW91" t="n">
        <v>100</v>
      </c>
      <c r="AX91" t="n">
        <v>52</v>
      </c>
      <c r="AY91" t="n">
        <v>52</v>
      </c>
      <c r="AZ91" t="n">
        <v>55</v>
      </c>
      <c r="BA91" t="n">
        <v>0.021</v>
      </c>
      <c r="BB91" t="n">
        <v>3.5</v>
      </c>
      <c r="BC91" t="n">
        <v>4690612023427</v>
      </c>
      <c r="BE91" t="inlineStr">
        <is>
          <t>http://darion-svet.com/shop/product/4690612023427-led-jcdrc-vc-8vt-230v-gu10-3000k-600lm-in-home</t>
        </is>
      </c>
      <c r="BF91" t="inlineStr">
        <is>
          <t>http://darion-svet.com/web/binary/saveas?model=product.product&amp;field=conformity_cert&amp;filename_field=conformity_cert_filename&amp;id=16585</t>
        </is>
      </c>
      <c r="BG91" t="inlineStr">
        <is>
          <t>http://darion-svet.com/web/binary/saveas?model=product.product&amp;field=datasheet&amp;filename_field=datasheet_filename&amp;id=16585</t>
        </is>
      </c>
      <c r="BI91" t="n">
        <v>14</v>
      </c>
      <c r="BJ91" t="n">
        <v>34</v>
      </c>
      <c r="BK91" t="n">
        <v>0</v>
      </c>
      <c r="BL91" t="n">
        <v>44</v>
      </c>
    </row>
    <row r="92">
      <c r="A92" t="n">
        <v>4690612024028</v>
      </c>
      <c r="B92" t="inlineStr">
        <is>
          <t>Лампа светодиодная LED-A60-VC 8Вт 230В Е27 4000К 760Лм IN HOME</t>
        </is>
      </c>
      <c r="C92" t="inlineStr">
        <is>
          <t>Лампа светодиодная LED-A60-standard</t>
        </is>
      </c>
      <c r="D92" t="n">
        <v>4690612024028</v>
      </c>
      <c r="E92" t="inlineStr">
        <is>
          <t>http://darion-svet.com/web/binary/image?model=product.product&amp;id=16175&amp;field=image</t>
        </is>
      </c>
      <c r="F92" t="n">
        <v>2</v>
      </c>
      <c r="G92" t="inlineStr">
        <is>
          <t>Китай</t>
        </is>
      </c>
      <c r="H92" t="inlineStr">
        <is>
          <t>IN HOME</t>
        </is>
      </c>
      <c r="K92" t="inlineStr">
        <is>
          <t>LED</t>
        </is>
      </c>
      <c r="M92" t="n">
        <v>8</v>
      </c>
      <c r="N92" t="inlineStr">
        <is>
          <t>E27</t>
        </is>
      </c>
      <c r="O92" t="inlineStr">
        <is>
          <t>SMD</t>
        </is>
      </c>
      <c r="P92" t="n">
        <v>720</v>
      </c>
      <c r="Q92" t="n">
        <v>4000</v>
      </c>
      <c r="R92" t="n">
        <v>80</v>
      </c>
      <c r="T92" t="inlineStr">
        <is>
          <t>Д</t>
        </is>
      </c>
      <c r="U92" t="n">
        <v>30000</v>
      </c>
      <c r="V92" t="n">
        <v>110</v>
      </c>
      <c r="W92" t="n">
        <v>60</v>
      </c>
      <c r="Y92" t="n">
        <v>60</v>
      </c>
      <c r="AB92" t="n">
        <v>0.055</v>
      </c>
      <c r="AD92" t="inlineStr">
        <is>
          <t>полимерный материал</t>
        </is>
      </c>
      <c r="AE92" t="inlineStr">
        <is>
          <t>ABS пластик</t>
        </is>
      </c>
      <c r="AJ92" t="inlineStr">
        <is>
          <t>A1</t>
        </is>
      </c>
      <c r="AK92" t="n">
        <v>0.85</v>
      </c>
      <c r="AL92" t="n">
        <v>5</v>
      </c>
      <c r="AM92" t="n">
        <v>0.06</v>
      </c>
      <c r="AN92" t="n">
        <v>150</v>
      </c>
      <c r="AO92" t="n">
        <v>275</v>
      </c>
      <c r="AP92" t="n">
        <v>-10</v>
      </c>
      <c r="AQ92" t="n">
        <v>40</v>
      </c>
      <c r="AS92" t="inlineStr">
        <is>
          <t>Картон</t>
        </is>
      </c>
      <c r="AT92" t="inlineStr">
        <is>
          <t>Нет</t>
        </is>
      </c>
      <c r="AU92" t="n">
        <v>0.0004</v>
      </c>
      <c r="AV92" t="n">
        <v>0.055</v>
      </c>
      <c r="AW92" t="n">
        <v>100</v>
      </c>
      <c r="AX92" t="n">
        <v>61</v>
      </c>
      <c r="AY92" t="n">
        <v>61</v>
      </c>
      <c r="AZ92" t="n">
        <v>110</v>
      </c>
      <c r="BA92" t="n">
        <v>0.04001</v>
      </c>
      <c r="BB92" t="n">
        <v>5.5</v>
      </c>
      <c r="BC92" t="n">
        <v>4690612024028</v>
      </c>
      <c r="BE92" t="inlineStr">
        <is>
          <t>http://darion-svet.com/shop/product/4690612024028-led-a60-vc-8vt-230v-e27-4000k-720lm-in-home</t>
        </is>
      </c>
      <c r="BF92" t="inlineStr">
        <is>
          <t>http://darion-svet.com/web/binary/saveas?model=product.product&amp;field=conformity_cert&amp;filename_field=conformity_cert_filename&amp;id=16175</t>
        </is>
      </c>
      <c r="BG92" t="inlineStr">
        <is>
          <t>http://darion-svet.com/web/binary/saveas?model=product.product&amp;field=datasheet&amp;filename_field=datasheet_filename&amp;id=16175</t>
        </is>
      </c>
      <c r="BI92" t="n">
        <v>4</v>
      </c>
      <c r="BJ92" t="n">
        <v>29</v>
      </c>
      <c r="BK92" t="n">
        <v>0</v>
      </c>
      <c r="BL92" t="n">
        <v>45</v>
      </c>
    </row>
    <row r="93">
      <c r="A93" t="n">
        <v>4690612024042</v>
      </c>
      <c r="B93" t="inlineStr">
        <is>
          <t>Лампа светодиодная LED-A60-VC 8Вт 230В Е27 6500К 760Лм IN HOME</t>
        </is>
      </c>
      <c r="C93" t="inlineStr">
        <is>
          <t>Лампа светодиодная LED-A60-standard</t>
        </is>
      </c>
      <c r="D93" t="n">
        <v>4690612024042</v>
      </c>
      <c r="E93" t="inlineStr">
        <is>
          <t>http://darion-svet.com/web/binary/image?model=product.product&amp;id=18691&amp;field=image</t>
        </is>
      </c>
      <c r="F93" t="n">
        <v>2</v>
      </c>
      <c r="G93" t="inlineStr">
        <is>
          <t>Китай</t>
        </is>
      </c>
      <c r="H93" t="inlineStr">
        <is>
          <t>IN HOME</t>
        </is>
      </c>
      <c r="K93" t="inlineStr">
        <is>
          <t>LED</t>
        </is>
      </c>
      <c r="M93" t="n">
        <v>8</v>
      </c>
      <c r="N93" t="inlineStr">
        <is>
          <t>E27</t>
        </is>
      </c>
      <c r="O93" t="inlineStr">
        <is>
          <t>SMD</t>
        </is>
      </c>
      <c r="P93" t="n">
        <v>720</v>
      </c>
      <c r="Q93" t="n">
        <v>6500</v>
      </c>
      <c r="R93" t="n">
        <v>80</v>
      </c>
      <c r="T93" t="inlineStr">
        <is>
          <t>Д</t>
        </is>
      </c>
      <c r="U93" t="n">
        <v>30000</v>
      </c>
      <c r="V93" t="n">
        <v>110</v>
      </c>
      <c r="W93" t="n">
        <v>60</v>
      </c>
      <c r="Y93" t="n">
        <v>60</v>
      </c>
      <c r="AB93" t="n">
        <v>0.055</v>
      </c>
      <c r="AD93" t="inlineStr">
        <is>
          <t>полимерный материал</t>
        </is>
      </c>
      <c r="AE93" t="inlineStr">
        <is>
          <t>ABS пластик</t>
        </is>
      </c>
      <c r="AJ93" t="inlineStr">
        <is>
          <t>A1</t>
        </is>
      </c>
      <c r="AK93" t="n">
        <v>0.85</v>
      </c>
      <c r="AL93" t="n">
        <v>5</v>
      </c>
      <c r="AM93" t="n">
        <v>0.06</v>
      </c>
      <c r="AN93" t="n">
        <v>150</v>
      </c>
      <c r="AO93" t="n">
        <v>275</v>
      </c>
      <c r="AP93" t="n">
        <v>-10</v>
      </c>
      <c r="AQ93" t="n">
        <v>40</v>
      </c>
      <c r="AS93" t="inlineStr">
        <is>
          <t>Картон</t>
        </is>
      </c>
      <c r="AT93" t="inlineStr">
        <is>
          <t>Нет</t>
        </is>
      </c>
      <c r="AU93" t="n">
        <v>0.0004</v>
      </c>
      <c r="AV93" t="n">
        <v>0.055</v>
      </c>
      <c r="AW93" t="n">
        <v>100</v>
      </c>
      <c r="AX93" t="n">
        <v>61</v>
      </c>
      <c r="AY93" t="n">
        <v>61</v>
      </c>
      <c r="AZ93" t="n">
        <v>110</v>
      </c>
      <c r="BA93" t="n">
        <v>0.04001</v>
      </c>
      <c r="BB93" t="n">
        <v>5.5</v>
      </c>
      <c r="BC93" t="n">
        <v>4690612024042</v>
      </c>
      <c r="BE93" t="inlineStr">
        <is>
          <t>http://darion-svet.com/shop/product/4690612024042-led-a60-vc-8vt-230v-e27-6500k-720lm-in-home</t>
        </is>
      </c>
      <c r="BF93" t="inlineStr">
        <is>
          <t>http://darion-svet.com/web/binary/saveas?model=product.product&amp;field=conformity_cert&amp;filename_field=conformity_cert_filename&amp;id=18691</t>
        </is>
      </c>
      <c r="BG93" t="inlineStr">
        <is>
          <t>http://darion-svet.com/web/binary/saveas?model=product.product&amp;field=datasheet&amp;filename_field=datasheet_filename&amp;id=18691</t>
        </is>
      </c>
      <c r="BI93" t="n">
        <v>8</v>
      </c>
      <c r="BJ93" t="n">
        <v>32</v>
      </c>
      <c r="BK93" t="n">
        <v>0</v>
      </c>
      <c r="BL93" t="n">
        <v>45</v>
      </c>
    </row>
    <row r="94">
      <c r="A94" t="n">
        <v>4690612024066</v>
      </c>
      <c r="B94" t="inlineStr">
        <is>
          <t>Лампа светодиодная LED-A65-VC 25Вт 230В Е27 3000К 2380Лм IN HOME</t>
        </is>
      </c>
      <c r="C94" t="inlineStr">
        <is>
          <t>Лампа светодиодная LED-A60-standard</t>
        </is>
      </c>
      <c r="D94" t="n">
        <v>4690612024066</v>
      </c>
      <c r="E94" t="inlineStr">
        <is>
          <t>http://darion-svet.com/web/binary/image?model=product.product&amp;id=17402&amp;field=image</t>
        </is>
      </c>
      <c r="F94" t="n">
        <v>2</v>
      </c>
      <c r="G94" t="inlineStr">
        <is>
          <t>Китай</t>
        </is>
      </c>
      <c r="H94" t="inlineStr">
        <is>
          <t>IN HOME</t>
        </is>
      </c>
      <c r="K94" t="inlineStr">
        <is>
          <t>LED</t>
        </is>
      </c>
      <c r="M94" t="n">
        <v>25</v>
      </c>
      <c r="N94" t="inlineStr">
        <is>
          <t>E27</t>
        </is>
      </c>
      <c r="O94" t="inlineStr">
        <is>
          <t>SMD</t>
        </is>
      </c>
      <c r="P94" t="n">
        <v>2250</v>
      </c>
      <c r="Q94" t="n">
        <v>3000</v>
      </c>
      <c r="R94" t="n">
        <v>80</v>
      </c>
      <c r="T94" t="inlineStr">
        <is>
          <t>Д</t>
        </is>
      </c>
      <c r="U94" t="n">
        <v>30000</v>
      </c>
      <c r="V94" t="n">
        <v>135</v>
      </c>
      <c r="W94" t="n">
        <v>65</v>
      </c>
      <c r="Z94" t="n">
        <v>60</v>
      </c>
      <c r="AB94" t="n">
        <v>0.08</v>
      </c>
      <c r="AD94" t="inlineStr">
        <is>
          <t>полимерный материал</t>
        </is>
      </c>
      <c r="AE94" t="inlineStr">
        <is>
          <t>ABS пластик</t>
        </is>
      </c>
      <c r="AH94" t="inlineStr">
        <is>
          <t>A60/Грушевидная (тип A)</t>
        </is>
      </c>
      <c r="AJ94" t="inlineStr">
        <is>
          <t>A1</t>
        </is>
      </c>
      <c r="AK94" t="n">
        <v>0.9</v>
      </c>
      <c r="AL94" t="n">
        <v>5</v>
      </c>
      <c r="AM94" t="n">
        <v>0.17</v>
      </c>
      <c r="AN94" t="n">
        <v>150</v>
      </c>
      <c r="AO94" t="n">
        <v>275</v>
      </c>
      <c r="AP94" t="n">
        <v>-10</v>
      </c>
      <c r="AQ94" t="n">
        <v>40</v>
      </c>
      <c r="AS94" t="inlineStr">
        <is>
          <t>Картон</t>
        </is>
      </c>
      <c r="AT94" t="inlineStr">
        <is>
          <t>Нет</t>
        </is>
      </c>
      <c r="AU94" t="n">
        <v>0.0005999999999999999</v>
      </c>
      <c r="AV94" t="n">
        <v>0.08</v>
      </c>
      <c r="AW94" t="n">
        <v>100</v>
      </c>
      <c r="AX94" t="n">
        <v>67</v>
      </c>
      <c r="AY94" t="n">
        <v>67</v>
      </c>
      <c r="AZ94" t="n">
        <v>137</v>
      </c>
      <c r="BA94" t="n">
        <v>0.06001</v>
      </c>
      <c r="BB94" t="n">
        <v>8</v>
      </c>
      <c r="BC94" t="n">
        <v>4690612024066</v>
      </c>
      <c r="BE94" t="inlineStr">
        <is>
          <t>http://darion-svet.com/shop/product/4690612024066-lampa-svetodiodnaya-led-a65-vc-25vt-230v-e27-3000k-2250lm-in-hom</t>
        </is>
      </c>
      <c r="BF94" t="inlineStr">
        <is>
          <t>http://darion-svet.com/web/binary/saveas?model=product.product&amp;field=conformity_cert&amp;filename_field=conformity_cert_filename&amp;id=17402</t>
        </is>
      </c>
      <c r="BG94" t="inlineStr">
        <is>
          <t>http://darion-svet.com/web/binary/saveas?model=product.product&amp;field=datasheet&amp;filename_field=datasheet_filename&amp;id=17402</t>
        </is>
      </c>
      <c r="BI94" t="n">
        <v>2</v>
      </c>
      <c r="BJ94" t="n">
        <v>53</v>
      </c>
      <c r="BK94" t="n">
        <v>0</v>
      </c>
      <c r="BL94" t="n">
        <v>46</v>
      </c>
    </row>
    <row r="95">
      <c r="A95" t="n">
        <v>4690612024080</v>
      </c>
      <c r="B95" t="inlineStr">
        <is>
          <t>Лампа светодиодная LED-A65-VC 25Вт 230В Е27 4000К 2380Лм IN HOME</t>
        </is>
      </c>
      <c r="C95" t="inlineStr">
        <is>
          <t>Лампа светодиодная LED-A60-standard</t>
        </is>
      </c>
      <c r="D95" t="n">
        <v>4690612024080</v>
      </c>
      <c r="E95" t="inlineStr">
        <is>
          <t>http://darion-svet.com/web/binary/image?model=product.product&amp;id=15165&amp;field=image</t>
        </is>
      </c>
      <c r="F95" t="n">
        <v>2</v>
      </c>
      <c r="G95" t="inlineStr">
        <is>
          <t>Китай</t>
        </is>
      </c>
      <c r="H95" t="inlineStr">
        <is>
          <t>IN HOME</t>
        </is>
      </c>
      <c r="K95" t="inlineStr">
        <is>
          <t>LED</t>
        </is>
      </c>
      <c r="M95" t="n">
        <v>25</v>
      </c>
      <c r="N95" t="inlineStr">
        <is>
          <t>E27</t>
        </is>
      </c>
      <c r="O95" t="inlineStr">
        <is>
          <t>SMD</t>
        </is>
      </c>
      <c r="P95" t="n">
        <v>2250</v>
      </c>
      <c r="Q95" t="n">
        <v>4000</v>
      </c>
      <c r="R95" t="n">
        <v>80</v>
      </c>
      <c r="T95" t="inlineStr">
        <is>
          <t>Д</t>
        </is>
      </c>
      <c r="U95" t="n">
        <v>30000</v>
      </c>
      <c r="V95" t="n">
        <v>135</v>
      </c>
      <c r="W95" t="n">
        <v>65</v>
      </c>
      <c r="AB95" t="n">
        <v>0.08</v>
      </c>
      <c r="AD95" t="inlineStr">
        <is>
          <t>полимерный материал</t>
        </is>
      </c>
      <c r="AE95" t="inlineStr">
        <is>
          <t>ABS пластик</t>
        </is>
      </c>
      <c r="AJ95" t="inlineStr">
        <is>
          <t>A1</t>
        </is>
      </c>
      <c r="AK95" t="n">
        <v>0.9</v>
      </c>
      <c r="AL95" t="n">
        <v>5</v>
      </c>
      <c r="AM95" t="n">
        <v>0.17</v>
      </c>
      <c r="AN95" t="n">
        <v>150</v>
      </c>
      <c r="AO95" t="n">
        <v>275</v>
      </c>
      <c r="AP95" t="n">
        <v>-10</v>
      </c>
      <c r="AQ95" t="n">
        <v>40</v>
      </c>
      <c r="AS95" t="inlineStr">
        <is>
          <t>Картон</t>
        </is>
      </c>
      <c r="AT95" t="inlineStr">
        <is>
          <t>Нет</t>
        </is>
      </c>
      <c r="AU95" t="n">
        <v>0.0005999999999999999</v>
      </c>
      <c r="AV95" t="n">
        <v>0.08</v>
      </c>
      <c r="AW95" t="n">
        <v>100</v>
      </c>
      <c r="AX95" t="n">
        <v>67</v>
      </c>
      <c r="AY95" t="n">
        <v>67</v>
      </c>
      <c r="AZ95" t="n">
        <v>137</v>
      </c>
      <c r="BA95" t="n">
        <v>0.06001</v>
      </c>
      <c r="BB95" t="n">
        <v>8</v>
      </c>
      <c r="BC95" t="n">
        <v>4690612024080</v>
      </c>
      <c r="BE95" t="inlineStr">
        <is>
          <t>http://darion-svet.com/shop/product/4690612024080-led-a70-vc-25vt-230v-e27-4000k-2000lm</t>
        </is>
      </c>
      <c r="BF95" t="inlineStr">
        <is>
          <t>http://darion-svet.com/web/binary/saveas?model=product.product&amp;field=conformity_cert&amp;filename_field=conformity_cert_filename&amp;id=15165</t>
        </is>
      </c>
      <c r="BG95" t="inlineStr">
        <is>
          <t>http://darion-svet.com/web/binary/saveas?model=product.product&amp;field=datasheet&amp;filename_field=datasheet_filename&amp;id=15165</t>
        </is>
      </c>
      <c r="BI95" t="n">
        <v>9</v>
      </c>
      <c r="BJ95" t="n">
        <v>53</v>
      </c>
      <c r="BK95" t="n">
        <v>0</v>
      </c>
      <c r="BL95" t="n">
        <v>44</v>
      </c>
    </row>
    <row r="96">
      <c r="A96" t="n">
        <v>4690612024127</v>
      </c>
      <c r="B96" t="inlineStr">
        <is>
          <t>Лампа светодиодная LED-A70-VC 30Вт 230В Е27 3000К 2850Лм IN HOME</t>
        </is>
      </c>
      <c r="C96" t="inlineStr">
        <is>
          <t>ASD лампы LED</t>
        </is>
      </c>
      <c r="D96" t="n">
        <v>4690612024127</v>
      </c>
      <c r="E96" t="inlineStr">
        <is>
          <t>http://darion-svet.com/web/binary/image?model=product.product&amp;id=16571&amp;field=image</t>
        </is>
      </c>
      <c r="F96" t="n">
        <v>2</v>
      </c>
      <c r="G96" t="inlineStr">
        <is>
          <t>Китай</t>
        </is>
      </c>
      <c r="H96" t="inlineStr">
        <is>
          <t>IN HOME</t>
        </is>
      </c>
      <c r="K96" t="inlineStr">
        <is>
          <t>LED</t>
        </is>
      </c>
      <c r="M96" t="n">
        <v>30</v>
      </c>
      <c r="N96" t="inlineStr">
        <is>
          <t>E27</t>
        </is>
      </c>
      <c r="O96" t="inlineStr">
        <is>
          <t>SMD</t>
        </is>
      </c>
      <c r="P96" t="n">
        <v>2700</v>
      </c>
      <c r="Q96" t="n">
        <v>3000</v>
      </c>
      <c r="R96" t="n">
        <v>80</v>
      </c>
      <c r="T96" t="inlineStr">
        <is>
          <t>Д</t>
        </is>
      </c>
      <c r="U96" t="n">
        <v>30000</v>
      </c>
      <c r="V96" t="n">
        <v>135</v>
      </c>
      <c r="W96" t="n">
        <v>70</v>
      </c>
      <c r="AB96" t="n">
        <v>0.08500000000000001</v>
      </c>
      <c r="AD96" t="inlineStr">
        <is>
          <t>полимерный материал</t>
        </is>
      </c>
      <c r="AE96" t="inlineStr">
        <is>
          <t>ABS пластик</t>
        </is>
      </c>
      <c r="AJ96" t="inlineStr">
        <is>
          <t>A1</t>
        </is>
      </c>
      <c r="AK96" t="n">
        <v>0.9</v>
      </c>
      <c r="AL96" t="n">
        <v>5</v>
      </c>
      <c r="AM96" t="n">
        <v>0.21</v>
      </c>
      <c r="AN96" t="n">
        <v>150</v>
      </c>
      <c r="AO96" t="n">
        <v>275</v>
      </c>
      <c r="AP96" t="n">
        <v>-10</v>
      </c>
      <c r="AQ96" t="n">
        <v>40</v>
      </c>
      <c r="AS96" t="inlineStr">
        <is>
          <t>Картон</t>
        </is>
      </c>
      <c r="AT96" t="inlineStr">
        <is>
          <t>Нет</t>
        </is>
      </c>
      <c r="AU96" t="n">
        <v>0.0008</v>
      </c>
      <c r="AV96" t="n">
        <v>0.08400000000000001</v>
      </c>
      <c r="AW96" t="n">
        <v>50</v>
      </c>
      <c r="AX96" t="n">
        <v>70</v>
      </c>
      <c r="AY96" t="n">
        <v>70</v>
      </c>
      <c r="AZ96" t="n">
        <v>133</v>
      </c>
      <c r="BA96" t="n">
        <v>0.04</v>
      </c>
      <c r="BB96" t="n">
        <v>4.20001</v>
      </c>
      <c r="BC96" t="n">
        <v>4690612024127</v>
      </c>
      <c r="BE96" t="inlineStr">
        <is>
          <t>http://darion-svet.com/shop/product/4690612024127-led-a70-vc-30vt-230v-e27-3000k-2700lm-in-home</t>
        </is>
      </c>
      <c r="BF96" t="inlineStr">
        <is>
          <t>http://darion-svet.com/web/binary/saveas?model=product.product&amp;field=conformity_cert&amp;filename_field=conformity_cert_filename&amp;id=16571</t>
        </is>
      </c>
      <c r="BG96" t="inlineStr">
        <is>
          <t>http://darion-svet.com/web/binary/saveas?model=product.product&amp;field=datasheet&amp;filename_field=datasheet_filename&amp;id=16571</t>
        </is>
      </c>
      <c r="BI96" t="n">
        <v>18</v>
      </c>
      <c r="BJ96" t="n">
        <v>76</v>
      </c>
      <c r="BK96" t="n">
        <v>0</v>
      </c>
      <c r="BL96" t="n">
        <v>44</v>
      </c>
    </row>
    <row r="97">
      <c r="A97" t="n">
        <v>4690612024165</v>
      </c>
      <c r="B97" t="inlineStr">
        <is>
          <t>Лампа светодиодная LED-A70-VC 30Вт 230В Е27 6500К 2850Лм IN HOME</t>
        </is>
      </c>
      <c r="C97" t="inlineStr">
        <is>
          <t>ASD лампы LED</t>
        </is>
      </c>
      <c r="D97" t="n">
        <v>4690612024165</v>
      </c>
      <c r="E97" t="inlineStr">
        <is>
          <t>http://darion-svet.com/web/binary/image?model=product.product&amp;id=16573&amp;field=image</t>
        </is>
      </c>
      <c r="F97" t="n">
        <v>2</v>
      </c>
      <c r="G97" t="inlineStr">
        <is>
          <t>Китай</t>
        </is>
      </c>
      <c r="H97" t="inlineStr">
        <is>
          <t>IN HOME</t>
        </is>
      </c>
      <c r="K97" t="inlineStr">
        <is>
          <t>LED</t>
        </is>
      </c>
      <c r="M97" t="n">
        <v>30</v>
      </c>
      <c r="N97" t="inlineStr">
        <is>
          <t>E27</t>
        </is>
      </c>
      <c r="O97" t="inlineStr">
        <is>
          <t>SMD</t>
        </is>
      </c>
      <c r="P97" t="n">
        <v>2700</v>
      </c>
      <c r="Q97" t="n">
        <v>6500</v>
      </c>
      <c r="R97" t="n">
        <v>80</v>
      </c>
      <c r="T97" t="inlineStr">
        <is>
          <t>Д</t>
        </is>
      </c>
      <c r="U97" t="n">
        <v>30000</v>
      </c>
      <c r="V97" t="n">
        <v>135</v>
      </c>
      <c r="W97" t="n">
        <v>70</v>
      </c>
      <c r="AB97" t="n">
        <v>0.08500000000000001</v>
      </c>
      <c r="AD97" t="inlineStr">
        <is>
          <t>полимерный материал</t>
        </is>
      </c>
      <c r="AE97" t="inlineStr">
        <is>
          <t>ABS пластик</t>
        </is>
      </c>
      <c r="AJ97" t="inlineStr">
        <is>
          <t>A1</t>
        </is>
      </c>
      <c r="AK97" t="n">
        <v>0.9</v>
      </c>
      <c r="AL97" t="n">
        <v>5</v>
      </c>
      <c r="AM97" t="n">
        <v>0.21</v>
      </c>
      <c r="AN97" t="n">
        <v>150</v>
      </c>
      <c r="AO97" t="n">
        <v>275</v>
      </c>
      <c r="AP97" t="n">
        <v>-10</v>
      </c>
      <c r="AQ97" t="n">
        <v>40</v>
      </c>
      <c r="AS97" t="inlineStr">
        <is>
          <t>Картон</t>
        </is>
      </c>
      <c r="AT97" t="inlineStr">
        <is>
          <t>Нет</t>
        </is>
      </c>
      <c r="AU97" t="n">
        <v>0.0008</v>
      </c>
      <c r="AV97" t="n">
        <v>0.08400000000000001</v>
      </c>
      <c r="AW97" t="n">
        <v>50</v>
      </c>
      <c r="AX97" t="n">
        <v>70</v>
      </c>
      <c r="AY97" t="n">
        <v>70</v>
      </c>
      <c r="AZ97" t="n">
        <v>133</v>
      </c>
      <c r="BA97" t="n">
        <v>0.04</v>
      </c>
      <c r="BB97" t="n">
        <v>4.20001</v>
      </c>
      <c r="BC97" t="n">
        <v>4690612024165</v>
      </c>
      <c r="BE97" t="inlineStr">
        <is>
          <t>http://darion-svet.com/shop/product/4690612024165-led-a70-vc-30vt-230v-e27-6500k-2700lm-in-home</t>
        </is>
      </c>
      <c r="BF97" t="inlineStr">
        <is>
          <t>http://darion-svet.com/web/binary/saveas?model=product.product&amp;field=conformity_cert&amp;filename_field=conformity_cert_filename&amp;id=16573</t>
        </is>
      </c>
      <c r="BG97" t="inlineStr">
        <is>
          <t>http://darion-svet.com/web/binary/saveas?model=product.product&amp;field=datasheet&amp;filename_field=datasheet_filename&amp;id=16573</t>
        </is>
      </c>
      <c r="BI97" t="n">
        <v>20</v>
      </c>
      <c r="BJ97" t="n">
        <v>62</v>
      </c>
      <c r="BK97" t="n">
        <v>0</v>
      </c>
      <c r="BL97" t="n">
        <v>44</v>
      </c>
    </row>
    <row r="98">
      <c r="A98" t="n">
        <v>4690612024691</v>
      </c>
      <c r="B98" t="inlineStr">
        <is>
          <t>Лампа светодиодная LED-HP-PRO 40Вт 230В Е27 с адаптером E40 4000К 3600Лм ASD</t>
        </is>
      </c>
      <c r="C98" t="inlineStr">
        <is>
          <t>Лампа светодиодная HP PRO</t>
        </is>
      </c>
      <c r="E98" t="inlineStr">
        <is>
          <t>http://darion-svet.com/web/binary/image?model=product.product&amp;id=16233&amp;field=image</t>
        </is>
      </c>
      <c r="AU98" t="n">
        <v>0.00395</v>
      </c>
      <c r="AV98" t="n">
        <v>0.31</v>
      </c>
      <c r="AW98" t="n">
        <v>20</v>
      </c>
      <c r="BA98" t="n">
        <v>0.079</v>
      </c>
      <c r="BB98" t="n">
        <v>6.2</v>
      </c>
      <c r="BE98" t="inlineStr">
        <is>
          <t>http://darion-svet.com/shop/product/4690612024691-led-hp-pro-40vt-230v-e27-s-adapterom-e40-4000k-3600lm-asd</t>
        </is>
      </c>
      <c r="BI98" t="n">
        <v>1</v>
      </c>
      <c r="BJ98" t="n">
        <v>130</v>
      </c>
      <c r="BK98" t="n">
        <v>0</v>
      </c>
      <c r="BL98" t="n">
        <v>10</v>
      </c>
    </row>
    <row r="99">
      <c r="A99" t="n">
        <v>4690612026107</v>
      </c>
      <c r="B99" t="inlineStr">
        <is>
          <t>Лампа светодиодная LED-A60-deco 9Вт 230В Е27 6500К 1040Лм прозрачная IN HOME</t>
        </is>
      </c>
      <c r="C99" t="inlineStr">
        <is>
          <t>Лампа светодиодная LED-A60 DECO</t>
        </is>
      </c>
      <c r="D99" t="n">
        <v>4690612026107</v>
      </c>
      <c r="E99" t="inlineStr">
        <is>
          <t>http://darion-svet.com/web/binary/image?model=product.product&amp;id=16561&amp;field=image</t>
        </is>
      </c>
      <c r="F99" t="n">
        <v>2</v>
      </c>
      <c r="G99" t="inlineStr">
        <is>
          <t>Китай</t>
        </is>
      </c>
      <c r="H99" t="inlineStr">
        <is>
          <t>IN HOME</t>
        </is>
      </c>
      <c r="K99" t="inlineStr">
        <is>
          <t>LED</t>
        </is>
      </c>
      <c r="M99" t="n">
        <v>9</v>
      </c>
      <c r="N99" t="inlineStr">
        <is>
          <t>E27</t>
        </is>
      </c>
      <c r="O99" t="inlineStr">
        <is>
          <t>filament</t>
        </is>
      </c>
      <c r="P99" t="n">
        <v>810</v>
      </c>
      <c r="Q99" t="n">
        <v>6500</v>
      </c>
      <c r="R99" t="n">
        <v>80</v>
      </c>
      <c r="T99" t="inlineStr">
        <is>
          <t>Д</t>
        </is>
      </c>
      <c r="U99" t="n">
        <v>30000</v>
      </c>
      <c r="V99" t="n">
        <v>107</v>
      </c>
      <c r="W99" t="n">
        <v>60</v>
      </c>
      <c r="AB99" t="n">
        <v>0.045</v>
      </c>
      <c r="AE99" t="inlineStr">
        <is>
          <t>стекло</t>
        </is>
      </c>
      <c r="AJ99" t="inlineStr">
        <is>
          <t>A1</t>
        </is>
      </c>
      <c r="AK99" t="n">
        <v>0.85</v>
      </c>
      <c r="AL99" t="n">
        <v>5</v>
      </c>
      <c r="AM99" t="n">
        <v>0.07000000000000001</v>
      </c>
      <c r="AN99" t="n">
        <v>150</v>
      </c>
      <c r="AO99" t="n">
        <v>275</v>
      </c>
      <c r="AP99" t="n">
        <v>-10</v>
      </c>
      <c r="AQ99" t="n">
        <v>40</v>
      </c>
      <c r="AS99" t="inlineStr">
        <is>
          <t>Картон</t>
        </is>
      </c>
      <c r="AT99" t="inlineStr">
        <is>
          <t>Нет</t>
        </is>
      </c>
      <c r="AU99" t="n">
        <v>0.00056</v>
      </c>
      <c r="AV99" t="n">
        <v>0.044</v>
      </c>
      <c r="AW99" t="n">
        <v>50</v>
      </c>
      <c r="AX99" t="n">
        <v>62</v>
      </c>
      <c r="AY99" t="n">
        <v>62</v>
      </c>
      <c r="AZ99" t="n">
        <v>120</v>
      </c>
      <c r="BA99" t="n">
        <v>0.028</v>
      </c>
      <c r="BB99" t="n">
        <v>2.20001</v>
      </c>
      <c r="BC99" t="n">
        <v>4690612026107</v>
      </c>
      <c r="BE99" t="inlineStr">
        <is>
          <t>http://darion-svet.com/shop/product/4690612026107-led-a60-deco-9vt-230v-e27-6500k-810lm-prozrachnaya-in-home</t>
        </is>
      </c>
      <c r="BF99" t="inlineStr">
        <is>
          <t>http://darion-svet.com/web/binary/saveas?model=product.product&amp;field=conformity_cert&amp;filename_field=conformity_cert_filename&amp;id=16561</t>
        </is>
      </c>
      <c r="BG99" t="inlineStr">
        <is>
          <t>http://darion-svet.com/web/binary/saveas?model=product.product&amp;field=datasheet&amp;filename_field=datasheet_filename&amp;id=16561</t>
        </is>
      </c>
      <c r="BI99" t="n">
        <v>40</v>
      </c>
      <c r="BJ99" t="n">
        <v>52</v>
      </c>
      <c r="BK99" t="n">
        <v>0</v>
      </c>
      <c r="BL99" t="n">
        <v>43</v>
      </c>
    </row>
    <row r="100">
      <c r="A100" t="n">
        <v>4690612026121</v>
      </c>
      <c r="B100" t="inlineStr">
        <is>
          <t>Лампа светодиодная LED-A60-deco 11Вт 230В Е27 3000К 1160Лм прозрачная IN HOME</t>
        </is>
      </c>
      <c r="C100" t="inlineStr">
        <is>
          <t>Лампа светодиодная LED-A60 DECO</t>
        </is>
      </c>
      <c r="D100" t="n">
        <v>4690612026121</v>
      </c>
      <c r="E100" t="inlineStr">
        <is>
          <t>http://darion-svet.com/web/binary/image?model=product.product&amp;id=16562&amp;field=image</t>
        </is>
      </c>
      <c r="F100" t="n">
        <v>2</v>
      </c>
      <c r="G100" t="inlineStr">
        <is>
          <t>Китай</t>
        </is>
      </c>
      <c r="H100" t="inlineStr">
        <is>
          <t>IN HOME</t>
        </is>
      </c>
      <c r="K100" t="inlineStr">
        <is>
          <t>LED</t>
        </is>
      </c>
      <c r="M100" t="n">
        <v>11</v>
      </c>
      <c r="N100" t="inlineStr">
        <is>
          <t>E27</t>
        </is>
      </c>
      <c r="O100" t="inlineStr">
        <is>
          <t>filament</t>
        </is>
      </c>
      <c r="P100" t="n">
        <v>990</v>
      </c>
      <c r="Q100" t="n">
        <v>3000</v>
      </c>
      <c r="R100" t="n">
        <v>80</v>
      </c>
      <c r="T100" t="inlineStr">
        <is>
          <t>Д</t>
        </is>
      </c>
      <c r="U100" t="n">
        <v>30000</v>
      </c>
      <c r="V100" t="n">
        <v>107</v>
      </c>
      <c r="W100" t="n">
        <v>60</v>
      </c>
      <c r="Y100" t="n">
        <v>60</v>
      </c>
      <c r="AB100" t="n">
        <v>0.045</v>
      </c>
      <c r="AE100" t="inlineStr">
        <is>
          <t>стекло</t>
        </is>
      </c>
      <c r="AJ100" t="inlineStr">
        <is>
          <t>A1</t>
        </is>
      </c>
      <c r="AK100" t="n">
        <v>0.85</v>
      </c>
      <c r="AL100" t="n">
        <v>5</v>
      </c>
      <c r="AM100" t="n">
        <v>0.08</v>
      </c>
      <c r="AN100" t="n">
        <v>150</v>
      </c>
      <c r="AO100" t="n">
        <v>275</v>
      </c>
      <c r="AP100" t="n">
        <v>-10</v>
      </c>
      <c r="AQ100" t="n">
        <v>40</v>
      </c>
      <c r="AS100" t="inlineStr">
        <is>
          <t>Картон</t>
        </is>
      </c>
      <c r="AT100" t="inlineStr">
        <is>
          <t>Нет</t>
        </is>
      </c>
      <c r="AU100" t="n">
        <v>0.00056</v>
      </c>
      <c r="AV100" t="n">
        <v>0.044</v>
      </c>
      <c r="AW100" t="n">
        <v>50</v>
      </c>
      <c r="AX100" t="n">
        <v>62</v>
      </c>
      <c r="AY100" t="n">
        <v>62</v>
      </c>
      <c r="AZ100" t="n">
        <v>120</v>
      </c>
      <c r="BA100" t="n">
        <v>0.028</v>
      </c>
      <c r="BB100" t="n">
        <v>2.20001</v>
      </c>
      <c r="BC100" t="n">
        <v>4690612026121</v>
      </c>
      <c r="BE100" t="inlineStr">
        <is>
          <t>http://darion-svet.com/shop/product/4690612026121-led-a60-deco-11vt-230v-e27-3000k-990lm-prozrachnaya-in-home</t>
        </is>
      </c>
      <c r="BF100" t="inlineStr">
        <is>
          <t>http://darion-svet.com/web/binary/saveas?model=product.product&amp;field=conformity_cert&amp;filename_field=conformity_cert_filename&amp;id=16562</t>
        </is>
      </c>
      <c r="BG100" t="inlineStr">
        <is>
          <t>http://darion-svet.com/web/binary/saveas?model=product.product&amp;field=datasheet&amp;filename_field=datasheet_filename&amp;id=16562</t>
        </is>
      </c>
      <c r="BI100" t="n">
        <v>26</v>
      </c>
      <c r="BJ100" t="n">
        <v>74</v>
      </c>
      <c r="BK100" t="n">
        <v>0</v>
      </c>
      <c r="BL100" t="n">
        <v>44</v>
      </c>
    </row>
    <row r="101">
      <c r="A101" t="n">
        <v>4690612026145</v>
      </c>
      <c r="B101" t="inlineStr">
        <is>
          <t>Лампа светодиодная LED-A60-deco 11Вт 230В Е27 4000К 1160Лм прозрачная IN HOME</t>
        </is>
      </c>
      <c r="C101" t="inlineStr">
        <is>
          <t>Лампа светодиодная LED-A60 DECO</t>
        </is>
      </c>
      <c r="D101" t="n">
        <v>4690612026145</v>
      </c>
      <c r="E101" t="inlineStr">
        <is>
          <t>http://darion-svet.com/web/binary/image?model=product.product&amp;id=16563&amp;field=image</t>
        </is>
      </c>
      <c r="F101" t="n">
        <v>2</v>
      </c>
      <c r="G101" t="inlineStr">
        <is>
          <t>Китай</t>
        </is>
      </c>
      <c r="H101" t="inlineStr">
        <is>
          <t>IN HOME</t>
        </is>
      </c>
      <c r="K101" t="inlineStr">
        <is>
          <t>LED</t>
        </is>
      </c>
      <c r="M101" t="n">
        <v>11</v>
      </c>
      <c r="N101" t="inlineStr">
        <is>
          <t>E27</t>
        </is>
      </c>
      <c r="O101" t="inlineStr">
        <is>
          <t>filament</t>
        </is>
      </c>
      <c r="P101" t="n">
        <v>990</v>
      </c>
      <c r="Q101" t="n">
        <v>4000</v>
      </c>
      <c r="R101" t="n">
        <v>80</v>
      </c>
      <c r="T101" t="inlineStr">
        <is>
          <t>Д</t>
        </is>
      </c>
      <c r="U101" t="n">
        <v>30000</v>
      </c>
      <c r="V101" t="n">
        <v>107</v>
      </c>
      <c r="W101" t="n">
        <v>60</v>
      </c>
      <c r="AB101" t="n">
        <v>0.045</v>
      </c>
      <c r="AE101" t="inlineStr">
        <is>
          <t>стекло</t>
        </is>
      </c>
      <c r="AJ101" t="inlineStr">
        <is>
          <t>A1</t>
        </is>
      </c>
      <c r="AK101" t="n">
        <v>0.85</v>
      </c>
      <c r="AL101" t="n">
        <v>5</v>
      </c>
      <c r="AM101" t="n">
        <v>0.08</v>
      </c>
      <c r="AN101" t="n">
        <v>150</v>
      </c>
      <c r="AO101" t="n">
        <v>275</v>
      </c>
      <c r="AP101" t="n">
        <v>-10</v>
      </c>
      <c r="AQ101" t="n">
        <v>40</v>
      </c>
      <c r="AS101" t="inlineStr">
        <is>
          <t>Картон</t>
        </is>
      </c>
      <c r="AT101" t="inlineStr">
        <is>
          <t>Нет</t>
        </is>
      </c>
      <c r="AU101" t="n">
        <v>0.00056</v>
      </c>
      <c r="AV101" t="n">
        <v>0.044</v>
      </c>
      <c r="AW101" t="n">
        <v>50</v>
      </c>
      <c r="AX101" t="n">
        <v>62</v>
      </c>
      <c r="AY101" t="n">
        <v>62</v>
      </c>
      <c r="AZ101" t="n">
        <v>120</v>
      </c>
      <c r="BA101" t="n">
        <v>0.028</v>
      </c>
      <c r="BB101" t="n">
        <v>2.20001</v>
      </c>
      <c r="BC101" t="n">
        <v>4690612026145</v>
      </c>
      <c r="BE101" t="inlineStr">
        <is>
          <t>http://darion-svet.com/shop/product/4690612026145-led-a60-deco-11vt-230v-e27-4000k-990lm-prozrachnaya-in-home</t>
        </is>
      </c>
      <c r="BF101" t="inlineStr">
        <is>
          <t>http://darion-svet.com/web/binary/saveas?model=product.product&amp;field=conformity_cert&amp;filename_field=conformity_cert_filename&amp;id=16563</t>
        </is>
      </c>
      <c r="BG101" t="inlineStr">
        <is>
          <t>http://darion-svet.com/web/binary/saveas?model=product.product&amp;field=datasheet&amp;filename_field=datasheet_filename&amp;id=16563</t>
        </is>
      </c>
      <c r="BI101" t="n">
        <v>4</v>
      </c>
      <c r="BJ101" t="n">
        <v>74</v>
      </c>
      <c r="BK101" t="n">
        <v>0</v>
      </c>
      <c r="BL101" t="n">
        <v>43</v>
      </c>
    </row>
    <row r="102">
      <c r="A102" t="n">
        <v>4690612026169</v>
      </c>
      <c r="B102" t="inlineStr">
        <is>
          <t>Лампа светодиодная LED-A60-deco 11Вт 230В Е27 6500К 1160Лм прозрачная IN HOME</t>
        </is>
      </c>
      <c r="C102" t="inlineStr">
        <is>
          <t>Лампа светодиодная LED-A60 DECO</t>
        </is>
      </c>
      <c r="D102" t="n">
        <v>4690612026169</v>
      </c>
      <c r="E102" t="inlineStr">
        <is>
          <t>http://darion-svet.com/web/binary/image?model=product.product&amp;id=16564&amp;field=image</t>
        </is>
      </c>
      <c r="F102" t="n">
        <v>2</v>
      </c>
      <c r="G102" t="inlineStr">
        <is>
          <t>Китай</t>
        </is>
      </c>
      <c r="H102" t="inlineStr">
        <is>
          <t>IN HOME</t>
        </is>
      </c>
      <c r="K102" t="inlineStr">
        <is>
          <t>LED</t>
        </is>
      </c>
      <c r="M102" t="n">
        <v>11</v>
      </c>
      <c r="N102" t="inlineStr">
        <is>
          <t>E27</t>
        </is>
      </c>
      <c r="O102" t="inlineStr">
        <is>
          <t>filament</t>
        </is>
      </c>
      <c r="P102" t="n">
        <v>990</v>
      </c>
      <c r="Q102" t="n">
        <v>6500</v>
      </c>
      <c r="R102" t="n">
        <v>80</v>
      </c>
      <c r="T102" t="inlineStr">
        <is>
          <t>Д</t>
        </is>
      </c>
      <c r="U102" t="n">
        <v>30000</v>
      </c>
      <c r="V102" t="n">
        <v>107</v>
      </c>
      <c r="W102" t="n">
        <v>60</v>
      </c>
      <c r="AB102" t="n">
        <v>0.045</v>
      </c>
      <c r="AE102" t="inlineStr">
        <is>
          <t>стекло</t>
        </is>
      </c>
      <c r="AJ102" t="inlineStr">
        <is>
          <t>A1</t>
        </is>
      </c>
      <c r="AK102" t="n">
        <v>0.85</v>
      </c>
      <c r="AL102" t="n">
        <v>5</v>
      </c>
      <c r="AM102" t="n">
        <v>0.08</v>
      </c>
      <c r="AN102" t="n">
        <v>150</v>
      </c>
      <c r="AO102" t="n">
        <v>275</v>
      </c>
      <c r="AP102" t="n">
        <v>-10</v>
      </c>
      <c r="AQ102" t="n">
        <v>40</v>
      </c>
      <c r="AS102" t="inlineStr">
        <is>
          <t>Картон</t>
        </is>
      </c>
      <c r="AT102" t="inlineStr">
        <is>
          <t>Нет</t>
        </is>
      </c>
      <c r="AU102" t="n">
        <v>0.00056</v>
      </c>
      <c r="AV102" t="n">
        <v>0.044</v>
      </c>
      <c r="AW102" t="n">
        <v>50</v>
      </c>
      <c r="AX102" t="n">
        <v>62</v>
      </c>
      <c r="AY102" t="n">
        <v>62</v>
      </c>
      <c r="AZ102" t="n">
        <v>120</v>
      </c>
      <c r="BA102" t="n">
        <v>0.028</v>
      </c>
      <c r="BB102" t="n">
        <v>2.20001</v>
      </c>
      <c r="BC102" t="n">
        <v>4690612026169</v>
      </c>
      <c r="BE102" t="inlineStr">
        <is>
          <t>http://darion-svet.com/shop/product/4690612026169-led-a60-deco-11vt-230v-e27-6500k-990lm-prozrachnaya-in-home</t>
        </is>
      </c>
      <c r="BF102" t="inlineStr">
        <is>
          <t>http://darion-svet.com/web/binary/saveas?model=product.product&amp;field=conformity_cert&amp;filename_field=conformity_cert_filename&amp;id=16564</t>
        </is>
      </c>
      <c r="BG102" t="inlineStr">
        <is>
          <t>http://darion-svet.com/web/binary/saveas?model=product.product&amp;field=datasheet&amp;filename_field=datasheet_filename&amp;id=16564</t>
        </is>
      </c>
      <c r="BI102" t="n">
        <v>49</v>
      </c>
      <c r="BJ102" t="n">
        <v>74</v>
      </c>
      <c r="BK102" t="n">
        <v>0</v>
      </c>
      <c r="BL102" t="n">
        <v>43</v>
      </c>
    </row>
    <row r="103">
      <c r="A103" t="n">
        <v>4690612030753</v>
      </c>
      <c r="B103" t="inlineStr">
        <is>
          <t>Лампа светодиодная LED-JCDRC-VC 6Вт 230В GU10 6500К 530Лм IN HOME</t>
        </is>
      </c>
      <c r="C103" t="inlineStr">
        <is>
          <t>Лампа светодиодная LED-JCDR-standard</t>
        </is>
      </c>
      <c r="D103" t="n">
        <v>4690612030753</v>
      </c>
      <c r="E103" t="inlineStr">
        <is>
          <t>http://darion-svet.com/web/binary/image?model=product.product&amp;id=16584&amp;field=image</t>
        </is>
      </c>
      <c r="F103" t="n">
        <v>2</v>
      </c>
      <c r="G103" t="inlineStr">
        <is>
          <t>Китай</t>
        </is>
      </c>
      <c r="H103" t="inlineStr">
        <is>
          <t>IN HOME</t>
        </is>
      </c>
      <c r="K103" t="inlineStr">
        <is>
          <t>LED</t>
        </is>
      </c>
      <c r="M103" t="n">
        <v>6</v>
      </c>
      <c r="N103" t="inlineStr">
        <is>
          <t>GU10</t>
        </is>
      </c>
      <c r="O103" t="inlineStr">
        <is>
          <t>SMD</t>
        </is>
      </c>
      <c r="P103" t="n">
        <v>525</v>
      </c>
      <c r="Q103" t="n">
        <v>6500</v>
      </c>
      <c r="R103" t="n">
        <v>80</v>
      </c>
      <c r="T103" t="inlineStr">
        <is>
          <t>Г</t>
        </is>
      </c>
      <c r="U103" t="n">
        <v>30000</v>
      </c>
      <c r="V103" t="n">
        <v>55</v>
      </c>
      <c r="W103" t="n">
        <v>50</v>
      </c>
      <c r="AB103" t="n">
        <v>0.035</v>
      </c>
      <c r="AD103" t="inlineStr">
        <is>
          <t>полимерный материал</t>
        </is>
      </c>
      <c r="AE103" t="inlineStr">
        <is>
          <t>ABS пластик</t>
        </is>
      </c>
      <c r="AJ103" t="inlineStr">
        <is>
          <t>A1</t>
        </is>
      </c>
      <c r="AK103" t="n">
        <v>0.85</v>
      </c>
      <c r="AL103" t="n">
        <v>5</v>
      </c>
      <c r="AM103" t="n">
        <v>0.05</v>
      </c>
      <c r="AN103" t="n">
        <v>150</v>
      </c>
      <c r="AO103" t="n">
        <v>275</v>
      </c>
      <c r="AP103" t="n">
        <v>-10</v>
      </c>
      <c r="AQ103" t="n">
        <v>40</v>
      </c>
      <c r="AS103" t="inlineStr">
        <is>
          <t>Картон</t>
        </is>
      </c>
      <c r="AT103" t="inlineStr">
        <is>
          <t>Нет</t>
        </is>
      </c>
      <c r="AU103" t="n">
        <v>0.00021</v>
      </c>
      <c r="AV103" t="n">
        <v>0.035</v>
      </c>
      <c r="AW103" t="n">
        <v>100</v>
      </c>
      <c r="AX103" t="n">
        <v>52</v>
      </c>
      <c r="AY103" t="n">
        <v>52</v>
      </c>
      <c r="AZ103" t="n">
        <v>55</v>
      </c>
      <c r="BA103" t="n">
        <v>0.021</v>
      </c>
      <c r="BB103" t="n">
        <v>3.5</v>
      </c>
      <c r="BC103" t="n">
        <v>4690612030753</v>
      </c>
      <c r="BE103" t="inlineStr">
        <is>
          <t>http://darion-svet.com/shop/product/4690612030753-led-jcdrc-vc-6vt-230v-gu10-6500k-525lm-in-home</t>
        </is>
      </c>
      <c r="BF103" t="inlineStr">
        <is>
          <t>http://darion-svet.com/web/binary/saveas?model=product.product&amp;field=conformity_cert&amp;filename_field=conformity_cert_filename&amp;id=16584</t>
        </is>
      </c>
      <c r="BG103" t="inlineStr">
        <is>
          <t>http://darion-svet.com/web/binary/saveas?model=product.product&amp;field=datasheet&amp;filename_field=datasheet_filename&amp;id=16584</t>
        </is>
      </c>
      <c r="BI103" t="n">
        <v>69</v>
      </c>
      <c r="BJ103" t="n">
        <v>27</v>
      </c>
      <c r="BK103" t="n">
        <v>0</v>
      </c>
      <c r="BL103" t="n">
        <v>44</v>
      </c>
    </row>
    <row r="104">
      <c r="A104" t="n">
        <v>4690612030777</v>
      </c>
      <c r="B104" t="inlineStr">
        <is>
          <t>Лампа светодиодная LED-GX53-VC 6Вт 230В 3000К 570Лм IN HOME</t>
        </is>
      </c>
      <c r="C104" t="inlineStr">
        <is>
          <t>Лампа светодиодная LED-GX53-standard</t>
        </is>
      </c>
      <c r="D104" t="n">
        <v>4690612030777</v>
      </c>
      <c r="E104" t="inlineStr">
        <is>
          <t>http://darion-svet.com/web/binary/image?model=product.product&amp;id=16574&amp;field=image</t>
        </is>
      </c>
      <c r="F104" t="n">
        <v>2</v>
      </c>
      <c r="G104" t="inlineStr">
        <is>
          <t>Китай</t>
        </is>
      </c>
      <c r="H104" t="inlineStr">
        <is>
          <t>IN HOME</t>
        </is>
      </c>
      <c r="K104" t="inlineStr">
        <is>
          <t>LED</t>
        </is>
      </c>
      <c r="M104" t="n">
        <v>6</v>
      </c>
      <c r="N104" t="inlineStr">
        <is>
          <t>GX53</t>
        </is>
      </c>
      <c r="O104" t="inlineStr">
        <is>
          <t>SMD</t>
        </is>
      </c>
      <c r="P104" t="n">
        <v>540</v>
      </c>
      <c r="Q104" t="n">
        <v>3000</v>
      </c>
      <c r="R104" t="n">
        <v>80</v>
      </c>
      <c r="T104" t="inlineStr">
        <is>
          <t>Д</t>
        </is>
      </c>
      <c r="U104" t="n">
        <v>30000</v>
      </c>
      <c r="V104" t="n">
        <v>27</v>
      </c>
      <c r="W104" t="n">
        <v>74</v>
      </c>
      <c r="Y104" t="n">
        <v>74</v>
      </c>
      <c r="AB104" t="n">
        <v>0.033</v>
      </c>
      <c r="AD104" t="inlineStr">
        <is>
          <t>полимерный материал</t>
        </is>
      </c>
      <c r="AE104" t="inlineStr">
        <is>
          <t>ABS пластик</t>
        </is>
      </c>
      <c r="AJ104" t="inlineStr">
        <is>
          <t>A1</t>
        </is>
      </c>
      <c r="AK104" t="n">
        <v>0.85</v>
      </c>
      <c r="AL104" t="n">
        <v>5</v>
      </c>
      <c r="AM104" t="n">
        <v>0.05</v>
      </c>
      <c r="AN104" t="n">
        <v>150</v>
      </c>
      <c r="AO104" t="n">
        <v>275</v>
      </c>
      <c r="AP104" t="n">
        <v>-10</v>
      </c>
      <c r="AQ104" t="n">
        <v>40</v>
      </c>
      <c r="AS104" t="inlineStr">
        <is>
          <t>Картон</t>
        </is>
      </c>
      <c r="AT104" t="inlineStr">
        <is>
          <t>Нет</t>
        </is>
      </c>
      <c r="AU104" t="n">
        <v>0.00021</v>
      </c>
      <c r="AV104" t="n">
        <v>0.033</v>
      </c>
      <c r="AW104" t="n">
        <v>100</v>
      </c>
      <c r="AX104" t="n">
        <v>75</v>
      </c>
      <c r="AY104" t="n">
        <v>28</v>
      </c>
      <c r="AZ104" t="n">
        <v>75</v>
      </c>
      <c r="BA104" t="n">
        <v>0.021</v>
      </c>
      <c r="BB104" t="n">
        <v>3.3</v>
      </c>
      <c r="BC104" t="n">
        <v>4690612030777</v>
      </c>
      <c r="BE104" t="inlineStr">
        <is>
          <t>http://darion-svet.com/shop/product/4690612030777-led-gx53-vc-6vt-230v-3000k-540lm-in-home</t>
        </is>
      </c>
      <c r="BF104" t="inlineStr">
        <is>
          <t>http://darion-svet.com/web/binary/saveas?model=product.product&amp;field=conformity_cert&amp;filename_field=conformity_cert_filename&amp;id=16574</t>
        </is>
      </c>
      <c r="BG104" t="inlineStr">
        <is>
          <t>http://darion-svet.com/web/binary/saveas?model=product.product&amp;field=datasheet&amp;filename_field=datasheet_filename&amp;id=16574</t>
        </is>
      </c>
      <c r="BI104" t="n">
        <v>9</v>
      </c>
      <c r="BJ104" t="n">
        <v>27</v>
      </c>
      <c r="BK104" t="n">
        <v>0</v>
      </c>
      <c r="BL104" t="n">
        <v>45</v>
      </c>
    </row>
    <row r="105">
      <c r="A105" t="n">
        <v>4690612030791</v>
      </c>
      <c r="B105" t="inlineStr">
        <is>
          <t>Лампа светодиодная LED-GX53-VC 6Вт 230В 4000К 570Лм IN HOME</t>
        </is>
      </c>
      <c r="C105" t="inlineStr">
        <is>
          <t>Лампа светодиодная LED-GX53-standard</t>
        </is>
      </c>
      <c r="D105" t="n">
        <v>4690612030791</v>
      </c>
      <c r="E105" t="inlineStr">
        <is>
          <t>http://darion-svet.com/web/binary/image?model=product.product&amp;id=16235&amp;field=image</t>
        </is>
      </c>
      <c r="F105" t="n">
        <v>2</v>
      </c>
      <c r="G105" t="inlineStr">
        <is>
          <t>Китай</t>
        </is>
      </c>
      <c r="H105" t="inlineStr">
        <is>
          <t>IN HOME</t>
        </is>
      </c>
      <c r="K105" t="inlineStr">
        <is>
          <t>LED</t>
        </is>
      </c>
      <c r="M105" t="n">
        <v>6</v>
      </c>
      <c r="N105" t="inlineStr">
        <is>
          <t>GX53</t>
        </is>
      </c>
      <c r="O105" t="inlineStr">
        <is>
          <t>SMD</t>
        </is>
      </c>
      <c r="P105" t="n">
        <v>540</v>
      </c>
      <c r="Q105" t="n">
        <v>4000</v>
      </c>
      <c r="R105" t="n">
        <v>80</v>
      </c>
      <c r="T105" t="inlineStr">
        <is>
          <t>Д</t>
        </is>
      </c>
      <c r="U105" t="n">
        <v>30000</v>
      </c>
      <c r="V105" t="n">
        <v>27</v>
      </c>
      <c r="W105" t="n">
        <v>74</v>
      </c>
      <c r="Y105" t="n">
        <v>74</v>
      </c>
      <c r="AB105" t="n">
        <v>0.033</v>
      </c>
      <c r="AD105" t="inlineStr">
        <is>
          <t>полимерный материал</t>
        </is>
      </c>
      <c r="AE105" t="inlineStr">
        <is>
          <t>ABS пластик</t>
        </is>
      </c>
      <c r="AJ105" t="inlineStr">
        <is>
          <t>A1</t>
        </is>
      </c>
      <c r="AK105" t="n">
        <v>0.85</v>
      </c>
      <c r="AL105" t="n">
        <v>5</v>
      </c>
      <c r="AM105" t="n">
        <v>0.05</v>
      </c>
      <c r="AN105" t="n">
        <v>150</v>
      </c>
      <c r="AO105" t="n">
        <v>275</v>
      </c>
      <c r="AP105" t="n">
        <v>-10</v>
      </c>
      <c r="AQ105" t="n">
        <v>40</v>
      </c>
      <c r="AS105" t="inlineStr">
        <is>
          <t>Картон</t>
        </is>
      </c>
      <c r="AT105" t="inlineStr">
        <is>
          <t>Нет</t>
        </is>
      </c>
      <c r="AU105" t="n">
        <v>0.00021</v>
      </c>
      <c r="AV105" t="n">
        <v>0.033</v>
      </c>
      <c r="AW105" t="n">
        <v>100</v>
      </c>
      <c r="AX105" t="n">
        <v>75</v>
      </c>
      <c r="AY105" t="n">
        <v>28</v>
      </c>
      <c r="AZ105" t="n">
        <v>75</v>
      </c>
      <c r="BA105" t="n">
        <v>0.021</v>
      </c>
      <c r="BB105" t="n">
        <v>3.3</v>
      </c>
      <c r="BC105" t="n">
        <v>4690612030791</v>
      </c>
      <c r="BE105" t="inlineStr">
        <is>
          <t>http://darion-svet.com/shop/product/4690612030791-led-gx53-vc-6vt-230v-4000k-540lm-in-home</t>
        </is>
      </c>
      <c r="BF105" t="inlineStr">
        <is>
          <t>http://darion-svet.com/web/binary/saveas?model=product.product&amp;field=conformity_cert&amp;filename_field=conformity_cert_filename&amp;id=16235</t>
        </is>
      </c>
      <c r="BG105" t="inlineStr">
        <is>
          <t>http://darion-svet.com/web/binary/saveas?model=product.product&amp;field=datasheet&amp;filename_field=datasheet_filename&amp;id=16235</t>
        </is>
      </c>
      <c r="BI105" t="n">
        <v>118</v>
      </c>
      <c r="BJ105" t="n">
        <v>23</v>
      </c>
      <c r="BK105" t="n">
        <v>0</v>
      </c>
      <c r="BL105" t="n">
        <v>45</v>
      </c>
    </row>
    <row r="106">
      <c r="A106" t="n">
        <v>4690612030814</v>
      </c>
      <c r="B106" t="inlineStr">
        <is>
          <t>Лампа светодиодная LED-GX53-VC 6Вт 230В 6500К 570Лм IN HOME</t>
        </is>
      </c>
      <c r="C106" t="inlineStr">
        <is>
          <t>Лампа светодиодная LED-GX53-standard</t>
        </is>
      </c>
      <c r="D106" t="n">
        <v>4690612030814</v>
      </c>
      <c r="E106" t="inlineStr">
        <is>
          <t>http://darion-svet.com/web/binary/image?model=product.product&amp;id=16575&amp;field=image</t>
        </is>
      </c>
      <c r="F106" t="n">
        <v>2</v>
      </c>
      <c r="G106" t="inlineStr">
        <is>
          <t>Китай</t>
        </is>
      </c>
      <c r="H106" t="inlineStr">
        <is>
          <t>IN HOME</t>
        </is>
      </c>
      <c r="K106" t="inlineStr">
        <is>
          <t>LED</t>
        </is>
      </c>
      <c r="M106" t="n">
        <v>6</v>
      </c>
      <c r="N106" t="inlineStr">
        <is>
          <t>GX53</t>
        </is>
      </c>
      <c r="O106" t="inlineStr">
        <is>
          <t>SMD</t>
        </is>
      </c>
      <c r="P106" t="n">
        <v>540</v>
      </c>
      <c r="Q106" t="n">
        <v>6500</v>
      </c>
      <c r="R106" t="n">
        <v>80</v>
      </c>
      <c r="T106" t="inlineStr">
        <is>
          <t>Д</t>
        </is>
      </c>
      <c r="U106" t="n">
        <v>30000</v>
      </c>
      <c r="V106" t="n">
        <v>27</v>
      </c>
      <c r="W106" t="n">
        <v>74</v>
      </c>
      <c r="AB106" t="n">
        <v>0.033</v>
      </c>
      <c r="AD106" t="inlineStr">
        <is>
          <t>полимерный материал</t>
        </is>
      </c>
      <c r="AE106" t="inlineStr">
        <is>
          <t>ABS пластик</t>
        </is>
      </c>
      <c r="AJ106" t="inlineStr">
        <is>
          <t>A1</t>
        </is>
      </c>
      <c r="AK106" t="n">
        <v>0.85</v>
      </c>
      <c r="AL106" t="n">
        <v>5</v>
      </c>
      <c r="AM106" t="n">
        <v>0.05</v>
      </c>
      <c r="AN106" t="n">
        <v>150</v>
      </c>
      <c r="AO106" t="n">
        <v>275</v>
      </c>
      <c r="AP106" t="n">
        <v>-10</v>
      </c>
      <c r="AQ106" t="n">
        <v>40</v>
      </c>
      <c r="AS106" t="inlineStr">
        <is>
          <t>Картон</t>
        </is>
      </c>
      <c r="AT106" t="inlineStr">
        <is>
          <t>Нет</t>
        </is>
      </c>
      <c r="AU106" t="n">
        <v>0.00021</v>
      </c>
      <c r="AV106" t="n">
        <v>0.033</v>
      </c>
      <c r="AW106" t="n">
        <v>100</v>
      </c>
      <c r="AX106" t="n">
        <v>75</v>
      </c>
      <c r="AY106" t="n">
        <v>28</v>
      </c>
      <c r="AZ106" t="n">
        <v>75</v>
      </c>
      <c r="BA106" t="n">
        <v>0.021</v>
      </c>
      <c r="BB106" t="n">
        <v>3.3</v>
      </c>
      <c r="BC106" t="n">
        <v>4690612030814</v>
      </c>
      <c r="BE106" t="inlineStr">
        <is>
          <t>http://darion-svet.com/shop/product/4690612030814-led-gx53-vc-6vt-230v-6500k-540lm-in-home</t>
        </is>
      </c>
      <c r="BF106" t="inlineStr">
        <is>
          <t>http://darion-svet.com/web/binary/saveas?model=product.product&amp;field=conformity_cert&amp;filename_field=conformity_cert_filename&amp;id=16575</t>
        </is>
      </c>
      <c r="BG106" t="inlineStr">
        <is>
          <t>http://darion-svet.com/web/binary/saveas?model=product.product&amp;field=datasheet&amp;filename_field=datasheet_filename&amp;id=16575</t>
        </is>
      </c>
      <c r="BI106" t="n">
        <v>63</v>
      </c>
      <c r="BJ106" t="n">
        <v>27</v>
      </c>
      <c r="BK106" t="n">
        <v>0</v>
      </c>
      <c r="BL106" t="n">
        <v>44</v>
      </c>
    </row>
    <row r="107">
      <c r="A107" t="n">
        <v>4690612030890</v>
      </c>
      <c r="B107" t="inlineStr">
        <is>
          <t>Лампа светодиодная LED-T8-М-PRO 10Вт 230В G13 4000К 1000Лм 600мм матовая неповоротная IN HOME</t>
        </is>
      </c>
      <c r="C107" t="inlineStr">
        <is>
          <t>Лампа светодиодная LED-T8</t>
        </is>
      </c>
      <c r="D107" t="n">
        <v>4690612030890</v>
      </c>
      <c r="E107" t="inlineStr">
        <is>
          <t>http://darion-svet.com/web/binary/image?model=product.product&amp;id=16455&amp;field=image</t>
        </is>
      </c>
      <c r="F107" t="n">
        <v>2</v>
      </c>
      <c r="G107" t="inlineStr">
        <is>
          <t>Китай</t>
        </is>
      </c>
      <c r="H107" t="inlineStr">
        <is>
          <t>IN HOME</t>
        </is>
      </c>
      <c r="K107" t="inlineStr">
        <is>
          <t>LED</t>
        </is>
      </c>
      <c r="M107" t="n">
        <v>10</v>
      </c>
      <c r="N107" t="inlineStr">
        <is>
          <t>G13</t>
        </is>
      </c>
      <c r="O107" t="inlineStr">
        <is>
          <t>SMD</t>
        </is>
      </c>
      <c r="P107" t="n">
        <v>800</v>
      </c>
      <c r="Q107" t="n">
        <v>4000</v>
      </c>
      <c r="R107" t="n">
        <v>80</v>
      </c>
      <c r="T107" t="inlineStr">
        <is>
          <t>Д</t>
        </is>
      </c>
      <c r="U107" t="n">
        <v>30000</v>
      </c>
      <c r="V107" t="n">
        <v>600</v>
      </c>
      <c r="W107" t="n">
        <v>25</v>
      </c>
      <c r="AB107" t="n">
        <v>0.108</v>
      </c>
      <c r="AE107" t="inlineStr">
        <is>
          <t>ABS пластик</t>
        </is>
      </c>
      <c r="AJ107" t="inlineStr">
        <is>
          <t>A1</t>
        </is>
      </c>
      <c r="AK107" t="n">
        <v>0.9</v>
      </c>
      <c r="AL107" t="n">
        <v>5</v>
      </c>
      <c r="AM107" t="n">
        <v>0.07000000000000001</v>
      </c>
      <c r="AN107" t="n">
        <v>180</v>
      </c>
      <c r="AO107" t="n">
        <v>275</v>
      </c>
      <c r="AP107" t="n">
        <v>-10</v>
      </c>
      <c r="AQ107" t="n">
        <v>40</v>
      </c>
      <c r="AS107" t="inlineStr">
        <is>
          <t>Картон</t>
        </is>
      </c>
      <c r="AT107" t="inlineStr">
        <is>
          <t>Нет</t>
        </is>
      </c>
      <c r="AU107" t="n">
        <v>0.00072</v>
      </c>
      <c r="AV107" t="n">
        <v>0.108</v>
      </c>
      <c r="AW107" t="n">
        <v>25</v>
      </c>
      <c r="AX107" t="n">
        <v>605</v>
      </c>
      <c r="AY107" t="n">
        <v>28</v>
      </c>
      <c r="AZ107" t="n">
        <v>28</v>
      </c>
      <c r="BA107" t="n">
        <v>0.018</v>
      </c>
      <c r="BB107" t="n">
        <v>2.7</v>
      </c>
      <c r="BC107" t="n">
        <v>4690612030890</v>
      </c>
      <c r="BE107" t="inlineStr">
        <is>
          <t>http://darion-svet.com/shop/product/4690612030890-led-t8-m-pro-10vt-230v-g13-4000k-800lm-600mm-matovaya-nepovorotnaya-in-home</t>
        </is>
      </c>
      <c r="BF107" t="inlineStr">
        <is>
          <t>http://darion-svet.com/web/binary/saveas?model=product.product&amp;field=conformity_cert&amp;filename_field=conformity_cert_filename&amp;id=16455</t>
        </is>
      </c>
      <c r="BG107" t="inlineStr">
        <is>
          <t>http://darion-svet.com/web/binary/saveas?model=product.product&amp;field=datasheet&amp;filename_field=datasheet_filename&amp;id=16455</t>
        </is>
      </c>
      <c r="BI107" t="n">
        <v>20</v>
      </c>
      <c r="BJ107" t="n">
        <v>60</v>
      </c>
      <c r="BK107" t="n">
        <v>0</v>
      </c>
      <c r="BL107" t="n">
        <v>43</v>
      </c>
    </row>
    <row r="108">
      <c r="A108" t="n">
        <v>4690612030920</v>
      </c>
      <c r="B108" t="inlineStr">
        <is>
          <t>Лампа светодиодная LED-T8R-M-PRO 10Вт 230В G13R 6500К 1000Лм 600мм матовая поворотная IN HOME</t>
        </is>
      </c>
      <c r="C108" t="inlineStr">
        <is>
          <t>Лампа светодиодная LED-T8</t>
        </is>
      </c>
      <c r="D108" t="n">
        <v>4690612030920</v>
      </c>
      <c r="E108" t="inlineStr">
        <is>
          <t>http://darion-svet.com/web/binary/image?model=product.product&amp;id=20992&amp;field=image</t>
        </is>
      </c>
      <c r="F108" t="n">
        <v>2</v>
      </c>
      <c r="G108" t="inlineStr">
        <is>
          <t>Китай</t>
        </is>
      </c>
      <c r="H108" t="inlineStr">
        <is>
          <t>IN HOME</t>
        </is>
      </c>
      <c r="K108" t="inlineStr">
        <is>
          <t>LED</t>
        </is>
      </c>
      <c r="M108" t="n">
        <v>10</v>
      </c>
      <c r="N108" t="inlineStr">
        <is>
          <t>G13</t>
        </is>
      </c>
      <c r="O108" t="inlineStr">
        <is>
          <t>SMD</t>
        </is>
      </c>
      <c r="P108" t="n">
        <v>800</v>
      </c>
      <c r="Q108" t="n">
        <v>6500</v>
      </c>
      <c r="R108" t="n">
        <v>80</v>
      </c>
      <c r="T108" t="inlineStr">
        <is>
          <t>Д</t>
        </is>
      </c>
      <c r="U108" t="n">
        <v>30000</v>
      </c>
      <c r="V108" t="n">
        <v>600</v>
      </c>
      <c r="W108" t="n">
        <v>25</v>
      </c>
      <c r="AB108" t="n">
        <v>0.108</v>
      </c>
      <c r="AE108" t="inlineStr">
        <is>
          <t>ABS пластик</t>
        </is>
      </c>
      <c r="AJ108" t="inlineStr">
        <is>
          <t>A1</t>
        </is>
      </c>
      <c r="AK108" t="n">
        <v>0.9</v>
      </c>
      <c r="AL108" t="n">
        <v>5</v>
      </c>
      <c r="AM108" t="n">
        <v>0.07000000000000001</v>
      </c>
      <c r="AN108" t="n">
        <v>180</v>
      </c>
      <c r="AO108" t="n">
        <v>275</v>
      </c>
      <c r="AP108" t="n">
        <v>-10</v>
      </c>
      <c r="AQ108" t="n">
        <v>40</v>
      </c>
      <c r="AS108" t="inlineStr">
        <is>
          <t>Картон</t>
        </is>
      </c>
      <c r="AT108" t="inlineStr">
        <is>
          <t>Нет</t>
        </is>
      </c>
      <c r="AU108" t="n">
        <v>0.00072</v>
      </c>
      <c r="AV108" t="n">
        <v>0.108</v>
      </c>
      <c r="AW108" t="n">
        <v>25</v>
      </c>
      <c r="AX108" t="n">
        <v>605</v>
      </c>
      <c r="AY108" t="n">
        <v>28</v>
      </c>
      <c r="AZ108" t="n">
        <v>28</v>
      </c>
      <c r="BA108" t="n">
        <v>0.018</v>
      </c>
      <c r="BB108" t="n">
        <v>2.7</v>
      </c>
      <c r="BC108" t="n">
        <v>4690612030920</v>
      </c>
      <c r="BE108" t="inlineStr">
        <is>
          <t>http://darion-svet.com/shop/product/4690612030920-led-t8r-m-pro-10vt-230v-g13r-6500k-1000lm-600mm-matovaya-povorotnaya-in-home</t>
        </is>
      </c>
      <c r="BF108" t="inlineStr">
        <is>
          <t>http://darion-svet.com/web/binary/saveas?model=product.product&amp;field=conformity_cert&amp;filename_field=conformity_cert_filename&amp;id=20992</t>
        </is>
      </c>
      <c r="BG108" t="inlineStr">
        <is>
          <t>http://darion-svet.com/web/binary/saveas?model=product.product&amp;field=datasheet&amp;filename_field=datasheet_filename&amp;id=20992</t>
        </is>
      </c>
      <c r="BI108" t="n">
        <v>15</v>
      </c>
      <c r="BJ108" t="n">
        <v>135.8</v>
      </c>
      <c r="BK108" t="n">
        <v>0</v>
      </c>
      <c r="BL108" t="n">
        <v>43</v>
      </c>
    </row>
    <row r="109">
      <c r="A109" t="n">
        <v>4690612030975</v>
      </c>
      <c r="B109" t="inlineStr">
        <is>
          <t>Лампа светодиодная LED-T8-М-PRO 20Вт 230В G13 4000К 2000Лм 1200мм матовая IN HOME</t>
        </is>
      </c>
      <c r="C109" t="inlineStr">
        <is>
          <t>Лампа светодиодная LED-T8</t>
        </is>
      </c>
      <c r="D109" t="n">
        <v>4690612030975</v>
      </c>
      <c r="E109" t="inlineStr">
        <is>
          <t>http://darion-svet.com/web/binary/image?model=product.product&amp;id=16627&amp;field=image</t>
        </is>
      </c>
      <c r="F109" t="n">
        <v>2</v>
      </c>
      <c r="G109" t="inlineStr">
        <is>
          <t>Китай</t>
        </is>
      </c>
      <c r="H109" t="inlineStr">
        <is>
          <t>IN HOME</t>
        </is>
      </c>
      <c r="K109" t="inlineStr">
        <is>
          <t>LED</t>
        </is>
      </c>
      <c r="M109" t="n">
        <v>20</v>
      </c>
      <c r="N109" t="inlineStr">
        <is>
          <t>G13</t>
        </is>
      </c>
      <c r="O109" t="inlineStr">
        <is>
          <t>SMD</t>
        </is>
      </c>
      <c r="P109" t="n">
        <v>1620</v>
      </c>
      <c r="Q109" t="n">
        <v>4000</v>
      </c>
      <c r="R109" t="n">
        <v>80</v>
      </c>
      <c r="T109" t="inlineStr">
        <is>
          <t>Д</t>
        </is>
      </c>
      <c r="U109" t="n">
        <v>30000</v>
      </c>
      <c r="V109" t="n">
        <v>1200</v>
      </c>
      <c r="W109" t="n">
        <v>25</v>
      </c>
      <c r="AB109" t="n">
        <v>0.19</v>
      </c>
      <c r="AE109" t="inlineStr">
        <is>
          <t>ABS пластик</t>
        </is>
      </c>
      <c r="AJ109" t="inlineStr">
        <is>
          <t>A1</t>
        </is>
      </c>
      <c r="AK109" t="n">
        <v>0.9</v>
      </c>
      <c r="AL109" t="n">
        <v>5</v>
      </c>
      <c r="AM109" t="n">
        <v>0.14</v>
      </c>
      <c r="AN109" t="n">
        <v>180</v>
      </c>
      <c r="AO109" t="n">
        <v>275</v>
      </c>
      <c r="AP109" t="n">
        <v>-10</v>
      </c>
      <c r="AQ109" t="n">
        <v>40</v>
      </c>
      <c r="AS109" t="inlineStr">
        <is>
          <t>Картон</t>
        </is>
      </c>
      <c r="AT109" t="inlineStr">
        <is>
          <t>Нет</t>
        </is>
      </c>
      <c r="AU109" t="n">
        <v>0.00144</v>
      </c>
      <c r="AV109" t="n">
        <v>0.188</v>
      </c>
      <c r="AW109" t="n">
        <v>25</v>
      </c>
      <c r="AX109" t="n">
        <v>1215</v>
      </c>
      <c r="AY109" t="n">
        <v>28</v>
      </c>
      <c r="AZ109" t="n">
        <v>28</v>
      </c>
      <c r="BA109" t="n">
        <v>0.036</v>
      </c>
      <c r="BB109" t="n">
        <v>4.70001</v>
      </c>
      <c r="BC109" t="n">
        <v>4690612030975</v>
      </c>
      <c r="BE109" t="inlineStr">
        <is>
          <t>http://darion-svet.com/shop/product/4690612030975-led-t8-m-pro-20vt-230v-g13-4000k-1620lm-1200mm-matovaya-in-home</t>
        </is>
      </c>
      <c r="BF109" t="inlineStr">
        <is>
          <t>http://darion-svet.com/web/binary/saveas?model=product.product&amp;field=conformity_cert&amp;filename_field=conformity_cert_filename&amp;id=16627</t>
        </is>
      </c>
      <c r="BG109" t="inlineStr">
        <is>
          <t>http://darion-svet.com/web/binary/saveas?model=product.product&amp;field=datasheet&amp;filename_field=datasheet_filename&amp;id=16627</t>
        </is>
      </c>
      <c r="BI109" t="n">
        <v>10</v>
      </c>
      <c r="BJ109" t="n">
        <v>83</v>
      </c>
      <c r="BK109" t="n">
        <v>0</v>
      </c>
      <c r="BL109" t="n">
        <v>43</v>
      </c>
    </row>
    <row r="110">
      <c r="A110" t="n">
        <v>4690612030999</v>
      </c>
      <c r="B110" t="inlineStr">
        <is>
          <t>Лампа светодиодная LED-T8-М-PRO 20Вт 230В G13 6500К 2000Лм 1200мм матовая IN HOME</t>
        </is>
      </c>
      <c r="C110" t="inlineStr">
        <is>
          <t>Лампа светодиодная LED-T8</t>
        </is>
      </c>
      <c r="D110" t="n">
        <v>4690612030999</v>
      </c>
      <c r="E110" t="inlineStr">
        <is>
          <t>http://darion-svet.com/web/binary/image?model=product.product&amp;id=16456&amp;field=image</t>
        </is>
      </c>
      <c r="F110" t="n">
        <v>2</v>
      </c>
      <c r="G110" t="inlineStr">
        <is>
          <t>Китай</t>
        </is>
      </c>
      <c r="H110" t="inlineStr">
        <is>
          <t>IN HOME</t>
        </is>
      </c>
      <c r="K110" t="inlineStr">
        <is>
          <t>LED</t>
        </is>
      </c>
      <c r="M110" t="n">
        <v>20</v>
      </c>
      <c r="N110" t="inlineStr">
        <is>
          <t>G13</t>
        </is>
      </c>
      <c r="O110" t="inlineStr">
        <is>
          <t>SMD</t>
        </is>
      </c>
      <c r="P110" t="n">
        <v>1620</v>
      </c>
      <c r="Q110" t="n">
        <v>6500</v>
      </c>
      <c r="R110" t="n">
        <v>80</v>
      </c>
      <c r="T110" t="inlineStr">
        <is>
          <t>Д</t>
        </is>
      </c>
      <c r="U110" t="n">
        <v>30000</v>
      </c>
      <c r="V110" t="n">
        <v>1200</v>
      </c>
      <c r="W110" t="n">
        <v>25</v>
      </c>
      <c r="AB110" t="n">
        <v>0.19</v>
      </c>
      <c r="AE110" t="inlineStr">
        <is>
          <t>ABS пластик</t>
        </is>
      </c>
      <c r="AJ110" t="inlineStr">
        <is>
          <t>A1</t>
        </is>
      </c>
      <c r="AK110" t="n">
        <v>0.9</v>
      </c>
      <c r="AL110" t="n">
        <v>5</v>
      </c>
      <c r="AM110" t="n">
        <v>0.14</v>
      </c>
      <c r="AN110" t="n">
        <v>180</v>
      </c>
      <c r="AO110" t="n">
        <v>275</v>
      </c>
      <c r="AP110" t="n">
        <v>-10</v>
      </c>
      <c r="AQ110" t="n">
        <v>40</v>
      </c>
      <c r="AS110" t="inlineStr">
        <is>
          <t>Картон</t>
        </is>
      </c>
      <c r="AT110" t="inlineStr">
        <is>
          <t>Нет</t>
        </is>
      </c>
      <c r="AU110" t="n">
        <v>0.00144</v>
      </c>
      <c r="AV110" t="n">
        <v>0.188</v>
      </c>
      <c r="AW110" t="n">
        <v>25</v>
      </c>
      <c r="AX110" t="n">
        <v>1215</v>
      </c>
      <c r="AY110" t="n">
        <v>28</v>
      </c>
      <c r="AZ110" t="n">
        <v>28</v>
      </c>
      <c r="BA110" t="n">
        <v>0.036</v>
      </c>
      <c r="BB110" t="n">
        <v>4.70001</v>
      </c>
      <c r="BC110" t="n">
        <v>4690612030999</v>
      </c>
      <c r="BE110" t="inlineStr">
        <is>
          <t>http://darion-svet.com/shop/product/4690612030999-led-t8-m-pro-20vt-230v-g13-6500k-1620lm-1200mm-matovaya-in-home</t>
        </is>
      </c>
      <c r="BF110" t="inlineStr">
        <is>
          <t>http://darion-svet.com/web/binary/saveas?model=product.product&amp;field=conformity_cert&amp;filename_field=conformity_cert_filename&amp;id=16456</t>
        </is>
      </c>
      <c r="BG110" t="inlineStr">
        <is>
          <t>http://darion-svet.com/web/binary/saveas?model=product.product&amp;field=datasheet&amp;filename_field=datasheet_filename&amp;id=16456</t>
        </is>
      </c>
      <c r="BI110" t="n">
        <v>10</v>
      </c>
      <c r="BJ110" t="n">
        <v>83</v>
      </c>
      <c r="BK110" t="n">
        <v>0</v>
      </c>
      <c r="BL110" t="n">
        <v>43</v>
      </c>
    </row>
    <row r="111">
      <c r="A111" t="n">
        <v>4690612031002</v>
      </c>
      <c r="B111" t="inlineStr">
        <is>
          <t>Лампа светодиодная LED-T8-П-PRO 20Вт 230В G13 6500К 2000Лм 1200мм прозрачная IN HOME</t>
        </is>
      </c>
      <c r="C111" t="inlineStr">
        <is>
          <t>Лампа светодиодная LED-T8</t>
        </is>
      </c>
      <c r="D111" t="n">
        <v>4690612031002</v>
      </c>
      <c r="E111" t="inlineStr">
        <is>
          <t>http://darion-svet.com/web/binary/image?model=product.product&amp;id=16629&amp;field=image</t>
        </is>
      </c>
      <c r="F111" t="n">
        <v>2</v>
      </c>
      <c r="G111" t="inlineStr">
        <is>
          <t>Китай</t>
        </is>
      </c>
      <c r="H111" t="inlineStr">
        <is>
          <t>IN HOME</t>
        </is>
      </c>
      <c r="K111" t="inlineStr">
        <is>
          <t>LED</t>
        </is>
      </c>
      <c r="M111" t="n">
        <v>20</v>
      </c>
      <c r="N111" t="inlineStr">
        <is>
          <t>G13</t>
        </is>
      </c>
      <c r="O111" t="inlineStr">
        <is>
          <t>SMD</t>
        </is>
      </c>
      <c r="P111" t="n">
        <v>1620</v>
      </c>
      <c r="Q111" t="n">
        <v>6500</v>
      </c>
      <c r="R111" t="n">
        <v>80</v>
      </c>
      <c r="T111" t="inlineStr">
        <is>
          <t>Д</t>
        </is>
      </c>
      <c r="U111" t="n">
        <v>30000</v>
      </c>
      <c r="V111" t="n">
        <v>1200</v>
      </c>
      <c r="W111" t="n">
        <v>25</v>
      </c>
      <c r="AB111" t="n">
        <v>0.19</v>
      </c>
      <c r="AE111" t="inlineStr">
        <is>
          <t>ABS пластик</t>
        </is>
      </c>
      <c r="AJ111" t="inlineStr">
        <is>
          <t>A1</t>
        </is>
      </c>
      <c r="AK111" t="n">
        <v>0.9</v>
      </c>
      <c r="AL111" t="n">
        <v>5</v>
      </c>
      <c r="AM111" t="n">
        <v>0.14</v>
      </c>
      <c r="AN111" t="n">
        <v>180</v>
      </c>
      <c r="AO111" t="n">
        <v>275</v>
      </c>
      <c r="AP111" t="n">
        <v>-10</v>
      </c>
      <c r="AQ111" t="n">
        <v>40</v>
      </c>
      <c r="AS111" t="inlineStr">
        <is>
          <t>Картон</t>
        </is>
      </c>
      <c r="AT111" t="inlineStr">
        <is>
          <t>Нет</t>
        </is>
      </c>
      <c r="AU111" t="n">
        <v>0.00144</v>
      </c>
      <c r="AV111" t="n">
        <v>0.188</v>
      </c>
      <c r="AW111" t="n">
        <v>25</v>
      </c>
      <c r="AX111" t="n">
        <v>1215</v>
      </c>
      <c r="AY111" t="n">
        <v>28</v>
      </c>
      <c r="AZ111" t="n">
        <v>28</v>
      </c>
      <c r="BA111" t="n">
        <v>0.036</v>
      </c>
      <c r="BB111" t="n">
        <v>4.70001</v>
      </c>
      <c r="BC111" t="n">
        <v>4690612031002</v>
      </c>
      <c r="BE111" t="inlineStr">
        <is>
          <t>http://darion-svet.com/shop/product/4690612031002-led-t8-p-pro-20vt-230v-g13-6500k-1620lm-1200mm-prozrachnaya-in-home</t>
        </is>
      </c>
      <c r="BF111" t="inlineStr">
        <is>
          <t>http://darion-svet.com/web/binary/saveas?model=product.product&amp;field=conformity_cert&amp;filename_field=conformity_cert_filename&amp;id=16629</t>
        </is>
      </c>
      <c r="BG111" t="inlineStr">
        <is>
          <t>http://darion-svet.com/web/binary/saveas?model=product.product&amp;field=datasheet&amp;filename_field=datasheet_filename&amp;id=16629</t>
        </is>
      </c>
      <c r="BI111" t="n">
        <v>25</v>
      </c>
      <c r="BJ111" t="n">
        <v>82</v>
      </c>
      <c r="BK111" t="n">
        <v>0</v>
      </c>
      <c r="BL111" t="n">
        <v>43</v>
      </c>
    </row>
    <row r="112">
      <c r="A112" t="n">
        <v>4690612031019</v>
      </c>
      <c r="B112" t="inlineStr">
        <is>
          <t>Лампа светодиодная LED-T8-М-PRO 30Вт 230В G13 4000К 3000Лм 1200мм матовая IN HOME</t>
        </is>
      </c>
      <c r="C112" t="inlineStr">
        <is>
          <t>Лампа светодиодная LED-T8</t>
        </is>
      </c>
      <c r="D112" t="n">
        <v>4690612031019</v>
      </c>
      <c r="E112" t="inlineStr">
        <is>
          <t>http://darion-svet.com/web/binary/image?model=product.product&amp;id=16630&amp;field=image</t>
        </is>
      </c>
      <c r="F112" t="n">
        <v>2</v>
      </c>
      <c r="G112" t="inlineStr">
        <is>
          <t>Китай</t>
        </is>
      </c>
      <c r="H112" t="inlineStr">
        <is>
          <t>IN HOME</t>
        </is>
      </c>
      <c r="K112" t="inlineStr">
        <is>
          <t>LED</t>
        </is>
      </c>
      <c r="M112" t="n">
        <v>30</v>
      </c>
      <c r="N112" t="inlineStr">
        <is>
          <t>G13</t>
        </is>
      </c>
      <c r="O112" t="inlineStr">
        <is>
          <t>SMD</t>
        </is>
      </c>
      <c r="P112" t="n">
        <v>2440</v>
      </c>
      <c r="Q112" t="n">
        <v>4000</v>
      </c>
      <c r="R112" t="n">
        <v>80</v>
      </c>
      <c r="T112" t="inlineStr">
        <is>
          <t>Д</t>
        </is>
      </c>
      <c r="U112" t="n">
        <v>30000</v>
      </c>
      <c r="V112" t="n">
        <v>1200</v>
      </c>
      <c r="W112" t="n">
        <v>25</v>
      </c>
      <c r="AB112" t="n">
        <v>0.2</v>
      </c>
      <c r="AE112" t="inlineStr">
        <is>
          <t>ABS пластик</t>
        </is>
      </c>
      <c r="AJ112" t="inlineStr">
        <is>
          <t>A1</t>
        </is>
      </c>
      <c r="AK112" t="n">
        <v>0.9</v>
      </c>
      <c r="AL112" t="n">
        <v>5</v>
      </c>
      <c r="AM112" t="n">
        <v>0.21</v>
      </c>
      <c r="AN112" t="n">
        <v>180</v>
      </c>
      <c r="AO112" t="n">
        <v>275</v>
      </c>
      <c r="AP112" t="n">
        <v>-10</v>
      </c>
      <c r="AQ112" t="n">
        <v>40</v>
      </c>
      <c r="AS112" t="inlineStr">
        <is>
          <t>Картон</t>
        </is>
      </c>
      <c r="AT112" t="inlineStr">
        <is>
          <t>Нет</t>
        </is>
      </c>
      <c r="AU112" t="n">
        <v>0.00144</v>
      </c>
      <c r="AV112" t="n">
        <v>0.2</v>
      </c>
      <c r="AW112" t="n">
        <v>25</v>
      </c>
      <c r="AX112" t="n">
        <v>1215</v>
      </c>
      <c r="AY112" t="n">
        <v>28</v>
      </c>
      <c r="AZ112" t="n">
        <v>28</v>
      </c>
      <c r="BA112" t="n">
        <v>0.036</v>
      </c>
      <c r="BB112" t="n">
        <v>5</v>
      </c>
      <c r="BC112" t="n">
        <v>4690612031019</v>
      </c>
      <c r="BE112" t="inlineStr">
        <is>
          <t>http://darion-svet.com/shop/product/4690612031019-led-t8-m-pro-30vt-230v-g13-4000k-2440lm-1200mm-matovaya-in-home</t>
        </is>
      </c>
      <c r="BF112" t="inlineStr">
        <is>
          <t>http://darion-svet.com/web/binary/saveas?model=product.product&amp;field=conformity_cert&amp;filename_field=conformity_cert_filename&amp;id=16630</t>
        </is>
      </c>
      <c r="BG112" t="inlineStr">
        <is>
          <t>http://darion-svet.com/web/binary/saveas?model=product.product&amp;field=datasheet&amp;filename_field=datasheet_filename&amp;id=16630</t>
        </is>
      </c>
      <c r="BI112" t="n">
        <v>21</v>
      </c>
      <c r="BJ112" t="n">
        <v>99</v>
      </c>
      <c r="BK112" t="n">
        <v>0</v>
      </c>
      <c r="BL112" t="n">
        <v>43</v>
      </c>
    </row>
    <row r="113">
      <c r="A113" t="n">
        <v>4690612031026</v>
      </c>
      <c r="B113" t="inlineStr">
        <is>
          <t>Лампа светодиодная LED-T8-М-PRO 30Вт 230В G13 6500К 3000Лм 1200мм матовая IN HOME</t>
        </is>
      </c>
      <c r="C113" t="inlineStr">
        <is>
          <t>Лампа светодиодная LED-T8</t>
        </is>
      </c>
      <c r="D113" t="n">
        <v>4690612031026</v>
      </c>
      <c r="E113" t="inlineStr">
        <is>
          <t>http://darion-svet.com/web/binary/image?model=product.product&amp;id=16631&amp;field=image</t>
        </is>
      </c>
      <c r="F113" t="n">
        <v>2</v>
      </c>
      <c r="G113" t="inlineStr">
        <is>
          <t>Китай</t>
        </is>
      </c>
      <c r="H113" t="inlineStr">
        <is>
          <t>IN HOME</t>
        </is>
      </c>
      <c r="K113" t="inlineStr">
        <is>
          <t>LED</t>
        </is>
      </c>
      <c r="M113" t="n">
        <v>30</v>
      </c>
      <c r="N113" t="inlineStr">
        <is>
          <t>G13</t>
        </is>
      </c>
      <c r="O113" t="inlineStr">
        <is>
          <t>SMD</t>
        </is>
      </c>
      <c r="P113" t="n">
        <v>2440</v>
      </c>
      <c r="Q113" t="n">
        <v>6500</v>
      </c>
      <c r="R113" t="n">
        <v>80</v>
      </c>
      <c r="T113" t="inlineStr">
        <is>
          <t>Д</t>
        </is>
      </c>
      <c r="U113" t="n">
        <v>30000</v>
      </c>
      <c r="V113" t="n">
        <v>1200</v>
      </c>
      <c r="W113" t="n">
        <v>25</v>
      </c>
      <c r="AB113" t="n">
        <v>0.2</v>
      </c>
      <c r="AE113" t="inlineStr">
        <is>
          <t>ABS пластик</t>
        </is>
      </c>
      <c r="AJ113" t="inlineStr">
        <is>
          <t>A1</t>
        </is>
      </c>
      <c r="AK113" t="n">
        <v>0.9</v>
      </c>
      <c r="AL113" t="n">
        <v>5</v>
      </c>
      <c r="AM113" t="n">
        <v>0.21</v>
      </c>
      <c r="AN113" t="n">
        <v>180</v>
      </c>
      <c r="AO113" t="n">
        <v>275</v>
      </c>
      <c r="AP113" t="n">
        <v>-10</v>
      </c>
      <c r="AQ113" t="n">
        <v>40</v>
      </c>
      <c r="AS113" t="inlineStr">
        <is>
          <t>Картон</t>
        </is>
      </c>
      <c r="AT113" t="inlineStr">
        <is>
          <t>Нет</t>
        </is>
      </c>
      <c r="AU113" t="n">
        <v>0.00144</v>
      </c>
      <c r="AV113" t="n">
        <v>0.2</v>
      </c>
      <c r="AW113" t="n">
        <v>25</v>
      </c>
      <c r="AX113" t="n">
        <v>1215</v>
      </c>
      <c r="AY113" t="n">
        <v>28</v>
      </c>
      <c r="AZ113" t="n">
        <v>28</v>
      </c>
      <c r="BA113" t="n">
        <v>0.036</v>
      </c>
      <c r="BB113" t="n">
        <v>5</v>
      </c>
      <c r="BC113" t="n">
        <v>4690612031026</v>
      </c>
      <c r="BE113" t="inlineStr">
        <is>
          <t>http://darion-svet.com/shop/product/4690612031026-led-t8-m-pro-30vt-230v-g13-6500k-2440lm-1200mm-matovaya-in-home</t>
        </is>
      </c>
      <c r="BF113" t="inlineStr">
        <is>
          <t>http://darion-svet.com/web/binary/saveas?model=product.product&amp;field=conformity_cert&amp;filename_field=conformity_cert_filename&amp;id=16631</t>
        </is>
      </c>
      <c r="BG113" t="inlineStr">
        <is>
          <t>http://darion-svet.com/web/binary/saveas?model=product.product&amp;field=datasheet&amp;filename_field=datasheet_filename&amp;id=16631</t>
        </is>
      </c>
      <c r="BI113" t="n">
        <v>13</v>
      </c>
      <c r="BJ113" t="n">
        <v>99</v>
      </c>
      <c r="BK113" t="n">
        <v>0</v>
      </c>
      <c r="BL113" t="n">
        <v>43</v>
      </c>
    </row>
    <row r="114">
      <c r="A114" t="n">
        <v>4690612031095</v>
      </c>
      <c r="B114" t="inlineStr">
        <is>
          <t>Лампа светодиодная LED-HP-PRO 40Вт 230В Е27 с адаптером E40 4000К 3800Лм IN HOME</t>
        </is>
      </c>
      <c r="C114" t="inlineStr">
        <is>
          <t>Лампа светодиодная HP PRO</t>
        </is>
      </c>
      <c r="D114" t="n">
        <v>4690612031095</v>
      </c>
      <c r="E114" t="inlineStr">
        <is>
          <t>http://darion-svet.com/web/binary/image?model=product.product&amp;id=16638&amp;field=image</t>
        </is>
      </c>
      <c r="F114" t="n">
        <v>2</v>
      </c>
      <c r="G114" t="inlineStr">
        <is>
          <t>Китай</t>
        </is>
      </c>
      <c r="H114" t="inlineStr">
        <is>
          <t>IN HOME</t>
        </is>
      </c>
      <c r="K114" t="inlineStr">
        <is>
          <t>LED</t>
        </is>
      </c>
      <c r="M114" t="n">
        <v>40</v>
      </c>
      <c r="N114" t="inlineStr">
        <is>
          <t>E27</t>
        </is>
      </c>
      <c r="O114" t="inlineStr">
        <is>
          <t>SMD</t>
        </is>
      </c>
      <c r="P114" t="n">
        <v>3600</v>
      </c>
      <c r="Q114" t="n">
        <v>4000</v>
      </c>
      <c r="R114" t="n">
        <v>80</v>
      </c>
      <c r="T114" t="inlineStr">
        <is>
          <t>Д</t>
        </is>
      </c>
      <c r="U114" t="n">
        <v>30000</v>
      </c>
      <c r="V114" t="n">
        <v>202</v>
      </c>
      <c r="W114" t="n">
        <v>115</v>
      </c>
      <c r="AB114" t="n">
        <v>0.2</v>
      </c>
      <c r="AD114" t="inlineStr">
        <is>
          <t>полимерный материал</t>
        </is>
      </c>
      <c r="AE114" t="inlineStr">
        <is>
          <t>ABS пластик</t>
        </is>
      </c>
      <c r="AJ114" t="inlineStr">
        <is>
          <t>A1</t>
        </is>
      </c>
      <c r="AK114" t="n">
        <v>0.9</v>
      </c>
      <c r="AL114" t="n">
        <v>5</v>
      </c>
      <c r="AM114" t="n">
        <v>0.28</v>
      </c>
      <c r="AN114" t="n">
        <v>150</v>
      </c>
      <c r="AO114" t="n">
        <v>275</v>
      </c>
      <c r="AP114" t="n">
        <v>-10</v>
      </c>
      <c r="AQ114" t="n">
        <v>40</v>
      </c>
      <c r="AS114" t="inlineStr">
        <is>
          <t>Картон</t>
        </is>
      </c>
      <c r="AT114" t="inlineStr">
        <is>
          <t>Нет</t>
        </is>
      </c>
      <c r="AU114" t="n">
        <v>0.003</v>
      </c>
      <c r="AV114" t="n">
        <v>0.2</v>
      </c>
      <c r="AW114" t="n">
        <v>50</v>
      </c>
      <c r="AX114" t="n">
        <v>118</v>
      </c>
      <c r="AY114" t="n">
        <v>118</v>
      </c>
      <c r="AZ114" t="n">
        <v>204</v>
      </c>
      <c r="BA114" t="n">
        <v>0.15001</v>
      </c>
      <c r="BB114" t="n">
        <v>10</v>
      </c>
      <c r="BC114" t="n">
        <v>4690612031095</v>
      </c>
      <c r="BE114" t="inlineStr">
        <is>
          <t>http://darion-svet.com/shop/product/4690612031095-led-hp-pro-40vt-230v-e27-s-adapterom-e40-4000k-3600lm-in-home</t>
        </is>
      </c>
      <c r="BF114" t="inlineStr">
        <is>
          <t>http://darion-svet.com/web/binary/saveas?model=product.product&amp;field=conformity_cert&amp;filename_field=conformity_cert_filename&amp;id=16638</t>
        </is>
      </c>
      <c r="BG114" t="inlineStr">
        <is>
          <t>http://darion-svet.com/web/binary/saveas?model=product.product&amp;field=datasheet&amp;filename_field=datasheet_filename&amp;id=16638</t>
        </is>
      </c>
      <c r="BI114" t="n">
        <v>19</v>
      </c>
      <c r="BJ114" t="n">
        <v>137</v>
      </c>
      <c r="BK114" t="n">
        <v>0</v>
      </c>
      <c r="BL114" t="n">
        <v>44</v>
      </c>
    </row>
    <row r="115">
      <c r="A115" t="n">
        <v>4690612031101</v>
      </c>
      <c r="B115" t="inlineStr">
        <is>
          <t>Лампа светодиодная LED-HP-PRO 40Вт 230В Е27 с адаптером E40 6500К 3800Лм IN HOME</t>
        </is>
      </c>
      <c r="C115" t="inlineStr">
        <is>
          <t>Лампа светодиодная HP PRO</t>
        </is>
      </c>
      <c r="D115" t="n">
        <v>4690612031101</v>
      </c>
      <c r="E115" t="inlineStr">
        <is>
          <t>http://darion-svet.com/web/binary/image?model=product.product&amp;id=16639&amp;field=image</t>
        </is>
      </c>
      <c r="F115" t="n">
        <v>2</v>
      </c>
      <c r="G115" t="inlineStr">
        <is>
          <t>Китай</t>
        </is>
      </c>
      <c r="H115" t="inlineStr">
        <is>
          <t>IN HOME</t>
        </is>
      </c>
      <c r="K115" t="inlineStr">
        <is>
          <t>LED</t>
        </is>
      </c>
      <c r="M115" t="n">
        <v>40</v>
      </c>
      <c r="N115" t="inlineStr">
        <is>
          <t>E27</t>
        </is>
      </c>
      <c r="O115" t="inlineStr">
        <is>
          <t>SMD</t>
        </is>
      </c>
      <c r="P115" t="n">
        <v>3600</v>
      </c>
      <c r="Q115" t="n">
        <v>6500</v>
      </c>
      <c r="R115" t="n">
        <v>80</v>
      </c>
      <c r="T115" t="inlineStr">
        <is>
          <t>Д</t>
        </is>
      </c>
      <c r="U115" t="n">
        <v>30000</v>
      </c>
      <c r="V115" t="n">
        <v>202</v>
      </c>
      <c r="W115" t="n">
        <v>115</v>
      </c>
      <c r="AB115" t="n">
        <v>0.2</v>
      </c>
      <c r="AD115" t="inlineStr">
        <is>
          <t>полимерный материал</t>
        </is>
      </c>
      <c r="AE115" t="inlineStr">
        <is>
          <t>ABS пластик</t>
        </is>
      </c>
      <c r="AJ115" t="inlineStr">
        <is>
          <t>A1</t>
        </is>
      </c>
      <c r="AK115" t="n">
        <v>0.9</v>
      </c>
      <c r="AL115" t="n">
        <v>5</v>
      </c>
      <c r="AM115" t="n">
        <v>0.28</v>
      </c>
      <c r="AN115" t="n">
        <v>150</v>
      </c>
      <c r="AO115" t="n">
        <v>275</v>
      </c>
      <c r="AP115" t="n">
        <v>-10</v>
      </c>
      <c r="AQ115" t="n">
        <v>40</v>
      </c>
      <c r="AS115" t="inlineStr">
        <is>
          <t>Картон</t>
        </is>
      </c>
      <c r="AT115" t="inlineStr">
        <is>
          <t>Нет</t>
        </is>
      </c>
      <c r="AU115" t="n">
        <v>0.003</v>
      </c>
      <c r="AV115" t="n">
        <v>0.2</v>
      </c>
      <c r="AW115" t="n">
        <v>50</v>
      </c>
      <c r="AX115" t="n">
        <v>118</v>
      </c>
      <c r="AY115" t="n">
        <v>118</v>
      </c>
      <c r="AZ115" t="n">
        <v>204</v>
      </c>
      <c r="BA115" t="n">
        <v>0.15001</v>
      </c>
      <c r="BB115" t="n">
        <v>10</v>
      </c>
      <c r="BC115" t="n">
        <v>4690612031101</v>
      </c>
      <c r="BE115" t="inlineStr">
        <is>
          <t>http://darion-svet.com/shop/product/4690612031101-led-hp-pro-40vt-230v-e27-s-adapterom-e40-6500k-3600lm-in-home</t>
        </is>
      </c>
      <c r="BF115" t="inlineStr">
        <is>
          <t>http://darion-svet.com/web/binary/saveas?model=product.product&amp;field=conformity_cert&amp;filename_field=conformity_cert_filename&amp;id=16639</t>
        </is>
      </c>
      <c r="BG115" t="inlineStr">
        <is>
          <t>http://darion-svet.com/web/binary/saveas?model=product.product&amp;field=datasheet&amp;filename_field=datasheet_filename&amp;id=16639</t>
        </is>
      </c>
      <c r="BI115" t="n">
        <v>17</v>
      </c>
      <c r="BJ115" t="n">
        <v>137</v>
      </c>
      <c r="BK115" t="n">
        <v>0</v>
      </c>
      <c r="BL115" t="n">
        <v>44</v>
      </c>
    </row>
    <row r="116">
      <c r="A116" t="n">
        <v>4690612031118</v>
      </c>
      <c r="B116" t="inlineStr">
        <is>
          <t>Лампа светодиодная LED-HP-PRO 50Вт 230В Е27 с адаптером E40 4000К 4750Лм IN HOME</t>
        </is>
      </c>
      <c r="C116" t="inlineStr">
        <is>
          <t>Лампа светодиодная HP PRO</t>
        </is>
      </c>
      <c r="D116" t="n">
        <v>4690612031118</v>
      </c>
      <c r="E116" t="inlineStr">
        <is>
          <t>http://darion-svet.com/web/binary/image?model=product.product&amp;id=16640&amp;field=image</t>
        </is>
      </c>
      <c r="F116" t="n">
        <v>2</v>
      </c>
      <c r="G116" t="inlineStr">
        <is>
          <t>Китай</t>
        </is>
      </c>
      <c r="H116" t="inlineStr">
        <is>
          <t>IN HOME</t>
        </is>
      </c>
      <c r="K116" t="inlineStr">
        <is>
          <t>LED</t>
        </is>
      </c>
      <c r="M116" t="n">
        <v>50</v>
      </c>
      <c r="N116" t="inlineStr">
        <is>
          <t>E27</t>
        </is>
      </c>
      <c r="O116" t="inlineStr">
        <is>
          <t>SMD</t>
        </is>
      </c>
      <c r="P116" t="n">
        <v>4500</v>
      </c>
      <c r="Q116" t="n">
        <v>4000</v>
      </c>
      <c r="R116" t="n">
        <v>80</v>
      </c>
      <c r="T116" t="inlineStr">
        <is>
          <t>Д</t>
        </is>
      </c>
      <c r="U116" t="n">
        <v>30000</v>
      </c>
      <c r="V116" t="n">
        <v>213</v>
      </c>
      <c r="W116" t="n">
        <v>125</v>
      </c>
      <c r="AB116" t="n">
        <v>0.24</v>
      </c>
      <c r="AD116" t="inlineStr">
        <is>
          <t>полимерный материал</t>
        </is>
      </c>
      <c r="AE116" t="inlineStr">
        <is>
          <t>ABS пластик</t>
        </is>
      </c>
      <c r="AJ116" t="inlineStr">
        <is>
          <t>A1</t>
        </is>
      </c>
      <c r="AK116" t="n">
        <v>0.9</v>
      </c>
      <c r="AL116" t="n">
        <v>5</v>
      </c>
      <c r="AM116" t="n">
        <v>0.34</v>
      </c>
      <c r="AN116" t="n">
        <v>150</v>
      </c>
      <c r="AO116" t="n">
        <v>275</v>
      </c>
      <c r="AP116" t="n">
        <v>-10</v>
      </c>
      <c r="AQ116" t="n">
        <v>40</v>
      </c>
      <c r="AS116" t="inlineStr">
        <is>
          <t>Картон</t>
        </is>
      </c>
      <c r="AT116" t="inlineStr">
        <is>
          <t>Нет</t>
        </is>
      </c>
      <c r="AU116" t="n">
        <v>0.0038</v>
      </c>
      <c r="AV116" t="n">
        <v>0.24</v>
      </c>
      <c r="AW116" t="n">
        <v>50</v>
      </c>
      <c r="AX116" t="n">
        <v>128</v>
      </c>
      <c r="AY116" t="n">
        <v>128</v>
      </c>
      <c r="AZ116" t="n">
        <v>220</v>
      </c>
      <c r="BA116" t="n">
        <v>0.19001</v>
      </c>
      <c r="BB116" t="n">
        <v>12</v>
      </c>
      <c r="BC116" t="n">
        <v>4690612031118</v>
      </c>
      <c r="BE116" t="inlineStr">
        <is>
          <t>http://darion-svet.com/shop/product/4690612031118-led-hp-pro-50vt-230v-e27-s-adapterom-e40-4000k-4500lm-in-home</t>
        </is>
      </c>
      <c r="BF116" t="inlineStr">
        <is>
          <t>http://darion-svet.com/web/binary/saveas?model=product.product&amp;field=conformity_cert&amp;filename_field=conformity_cert_filename&amp;id=16640</t>
        </is>
      </c>
      <c r="BG116" t="inlineStr">
        <is>
          <t>http://darion-svet.com/web/binary/saveas?model=product.product&amp;field=datasheet&amp;filename_field=datasheet_filename&amp;id=16640</t>
        </is>
      </c>
      <c r="BI116" t="n">
        <v>5</v>
      </c>
      <c r="BJ116" t="n">
        <v>192</v>
      </c>
      <c r="BK116" t="n">
        <v>0</v>
      </c>
      <c r="BL116" t="n">
        <v>44</v>
      </c>
    </row>
    <row r="117">
      <c r="A117" t="n">
        <v>4690612035659</v>
      </c>
      <c r="B117" t="inlineStr">
        <is>
          <t>Лампа светодиодная LED-ST64-deco gold 9Вт 230В Е27 3000К 1040Лм золотистая IN HOME</t>
        </is>
      </c>
      <c r="C117" t="inlineStr">
        <is>
          <t>Лампа светодиодная LED-ST64-DECO золотистая</t>
        </is>
      </c>
      <c r="D117" t="n">
        <v>4690612035659</v>
      </c>
      <c r="E117" t="inlineStr">
        <is>
          <t>http://darion-svet.com/web/binary/image?model=product.product&amp;id=18689&amp;field=image</t>
        </is>
      </c>
      <c r="F117" t="n">
        <v>2</v>
      </c>
      <c r="G117" t="inlineStr">
        <is>
          <t>Китай</t>
        </is>
      </c>
      <c r="H117" t="inlineStr">
        <is>
          <t>IN HOME</t>
        </is>
      </c>
      <c r="K117" t="inlineStr">
        <is>
          <t>LED</t>
        </is>
      </c>
      <c r="M117" t="n">
        <v>9</v>
      </c>
      <c r="N117" t="inlineStr">
        <is>
          <t>E27</t>
        </is>
      </c>
      <c r="O117" t="inlineStr">
        <is>
          <t>filament</t>
        </is>
      </c>
      <c r="P117" t="n">
        <v>810</v>
      </c>
      <c r="Q117" t="n">
        <v>3000</v>
      </c>
      <c r="R117" t="n">
        <v>80</v>
      </c>
      <c r="T117" t="inlineStr">
        <is>
          <t>Д</t>
        </is>
      </c>
      <c r="U117" t="n">
        <v>30000</v>
      </c>
      <c r="V117" t="n">
        <v>145</v>
      </c>
      <c r="W117" t="n">
        <v>64</v>
      </c>
      <c r="Y117" t="n">
        <v>64</v>
      </c>
      <c r="AB117" t="n">
        <v>0.044</v>
      </c>
      <c r="AE117" t="inlineStr">
        <is>
          <t>стекло</t>
        </is>
      </c>
      <c r="AJ117" t="inlineStr">
        <is>
          <t>A1</t>
        </is>
      </c>
      <c r="AK117" t="n">
        <v>0.85</v>
      </c>
      <c r="AL117" t="n">
        <v>5</v>
      </c>
      <c r="AM117" t="n">
        <v>0.07000000000000001</v>
      </c>
      <c r="AN117" t="n">
        <v>150</v>
      </c>
      <c r="AO117" t="n">
        <v>275</v>
      </c>
      <c r="AP117" t="n">
        <v>-10</v>
      </c>
      <c r="AQ117" t="n">
        <v>40</v>
      </c>
      <c r="AS117" t="inlineStr">
        <is>
          <t>Картон</t>
        </is>
      </c>
      <c r="AT117" t="inlineStr">
        <is>
          <t>Нет</t>
        </is>
      </c>
      <c r="AU117" t="n">
        <v>0.0008</v>
      </c>
      <c r="AV117" t="n">
        <v>0.044</v>
      </c>
      <c r="AW117" t="n">
        <v>50</v>
      </c>
      <c r="AX117" t="n">
        <v>66</v>
      </c>
      <c r="AY117" t="n">
        <v>66</v>
      </c>
      <c r="AZ117" t="n">
        <v>150</v>
      </c>
      <c r="BA117" t="n">
        <v>0.04</v>
      </c>
      <c r="BB117" t="n">
        <v>2.2</v>
      </c>
      <c r="BC117" t="n">
        <v>4690612035659</v>
      </c>
      <c r="BE117" t="inlineStr">
        <is>
          <t>http://darion-svet.com/shop/product/4690612035659-led-st64-deco-gold-9vt-230v-e27-3000k-810lm-zolotistaya-in-home</t>
        </is>
      </c>
      <c r="BF117" t="inlineStr">
        <is>
          <t>http://darion-svet.com/web/binary/saveas?model=product.product&amp;field=conformity_cert&amp;filename_field=conformity_cert_filename&amp;id=18689</t>
        </is>
      </c>
      <c r="BG117" t="inlineStr">
        <is>
          <t>http://darion-svet.com/web/binary/saveas?model=product.product&amp;field=datasheet&amp;filename_field=datasheet_filename&amp;id=18689</t>
        </is>
      </c>
      <c r="BI117" t="n">
        <v>6</v>
      </c>
      <c r="BJ117" t="n">
        <v>114</v>
      </c>
      <c r="BK117" t="n">
        <v>0</v>
      </c>
      <c r="BL117" t="n">
        <v>44</v>
      </c>
    </row>
    <row r="118">
      <c r="A118" t="n">
        <v>4690612035673</v>
      </c>
      <c r="B118" t="inlineStr">
        <is>
          <t>Лампа светодиодная LED-ST64-deco gold 11Вт 230В Е27 3000К 1160Лм золотистая IN HOME</t>
        </is>
      </c>
      <c r="C118" t="inlineStr">
        <is>
          <t>Лампа светодиодная LED-ST64-DECO золотистая</t>
        </is>
      </c>
      <c r="D118" t="n">
        <v>4690612035673</v>
      </c>
      <c r="E118" t="inlineStr">
        <is>
          <t>http://darion-svet.com/web/binary/image?model=product.product&amp;id=18690&amp;field=image</t>
        </is>
      </c>
      <c r="F118" t="n">
        <v>2</v>
      </c>
      <c r="G118" t="inlineStr">
        <is>
          <t>Китай</t>
        </is>
      </c>
      <c r="H118" t="inlineStr">
        <is>
          <t>IN HOME</t>
        </is>
      </c>
      <c r="K118" t="inlineStr">
        <is>
          <t>LED</t>
        </is>
      </c>
      <c r="M118" t="n">
        <v>11</v>
      </c>
      <c r="N118" t="inlineStr">
        <is>
          <t>E27</t>
        </is>
      </c>
      <c r="O118" t="inlineStr">
        <is>
          <t>filament</t>
        </is>
      </c>
      <c r="P118" t="n">
        <v>990</v>
      </c>
      <c r="Q118" t="n">
        <v>3000</v>
      </c>
      <c r="R118" t="n">
        <v>80</v>
      </c>
      <c r="T118" t="inlineStr">
        <is>
          <t>Д</t>
        </is>
      </c>
      <c r="U118" t="n">
        <v>30000</v>
      </c>
      <c r="V118" t="n">
        <v>145</v>
      </c>
      <c r="W118" t="n">
        <v>64</v>
      </c>
      <c r="Y118" t="n">
        <v>64</v>
      </c>
      <c r="AB118" t="n">
        <v>0.044</v>
      </c>
      <c r="AE118" t="inlineStr">
        <is>
          <t>стекло</t>
        </is>
      </c>
      <c r="AJ118" t="inlineStr">
        <is>
          <t>A1</t>
        </is>
      </c>
      <c r="AK118" t="n">
        <v>0.85</v>
      </c>
      <c r="AL118" t="n">
        <v>5</v>
      </c>
      <c r="AM118" t="n">
        <v>0.08</v>
      </c>
      <c r="AN118" t="n">
        <v>150</v>
      </c>
      <c r="AO118" t="n">
        <v>275</v>
      </c>
      <c r="AP118" t="n">
        <v>-10</v>
      </c>
      <c r="AQ118" t="n">
        <v>40</v>
      </c>
      <c r="AS118" t="inlineStr">
        <is>
          <t>Картон</t>
        </is>
      </c>
      <c r="AT118" t="inlineStr">
        <is>
          <t>Нет</t>
        </is>
      </c>
      <c r="AU118" t="n">
        <v>0.0008</v>
      </c>
      <c r="AV118" t="n">
        <v>0.044</v>
      </c>
      <c r="AW118" t="n">
        <v>50</v>
      </c>
      <c r="AX118" t="n">
        <v>66</v>
      </c>
      <c r="AY118" t="n">
        <v>66</v>
      </c>
      <c r="AZ118" t="n">
        <v>150</v>
      </c>
      <c r="BA118" t="n">
        <v>0.04</v>
      </c>
      <c r="BB118" t="n">
        <v>2.2</v>
      </c>
      <c r="BC118" t="n">
        <v>4690612035673</v>
      </c>
      <c r="BE118" t="inlineStr">
        <is>
          <t>http://darion-svet.com/shop/product/4690612035673-led-st64-deco-gold-11vt-230v-e27-3000k-990lm-zolotistaya-in-home</t>
        </is>
      </c>
      <c r="BF118" t="inlineStr">
        <is>
          <t>http://darion-svet.com/web/binary/saveas?model=product.product&amp;field=conformity_cert&amp;filename_field=conformity_cert_filename&amp;id=18690</t>
        </is>
      </c>
      <c r="BG118" t="inlineStr">
        <is>
          <t>http://darion-svet.com/web/binary/saveas?model=product.product&amp;field=datasheet&amp;filename_field=datasheet_filename&amp;id=18690</t>
        </is>
      </c>
      <c r="BI118" t="n">
        <v>8</v>
      </c>
      <c r="BJ118" t="n">
        <v>119</v>
      </c>
      <c r="BK118" t="n">
        <v>0</v>
      </c>
      <c r="BL118" t="n">
        <v>44</v>
      </c>
    </row>
    <row r="119">
      <c r="A119" t="n">
        <v>4690612038032</v>
      </c>
      <c r="B119" t="inlineStr">
        <is>
          <t>Лампа светодиодная низковольтная LED-MO-PRO 10Вт 12-48В Е27 4000К 900Лм IN HOME</t>
        </is>
      </c>
      <c r="C119" t="inlineStr">
        <is>
          <t>Лампа светодиодная HP MO</t>
        </is>
      </c>
      <c r="D119" t="n">
        <v>4690612038032</v>
      </c>
      <c r="E119" t="inlineStr">
        <is>
          <t>http://darion-svet.com/web/binary/image?model=product.product&amp;id=20994&amp;field=image</t>
        </is>
      </c>
      <c r="F119" t="n">
        <v>2</v>
      </c>
      <c r="G119" t="inlineStr">
        <is>
          <t>Китай</t>
        </is>
      </c>
      <c r="H119" t="inlineStr">
        <is>
          <t>IN HOME</t>
        </is>
      </c>
      <c r="K119" t="inlineStr">
        <is>
          <t>LED</t>
        </is>
      </c>
      <c r="M119" t="n">
        <v>10</v>
      </c>
      <c r="N119" t="inlineStr">
        <is>
          <t>E27</t>
        </is>
      </c>
      <c r="O119" t="inlineStr">
        <is>
          <t>SMD</t>
        </is>
      </c>
      <c r="Q119" t="n">
        <v>4000</v>
      </c>
      <c r="R119" t="n">
        <v>80</v>
      </c>
      <c r="U119" t="n">
        <v>30000</v>
      </c>
      <c r="V119" t="n">
        <v>112</v>
      </c>
      <c r="W119" t="n">
        <v>60</v>
      </c>
      <c r="AB119" t="n">
        <v>0.036</v>
      </c>
      <c r="AD119" t="inlineStr">
        <is>
          <t>полимерный материал</t>
        </is>
      </c>
      <c r="AE119" t="inlineStr">
        <is>
          <t>ABS пластик</t>
        </is>
      </c>
      <c r="AJ119" t="inlineStr">
        <is>
          <t>A1</t>
        </is>
      </c>
      <c r="AK119" t="n">
        <v>0.85</v>
      </c>
      <c r="AL119" t="n">
        <v>10</v>
      </c>
      <c r="AM119" t="n">
        <v>0.25</v>
      </c>
      <c r="AN119" t="n">
        <v>12</v>
      </c>
      <c r="AO119" t="n">
        <v>12</v>
      </c>
      <c r="AP119" t="n">
        <v>-10</v>
      </c>
      <c r="AQ119" t="n">
        <v>40</v>
      </c>
      <c r="AS119" t="inlineStr">
        <is>
          <t>Картон</t>
        </is>
      </c>
      <c r="AT119" t="inlineStr">
        <is>
          <t>Нет</t>
        </is>
      </c>
      <c r="AU119" t="n">
        <v>0.0004</v>
      </c>
      <c r="AV119" t="n">
        <v>0.036</v>
      </c>
      <c r="AW119" t="n">
        <v>100</v>
      </c>
      <c r="AX119" t="n">
        <v>61</v>
      </c>
      <c r="AY119" t="n">
        <v>61</v>
      </c>
      <c r="AZ119" t="n">
        <v>115</v>
      </c>
      <c r="BA119" t="n">
        <v>0.04001</v>
      </c>
      <c r="BB119" t="n">
        <v>3.6</v>
      </c>
      <c r="BC119" t="n">
        <v>4690612038032</v>
      </c>
      <c r="BE119" t="inlineStr">
        <is>
          <t>http://darion-svet.com/shop/product/4690612038032-led-mo-pro-10vt-12-48v-e27-4000k-900lm-in-home</t>
        </is>
      </c>
      <c r="BF119" t="inlineStr">
        <is>
          <t>http://darion-svet.com/web/binary/saveas?model=product.product&amp;field=conformity_cert&amp;filename_field=conformity_cert_filename&amp;id=20994</t>
        </is>
      </c>
      <c r="BG119" t="inlineStr">
        <is>
          <t>http://darion-svet.com/web/binary/saveas?model=product.product&amp;field=datasheet&amp;filename_field=datasheet_filename&amp;id=20994</t>
        </is>
      </c>
      <c r="BI119" t="n">
        <v>7</v>
      </c>
      <c r="BJ119" t="n">
        <v>96</v>
      </c>
      <c r="BK119" t="n">
        <v>0</v>
      </c>
      <c r="BL119" t="n">
        <v>42</v>
      </c>
    </row>
    <row r="120">
      <c r="A120" t="n">
        <v>4690626002869</v>
      </c>
      <c r="B120" t="inlineStr">
        <is>
          <t>Светодиодная (LED) Лампа Smartbuy-UFO-18W/4000/E27 (SBL-UFO-18-4K-E27)</t>
        </is>
      </c>
      <c r="C120" t="inlineStr">
        <is>
          <t>Smartbuy лампы LED</t>
        </is>
      </c>
      <c r="E120" t="inlineStr">
        <is>
          <t>http://darion-svet.com/web/binary/image?model=product.product&amp;id=16001&amp;field=image</t>
        </is>
      </c>
      <c r="G120" t="inlineStr">
        <is>
          <t>Китай</t>
        </is>
      </c>
      <c r="H120" t="inlineStr">
        <is>
          <t>Smartbuy</t>
        </is>
      </c>
      <c r="M120" t="n">
        <v>18</v>
      </c>
      <c r="N120" t="inlineStr">
        <is>
          <t>E27</t>
        </is>
      </c>
      <c r="Q120" t="n">
        <v>4000</v>
      </c>
      <c r="U120" t="inlineStr">
        <is>
          <t>30 000 ч</t>
        </is>
      </c>
      <c r="AB120" t="n">
        <v>0.2</v>
      </c>
      <c r="AS120" t="inlineStr">
        <is>
          <t>Картон</t>
        </is>
      </c>
      <c r="AT120" t="inlineStr">
        <is>
          <t>Да</t>
        </is>
      </c>
      <c r="AU120" t="n">
        <v>0.00211</v>
      </c>
      <c r="AV120" t="n">
        <v>0.2</v>
      </c>
      <c r="AW120" t="n">
        <v>16</v>
      </c>
      <c r="BA120" t="n">
        <v>0.03376</v>
      </c>
      <c r="BB120" t="n">
        <v>3.2</v>
      </c>
      <c r="BE120" t="inlineStr">
        <is>
          <t>http://darion-svet.com/shop/product/4690626002869-sbl-ufo-18-4k-e27</t>
        </is>
      </c>
      <c r="BI120" t="n">
        <v>7</v>
      </c>
      <c r="BJ120" t="n">
        <v>137</v>
      </c>
      <c r="BK120" t="n">
        <v>0</v>
      </c>
      <c r="BL120" t="n">
        <v>19</v>
      </c>
    </row>
    <row r="121">
      <c r="A121" t="n">
        <v>4690626079649</v>
      </c>
      <c r="B121" t="inlineStr">
        <is>
          <t>Светодиодная (LED) Лампа ФИТО Smartbuy-5 лепестков-40W/E27 (SBL-5-leaves-40-fito-E27)/25</t>
        </is>
      </c>
      <c r="C121" t="inlineStr">
        <is>
          <t>Smartbuy лампы LED</t>
        </is>
      </c>
      <c r="E121" t="inlineStr">
        <is>
          <t>http://darion-svet.com/web/binary/image?model=product.product&amp;id=20454&amp;field=image</t>
        </is>
      </c>
      <c r="BE121" t="inlineStr">
        <is>
          <t>http://darion-svet.com/shop/product/4690626079649-svetodiodnaya-led-lampa-fito-smartbuy-5-lepestkov-40we27-sbl-5-leaves-40-fito-e2725</t>
        </is>
      </c>
      <c r="BI121" t="n">
        <v>2</v>
      </c>
      <c r="BJ121" t="n">
        <v>847</v>
      </c>
      <c r="BK121" t="n">
        <v>0</v>
      </c>
      <c r="BL121" t="n">
        <v>5</v>
      </c>
    </row>
    <row r="122">
      <c r="A122" t="inlineStr">
        <is>
          <t>G103101107</t>
        </is>
      </c>
      <c r="B122" t="inlineStr">
        <is>
          <t>Лампа Gauss LED Candle E14 6.5W 3000К 1/10/100</t>
        </is>
      </c>
      <c r="C122" t="inlineStr">
        <is>
          <t>Свечи</t>
        </is>
      </c>
      <c r="E122" t="inlineStr">
        <is>
          <t>http://darion-svet.com/web/binary/image?model=product.product&amp;id=11004&amp;field=image</t>
        </is>
      </c>
      <c r="F122" t="n">
        <v>2</v>
      </c>
      <c r="G122" t="inlineStr">
        <is>
          <t>Китай</t>
        </is>
      </c>
      <c r="H122" t="inlineStr">
        <is>
          <t>Gauss</t>
        </is>
      </c>
      <c r="K122" t="inlineStr">
        <is>
          <t>LED</t>
        </is>
      </c>
      <c r="M122" t="n">
        <v>6</v>
      </c>
      <c r="N122" t="inlineStr">
        <is>
          <t>E14</t>
        </is>
      </c>
      <c r="P122" t="n">
        <v>550</v>
      </c>
      <c r="Q122" t="n">
        <v>3000</v>
      </c>
      <c r="V122" t="n">
        <v>35</v>
      </c>
      <c r="W122" t="n">
        <v>35</v>
      </c>
      <c r="X122" t="n">
        <v>105</v>
      </c>
      <c r="AB122" t="n">
        <v>0.04</v>
      </c>
      <c r="AX122" t="n">
        <v>35</v>
      </c>
      <c r="AY122" t="n">
        <v>35</v>
      </c>
      <c r="AZ122" t="n">
        <v>114</v>
      </c>
      <c r="BB122" t="n">
        <v>0.4</v>
      </c>
      <c r="BE122" t="inlineStr">
        <is>
          <t>http://darion-svet.com/shop/product/g103101107-candle-e14-65w-3000k-110100</t>
        </is>
      </c>
      <c r="BI122" t="n">
        <v>7</v>
      </c>
      <c r="BJ122" t="n">
        <v>67</v>
      </c>
      <c r="BK122" t="n">
        <v>0</v>
      </c>
      <c r="BL122" t="n">
        <v>21</v>
      </c>
    </row>
    <row r="123">
      <c r="A123" t="inlineStr">
        <is>
          <t>G103101207</t>
        </is>
      </c>
      <c r="B123" t="inlineStr">
        <is>
          <t>Лампа Gauss LED Candle E14 6.5W 4100К 1/10/50</t>
        </is>
      </c>
      <c r="C123" t="inlineStr">
        <is>
          <t>Свечи</t>
        </is>
      </c>
      <c r="E123" t="inlineStr">
        <is>
          <t>http://darion-svet.com/web/binary/image?model=product.product&amp;id=11005&amp;field=image</t>
        </is>
      </c>
      <c r="F123" t="n">
        <v>2</v>
      </c>
      <c r="G123" t="inlineStr">
        <is>
          <t>Китай</t>
        </is>
      </c>
      <c r="H123" t="inlineStr">
        <is>
          <t>Gauss</t>
        </is>
      </c>
      <c r="K123" t="inlineStr">
        <is>
          <t>LED</t>
        </is>
      </c>
      <c r="M123" t="n">
        <v>6</v>
      </c>
      <c r="N123" t="inlineStr">
        <is>
          <t>E14</t>
        </is>
      </c>
      <c r="P123" t="n">
        <v>550</v>
      </c>
      <c r="Q123" t="n">
        <v>4000</v>
      </c>
      <c r="U123" t="inlineStr">
        <is>
          <t>35 000ч</t>
        </is>
      </c>
      <c r="BE123" t="inlineStr">
        <is>
          <t>http://darion-svet.com/shop/product/g103101207-candle-e14-65w-4100k-11050</t>
        </is>
      </c>
      <c r="BI123" t="n">
        <v>1</v>
      </c>
      <c r="BJ123" t="n">
        <v>67</v>
      </c>
      <c r="BK123" t="n">
        <v>0</v>
      </c>
      <c r="BL123" t="n">
        <v>14</v>
      </c>
    </row>
    <row r="124">
      <c r="A124" t="inlineStr">
        <is>
          <t>G106001204</t>
        </is>
      </c>
      <c r="B124" t="inlineStr">
        <is>
          <t>Лампа Gauss LED Reflector R39 E14 4W 4100K 1/10/100</t>
        </is>
      </c>
      <c r="C124" t="inlineStr">
        <is>
          <t>Зеркальные Лампы</t>
        </is>
      </c>
      <c r="E124" t="inlineStr">
        <is>
          <t>http://darion-svet.com/web/binary/image?model=product.product&amp;id=10872&amp;field=image</t>
        </is>
      </c>
      <c r="H124" t="inlineStr">
        <is>
          <t>Gauss</t>
        </is>
      </c>
      <c r="BE124" t="inlineStr">
        <is>
          <t>http://darion-svet.com/shop/product/g106001204-reflector-r39-e14-4w-4100k-110100</t>
        </is>
      </c>
      <c r="BI124" t="n">
        <v>2</v>
      </c>
      <c r="BJ124" t="n">
        <v>108</v>
      </c>
      <c r="BK124" t="n">
        <v>0</v>
      </c>
      <c r="BL124" t="n">
        <v>6</v>
      </c>
    </row>
    <row r="125">
      <c r="A125" t="inlineStr">
        <is>
          <t>G13629</t>
        </is>
      </c>
      <c r="B125" t="inlineStr">
        <is>
          <t>Лампа Gauss LED Elementary MR16 GU10 9W 660lm 4100К 1/10/100</t>
        </is>
      </c>
      <c r="C125" t="inlineStr">
        <is>
          <t>GAUSS лампы LED</t>
        </is>
      </c>
      <c r="E125" t="inlineStr">
        <is>
          <t>http://darion-svet.com/web/binary/image?model=product.product&amp;id=16239&amp;field=image</t>
        </is>
      </c>
      <c r="F125" t="n">
        <v>2</v>
      </c>
      <c r="G125" t="inlineStr">
        <is>
          <t>Российская Федерация</t>
        </is>
      </c>
      <c r="H125" t="inlineStr">
        <is>
          <t>Gauss</t>
        </is>
      </c>
      <c r="K125" t="inlineStr">
        <is>
          <t>LED</t>
        </is>
      </c>
      <c r="M125" t="n">
        <v>9</v>
      </c>
      <c r="N125" t="inlineStr">
        <is>
          <t>GU10</t>
        </is>
      </c>
      <c r="P125" t="n">
        <v>660</v>
      </c>
      <c r="Q125" t="n">
        <v>4200</v>
      </c>
      <c r="R125" t="n">
        <v>80</v>
      </c>
      <c r="U125" t="inlineStr">
        <is>
          <t>25 000</t>
        </is>
      </c>
      <c r="AN125" t="n">
        <v>180</v>
      </c>
      <c r="AO125" t="n">
        <v>240</v>
      </c>
      <c r="BE125" t="inlineStr">
        <is>
          <t>http://darion-svet.com/shop/product/g13629-lampa-gauss-led-elementary-mr16-gu10-9w-660lm-4100k-110100</t>
        </is>
      </c>
      <c r="BI125" t="n">
        <v>17</v>
      </c>
      <c r="BJ125" t="n">
        <v>117</v>
      </c>
      <c r="BK125" t="n">
        <v>0</v>
      </c>
      <c r="BL125" t="n">
        <v>17</v>
      </c>
    </row>
    <row r="126">
      <c r="A126" t="inlineStr">
        <is>
          <t>G23214P</t>
        </is>
      </c>
      <c r="B126" t="inlineStr">
        <is>
          <t>Лампа Gauss LED Elementary A60 14W E27 2700K 1/50 (2 лампы в упаковке)</t>
        </is>
      </c>
      <c r="C126" t="inlineStr">
        <is>
          <t>Комплекты Gauss Elementary (x2, x3)</t>
        </is>
      </c>
      <c r="E126" t="inlineStr">
        <is>
          <t>http://darion-svet.com/web/binary/image?model=product.product&amp;id=10946&amp;field=image</t>
        </is>
      </c>
      <c r="G126" t="inlineStr">
        <is>
          <t>Китай</t>
        </is>
      </c>
      <c r="H126" t="inlineStr">
        <is>
          <t>Gauss</t>
        </is>
      </c>
      <c r="BE126" t="inlineStr">
        <is>
          <t>http://darion-svet.com/shop/product/g23214p-elementary-a60-14w-e27-2700k-150-2-lampyi-v-upakovke</t>
        </is>
      </c>
      <c r="BI126" t="n">
        <v>40</v>
      </c>
      <c r="BJ126" t="n">
        <v>128</v>
      </c>
      <c r="BK126" t="n">
        <v>0</v>
      </c>
      <c r="BL126" t="n">
        <v>7</v>
      </c>
    </row>
    <row r="127">
      <c r="A127" t="inlineStr">
        <is>
          <t>G23225</t>
        </is>
      </c>
      <c r="B127" t="inlineStr">
        <is>
          <t>Лампа Gauss LED Elementary A60 15W E27 4100K 1/10/50</t>
        </is>
      </c>
      <c r="C127" t="inlineStr">
        <is>
          <t>ЛОН</t>
        </is>
      </c>
      <c r="E127" t="inlineStr">
        <is>
          <t>http://darion-svet.com/web/binary/image?model=product.product&amp;id=10955&amp;field=image</t>
        </is>
      </c>
      <c r="F127" t="n">
        <v>1</v>
      </c>
      <c r="G127" t="inlineStr">
        <is>
          <t>Российская Федерация</t>
        </is>
      </c>
      <c r="H127" t="inlineStr">
        <is>
          <t>Gauss</t>
        </is>
      </c>
      <c r="K127" t="inlineStr">
        <is>
          <t>LED</t>
        </is>
      </c>
      <c r="M127" t="n">
        <v>15</v>
      </c>
      <c r="N127" t="inlineStr">
        <is>
          <t>E27</t>
        </is>
      </c>
      <c r="P127" t="n">
        <v>1450</v>
      </c>
      <c r="Q127" t="n">
        <v>4200</v>
      </c>
      <c r="R127" t="n">
        <v>80</v>
      </c>
      <c r="U127" t="inlineStr">
        <is>
          <t>25 000</t>
        </is>
      </c>
      <c r="V127" t="n">
        <v>110</v>
      </c>
      <c r="W127" t="n">
        <v>60</v>
      </c>
      <c r="BE127" t="inlineStr">
        <is>
          <t>http://darion-svet.com/shop/product/g23225-elementary-a60-15w-e27-4100k-11050</t>
        </is>
      </c>
      <c r="BI127" t="n">
        <v>10</v>
      </c>
      <c r="BJ127" t="n">
        <v>103</v>
      </c>
      <c r="BK127" t="n">
        <v>0</v>
      </c>
      <c r="BL127" t="n">
        <v>17</v>
      </c>
    </row>
    <row r="128">
      <c r="A128" t="inlineStr">
        <is>
          <t>G33117T</t>
        </is>
      </c>
      <c r="B128" t="inlineStr">
        <is>
          <t>Лампа Gauss LED Elementary Свеча 7W E14 2700K 1/40 (3 лампы в упаковке)</t>
        </is>
      </c>
      <c r="C128" t="inlineStr">
        <is>
          <t>Комплекты Gauss Elementary (x2, x3)</t>
        </is>
      </c>
      <c r="E128" t="inlineStr">
        <is>
          <t>http://darion-svet.com/web/binary/image?model=product.product&amp;id=11945&amp;field=image</t>
        </is>
      </c>
      <c r="G128" t="inlineStr">
        <is>
          <t>Китай</t>
        </is>
      </c>
      <c r="H128" t="inlineStr">
        <is>
          <t>Gauss</t>
        </is>
      </c>
      <c r="BE128" t="inlineStr">
        <is>
          <t>http://darion-svet.com/shop/product/g33117t-elementary-svecha-7w-e14-2700k-140-3-lampyi-v-upakovke</t>
        </is>
      </c>
      <c r="BI128" t="n">
        <v>10</v>
      </c>
      <c r="BJ128" t="n">
        <v>105</v>
      </c>
      <c r="BK128" t="n">
        <v>0</v>
      </c>
      <c r="BL128" t="n">
        <v>7</v>
      </c>
    </row>
    <row r="129">
      <c r="A129" t="inlineStr">
        <is>
          <t>G33127T</t>
        </is>
      </c>
      <c r="B129" t="inlineStr">
        <is>
          <t>Лампа Gauss LED Elementary Candle 7W E14 4100K 1/40 (3 лампы в упаковке)</t>
        </is>
      </c>
      <c r="C129" t="inlineStr">
        <is>
          <t>Комплекты Gauss Elementary (x2, x3)</t>
        </is>
      </c>
      <c r="E129" t="inlineStr">
        <is>
          <t>http://darion-svet.com/web/binary/image?model=product.product&amp;id=10949&amp;field=image</t>
        </is>
      </c>
      <c r="G129" t="inlineStr">
        <is>
          <t>Китай</t>
        </is>
      </c>
      <c r="H129" t="inlineStr">
        <is>
          <t>Gauss</t>
        </is>
      </c>
      <c r="BE129" t="inlineStr">
        <is>
          <t>http://darion-svet.com/shop/product/g33127t-elementary-candle-7w-e14-4100k-140-3-lampyi-v-upakovke</t>
        </is>
      </c>
      <c r="BI129" t="n">
        <v>18</v>
      </c>
      <c r="BJ129" t="n">
        <v>105</v>
      </c>
      <c r="BK129" t="n">
        <v>0</v>
      </c>
      <c r="BL129" t="n">
        <v>7</v>
      </c>
    </row>
    <row r="130">
      <c r="A130" t="inlineStr">
        <is>
          <t>G33226</t>
        </is>
      </c>
      <c r="B130" t="inlineStr">
        <is>
          <t>Лампа Gauss LED Elementary Candle 6W E27 4100K 1/10/50</t>
        </is>
      </c>
      <c r="C130" t="inlineStr">
        <is>
          <t>Свечи</t>
        </is>
      </c>
      <c r="E130" t="inlineStr">
        <is>
          <t>http://darion-svet.com/web/binary/image?model=product.product&amp;id=10847&amp;field=image</t>
        </is>
      </c>
      <c r="F130" t="n">
        <v>2</v>
      </c>
      <c r="G130" t="inlineStr">
        <is>
          <t>Российская Федерация</t>
        </is>
      </c>
      <c r="H130" t="inlineStr">
        <is>
          <t>Gauss</t>
        </is>
      </c>
      <c r="K130" t="inlineStr">
        <is>
          <t>LED</t>
        </is>
      </c>
      <c r="M130" t="n">
        <v>6</v>
      </c>
      <c r="N130" t="inlineStr">
        <is>
          <t>E27</t>
        </is>
      </c>
      <c r="P130" t="n">
        <v>450</v>
      </c>
      <c r="Q130" t="n">
        <v>4000</v>
      </c>
      <c r="R130" t="n">
        <v>80</v>
      </c>
      <c r="U130" t="inlineStr">
        <is>
          <t>25 000</t>
        </is>
      </c>
      <c r="BE130" t="inlineStr">
        <is>
          <t>http://darion-svet.com/shop/product/g33226-elementary-candle-6w-e27-4100k-11050</t>
        </is>
      </c>
      <c r="BI130" t="n">
        <v>12</v>
      </c>
      <c r="BJ130" t="n">
        <v>47</v>
      </c>
      <c r="BK130" t="n">
        <v>0</v>
      </c>
      <c r="BL130" t="n">
        <v>15</v>
      </c>
    </row>
    <row r="131">
      <c r="A131" t="inlineStr">
        <is>
          <t>R100343</t>
        </is>
      </c>
      <c r="B131" t="inlineStr">
        <is>
          <t>Светодиодная лампа RSV-A65-20W-4000K-E27 P</t>
        </is>
      </c>
      <c r="C131" t="inlineStr">
        <is>
          <t>Светодиодные лампы A60</t>
        </is>
      </c>
      <c r="D131" t="n">
        <v>4680046808349</v>
      </c>
      <c r="E131" t="inlineStr">
        <is>
          <t>http://darion-svet.com/web/binary/image?model=product.product&amp;id=20545&amp;field=image</t>
        </is>
      </c>
      <c r="F131" t="n">
        <v>1</v>
      </c>
      <c r="G131" t="inlineStr">
        <is>
          <t>Китай</t>
        </is>
      </c>
      <c r="H131" t="inlineStr">
        <is>
          <t>RSV</t>
        </is>
      </c>
      <c r="K131" t="inlineStr">
        <is>
          <t>LED</t>
        </is>
      </c>
      <c r="M131" t="n">
        <v>20</v>
      </c>
      <c r="N131" t="inlineStr">
        <is>
          <t>E27</t>
        </is>
      </c>
      <c r="O131" t="inlineStr">
        <is>
          <t>SMD</t>
        </is>
      </c>
      <c r="P131" t="n">
        <v>1800</v>
      </c>
      <c r="Q131" t="n">
        <v>4000</v>
      </c>
      <c r="R131" t="n">
        <v>80</v>
      </c>
      <c r="S131" t="n">
        <v>20</v>
      </c>
      <c r="T131" t="inlineStr">
        <is>
          <t>Д</t>
        </is>
      </c>
      <c r="U131" t="inlineStr">
        <is>
          <t>30000 ч.</t>
        </is>
      </c>
      <c r="AD131" t="inlineStr">
        <is>
          <t>поликарбонат</t>
        </is>
      </c>
      <c r="AE131" t="inlineStr">
        <is>
          <t>поликарбонат</t>
        </is>
      </c>
      <c r="AG131" t="inlineStr">
        <is>
          <t>матовый рассеиватель</t>
        </is>
      </c>
      <c r="AI131" t="inlineStr">
        <is>
          <t>LED-driver</t>
        </is>
      </c>
      <c r="AJ131" t="inlineStr">
        <is>
          <t>A</t>
        </is>
      </c>
      <c r="AK131" t="n">
        <v>0.9</v>
      </c>
      <c r="AL131" t="n">
        <v>1</v>
      </c>
      <c r="AN131" t="n">
        <v>175</v>
      </c>
      <c r="AO131" t="n">
        <v>265</v>
      </c>
      <c r="AP131" t="n">
        <v>-35</v>
      </c>
      <c r="AQ131" t="n">
        <v>50</v>
      </c>
      <c r="AR131" t="inlineStr">
        <is>
          <t>УХЛ2</t>
        </is>
      </c>
      <c r="AS131" t="inlineStr">
        <is>
          <t>Картон</t>
        </is>
      </c>
      <c r="AU131" t="n">
        <v>0.00075</v>
      </c>
      <c r="AV131" t="n">
        <v>0.0727</v>
      </c>
      <c r="AW131" t="n">
        <v>100</v>
      </c>
      <c r="AX131" t="n">
        <v>60</v>
      </c>
      <c r="AY131" t="n">
        <v>60</v>
      </c>
      <c r="AZ131" t="n">
        <v>108</v>
      </c>
      <c r="BA131" t="n">
        <v>0.07480000000000001</v>
      </c>
      <c r="BB131" t="n">
        <v>7.27</v>
      </c>
      <c r="BC131" t="n">
        <v>14680046808346</v>
      </c>
      <c r="BE131" t="inlineStr">
        <is>
          <t>http://darion-svet.com/shop/product/r100343-rsv-a65-20w-4000k-e27-p</t>
        </is>
      </c>
      <c r="BI131" t="n">
        <v>20</v>
      </c>
      <c r="BJ131" t="n">
        <v>72</v>
      </c>
      <c r="BK131" t="n">
        <v>0</v>
      </c>
      <c r="BL131" t="n">
        <v>41</v>
      </c>
    </row>
    <row r="132">
      <c r="A132" t="inlineStr">
        <is>
          <t>R100488</t>
        </is>
      </c>
      <c r="B132" t="inlineStr">
        <is>
          <t>Светодиодная лампа RSV-A60-11W-3000K-E27 P</t>
        </is>
      </c>
      <c r="C132" t="inlineStr">
        <is>
          <t>Светодиодные лампы A60</t>
        </is>
      </c>
      <c r="D132" t="n">
        <v>4660054487217</v>
      </c>
      <c r="E132" t="inlineStr">
        <is>
          <t>http://darion-svet.com/web/binary/image?model=product.product&amp;id=20546&amp;field=image</t>
        </is>
      </c>
      <c r="F132" t="n">
        <v>1</v>
      </c>
      <c r="G132" t="inlineStr">
        <is>
          <t>Китай</t>
        </is>
      </c>
      <c r="H132" t="inlineStr">
        <is>
          <t>RSV</t>
        </is>
      </c>
      <c r="K132" t="inlineStr">
        <is>
          <t>LED</t>
        </is>
      </c>
      <c r="M132" t="n">
        <v>11</v>
      </c>
      <c r="N132" t="inlineStr">
        <is>
          <t>E27</t>
        </is>
      </c>
      <c r="O132" t="inlineStr">
        <is>
          <t>SMD</t>
        </is>
      </c>
      <c r="P132" t="n">
        <v>990</v>
      </c>
      <c r="Q132" t="n">
        <v>3000</v>
      </c>
      <c r="R132" t="n">
        <v>80</v>
      </c>
      <c r="S132" t="n">
        <v>20</v>
      </c>
      <c r="T132" t="inlineStr">
        <is>
          <t>Д</t>
        </is>
      </c>
      <c r="U132" t="inlineStr">
        <is>
          <t>30000 ч.</t>
        </is>
      </c>
      <c r="V132" t="n">
        <v>60</v>
      </c>
      <c r="W132" t="n">
        <v>60</v>
      </c>
      <c r="X132" t="n">
        <v>108</v>
      </c>
      <c r="AB132" t="n">
        <v>0.05</v>
      </c>
      <c r="AD132" t="inlineStr">
        <is>
          <t>поликарбонат</t>
        </is>
      </c>
      <c r="AE132" t="inlineStr">
        <is>
          <t>поликарбонат</t>
        </is>
      </c>
      <c r="AG132" t="inlineStr">
        <is>
          <t>матовый рассеиватель</t>
        </is>
      </c>
      <c r="AI132" t="inlineStr">
        <is>
          <t>LED-driver</t>
        </is>
      </c>
      <c r="AJ132" t="inlineStr">
        <is>
          <t>A</t>
        </is>
      </c>
      <c r="AK132" t="n">
        <v>0.9</v>
      </c>
      <c r="AL132" t="n">
        <v>1</v>
      </c>
      <c r="AN132" t="n">
        <v>175</v>
      </c>
      <c r="AO132" t="n">
        <v>265</v>
      </c>
      <c r="AP132" t="n">
        <v>-35</v>
      </c>
      <c r="AQ132" t="n">
        <v>50</v>
      </c>
      <c r="AR132" t="inlineStr">
        <is>
          <t>УХЛ2</t>
        </is>
      </c>
      <c r="AS132" t="inlineStr">
        <is>
          <t>Картон</t>
        </is>
      </c>
      <c r="AU132" t="n">
        <v>0.0005</v>
      </c>
      <c r="AV132" t="n">
        <v>0.0535</v>
      </c>
      <c r="AW132" t="n">
        <v>100</v>
      </c>
      <c r="AX132" t="n">
        <v>60</v>
      </c>
      <c r="AY132" t="n">
        <v>60</v>
      </c>
      <c r="AZ132" t="n">
        <v>108</v>
      </c>
      <c r="BA132" t="n">
        <v>0.05</v>
      </c>
      <c r="BB132" t="n">
        <v>5.35</v>
      </c>
      <c r="BC132" t="n">
        <v>14660054487214</v>
      </c>
      <c r="BE132" t="inlineStr">
        <is>
          <t>http://darion-svet.com/shop/product/r100488-rsv-a60-11w-3000k-e27-p</t>
        </is>
      </c>
      <c r="BI132" t="n">
        <v>3</v>
      </c>
      <c r="BJ132" t="n">
        <v>44</v>
      </c>
      <c r="BK132" t="n">
        <v>0</v>
      </c>
      <c r="BL13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2026-10-06T10:59:23Z</dcterms:created>
  <dcterms:modified xmlns:dcterms="http://purl.org/dc/terms/" xmlns:xsi="http://www.w3.org/2001/XMLSchema-instance" xsi:type="dcterms:W3CDTF">2026-10-06T14:32:30Z</dcterms:modified>
</cp:coreProperties>
</file>