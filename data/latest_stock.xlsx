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<sst xmlns="http://schemas.openxmlformats.org/spreadsheetml/2006/main" count="18" uniqueCount="14">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</sst>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25.10.2026 Stock")</f>
        <v>Отчёт о товарах 25.10.2026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IFERROR(__xludf.DUMMYFUNCTION("""COMPUTED_VALUE"""),68.0)</f>
        <v>68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IFERROR(__xludf.DUMMYFUNCTION("""COMPUTED_VALUE"""),38.0)</f>
        <v>38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IFERROR(__xludf.DUMMYFUNCTION("""COMPUTED_VALUE"""),"12-0480")</f>
        <v>12-0480</v>
      </c>
      <c r="B77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IFERROR(__xludf.DUMMYFUNCTION("""COMPUTED_VALUE"""),1.0)</f>
        <v>1</v>
      </c>
      <c r="F77" s="2">
        <f>IFERROR(__xludf.DUMMYFUNCTION("""COMPUTED_VALUE"""),954.0)</f>
        <v>954</v>
      </c>
      <c r="G77" s="2">
        <f>IFERROR(__xludf.DUMMYFUNCTION("""COMPUTED_VALUE"""),1018.0)</f>
        <v>1018</v>
      </c>
      <c r="H77" s="2">
        <f>IFERROR(__xludf.DUMMYFUNCTION("""COMPUTED_VALUE"""),1145.0)</f>
        <v>1145</v>
      </c>
      <c r="I77" s="2">
        <f>IFERROR(__xludf.DUMMYFUNCTION("""COMPUTED_VALUE"""),1272.0)</f>
        <v>1272</v>
      </c>
      <c r="J77" s="2">
        <f>IFERROR(__xludf.DUMMYFUNCTION("""COMPUTED_VALUE"""),636.0)</f>
        <v>636</v>
      </c>
      <c r="K77" s="2">
        <f>IFERROR(__xludf.DUMMYFUNCTION("""COMPUTED_VALUE"""),1.0)</f>
        <v>1</v>
      </c>
      <c r="L77" s="2" t="str">
        <f>IFERROR(__xludf.DUMMYFUNCTION("""COMPUTED_VALUE"""),"Rexant")</f>
        <v>Rexant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IFERROR(__xludf.DUMMYFUNCTION("""COMPUTED_VALUE"""),48.0)</f>
        <v>48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IFERROR(__xludf.DUMMYFUNCTION("""COMPUTED_VALUE"""),198.0)</f>
        <v>198</v>
      </c>
      <c r="G102" s="2">
        <f>IFERROR(__xludf.DUMMYFUNCTION("""COMPUTED_VALUE"""),233.0)</f>
        <v>233</v>
      </c>
      <c r="H102" s="2">
        <f>IFERROR(__xludf.DUMMYFUNCTION("""COMPUTED_VALUE"""),240.0)</f>
        <v>240</v>
      </c>
      <c r="I102" s="2">
        <f>IFERROR(__xludf.DUMMYFUNCTION("""COMPUTED_VALUE"""),276.0)</f>
        <v>276</v>
      </c>
      <c r="J102" s="2">
        <f>IFERROR(__xludf.DUMMYFUNCTION("""COMPUTED_VALUE"""),138.0)</f>
        <v>138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IFERROR(__xludf.DUMMYFUNCTION("""COMPUTED_VALUE"""),1497.0)</f>
        <v>1497</v>
      </c>
      <c r="G143" s="2">
        <f>IFERROR(__xludf.DUMMYFUNCTION("""COMPUTED_VALUE"""),1762.0)</f>
        <v>1762</v>
      </c>
      <c r="H143" s="2">
        <f>IFERROR(__xludf.DUMMYFUNCTION("""COMPUTED_VALUE"""),1815.0)</f>
        <v>1815</v>
      </c>
      <c r="I143" s="2">
        <f>IFERROR(__xludf.DUMMYFUNCTION("""COMPUTED_VALUE"""),2087.0)</f>
        <v>2087</v>
      </c>
      <c r="J143" s="2">
        <f>IFERROR(__xludf.DUMMYFUNCTION("""COMPUTED_VALUE"""),1044.0)</f>
        <v>1044</v>
      </c>
      <c r="K143" s="2">
        <f>IFERROR(__xludf.DUMMYFUNCTION("""COMPUTED_VALUE"""),4.0)</f>
        <v>4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IFERROR(__xludf.DUMMYFUNCTION("""COMPUTED_VALUE"""),55.0)</f>
        <v>55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IFERROR(__xludf.DUMMYFUNCTION("""COMPUTED_VALUE"""),20.0)</f>
        <v>20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IFERROR(__xludf.DUMMYFUNCTION("""COMPUTED_VALUE"""),0.0)</f>
        <v>0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IFERROR(__xludf.DUMMYFUNCTION("""COMPUTED_VALUE"""),308.0)</f>
        <v>308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IFERROR(__xludf.DUMMYFUNCTION("""COMPUTED_VALUE"""),66.0)</f>
        <v>66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IFERROR(__xludf.DUMMYFUNCTION("""COMPUTED_VALUE"""),"4690612057279-2")</f>
        <v>4690612057279-2</v>
      </c>
      <c r="B29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IFERROR(__xludf.DUMMYFUNCTION("""COMPUTED_VALUE"""),1478.72)</f>
        <v>1478.72</v>
      </c>
      <c r="F290" s="2">
        <f>IFERROR(__xludf.DUMMYFUNCTION("""COMPUTED_VALUE"""),1622.0)</f>
        <v>1622</v>
      </c>
      <c r="G290" s="2">
        <f>IFERROR(__xludf.DUMMYFUNCTION("""COMPUTED_VALUE"""),2130.0)</f>
        <v>2130</v>
      </c>
      <c r="H290" s="2">
        <f>IFERROR(__xludf.DUMMYFUNCTION("""COMPUTED_VALUE"""),2396.0)</f>
        <v>2396</v>
      </c>
      <c r="I290" s="2">
        <f>IFERROR(__xludf.DUMMYFUNCTION("""COMPUTED_VALUE"""),2662.0)</f>
        <v>2662</v>
      </c>
      <c r="J290" s="2">
        <f>IFERROR(__xludf.DUMMYFUNCTION("""COMPUTED_VALUE"""),1331.0)</f>
        <v>1331</v>
      </c>
      <c r="K290" s="2">
        <f>IFERROR(__xludf.DUMMYFUNCTION("""COMPUTED_VALUE"""),18.0)</f>
        <v>18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IFERROR(__xludf.DUMMYFUNCTION("""COMPUTED_VALUE"""),"GL51101")</f>
        <v>GL51101</v>
      </c>
      <c r="B291" s="5" t="str">
        <f>IFERROR(__xludf.DUMMYFUNCTION("""COMPUTED_VALUE"""),"GLERIO Practical 32 Вт 5000К 6A-32D-5U+")</f>
        <v>GLERIO Practical 32 Вт 5000К 6A-32D-5U+</v>
      </c>
      <c r="C291" s="2">
        <f>IFERROR(__xludf.DUMMYFUNCTION("""COMPUTED_VALUE"""),0.8)</f>
        <v>0.8</v>
      </c>
      <c r="D291" s="2">
        <f>IFERROR(__xludf.DUMMYFUNCTION("""COMPUTED_VALUE"""),0.00204)</f>
        <v>0.00204</v>
      </c>
      <c r="E291" s="2">
        <f>IFERROR(__xludf.DUMMYFUNCTION("""COMPUTED_VALUE"""),1396.8)</f>
        <v>1396.8</v>
      </c>
      <c r="F291" s="2">
        <f>IFERROR(__xludf.DUMMYFUNCTION("""COMPUTED_VALUE"""),1600.0)</f>
        <v>1600</v>
      </c>
      <c r="G291" s="2">
        <f>IFERROR(__xludf.DUMMYFUNCTION("""COMPUTED_VALUE"""),2000.0)</f>
        <v>2000</v>
      </c>
      <c r="H291" s="2">
        <f>IFERROR(__xludf.DUMMYFUNCTION("""COMPUTED_VALUE"""),2250.0)</f>
        <v>2250</v>
      </c>
      <c r="I291" s="2">
        <f>IFERROR(__xludf.DUMMYFUNCTION("""COMPUTED_VALUE"""),2500.0)</f>
        <v>2500</v>
      </c>
      <c r="J291" s="2">
        <f>IFERROR(__xludf.DUMMYFUNCTION("""COMPUTED_VALUE"""),2500.0)</f>
        <v>2500</v>
      </c>
      <c r="K291" s="2">
        <f>IFERROR(__xludf.DUMMYFUNCTION("""COMPUTED_VALUE"""),15.0)</f>
        <v>15</v>
      </c>
      <c r="L291" s="2" t="str">
        <f>IFERROR(__xludf.DUMMYFUNCTION("""COMPUTED_VALUE"""),"Practical+ Уличные GLERIO")</f>
        <v>Practical+ Уличные GLERIO</v>
      </c>
      <c r="M291" s="2" t="str">
        <f>IFERROR(__xludf.DUMMYFUNCTION("""COMPUTED_VALUE"""),"Для обычных дорог, LED Светильники")</f>
        <v>Для обычных дорог, LED Светильники</v>
      </c>
    </row>
    <row r="292">
      <c r="A292" s="5" t="str">
        <f>IFERROR(__xludf.DUMMYFUNCTION("""COMPUTED_VALUE"""),"4690612031118")</f>
        <v>4690612031118</v>
      </c>
      <c r="B29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2" s="2">
        <f>IFERROR(__xludf.DUMMYFUNCTION("""COMPUTED_VALUE"""),0.24)</f>
        <v>0.24</v>
      </c>
      <c r="D292" s="2">
        <f>IFERROR(__xludf.DUMMYFUNCTION("""COMPUTED_VALUE"""),0.0038)</f>
        <v>0.0038</v>
      </c>
      <c r="E292" s="2">
        <f>IFERROR(__xludf.DUMMYFUNCTION("""COMPUTED_VALUE"""),215.4)</f>
        <v>215.4</v>
      </c>
      <c r="F292" s="2">
        <f>IFERROR(__xludf.DUMMYFUNCTION("""COMPUTED_VALUE"""),255.0)</f>
        <v>255</v>
      </c>
      <c r="G292" s="2">
        <f>IFERROR(__xludf.DUMMYFUNCTION("""COMPUTED_VALUE"""),287.0)</f>
        <v>287</v>
      </c>
      <c r="H292" s="2">
        <f>IFERROR(__xludf.DUMMYFUNCTION("""COMPUTED_VALUE"""),333.0)</f>
        <v>333</v>
      </c>
      <c r="I292" s="2">
        <f>IFERROR(__xludf.DUMMYFUNCTION("""COMPUTED_VALUE"""),383.3)</f>
        <v>383.3</v>
      </c>
      <c r="J292" s="2">
        <f>IFERROR(__xludf.DUMMYFUNCTION("""COMPUTED_VALUE"""),192.0)</f>
        <v>192</v>
      </c>
      <c r="K292" s="2">
        <f>IFERROR(__xludf.DUMMYFUNCTION("""COMPUTED_VALUE"""),5.0)</f>
        <v>5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IFERROR(__xludf.DUMMYFUNCTION("""COMPUTED_VALUE"""),"V9019")</f>
        <v>V9019</v>
      </c>
      <c r="B293" s="5" t="str">
        <f>IFERROR(__xludf.DUMMYFUNCTION("""COMPUTED_VALUE"""),"VRN-UNE-80-G40K67-U, 80Вт, Универсальный")</f>
        <v>VRN-UNE-80-G40K67-U, 80Вт, Универсальный</v>
      </c>
      <c r="C293" s="2">
        <f>IFERROR(__xludf.DUMMYFUNCTION("""COMPUTED_VALUE"""),0.148)</f>
        <v>0.148</v>
      </c>
      <c r="D293" s="2">
        <f>IFERROR(__xludf.DUMMYFUNCTION("""COMPUTED_VALUE"""),0.00805)</f>
        <v>0.00805</v>
      </c>
      <c r="E293" s="2">
        <f>IFERROR(__xludf.DUMMYFUNCTION("""COMPUTED_VALUE"""),3381.62)</f>
        <v>3381.62</v>
      </c>
      <c r="F293" s="2">
        <f>IFERROR(__xludf.DUMMYFUNCTION("""COMPUTED_VALUE"""),3925.0)</f>
        <v>3925</v>
      </c>
      <c r="G293" s="2">
        <f>IFERROR(__xludf.DUMMYFUNCTION("""COMPUTED_VALUE"""),5103.0)</f>
        <v>5103</v>
      </c>
      <c r="H293" s="2">
        <f>IFERROR(__xludf.DUMMYFUNCTION("""COMPUTED_VALUE"""),5358.0)</f>
        <v>5358</v>
      </c>
      <c r="I293" s="2">
        <f>IFERROR(__xludf.DUMMYFUNCTION("""COMPUTED_VALUE"""),5613.0)</f>
        <v>5613</v>
      </c>
      <c r="J293" s="2">
        <f>IFERROR(__xludf.DUMMYFUNCTION("""COMPUTED_VALUE"""),5358.0)</f>
        <v>5358</v>
      </c>
      <c r="K293" s="2">
        <f>IFERROR(__xludf.DUMMYFUNCTION("""COMPUTED_VALUE"""),107.0)</f>
        <v>107</v>
      </c>
      <c r="L293" s="2" t="str">
        <f>IFERROR(__xludf.DUMMYFUNCTION("""COMPUTED_VALUE"""),"Универсал Эконом")</f>
        <v>Универсал Эконом</v>
      </c>
      <c r="M2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4">
      <c r="A294" s="5" t="str">
        <f>IFERROR(__xludf.DUMMYFUNCTION("""COMPUTED_VALUE"""),"4690612009032")</f>
        <v>4690612009032</v>
      </c>
      <c r="B294" s="5" t="str">
        <f>IFERROR(__xludf.DUMMYFUNCTION("""COMPUTED_VALUE"""),"4242 Вилка прямая 10А черная IN HOME")</f>
        <v>4242 Вилка прямая 10А черная IN HOME</v>
      </c>
      <c r="C294" s="2">
        <f>IFERROR(__xludf.DUMMYFUNCTION("""COMPUTED_VALUE"""),0.02)</f>
        <v>0.02</v>
      </c>
      <c r="D294" s="2">
        <f>IFERROR(__xludf.DUMMYFUNCTION("""COMPUTED_VALUE"""),1.0E-4)</f>
        <v>0.0001</v>
      </c>
      <c r="E294" s="2">
        <f>IFERROR(__xludf.DUMMYFUNCTION("""COMPUTED_VALUE"""),59.34)</f>
        <v>59.34</v>
      </c>
      <c r="F294" s="2">
        <f>IFERROR(__xludf.DUMMYFUNCTION("""COMPUTED_VALUE"""),40.0)</f>
        <v>40</v>
      </c>
      <c r="G294" s="2">
        <f>IFERROR(__xludf.DUMMYFUNCTION("""COMPUTED_VALUE"""),45.0)</f>
        <v>45</v>
      </c>
      <c r="H294" s="2">
        <f>IFERROR(__xludf.DUMMYFUNCTION("""COMPUTED_VALUE"""),52.0)</f>
        <v>52</v>
      </c>
      <c r="I294" s="2">
        <f>IFERROR(__xludf.DUMMYFUNCTION("""COMPUTED_VALUE"""),59.0)</f>
        <v>59</v>
      </c>
      <c r="J294" s="2">
        <f>IFERROR(__xludf.DUMMYFUNCTION("""COMPUTED_VALUE"""),30.0)</f>
        <v>30</v>
      </c>
      <c r="K294" s="2">
        <f>IFERROR(__xludf.DUMMYFUNCTION("""COMPUTED_VALUE"""),2.0)</f>
        <v>2</v>
      </c>
      <c r="L294" s="2" t="str">
        <f>IFERROR(__xludf.DUMMYFUNCTION("""COMPUTED_VALUE"""),"Розетки, вилки и колодки")</f>
        <v>Розетки, вилки и колодки</v>
      </c>
      <c r="M294" s="2" t="str">
        <f>IFERROR(__xludf.DUMMYFUNCTION("""COMPUTED_VALUE"""),"Прочие товары")</f>
        <v>Прочие товары</v>
      </c>
    </row>
    <row r="295">
      <c r="A295" s="5" t="str">
        <f>IFERROR(__xludf.DUMMYFUNCTION("""COMPUTED_VALUE"""),"4690612020570")</f>
        <v>4690612020570</v>
      </c>
      <c r="B295" s="5" t="str">
        <f>IFERROR(__xludf.DUMMYFUNCTION("""COMPUTED_VALUE"""),"LED-ШАР-VC 8Вт 230В Е27 4000К 760Лм IN HOME")</f>
        <v>LED-ШАР-VC 8Вт 230В Е27 4000К 760Лм IN HOME</v>
      </c>
      <c r="C295" s="2">
        <f>IFERROR(__xludf.DUMMYFUNCTION("""COMPUTED_VALUE"""),0.031)</f>
        <v>0.031</v>
      </c>
      <c r="D295" s="2">
        <f>IFERROR(__xludf.DUMMYFUNCTION("""COMPUTED_VALUE"""),2.3E-4)</f>
        <v>0.00023</v>
      </c>
      <c r="E295" s="2">
        <f>IFERROR(__xludf.DUMMYFUNCTION("""COMPUTED_VALUE"""),39.0)</f>
        <v>39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IFERROR(__xludf.DUMMYFUNCTION("""COMPUTED_VALUE"""),67.6)</f>
        <v>67.6</v>
      </c>
      <c r="J295" s="2">
        <f>IFERROR(__xludf.DUMMYFUNCTION("""COMPUTED_VALUE"""),34.0)</f>
        <v>34</v>
      </c>
      <c r="K295" s="2">
        <f>IFERROR(__xludf.DUMMYFUNCTION("""COMPUTED_VALUE"""),2.0)</f>
        <v>2</v>
      </c>
      <c r="L295" s="2" t="str">
        <f>IFERROR(__xludf.DUMMYFUNCTION("""COMPUTED_VALUE"""),"Лампа светодиодная LED-ШАР-standard")</f>
        <v>Лампа светодиодная LED-ШАР-standard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IFERROR(__xludf.DUMMYFUNCTION("""COMPUTED_VALUE"""),"4690612020778")</f>
        <v>4690612020778</v>
      </c>
      <c r="B296" s="5" t="str">
        <f>IFERROR(__xludf.DUMMYFUNCTION("""COMPUTED_VALUE"""),"LED-GX53-VC 10Вт 230В 6500К 950Лм IN HOME")</f>
        <v>LED-GX53-VC 10Вт 230В 6500К 950Лм IN HOME</v>
      </c>
      <c r="C296" s="2">
        <f>IFERROR(__xludf.DUMMYFUNCTION("""COMPUTED_VALUE"""),0.03700000000000001)</f>
        <v>0.037</v>
      </c>
      <c r="D296" s="2">
        <f>IFERROR(__xludf.DUMMYFUNCTION("""COMPUTED_VALUE"""),2.1E-4)</f>
        <v>0.00021</v>
      </c>
      <c r="E296" s="2">
        <f>IFERROR(__xludf.DUMMYFUNCTION("""COMPUTED_VALUE"""),37.8)</f>
        <v>37.8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IFERROR(__xludf.DUMMYFUNCTION("""COMPUTED_VALUE"""),67.7)</f>
        <v>67.7</v>
      </c>
      <c r="J296" s="2">
        <f>IFERROR(__xludf.DUMMYFUNCTION("""COMPUTED_VALUE"""),34.0)</f>
        <v>34</v>
      </c>
      <c r="K296" s="2">
        <f>IFERROR(__xludf.DUMMYFUNCTION("""COMPUTED_VALUE"""),65.0)</f>
        <v>65</v>
      </c>
      <c r="L296" s="2" t="str">
        <f>IFERROR(__xludf.DUMMYFUNCTION("""COMPUTED_VALUE"""),"Лампа светодиодная LED-GX53-standard")</f>
        <v>Лампа светодиодная LED-GX53-standard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IFERROR(__xludf.DUMMYFUNCTION("""COMPUTED_VALUE"""),"4690612035673-10")</f>
        <v>4690612035673-10</v>
      </c>
      <c r="B29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7" s="2">
        <f>IFERROR(__xludf.DUMMYFUNCTION("""COMPUTED_VALUE"""),0.22)</f>
        <v>0.22</v>
      </c>
      <c r="D297" s="2">
        <f>IFERROR(__xludf.DUMMYFUNCTION("""COMPUTED_VALUE"""),0.004)</f>
        <v>0.004</v>
      </c>
      <c r="E297" s="2">
        <f>IFERROR(__xludf.DUMMYFUNCTION("""COMPUTED_VALUE"""),1462.1)</f>
        <v>1462.1</v>
      </c>
      <c r="F297" s="2">
        <f>IFERROR(__xludf.DUMMYFUNCTION("""COMPUTED_VALUE"""),1604.0)</f>
        <v>1604</v>
      </c>
      <c r="G297" s="2">
        <f>IFERROR(__xludf.DUMMYFUNCTION("""COMPUTED_VALUE"""),2106.0)</f>
        <v>2106</v>
      </c>
      <c r="H297" s="2">
        <f>IFERROR(__xludf.DUMMYFUNCTION("""COMPUTED_VALUE"""),2369.0)</f>
        <v>2369</v>
      </c>
      <c r="I297" s="2">
        <f>IFERROR(__xludf.DUMMYFUNCTION("""COMPUTED_VALUE"""),2632.0)</f>
        <v>2632</v>
      </c>
      <c r="J297" s="2">
        <f>IFERROR(__xludf.DUMMYFUNCTION("""COMPUTED_VALUE"""),1316.0)</f>
        <v>1316</v>
      </c>
      <c r="K297" s="2">
        <f>IFERROR(__xludf.DUMMYFUNCTION("""COMPUTED_VALUE"""),1.0)</f>
        <v>1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IFERROR(__xludf.DUMMYFUNCTION("""COMPUTED_VALUE"""),"GL8110")</f>
        <v>GL8110</v>
      </c>
      <c r="B298" s="5" t="str">
        <f>IFERROR(__xludf.DUMMYFUNCTION("""COMPUTED_VALUE"""),"GLERIO Office Casual 24 Вт 4000К 81P-24D-4V-M")</f>
        <v>GLERIO Office Casual 24 Вт 4000К 81P-24D-4V-M</v>
      </c>
      <c r="C298" s="2">
        <f>IFERROR(__xludf.DUMMYFUNCTION("""COMPUTED_VALUE"""),1.04)</f>
        <v>1.04</v>
      </c>
      <c r="D298" s="2">
        <f>IFERROR(__xludf.DUMMYFUNCTION("""COMPUTED_VALUE"""),0.008190000000000001)</f>
        <v>0.00819</v>
      </c>
      <c r="E298" s="2">
        <f>IFERROR(__xludf.DUMMYFUNCTION("""COMPUTED_VALUE"""),1464.7)</f>
        <v>1464.7</v>
      </c>
      <c r="F298" s="2">
        <f>IFERROR(__xludf.DUMMYFUNCTION("""COMPUTED_VALUE"""),1700.0)</f>
        <v>1700</v>
      </c>
      <c r="G298" s="2">
        <f>IFERROR(__xludf.DUMMYFUNCTION("""COMPUTED_VALUE"""),2140.0)</f>
        <v>2140</v>
      </c>
      <c r="H298" s="2">
        <f>IFERROR(__xludf.DUMMYFUNCTION("""COMPUTED_VALUE"""),2404.0)</f>
        <v>2404</v>
      </c>
      <c r="I298" s="2">
        <f>IFERROR(__xludf.DUMMYFUNCTION("""COMPUTED_VALUE"""),2667.0)</f>
        <v>2667</v>
      </c>
      <c r="J298" s="2">
        <f>IFERROR(__xludf.DUMMYFUNCTION("""COMPUTED_VALUE"""),2404.0)</f>
        <v>2404</v>
      </c>
      <c r="K298" s="2">
        <f>IFERROR(__xludf.DUMMYFUNCTION("""COMPUTED_VALUE"""),30.0)</f>
        <v>30</v>
      </c>
      <c r="L298" s="2" t="str">
        <f>IFERROR(__xludf.DUMMYFUNCTION("""COMPUTED_VALUE"""),"Office Casual (Офис) до 10.2025")</f>
        <v>Office Casual (Офис) до 10.2025</v>
      </c>
      <c r="M2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9">
      <c r="A299" s="5" t="str">
        <f>IFERROR(__xludf.DUMMYFUNCTION("""COMPUTED_VALUE"""),"4690612055350")</f>
        <v>4690612055350</v>
      </c>
      <c r="B299" s="5" t="str">
        <f>IFERROR(__xludf.DUMMYFUNCTION("""COMPUTED_VALUE"""),"ДПО-108 ОПАЛ 48Вт 4000К 1200мм IP40 NEOX")</f>
        <v>ДПО-108 ОПАЛ 48Вт 4000К 1200мм IP40 NEOX</v>
      </c>
      <c r="C299" s="2">
        <f>IFERROR(__xludf.DUMMYFUNCTION("""COMPUTED_VALUE"""),0.325)</f>
        <v>0.325</v>
      </c>
      <c r="D299" s="2">
        <f>IFERROR(__xludf.DUMMYFUNCTION("""COMPUTED_VALUE"""),0.0025)</f>
        <v>0.0025</v>
      </c>
      <c r="E299" s="2">
        <f>IFERROR(__xludf.DUMMYFUNCTION("""COMPUTED_VALUE"""),290.13)</f>
        <v>290.13</v>
      </c>
      <c r="F299" s="2">
        <f>IFERROR(__xludf.DUMMYFUNCTION("""COMPUTED_VALUE"""),379.0)</f>
        <v>379</v>
      </c>
      <c r="G299" s="2">
        <f>IFERROR(__xludf.DUMMYFUNCTION("""COMPUTED_VALUE"""),427.0)</f>
        <v>427</v>
      </c>
      <c r="H299" s="2">
        <f>IFERROR(__xludf.DUMMYFUNCTION("""COMPUTED_VALUE"""),495.0)</f>
        <v>495</v>
      </c>
      <c r="I299" s="2">
        <f>IFERROR(__xludf.DUMMYFUNCTION("""COMPUTED_VALUE"""),569.0)</f>
        <v>569</v>
      </c>
      <c r="J299" s="2">
        <f>IFERROR(__xludf.DUMMYFUNCTION("""COMPUTED_VALUE"""),285.0)</f>
        <v>285</v>
      </c>
      <c r="K299" s="2">
        <f>IFERROR(__xludf.DUMMYFUNCTION("""COMPUTED_VALUE"""),20.0)</f>
        <v>20</v>
      </c>
      <c r="L299" s="2" t="str">
        <f>IFERROR(__xludf.DUMMYFUNCTION("""COMPUTED_VALUE"""),"NEOX Светильники LED ДПО")</f>
        <v>NEOX Светильники LED ДПО</v>
      </c>
      <c r="M299" s="2" t="str">
        <f>IFERROR(__xludf.DUMMYFUNCTION("""COMPUTED_VALUE"""),"Накладные, LED Светильники")</f>
        <v>Накладные, LED Светильники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IFERROR(__xludf.DUMMYFUNCTION("""COMPUTED_VALUE"""),11.0)</f>
        <v>11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IFERROR(__xludf.DUMMYFUNCTION("""COMPUTED_VALUE"""),"4690612040097")</f>
        <v>4690612040097</v>
      </c>
      <c r="B310" s="5" t="str">
        <f>IFERROR(__xludf.DUMMYFUNCTION("""COMPUTED_VALUE"""),"RLP-VC 36Вт 230В 4000К 2880Лм 220мм белая IP40 IN HOME")</f>
        <v>RLP-VC 36Вт 230В 4000К 2880Лм 220мм белая IP40 IN HOME</v>
      </c>
      <c r="C310" s="2">
        <f>IFERROR(__xludf.DUMMYFUNCTION("""COMPUTED_VALUE"""),0.32)</f>
        <v>0.32</v>
      </c>
      <c r="D310" s="2">
        <f>IFERROR(__xludf.DUMMYFUNCTION("""COMPUTED_VALUE"""),0.002)</f>
        <v>0.002</v>
      </c>
      <c r="E310" s="2">
        <f>IFERROR(__xludf.DUMMYFUNCTION("""COMPUTED_VALUE"""),362.49)</f>
        <v>362.49</v>
      </c>
      <c r="F310" s="2">
        <f>IFERROR(__xludf.DUMMYFUNCTION("""COMPUTED_VALUE"""),301.0)</f>
        <v>301</v>
      </c>
      <c r="G310" s="2">
        <f>IFERROR(__xludf.DUMMYFUNCTION("""COMPUTED_VALUE"""),338.0)</f>
        <v>338</v>
      </c>
      <c r="H310" s="2">
        <f>IFERROR(__xludf.DUMMYFUNCTION("""COMPUTED_VALUE"""),392.0)</f>
        <v>392</v>
      </c>
      <c r="I310" s="2">
        <f>IFERROR(__xludf.DUMMYFUNCTION("""COMPUTED_VALUE"""),451.0)</f>
        <v>451</v>
      </c>
      <c r="J310" s="2">
        <f>IFERROR(__xludf.DUMMYFUNCTION("""COMPUTED_VALUE"""),226.0)</f>
        <v>226</v>
      </c>
      <c r="K310" s="2">
        <f>IFERROR(__xludf.DUMMYFUNCTION("""COMPUTED_VALUE"""),1.0)</f>
        <v>1</v>
      </c>
      <c r="L3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0" s="2" t="str">
        <f>IFERROR(__xludf.DUMMYFUNCTION("""COMPUTED_VALUE"""),"Точечные круглые Downlight, LED Светильники")</f>
        <v>Точечные круглые Downlight, LED Светильники</v>
      </c>
    </row>
    <row r="311">
      <c r="A311" s="5" t="str">
        <f>IFERROR(__xludf.DUMMYFUNCTION("""COMPUTED_VALUE"""),"4690612008431-5")</f>
        <v>4690612008431-5</v>
      </c>
      <c r="B31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1" s="2">
        <f>IFERROR(__xludf.DUMMYFUNCTION("""COMPUTED_VALUE"""),0.05)</f>
        <v>0.05</v>
      </c>
      <c r="D311" s="2">
        <f>IFERROR(__xludf.DUMMYFUNCTION("""COMPUTED_VALUE"""),0.01)</f>
        <v>0.01</v>
      </c>
      <c r="E311" s="2">
        <f>IFERROR(__xludf.DUMMYFUNCTION("""COMPUTED_VALUE"""),213.65)</f>
        <v>213.65</v>
      </c>
      <c r="F311" s="2">
        <f>IFERROR(__xludf.DUMMYFUNCTION("""COMPUTED_VALUE"""),234.0)</f>
        <v>234</v>
      </c>
      <c r="G311" s="2">
        <f>IFERROR(__xludf.DUMMYFUNCTION("""COMPUTED_VALUE"""),308.0)</f>
        <v>308</v>
      </c>
      <c r="H311" s="2">
        <f>IFERROR(__xludf.DUMMYFUNCTION("""COMPUTED_VALUE"""),347.0)</f>
        <v>347</v>
      </c>
      <c r="I311" s="2">
        <f>IFERROR(__xludf.DUMMYFUNCTION("""COMPUTED_VALUE"""),385.0)</f>
        <v>385</v>
      </c>
      <c r="J311" s="2">
        <f>IFERROR(__xludf.DUMMYFUNCTION("""COMPUTED_VALUE"""),193.0)</f>
        <v>193</v>
      </c>
      <c r="K311" s="2">
        <f>IFERROR(__xludf.DUMMYFUNCTION("""COMPUTED_VALUE"""),19.0)</f>
        <v>19</v>
      </c>
      <c r="L311" s="2" t="str">
        <f>IFERROR(__xludf.DUMMYFUNCTION("""COMPUTED_VALUE"""),"Лампы производство, упаковка")</f>
        <v>Лампы производство, упаковка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IFERROR(__xludf.DUMMYFUNCTION("""COMPUTED_VALUE"""),"4690612053011-1")</f>
        <v>4690612053011-1</v>
      </c>
      <c r="B31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IFERROR(__xludf.DUMMYFUNCTION("""COMPUTED_VALUE"""),570.23)</f>
        <v>570.23</v>
      </c>
      <c r="F312" s="2">
        <f>IFERROR(__xludf.DUMMYFUNCTION("""COMPUTED_VALUE"""),626.0)</f>
        <v>626</v>
      </c>
      <c r="G312" s="2">
        <f>IFERROR(__xludf.DUMMYFUNCTION("""COMPUTED_VALUE"""),821.0)</f>
        <v>821</v>
      </c>
      <c r="H312" s="2">
        <f>IFERROR(__xludf.DUMMYFUNCTION("""COMPUTED_VALUE"""),923.0)</f>
        <v>923</v>
      </c>
      <c r="I312" s="2">
        <f>IFERROR(__xludf.DUMMYFUNCTION("""COMPUTED_VALUE"""),1026.0)</f>
        <v>1026</v>
      </c>
      <c r="J312" s="2">
        <f>IFERROR(__xludf.DUMMYFUNCTION("""COMPUTED_VALUE"""),513.0)</f>
        <v>513</v>
      </c>
      <c r="K312" s="2">
        <f>IFERROR(__xludf.DUMMYFUNCTION("""COMPUTED_VALUE"""),4.0)</f>
        <v>4</v>
      </c>
      <c r="L3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3">
      <c r="A313" s="5" t="str">
        <f>IFERROR(__xludf.DUMMYFUNCTION("""COMPUTED_VALUE"""),"21149")</f>
        <v>21149</v>
      </c>
      <c r="B313" s="5" t="str">
        <f>IFERROR(__xludf.DUMMYFUNCTION("""COMPUTED_VALUE"""),"TLWP06 PS OL ECP 30Вт 4000лм")</f>
        <v>TLWP06 PS OL ECP 30Вт 4000лм</v>
      </c>
      <c r="C313" s="2">
        <f>IFERROR(__xludf.DUMMYFUNCTION("""COMPUTED_VALUE"""),2.5)</f>
        <v>2.5</v>
      </c>
      <c r="D313" s="2">
        <f>IFERROR(__xludf.DUMMYFUNCTION("""COMPUTED_VALUE"""),0.01482)</f>
        <v>0.01482</v>
      </c>
      <c r="E313" s="2">
        <f>IFERROR(__xludf.DUMMYFUNCTION("""COMPUTED_VALUE"""),1149.5)</f>
        <v>1149.5</v>
      </c>
      <c r="F313" s="2">
        <f>IFERROR(__xludf.DUMMYFUNCTION("""COMPUTED_VALUE"""),4029.0)</f>
        <v>4029</v>
      </c>
      <c r="G313" s="2">
        <f>IFERROR(__xludf.DUMMYFUNCTION("""COMPUTED_VALUE"""),4550.0)</f>
        <v>4550</v>
      </c>
      <c r="H313" s="2">
        <f>IFERROR(__xludf.DUMMYFUNCTION("""COMPUTED_VALUE"""),4654.0)</f>
        <v>4654</v>
      </c>
      <c r="I313" s="2">
        <f>IFERROR(__xludf.DUMMYFUNCTION("""COMPUTED_VALUE"""),5675.0)</f>
        <v>5675</v>
      </c>
      <c r="J313" s="2">
        <f>IFERROR(__xludf.DUMMYFUNCTION("""COMPUTED_VALUE"""),4029.0)</f>
        <v>4029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TLWP (IP65)")</f>
        <v>Технолюкс Светильники LED TLWP (IP65)</v>
      </c>
      <c r="M313" s="2" t="str">
        <f>IFERROR(__xludf.DUMMYFUNCTION("""COMPUTED_VALUE"""),"Пластиковые (линейные), LED Светильники")</f>
        <v>Пластиковые (линейные), LED Светильники</v>
      </c>
    </row>
    <row r="314">
      <c r="A314" s="5" t="str">
        <f>IFERROR(__xludf.DUMMYFUNCTION("""COMPUTED_VALUE"""),"V12040")</f>
        <v>V12040</v>
      </c>
      <c r="B314" s="5" t="str">
        <f>IFERROR(__xludf.DUMMYFUNCTION("""COMPUTED_VALUE"""),"VRN-LME45X140-53-A50K67-K, 53Вт, Консольный")</f>
        <v>VRN-LME45X140-53-A50K67-K, 53Вт,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IFERROR(__xludf.DUMMYFUNCTION("""COMPUTED_VALUE"""),2700.0)</f>
        <v>2700</v>
      </c>
      <c r="F314" s="2">
        <f>IFERROR(__xludf.DUMMYFUNCTION("""COMPUTED_VALUE"""),3120.0)</f>
        <v>3120</v>
      </c>
      <c r="G314" s="2">
        <f>IFERROR(__xludf.DUMMYFUNCTION("""COMPUTED_VALUE"""),4056.0)</f>
        <v>4056</v>
      </c>
      <c r="H314" s="2">
        <f>IFERROR(__xludf.DUMMYFUNCTION("""COMPUTED_VALUE"""),4259.0)</f>
        <v>4259</v>
      </c>
      <c r="I314" s="2">
        <f>IFERROR(__xludf.DUMMYFUNCTION("""COMPUTED_VALUE"""),4462.0)</f>
        <v>4462</v>
      </c>
      <c r="J314" s="2">
        <f>IFERROR(__xludf.DUMMYFUNCTION("""COMPUTED_VALUE"""),4056.0)</f>
        <v>4056</v>
      </c>
      <c r="K314" s="2">
        <f>IFERROR(__xludf.DUMMYFUNCTION("""COMPUTED_VALUE"""),2.0)</f>
        <v>2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IFERROR(__xludf.DUMMYFUNCTION("""COMPUTED_VALUE"""),"Для автомагистралей, LED Светильники")</f>
        <v>Для автомагистралей, LED Светильники</v>
      </c>
    </row>
    <row r="315">
      <c r="A315" s="5" t="str">
        <f>IFERROR(__xludf.DUMMYFUNCTION("""COMPUTED_VALUE"""),"4690612035505")</f>
        <v>4690612035505</v>
      </c>
      <c r="B31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5" s="2">
        <f>IFERROR(__xludf.DUMMYFUNCTION("""COMPUTED_VALUE"""),0.22)</f>
        <v>0.22</v>
      </c>
      <c r="D315" s="2">
        <f>IFERROR(__xludf.DUMMYFUNCTION("""COMPUTED_VALUE"""),0.001)</f>
        <v>0.001</v>
      </c>
      <c r="E315" s="2">
        <f>IFERROR(__xludf.DUMMYFUNCTION("""COMPUTED_VALUE"""),432.0)</f>
        <v>432</v>
      </c>
      <c r="F315" s="2">
        <f>IFERROR(__xludf.DUMMYFUNCTION("""COMPUTED_VALUE"""),489.0)</f>
        <v>489</v>
      </c>
      <c r="G315" s="2">
        <f>IFERROR(__xludf.DUMMYFUNCTION("""COMPUTED_VALUE"""),551.0)</f>
        <v>551</v>
      </c>
      <c r="H315" s="2">
        <f>IFERROR(__xludf.DUMMYFUNCTION("""COMPUTED_VALUE"""),639.0)</f>
        <v>639</v>
      </c>
      <c r="I315" s="2">
        <f>IFERROR(__xludf.DUMMYFUNCTION("""COMPUTED_VALUE"""),734.0)</f>
        <v>734</v>
      </c>
      <c r="J315" s="2">
        <f>IFERROR(__xludf.DUMMYFUNCTION("""COMPUTED_VALUE"""),367.0)</f>
        <v>367</v>
      </c>
      <c r="K315" s="2">
        <f>IFERROR(__xludf.DUMMYFUNCTION("""COMPUTED_VALUE"""),3.0)</f>
        <v>3</v>
      </c>
      <c r="L31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5" s="2" t="str">
        <f>IFERROR(__xludf.DUMMYFUNCTION("""COMPUTED_VALUE"""),"Трековые, LED Светильники")</f>
        <v>Трековые, LED Светильники</v>
      </c>
    </row>
    <row r="316">
      <c r="A316" s="5" t="str">
        <f>IFERROR(__xludf.DUMMYFUNCTION("""COMPUTED_VALUE"""),"4260529290672")</f>
        <v>4260529290672</v>
      </c>
      <c r="B316" s="5" t="str">
        <f>IFERROR(__xludf.DUMMYFUNCTION("""COMPUTED_VALUE"""),"LLFW36W05")</f>
        <v>LLFW36W05</v>
      </c>
      <c r="C316" s="2">
        <f>IFERROR(__xludf.DUMMYFUNCTION("""COMPUTED_VALUE"""),0.275)</f>
        <v>0.275</v>
      </c>
      <c r="D316" s="2">
        <f>IFERROR(__xludf.DUMMYFUNCTION("""COMPUTED_VALUE"""),0.049)</f>
        <v>0.049</v>
      </c>
      <c r="E316" s="2">
        <f>IFERROR(__xludf.DUMMYFUNCTION("""COMPUTED_VALUE"""),281.91)</f>
        <v>281.91</v>
      </c>
      <c r="F316" s="2">
        <f>IFERROR(__xludf.DUMMYFUNCTION("""COMPUTED_VALUE"""),287.0)</f>
        <v>287</v>
      </c>
      <c r="G316" s="2">
        <f>IFERROR(__xludf.DUMMYFUNCTION("""COMPUTED_VALUE"""),297.0)</f>
        <v>297</v>
      </c>
      <c r="H316" s="2">
        <f>IFERROR(__xludf.DUMMYFUNCTION("""COMPUTED_VALUE"""),389.0)</f>
        <v>389</v>
      </c>
      <c r="I316" s="2">
        <f>IFERROR(__xludf.DUMMYFUNCTION("""COMPUTED_VALUE"""),487.0)</f>
        <v>487</v>
      </c>
      <c r="J316" s="2">
        <f>IFERROR(__xludf.DUMMYFUNCTION("""COMPUTED_VALUE"""),244.0)</f>
        <v>244</v>
      </c>
      <c r="K316" s="2">
        <f>IFERROR(__xludf.DUMMYFUNCTION("""COMPUTED_VALUE"""),30.0)</f>
        <v>30</v>
      </c>
      <c r="L316" s="2" t="str">
        <f>IFERROR(__xludf.DUMMYFUNCTION("""COMPUTED_VALUE"""),"Wolta офисные")</f>
        <v>Wolta офисные</v>
      </c>
      <c r="M31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7">
      <c r="A317" s="5" t="str">
        <f>IFERROR(__xludf.DUMMYFUNCTION("""COMPUTED_VALUE"""),"4690612035017")</f>
        <v>4690612035017</v>
      </c>
      <c r="B31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7" s="2">
        <f>IFERROR(__xludf.DUMMYFUNCTION("""COMPUTED_VALUE"""),0.9800000000000001)</f>
        <v>0.98</v>
      </c>
      <c r="D317" s="2">
        <f>IFERROR(__xludf.DUMMYFUNCTION("""COMPUTED_VALUE"""),0.018)</f>
        <v>0.018</v>
      </c>
      <c r="E317" s="2">
        <f>IFERROR(__xludf.DUMMYFUNCTION("""COMPUTED_VALUE"""),1301.09)</f>
        <v>1301.09</v>
      </c>
      <c r="F317" s="2">
        <f>IFERROR(__xludf.DUMMYFUNCTION("""COMPUTED_VALUE"""),1439.0)</f>
        <v>1439</v>
      </c>
      <c r="G317" s="2">
        <f>IFERROR(__xludf.DUMMYFUNCTION("""COMPUTED_VALUE"""),1619.0)</f>
        <v>1619</v>
      </c>
      <c r="H317" s="2">
        <f>IFERROR(__xludf.DUMMYFUNCTION("""COMPUTED_VALUE"""),1877.0)</f>
        <v>1877</v>
      </c>
      <c r="I317" s="2">
        <f>IFERROR(__xludf.DUMMYFUNCTION("""COMPUTED_VALUE"""),2158.0)</f>
        <v>2158</v>
      </c>
      <c r="J317" s="2">
        <f>IFERROR(__xludf.DUMMYFUNCTION("""COMPUTED_VALUE"""),1079.0)</f>
        <v>1079</v>
      </c>
      <c r="K317" s="2">
        <f>IFERROR(__xludf.DUMMYFUNCTION("""COMPUTED_VALUE"""),2.0)</f>
        <v>2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IFERROR(__xludf.DUMMYFUNCTION("""COMPUTED_VALUE"""),"4690612035123")</f>
        <v>4690612035123</v>
      </c>
      <c r="B31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8" s="2">
        <f>IFERROR(__xludf.DUMMYFUNCTION("""COMPUTED_VALUE"""),1.84)</f>
        <v>1.84</v>
      </c>
      <c r="D318" s="2">
        <f>IFERROR(__xludf.DUMMYFUNCTION("""COMPUTED_VALUE"""),0.0362)</f>
        <v>0.0362</v>
      </c>
      <c r="E318" s="2">
        <f>IFERROR(__xludf.DUMMYFUNCTION("""COMPUTED_VALUE"""),1.0)</f>
        <v>1</v>
      </c>
      <c r="F318" s="2">
        <f>IFERROR(__xludf.DUMMYFUNCTION("""COMPUTED_VALUE"""),1530.0)</f>
        <v>1530</v>
      </c>
      <c r="G318" s="2">
        <f>IFERROR(__xludf.DUMMYFUNCTION("""COMPUTED_VALUE"""),1721.0)</f>
        <v>1721</v>
      </c>
      <c r="H318" s="2">
        <f>IFERROR(__xludf.DUMMYFUNCTION("""COMPUTED_VALUE"""),1997.0)</f>
        <v>1997</v>
      </c>
      <c r="I318" s="2">
        <f>IFERROR(__xludf.DUMMYFUNCTION("""COMPUTED_VALUE"""),2295.0)</f>
        <v>2295</v>
      </c>
      <c r="J318" s="2">
        <f>IFERROR(__xludf.DUMMYFUNCTION("""COMPUTED_VALUE"""),1148.0)</f>
        <v>1148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IFERROR(__xludf.DUMMYFUNCTION("""COMPUTED_VALUE"""),"4690612020365")</f>
        <v>4690612020365</v>
      </c>
      <c r="B319" s="5" t="str">
        <f>IFERROR(__xludf.DUMMYFUNCTION("""COMPUTED_VALUE"""),"LED-JCDR-VC 6Вт 230В GU5.3 3000К 530Лм IN HOME")</f>
        <v>LED-JCDR-VC 6Вт 230В GU5.3 3000К 530Лм IN HOME</v>
      </c>
      <c r="C319" s="2">
        <f>IFERROR(__xludf.DUMMYFUNCTION("""COMPUTED_VALUE"""),0.03)</f>
        <v>0.03</v>
      </c>
      <c r="D319" s="2">
        <f>IFERROR(__xludf.DUMMYFUNCTION("""COMPUTED_VALUE"""),2.1E-4)</f>
        <v>0.00021</v>
      </c>
      <c r="E319" s="2">
        <f>IFERROR(__xludf.DUMMYFUNCTION("""COMPUTED_VALUE"""),32.11)</f>
        <v>32.11</v>
      </c>
      <c r="F319" s="2">
        <f>IFERROR(__xludf.DUMMYFUNCTION("""COMPUTED_VALUE"""),43.0)</f>
        <v>43</v>
      </c>
      <c r="G319" s="2">
        <f>IFERROR(__xludf.DUMMYFUNCTION("""COMPUTED_VALUE"""),49.0)</f>
        <v>49</v>
      </c>
      <c r="H319" s="2">
        <f>IFERROR(__xludf.DUMMYFUNCTION("""COMPUTED_VALUE"""),56.0)</f>
        <v>56</v>
      </c>
      <c r="I319" s="2">
        <f>IFERROR(__xludf.DUMMYFUNCTION("""COMPUTED_VALUE"""),65.4)</f>
        <v>65.4</v>
      </c>
      <c r="J319" s="2">
        <f>IFERROR(__xludf.DUMMYFUNCTION("""COMPUTED_VALUE"""),33.0)</f>
        <v>33</v>
      </c>
      <c r="K319" s="2">
        <f>IFERROR(__xludf.DUMMYFUNCTION("""COMPUTED_VALUE"""),23.0)</f>
        <v>23</v>
      </c>
      <c r="L319" s="2" t="str">
        <f>IFERROR(__xludf.DUMMYFUNCTION("""COMPUTED_VALUE"""),"Лампа светодиодная LED-JCDR-standard")</f>
        <v>Лампа светодиодная LED-JCDR-standard</v>
      </c>
      <c r="M319" s="2" t="str">
        <f>IFERROR(__xludf.DUMMYFUNCTION("""COMPUTED_VALUE"""),"Лампы")</f>
        <v>Лампы</v>
      </c>
    </row>
    <row r="320">
      <c r="A320" s="5" t="str">
        <f>IFERROR(__xludf.DUMMYFUNCTION("""COMPUTED_VALUE"""),"4690612057309-1")</f>
        <v>4690612057309-1</v>
      </c>
      <c r="B32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IFERROR(__xludf.DUMMYFUNCTION("""COMPUTED_VALUE"""),1100.66)</f>
        <v>1100.66</v>
      </c>
      <c r="F320" s="2">
        <f>IFERROR(__xludf.DUMMYFUNCTION("""COMPUTED_VALUE"""),1208.0)</f>
        <v>1208</v>
      </c>
      <c r="G320" s="2">
        <f>IFERROR(__xludf.DUMMYFUNCTION("""COMPUTED_VALUE"""),1585.0)</f>
        <v>1585</v>
      </c>
      <c r="H320" s="2">
        <f>IFERROR(__xludf.DUMMYFUNCTION("""COMPUTED_VALUE"""),1783.0)</f>
        <v>1783</v>
      </c>
      <c r="I320" s="2">
        <f>IFERROR(__xludf.DUMMYFUNCTION("""COMPUTED_VALUE"""),1981.0)</f>
        <v>1981</v>
      </c>
      <c r="J320" s="2">
        <f>IFERROR(__xludf.DUMMYFUNCTION("""COMPUTED_VALUE"""),991.0)</f>
        <v>991</v>
      </c>
      <c r="K320" s="2">
        <f>IFERROR(__xludf.DUMMYFUNCTION("""COMPUTED_VALUE"""),5.0)</f>
        <v>5</v>
      </c>
      <c r="L3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1">
      <c r="A321" s="5" t="str">
        <f>IFERROR(__xludf.DUMMYFUNCTION("""COMPUTED_VALUE"""),"4690612033631")</f>
        <v>4690612033631</v>
      </c>
      <c r="B321" s="5" t="str">
        <f>IFERROR(__xludf.DUMMYFUNCTION("""COMPUTED_VALUE"""),"DECO 18Вт 230В 4000К 1170Лм 230х55мм ДАЙМОНД IN HOME")</f>
        <v>DECO 18Вт 230В 4000К 1170Лм 230х55мм ДАЙМОНД IN HOME</v>
      </c>
      <c r="C321" s="2">
        <f>IFERROR(__xludf.DUMMYFUNCTION("""COMPUTED_VALUE"""),0.31)</f>
        <v>0.31</v>
      </c>
      <c r="D321" s="2">
        <f>IFERROR(__xludf.DUMMYFUNCTION("""COMPUTED_VALUE"""),0.004500000000000001)</f>
        <v>0.0045</v>
      </c>
      <c r="E321" s="2">
        <f>IFERROR(__xludf.DUMMYFUNCTION("""COMPUTED_VALUE"""),300.1)</f>
        <v>300.1</v>
      </c>
      <c r="F321" s="2">
        <f>IFERROR(__xludf.DUMMYFUNCTION("""COMPUTED_VALUE"""),356.0)</f>
        <v>356</v>
      </c>
      <c r="G321" s="2">
        <f>IFERROR(__xludf.DUMMYFUNCTION("""COMPUTED_VALUE"""),401.0)</f>
        <v>401</v>
      </c>
      <c r="H321" s="2">
        <f>IFERROR(__xludf.DUMMYFUNCTION("""COMPUTED_VALUE"""),465.0)</f>
        <v>465</v>
      </c>
      <c r="I321" s="2">
        <f>IFERROR(__xludf.DUMMYFUNCTION("""COMPUTED_VALUE"""),534.0)</f>
        <v>534</v>
      </c>
      <c r="J321" s="2">
        <f>IFERROR(__xludf.DUMMYFUNCTION("""COMPUTED_VALUE"""),267.0)</f>
        <v>267</v>
      </c>
      <c r="K321" s="2">
        <f>IFERROR(__xludf.DUMMYFUNCTION("""COMPUTED_VALUE"""),4.0)</f>
        <v>4</v>
      </c>
      <c r="L321" s="2" t="str">
        <f>IFERROR(__xludf.DUMMYFUNCTION("""COMPUTED_VALUE"""),"Светильник светодиодный серии DECO")</f>
        <v>Светильник светодиодный серии DECO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IFERROR(__xludf.DUMMYFUNCTION("""COMPUTED_VALUE"""),"55073")</f>
        <v>55073</v>
      </c>
      <c r="B32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IFERROR(__xludf.DUMMYFUNCTION("""COMPUTED_VALUE"""),944.6800000000001)</f>
        <v>944.68</v>
      </c>
      <c r="F322" s="2">
        <f>IFERROR(__xludf.DUMMYFUNCTION("""COMPUTED_VALUE"""),989.0)</f>
        <v>989</v>
      </c>
      <c r="G322" s="2">
        <f>IFERROR(__xludf.DUMMYFUNCTION("""COMPUTED_VALUE"""),1079.0)</f>
        <v>1079</v>
      </c>
      <c r="H322" s="2">
        <f>IFERROR(__xludf.DUMMYFUNCTION("""COMPUTED_VALUE"""),1169.0)</f>
        <v>1169</v>
      </c>
      <c r="I322" s="2">
        <f>IFERROR(__xludf.DUMMYFUNCTION("""COMPUTED_VALUE"""),1259.0)</f>
        <v>1259</v>
      </c>
      <c r="J322" s="2">
        <f>IFERROR(__xludf.DUMMYFUNCTION("""COMPUTED_VALUE"""),630.0)</f>
        <v>630</v>
      </c>
      <c r="K322" s="2">
        <f>IFERROR(__xludf.DUMMYFUNCTION("""COMPUTED_VALUE"""),9.0)</f>
        <v>9</v>
      </c>
      <c r="L322" s="2" t="str">
        <f>IFERROR(__xludf.DUMMYFUNCTION("""COMPUTED_VALUE"""),"Праздничная иллюминация")</f>
        <v>Праздничная иллюминация</v>
      </c>
      <c r="M3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3">
      <c r="A323" s="5" t="str">
        <f>IFERROR(__xludf.DUMMYFUNCTION("""COMPUTED_VALUE"""),"4260652192546")</f>
        <v>4260652192546</v>
      </c>
      <c r="B323" s="5" t="str">
        <f>IFERROR(__xludf.DUMMYFUNCTION("""COMPUTED_VALUE"""),"WTL-15W/01W")</f>
        <v>WTL-15W/01W</v>
      </c>
      <c r="C323" s="2">
        <f>IFERROR(__xludf.DUMMYFUNCTION("""COMPUTED_VALUE"""),0.235)</f>
        <v>0.235</v>
      </c>
      <c r="D323" s="2">
        <f>IFERROR(__xludf.DUMMYFUNCTION("""COMPUTED_VALUE"""),8.300000000000001E-4)</f>
        <v>0.00083</v>
      </c>
      <c r="E323" s="2">
        <f>IFERROR(__xludf.DUMMYFUNCTION("""COMPUTED_VALUE"""),472.23)</f>
        <v>472.23</v>
      </c>
      <c r="F323" s="2">
        <f>IFERROR(__xludf.DUMMYFUNCTION("""COMPUTED_VALUE"""),590.0)</f>
        <v>590</v>
      </c>
      <c r="G323" s="2">
        <f>IFERROR(__xludf.DUMMYFUNCTION("""COMPUTED_VALUE"""),610.0)</f>
        <v>610</v>
      </c>
      <c r="H323" s="2">
        <f>IFERROR(__xludf.DUMMYFUNCTION("""COMPUTED_VALUE"""),800.0)</f>
        <v>800</v>
      </c>
      <c r="I323" s="2">
        <f>IFERROR(__xludf.DUMMYFUNCTION("""COMPUTED_VALUE"""),999.0)</f>
        <v>999</v>
      </c>
      <c r="J323" s="2">
        <f>IFERROR(__xludf.DUMMYFUNCTION("""COMPUTED_VALUE"""),500.0)</f>
        <v>500</v>
      </c>
      <c r="K323" s="2">
        <f>IFERROR(__xludf.DUMMYFUNCTION("""COMPUTED_VALUE"""),1.0)</f>
        <v>1</v>
      </c>
      <c r="L323" s="2" t="str">
        <f>IFERROR(__xludf.DUMMYFUNCTION("""COMPUTED_VALUE"""),"Wolta трековые")</f>
        <v>Wolta трековые</v>
      </c>
      <c r="M323" s="2" t="str">
        <f>IFERROR(__xludf.DUMMYFUNCTION("""COMPUTED_VALUE"""),"Трековые, LED Светильники")</f>
        <v>Трековые, LED Светильники</v>
      </c>
    </row>
    <row r="324">
      <c r="A324" s="5" t="str">
        <f>IFERROR(__xludf.DUMMYFUNCTION("""COMPUTED_VALUE"""),"V9002")</f>
        <v>V9002</v>
      </c>
      <c r="B324" s="5" t="str">
        <f>IFERROR(__xludf.DUMMYFUNCTION("""COMPUTED_VALUE"""),"VRN-UNE-32-G40K67-K, 32Вт, Консольный")</f>
        <v>VRN-UNE-32-G40K67-K, 32Вт, Консольный</v>
      </c>
      <c r="C324" s="2">
        <f>IFERROR(__xludf.DUMMYFUNCTION("""COMPUTED_VALUE"""),0.106)</f>
        <v>0.106</v>
      </c>
      <c r="D324" s="2">
        <f>IFERROR(__xludf.DUMMYFUNCTION("""COMPUTED_VALUE"""),0.004030000000000001)</f>
        <v>0.00403</v>
      </c>
      <c r="E324" s="2">
        <f>IFERROR(__xludf.DUMMYFUNCTION("""COMPUTED_VALUE"""),1799.28)</f>
        <v>1799.28</v>
      </c>
      <c r="F324" s="2">
        <f>IFERROR(__xludf.DUMMYFUNCTION("""COMPUTED_VALUE"""),2020.0)</f>
        <v>2020</v>
      </c>
      <c r="G324" s="2">
        <f>IFERROR(__xludf.DUMMYFUNCTION("""COMPUTED_VALUE"""),2626.0)</f>
        <v>2626</v>
      </c>
      <c r="H324" s="2">
        <f>IFERROR(__xludf.DUMMYFUNCTION("""COMPUTED_VALUE"""),2757.0)</f>
        <v>2757</v>
      </c>
      <c r="I324" s="2">
        <f>IFERROR(__xludf.DUMMYFUNCTION("""COMPUTED_VALUE"""),2889.0)</f>
        <v>2889</v>
      </c>
      <c r="J324" s="2">
        <f>IFERROR(__xludf.DUMMYFUNCTION("""COMPUTED_VALUE"""),2889.0)</f>
        <v>2889</v>
      </c>
      <c r="K324" s="2">
        <f>IFERROR(__xludf.DUMMYFUNCTION("""COMPUTED_VALUE"""),12.0)</f>
        <v>12</v>
      </c>
      <c r="L324" s="2" t="str">
        <f>IFERROR(__xludf.DUMMYFUNCTION("""COMPUTED_VALUE"""),"Универсал Эконом")</f>
        <v>Универсал Эконом</v>
      </c>
      <c r="M324" s="2" t="str">
        <f>IFERROR(__xludf.DUMMYFUNCTION("""COMPUTED_VALUE"""),"Для обычных дорог, LED Светильники")</f>
        <v>Для обычных дорог, LED Светильники</v>
      </c>
    </row>
    <row r="325">
      <c r="A325" s="5" t="str">
        <f>IFERROR(__xludf.DUMMYFUNCTION("""COMPUTED_VALUE"""),"4690612008912")</f>
        <v>4690612008912</v>
      </c>
      <c r="B32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5" s="2">
        <f>IFERROR(__xludf.DUMMYFUNCTION("""COMPUTED_VALUE"""),1.645)</f>
        <v>1.645</v>
      </c>
      <c r="D325" s="2">
        <f>IFERROR(__xludf.DUMMYFUNCTION("""COMPUTED_VALUE"""),0.004)</f>
        <v>0.004</v>
      </c>
      <c r="E325" s="2">
        <f>IFERROR(__xludf.DUMMYFUNCTION("""COMPUTED_VALUE"""),570.92)</f>
        <v>570.92</v>
      </c>
      <c r="F325" s="2">
        <f>IFERROR(__xludf.DUMMYFUNCTION("""COMPUTED_VALUE"""),567.0)</f>
        <v>567</v>
      </c>
      <c r="G325" s="2">
        <f>IFERROR(__xludf.DUMMYFUNCTION("""COMPUTED_VALUE"""),638.0)</f>
        <v>638</v>
      </c>
      <c r="H325" s="2">
        <f>IFERROR(__xludf.DUMMYFUNCTION("""COMPUTED_VALUE"""),740.0)</f>
        <v>740</v>
      </c>
      <c r="I325" s="2">
        <f>IFERROR(__xludf.DUMMYFUNCTION("""COMPUTED_VALUE"""),850.0)</f>
        <v>850</v>
      </c>
      <c r="J325" s="2">
        <f>IFERROR(__xludf.DUMMYFUNCTION("""COMPUTED_VALUE"""),425.0)</f>
        <v>425</v>
      </c>
      <c r="K325" s="2">
        <f>IFERROR(__xludf.DUMMYFUNCTION("""COMPUTED_VALUE"""),8.0)</f>
        <v>8</v>
      </c>
      <c r="L325" s="2" t="str">
        <f>IFERROR(__xludf.DUMMYFUNCTION("""COMPUTED_VALUE"""),"Панели светодиодные LP серии PRO")</f>
        <v>Панели светодиодные LP серии PRO</v>
      </c>
      <c r="M32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6">
      <c r="A326" s="5" t="str">
        <f>IFERROR(__xludf.DUMMYFUNCTION("""COMPUTED_VALUE"""),"GL81511")</f>
        <v>GL81511</v>
      </c>
      <c r="B326" s="5" t="str">
        <f>IFERROR(__xludf.DUMMYFUNCTION("""COMPUTED_VALUE"""),"GLERIO Office Special 40 Вт 4000K 82P-40D-4V-P")</f>
        <v>GLERIO Office Special 40 Вт 4000K 82P-40D-4V-P</v>
      </c>
      <c r="C326" s="2">
        <f>IFERROR(__xludf.DUMMYFUNCTION("""COMPUTED_VALUE"""),1.14)</f>
        <v>1.14</v>
      </c>
      <c r="D326" s="2">
        <f>IFERROR(__xludf.DUMMYFUNCTION("""COMPUTED_VALUE"""),0.008190000000000001)</f>
        <v>0.00819</v>
      </c>
      <c r="E326" s="2">
        <f>IFERROR(__xludf.DUMMYFUNCTION("""COMPUTED_VALUE"""),2308.6)</f>
        <v>2308.6</v>
      </c>
      <c r="F326" s="2">
        <f>IFERROR(__xludf.DUMMYFUNCTION("""COMPUTED_VALUE"""),2660.0)</f>
        <v>2660</v>
      </c>
      <c r="G326" s="2">
        <f>IFERROR(__xludf.DUMMYFUNCTION("""COMPUTED_VALUE"""),3349.0)</f>
        <v>3349</v>
      </c>
      <c r="H326" s="2">
        <f>IFERROR(__xludf.DUMMYFUNCTION("""COMPUTED_VALUE"""),3761.0)</f>
        <v>3761</v>
      </c>
      <c r="I326" s="2">
        <f>IFERROR(__xludf.DUMMYFUNCTION("""COMPUTED_VALUE"""),4173.0)</f>
        <v>4173</v>
      </c>
      <c r="J326" s="2">
        <f>IFERROR(__xludf.DUMMYFUNCTION("""COMPUTED_VALUE"""),2087.0)</f>
        <v>2087</v>
      </c>
      <c r="K326" s="2">
        <f>IFERROR(__xludf.DUMMYFUNCTION("""COMPUTED_VALUE"""),15.0)</f>
        <v>15</v>
      </c>
      <c r="L326" s="2" t="str">
        <f>IFERROR(__xludf.DUMMYFUNCTION("""COMPUTED_VALUE"""),"Office Special+ GLERIO (Офис Премиум)")</f>
        <v>Office Special+ GLERIO (Офис Премиум)</v>
      </c>
      <c r="M3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7">
      <c r="A327" s="5" t="str">
        <f>IFERROR(__xludf.DUMMYFUNCTION("""COMPUTED_VALUE"""),"GL8273")</f>
        <v>GL8273</v>
      </c>
      <c r="B327" s="5" t="str">
        <f>IFERROR(__xludf.DUMMYFUNCTION("""COMPUTED_VALUE"""),"GLERIO Line Free 36 Вт 4000К 93P-36D-4P-K")</f>
        <v>GLERIO Line Free 36 Вт 4000К 93P-36D-4P-K</v>
      </c>
      <c r="C327" s="2">
        <f>IFERROR(__xludf.DUMMYFUNCTION("""COMPUTED_VALUE"""),0.5)</f>
        <v>0.5</v>
      </c>
      <c r="D327" s="2">
        <f>IFERROR(__xludf.DUMMYFUNCTION("""COMPUTED_VALUE"""),0.00396)</f>
        <v>0.00396</v>
      </c>
      <c r="E327" s="2">
        <f>IFERROR(__xludf.DUMMYFUNCTION("""COMPUTED_VALUE"""),1823.9)</f>
        <v>1823.9</v>
      </c>
      <c r="F327" s="2">
        <f>IFERROR(__xludf.DUMMYFUNCTION("""COMPUTED_VALUE"""),2150.0)</f>
        <v>2150</v>
      </c>
      <c r="G327" s="2">
        <f>IFERROR(__xludf.DUMMYFUNCTION("""COMPUTED_VALUE"""),2707.0)</f>
        <v>2707</v>
      </c>
      <c r="H327" s="2">
        <f>IFERROR(__xludf.DUMMYFUNCTION("""COMPUTED_VALUE"""),3040.0)</f>
        <v>3040</v>
      </c>
      <c r="I327" s="2">
        <f>IFERROR(__xludf.DUMMYFUNCTION("""COMPUTED_VALUE"""),3373.0)</f>
        <v>3373</v>
      </c>
      <c r="J327" s="2">
        <f>IFERROR(__xludf.DUMMYFUNCTION("""COMPUTED_VALUE"""),2150.0)</f>
        <v>2150</v>
      </c>
      <c r="K327" s="2">
        <f>IFERROR(__xludf.DUMMYFUNCTION("""COMPUTED_VALUE"""),1.0)</f>
        <v>1</v>
      </c>
      <c r="L327" s="2" t="str">
        <f>IFERROR(__xludf.DUMMYFUNCTION("""COMPUTED_VALUE"""),"Line Shell, Free (Retail) до 10.2025")</f>
        <v>Line Shell, Free (Retail) до 10.2025</v>
      </c>
      <c r="M327" s="2" t="str">
        <f>IFERROR(__xludf.DUMMYFUNCTION("""COMPUTED_VALUE"""),"Пластиковые (линейные), LED Светильники")</f>
        <v>Пластиковые (линейные), LED Светильники</v>
      </c>
    </row>
    <row r="328">
      <c r="A328" s="5" t="str">
        <f>IFERROR(__xludf.DUMMYFUNCTION("""COMPUTED_VALUE"""),"4690612042718")</f>
        <v>4690612042718</v>
      </c>
      <c r="B32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8" s="2">
        <f>IFERROR(__xludf.DUMMYFUNCTION("""COMPUTED_VALUE"""),4.800000000000001)</f>
        <v>4.8</v>
      </c>
      <c r="D328" s="2">
        <f>IFERROR(__xludf.DUMMYFUNCTION("""COMPUTED_VALUE"""),0.032)</f>
        <v>0.032</v>
      </c>
      <c r="E328" s="2">
        <f>IFERROR(__xludf.DUMMYFUNCTION("""COMPUTED_VALUE"""),625.2)</f>
        <v>625.2</v>
      </c>
      <c r="F328" s="2">
        <f>IFERROR(__xludf.DUMMYFUNCTION("""COMPUTED_VALUE"""),818.0)</f>
        <v>818</v>
      </c>
      <c r="G328" s="2">
        <f>IFERROR(__xludf.DUMMYFUNCTION("""COMPUTED_VALUE"""),920.0)</f>
        <v>920</v>
      </c>
      <c r="H328" s="2">
        <f>IFERROR(__xludf.DUMMYFUNCTION("""COMPUTED_VALUE"""),1067.0)</f>
        <v>1067</v>
      </c>
      <c r="I328" s="2">
        <f>IFERROR(__xludf.DUMMYFUNCTION("""COMPUTED_VALUE"""),1227.0)</f>
        <v>1227</v>
      </c>
      <c r="J328" s="2">
        <f>IFERROR(__xludf.DUMMYFUNCTION("""COMPUTED_VALUE"""),614.0)</f>
        <v>614</v>
      </c>
      <c r="K328" s="2">
        <f>IFERROR(__xludf.DUMMYFUNCTION("""COMPUTED_VALUE"""),29.0)</f>
        <v>29</v>
      </c>
      <c r="L328" s="2" t="str">
        <f>IFERROR(__xludf.DUMMYFUNCTION("""COMPUTED_VALUE"""),"NEOX Светильники LED ДВО")</f>
        <v>NEOX Светильники LED ДВО</v>
      </c>
      <c r="M3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9">
      <c r="A329" s="5" t="str">
        <f>IFERROR(__xludf.DUMMYFUNCTION("""COMPUTED_VALUE"""),"CS30")</f>
        <v>CS30</v>
      </c>
      <c r="B329" s="5" t="str">
        <f>IFERROR(__xludf.DUMMYFUNCTION("""COMPUTED_VALUE"""),"Лампа светодиодная, 18W 230V G13 4000К ТВ, SBT1218")</f>
        <v>Лампа светодиодная, 18W 230V G13 4000К ТВ, SBT1218</v>
      </c>
      <c r="C329" s="2">
        <f>IFERROR(__xludf.DUMMYFUNCTION("""COMPUTED_VALUE"""),0.0)</f>
        <v>0</v>
      </c>
      <c r="D329" s="2">
        <f>IFERROR(__xludf.DUMMYFUNCTION("""COMPUTED_VALUE"""),0.0)</f>
        <v>0</v>
      </c>
      <c r="E329" s="2">
        <f>IFERROR(__xludf.DUMMYFUNCTION("""COMPUTED_VALUE"""),92.47)</f>
        <v>92.47</v>
      </c>
      <c r="F329" s="2">
        <f>IFERROR(__xludf.DUMMYFUNCTION("""COMPUTED_VALUE"""),50.0)</f>
        <v>50</v>
      </c>
      <c r="G329" s="2">
        <f>IFERROR(__xludf.DUMMYFUNCTION("""COMPUTED_VALUE"""),53.0)</f>
        <v>53</v>
      </c>
      <c r="H329" s="2">
        <f>IFERROR(__xludf.DUMMYFUNCTION("""COMPUTED_VALUE"""),60.0)</f>
        <v>60</v>
      </c>
      <c r="I329" s="2">
        <f>IFERROR(__xludf.DUMMYFUNCTION("""COMPUTED_VALUE"""),66.24)</f>
        <v>66.24</v>
      </c>
      <c r="J329" s="2">
        <f>IFERROR(__xludf.DUMMYFUNCTION("""COMPUTED_VALUE"""),33.0)</f>
        <v>33</v>
      </c>
      <c r="K329" s="2">
        <f>IFERROR(__xludf.DUMMYFUNCTION("""COMPUTED_VALUE"""),45.0)</f>
        <v>45</v>
      </c>
      <c r="L329" s="2" t="str">
        <f>IFERROR(__xludf.DUMMYFUNCTION("""COMPUTED_VALUE"""),"CS")</f>
        <v>CS</v>
      </c>
      <c r="M329" s="2" t="str">
        <f>IFERROR(__xludf.DUMMYFUNCTION("""COMPUTED_VALUE"""),"LED Светильники")</f>
        <v>LED Светильники</v>
      </c>
    </row>
    <row r="330">
      <c r="A330" s="5" t="str">
        <f>IFERROR(__xludf.DUMMYFUNCTION("""COMPUTED_VALUE"""),"4260652193208")</f>
        <v>4260652193208</v>
      </c>
      <c r="B330" s="5" t="str">
        <f>IFERROR(__xludf.DUMMYFUNCTION("""COMPUTED_VALUE"""),"LCL04-8W-R01-6K")</f>
        <v>LCL04-8W-R01-6K</v>
      </c>
      <c r="C330" s="2">
        <f>IFERROR(__xludf.DUMMYFUNCTION("""COMPUTED_VALUE"""),0.09000000000000001)</f>
        <v>0.09</v>
      </c>
      <c r="D330" s="2">
        <f>IFERROR(__xludf.DUMMYFUNCTION("""COMPUTED_VALUE"""),0.05180000000000001)</f>
        <v>0.0518</v>
      </c>
      <c r="E330" s="2">
        <f>IFERROR(__xludf.DUMMYFUNCTION("""COMPUTED_VALUE"""),192.53)</f>
        <v>192.53</v>
      </c>
      <c r="F330" s="2">
        <f>IFERROR(__xludf.DUMMYFUNCTION("""COMPUTED_VALUE"""),179.0)</f>
        <v>179</v>
      </c>
      <c r="G330" s="2">
        <f>IFERROR(__xludf.DUMMYFUNCTION("""COMPUTED_VALUE"""),185.0)</f>
        <v>185</v>
      </c>
      <c r="H330" s="2">
        <f>IFERROR(__xludf.DUMMYFUNCTION("""COMPUTED_VALUE"""),242.0)</f>
        <v>242</v>
      </c>
      <c r="I330" s="2">
        <f>IFERROR(__xludf.DUMMYFUNCTION("""COMPUTED_VALUE"""),303.0)</f>
        <v>303</v>
      </c>
      <c r="J330" s="2">
        <f>IFERROR(__xludf.DUMMYFUNCTION("""COMPUTED_VALUE"""),185.0)</f>
        <v>185</v>
      </c>
      <c r="K330" s="2">
        <f>IFERROR(__xludf.DUMMYFUNCTION("""COMPUTED_VALUE"""),106.0)</f>
        <v>106</v>
      </c>
      <c r="L330" s="2" t="str">
        <f>IFERROR(__xludf.DUMMYFUNCTION("""COMPUTED_VALUE"""),"Wolta ЖКХ")</f>
        <v>Wolta ЖКХ</v>
      </c>
      <c r="M330" s="2" t="str">
        <f>IFERROR(__xludf.DUMMYFUNCTION("""COMPUTED_VALUE"""),"Для ЖКХ, дома, дачи, LED Светильники")</f>
        <v>Для ЖКХ, дома, дачи, LED Светильники</v>
      </c>
    </row>
    <row r="331">
      <c r="A331" s="5" t="str">
        <f>IFERROR(__xludf.DUMMYFUNCTION("""COMPUTED_VALUE"""),"V1046")</f>
        <v>V1046</v>
      </c>
      <c r="B331" s="5" t="str">
        <f>IFERROR(__xludf.DUMMYFUNCTION("""COMPUTED_VALUE"""),"VRN-UN-48D-G50K67-UV, 48Вт, Галочка")</f>
        <v>VRN-UN-48D-G50K67-UV, 48Вт, Галочка</v>
      </c>
      <c r="C331" s="2">
        <f>IFERROR(__xludf.DUMMYFUNCTION("""COMPUTED_VALUE"""),1.85)</f>
        <v>1.85</v>
      </c>
      <c r="D331" s="2">
        <f>IFERROR(__xludf.DUMMYFUNCTION("""COMPUTED_VALUE"""),0.0085)</f>
        <v>0.0085</v>
      </c>
      <c r="E331" s="2">
        <f>IFERROR(__xludf.DUMMYFUNCTION("""COMPUTED_VALUE"""),3781.0)</f>
        <v>3781</v>
      </c>
      <c r="F331" s="2">
        <f>IFERROR(__xludf.DUMMYFUNCTION("""COMPUTED_VALUE"""),4465.0)</f>
        <v>4465</v>
      </c>
      <c r="G331" s="2">
        <f>IFERROR(__xludf.DUMMYFUNCTION("""COMPUTED_VALUE"""),5805.0)</f>
        <v>5805</v>
      </c>
      <c r="H331" s="2">
        <f>IFERROR(__xludf.DUMMYFUNCTION("""COMPUTED_VALUE"""),6095.0)</f>
        <v>6095</v>
      </c>
      <c r="I331" s="2">
        <f>IFERROR(__xludf.DUMMYFUNCTION("""COMPUTED_VALUE"""),6385.0)</f>
        <v>6385</v>
      </c>
      <c r="J331" s="2">
        <f>IFERROR(__xludf.DUMMYFUNCTION("""COMPUTED_VALUE"""),6095.0)</f>
        <v>6095</v>
      </c>
      <c r="K331" s="2">
        <f>IFERROR(__xludf.DUMMYFUNCTION("""COMPUTED_VALUE"""),1.0)</f>
        <v>1</v>
      </c>
      <c r="L331" s="2" t="str">
        <f>IFERROR(__xludf.DUMMYFUNCTION("""COMPUTED_VALUE"""),"Универсал")</f>
        <v>Универсал</v>
      </c>
      <c r="M33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2">
      <c r="A332" s="5" t="str">
        <f>IFERROR(__xludf.DUMMYFUNCTION("""COMPUTED_VALUE"""),"4690626067448")</f>
        <v>4690626067448</v>
      </c>
      <c r="B332" s="5" t="str">
        <f>IFERROR(__xludf.DUMMYFUNCTION("""COMPUTED_VALUE"""),"SL3 Smartbuy-70w/6000K/IP65 (SBL-SL3-70-6K)")</f>
        <v>SL3 Smartbuy-70w/6000K/IP65 (SBL-SL3-70-6K)</v>
      </c>
      <c r="C332" s="2">
        <f>IFERROR(__xludf.DUMMYFUNCTION("""COMPUTED_VALUE"""),1.0)</f>
        <v>1</v>
      </c>
      <c r="D332" s="2">
        <f>IFERROR(__xludf.DUMMYFUNCTION("""COMPUTED_VALUE"""),0.0036)</f>
        <v>0.0036</v>
      </c>
      <c r="E332" s="2">
        <f>IFERROR(__xludf.DUMMYFUNCTION("""COMPUTED_VALUE"""),908.46)</f>
        <v>908.46</v>
      </c>
      <c r="F332" s="2">
        <f>IFERROR(__xludf.DUMMYFUNCTION("""COMPUTED_VALUE"""),1009.0)</f>
        <v>1009</v>
      </c>
      <c r="G332" s="2">
        <f>IFERROR(__xludf.DUMMYFUNCTION("""COMPUTED_VALUE"""),1107.0)</f>
        <v>1107</v>
      </c>
      <c r="H332" s="2">
        <f>IFERROR(__xludf.DUMMYFUNCTION("""COMPUTED_VALUE"""),1230.0)</f>
        <v>1230</v>
      </c>
      <c r="I332" s="2">
        <f>IFERROR(__xludf.DUMMYFUNCTION("""COMPUTED_VALUE"""),1353.0)</f>
        <v>1353</v>
      </c>
      <c r="J332" s="2">
        <f>IFERROR(__xludf.DUMMYFUNCTION("""COMPUTED_VALUE"""),1353.0)</f>
        <v>1353</v>
      </c>
      <c r="K332" s="2">
        <f>IFERROR(__xludf.DUMMYFUNCTION("""COMPUTED_VALUE"""),5.0)</f>
        <v>5</v>
      </c>
      <c r="L332" s="2" t="str">
        <f>IFERROR(__xludf.DUMMYFUNCTION("""COMPUTED_VALUE"""),"Smartbuy LED светильники")</f>
        <v>Smartbuy LED светильники</v>
      </c>
      <c r="M33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3">
      <c r="A333" s="5" t="str">
        <f>IFERROR(__xludf.DUMMYFUNCTION("""COMPUTED_VALUE"""),"12-0152")</f>
        <v>12-0152</v>
      </c>
      <c r="B333" s="5" t="str">
        <f>IFERROR(__xludf.DUMMYFUNCTION("""COMPUTED_VALUE"""),"Паяльная станция (160-500 град.) 220 V/48 Вт REXANT")</f>
        <v>Паяльная станция (160-500 град.) 220 V/48 Вт REXANT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IFERROR(__xludf.DUMMYFUNCTION("""COMPUTED_VALUE"""),1.0)</f>
        <v>1</v>
      </c>
      <c r="F333" s="2">
        <f>IFERROR(__xludf.DUMMYFUNCTION("""COMPUTED_VALUE"""),2337.0)</f>
        <v>2337</v>
      </c>
      <c r="G333" s="2">
        <f>IFERROR(__xludf.DUMMYFUNCTION("""COMPUTED_VALUE"""),2493.0)</f>
        <v>2493</v>
      </c>
      <c r="H333" s="2">
        <f>IFERROR(__xludf.DUMMYFUNCTION("""COMPUTED_VALUE"""),2804.0)</f>
        <v>2804</v>
      </c>
      <c r="I333" s="2">
        <f>IFERROR(__xludf.DUMMYFUNCTION("""COMPUTED_VALUE"""),3115.68)</f>
        <v>3115.68</v>
      </c>
      <c r="J333" s="2">
        <f>IFERROR(__xludf.DUMMYFUNCTION("""COMPUTED_VALUE"""),2337.0)</f>
        <v>2337</v>
      </c>
      <c r="K333" s="2">
        <f>IFERROR(__xludf.DUMMYFUNCTION("""COMPUTED_VALUE"""),1.0)</f>
        <v>1</v>
      </c>
      <c r="L333" s="2" t="str">
        <f>IFERROR(__xludf.DUMMYFUNCTION("""COMPUTED_VALUE"""),"Rexant")</f>
        <v>Rexant</v>
      </c>
      <c r="M333" s="2" t="str">
        <f>IFERROR(__xludf.DUMMYFUNCTION("""COMPUTED_VALUE"""),"Прочие товары")</f>
        <v>Прочие товары</v>
      </c>
    </row>
    <row r="334">
      <c r="A334" s="5" t="str">
        <f>IFERROR(__xludf.DUMMYFUNCTION("""COMPUTED_VALUE"""),"ves037")</f>
        <v>ves037</v>
      </c>
      <c r="B334" s="5" t="str">
        <f>IFERROR(__xludf.DUMMYFUNCTION("""COMPUTED_VALUE"""),"Светильник светодиодный AM-PL-36W")</f>
        <v>Светильник светодиодный AM-PL-36W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IFERROR(__xludf.DUMMYFUNCTION("""COMPUTED_VALUE"""),1200.0)</f>
        <v>1200</v>
      </c>
      <c r="F334" s="2">
        <f>IFERROR(__xludf.DUMMYFUNCTION("""COMPUTED_VALUE"""),1485.0)</f>
        <v>1485</v>
      </c>
      <c r="G334" s="2">
        <f>IFERROR(__xludf.DUMMYFUNCTION("""COMPUTED_VALUE"""),1584.0)</f>
        <v>1584</v>
      </c>
      <c r="H334" s="2">
        <f>IFERROR(__xludf.DUMMYFUNCTION("""COMPUTED_VALUE"""),1782.0)</f>
        <v>1782</v>
      </c>
      <c r="I334" s="2">
        <f>IFERROR(__xludf.DUMMYFUNCTION("""COMPUTED_VALUE"""),1980.0)</f>
        <v>1980</v>
      </c>
      <c r="J334" s="2">
        <f>IFERROR(__xludf.DUMMYFUNCTION("""COMPUTED_VALUE"""),990.0)</f>
        <v>990</v>
      </c>
      <c r="K334" s="2">
        <f>IFERROR(__xludf.DUMMYFUNCTION("""COMPUTED_VALUE"""),50.0)</f>
        <v>50</v>
      </c>
      <c r="L334" s="2" t="str">
        <f>IFERROR(__xludf.DUMMYFUNCTION("""COMPUTED_VALUE"""),"ves")</f>
        <v>ves</v>
      </c>
      <c r="M334" s="2" t="str">
        <f>IFERROR(__xludf.DUMMYFUNCTION("""COMPUTED_VALUE"""),"LED Светильники")</f>
        <v>LED Светильники</v>
      </c>
    </row>
    <row r="335">
      <c r="A335" s="5" t="str">
        <f>IFERROR(__xludf.DUMMYFUNCTION("""COMPUTED_VALUE"""),"4690612030791")</f>
        <v>4690612030791</v>
      </c>
      <c r="B335" s="5" t="str">
        <f>IFERROR(__xludf.DUMMYFUNCTION("""COMPUTED_VALUE"""),"LED-GX53-VC 6Вт 230В 4000К 570Лм IN HOME")</f>
        <v>LED-GX53-VC 6Вт 230В 4000К 570Лм IN HOME</v>
      </c>
      <c r="C335" s="2">
        <f>IFERROR(__xludf.DUMMYFUNCTION("""COMPUTED_VALUE"""),0.033)</f>
        <v>0.033</v>
      </c>
      <c r="D335" s="2">
        <f>IFERROR(__xludf.DUMMYFUNCTION("""COMPUTED_VALUE"""),2.1E-4)</f>
        <v>0.00021</v>
      </c>
      <c r="E335" s="2">
        <f>IFERROR(__xludf.DUMMYFUNCTION("""COMPUTED_VALUE"""),32.4)</f>
        <v>32.4</v>
      </c>
      <c r="F335" s="2">
        <f>IFERROR(__xludf.DUMMYFUNCTION("""COMPUTED_VALUE"""),31.0)</f>
        <v>31</v>
      </c>
      <c r="G335" s="2">
        <f>IFERROR(__xludf.DUMMYFUNCTION("""COMPUTED_VALUE"""),35.0)</f>
        <v>35</v>
      </c>
      <c r="H335" s="2">
        <f>IFERROR(__xludf.DUMMYFUNCTION("""COMPUTED_VALUE"""),40.0)</f>
        <v>40</v>
      </c>
      <c r="I335" s="2">
        <f>IFERROR(__xludf.DUMMYFUNCTION("""COMPUTED_VALUE"""),46.5)</f>
        <v>46.5</v>
      </c>
      <c r="J335" s="2">
        <f>IFERROR(__xludf.DUMMYFUNCTION("""COMPUTED_VALUE"""),23.0)</f>
        <v>23</v>
      </c>
      <c r="K335" s="2">
        <f>IFERROR(__xludf.DUMMYFUNCTION("""COMPUTED_VALUE"""),118.0)</f>
        <v>118</v>
      </c>
      <c r="L335" s="2" t="str">
        <f>IFERROR(__xludf.DUMMYFUNCTION("""COMPUTED_VALUE"""),"Лампа светодиодная LED-GX53-standard")</f>
        <v>Лампа светодиодная LED-GX53-standard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IFERROR(__xludf.DUMMYFUNCTION("""COMPUTED_VALUE"""),"4690612042336-2")</f>
        <v>4690612042336-2</v>
      </c>
      <c r="B33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6" s="2">
        <f>IFERROR(__xludf.DUMMYFUNCTION("""COMPUTED_VALUE"""),1.36)</f>
        <v>1.36</v>
      </c>
      <c r="D336" s="2">
        <f>IFERROR(__xludf.DUMMYFUNCTION("""COMPUTED_VALUE"""),0.0)</f>
        <v>0</v>
      </c>
      <c r="E336" s="2">
        <f>IFERROR(__xludf.DUMMYFUNCTION("""COMPUTED_VALUE"""),1591.35)</f>
        <v>1591.35</v>
      </c>
      <c r="F336" s="2">
        <f>IFERROR(__xludf.DUMMYFUNCTION("""COMPUTED_VALUE"""),1746.0)</f>
        <v>1746</v>
      </c>
      <c r="G336" s="2">
        <f>IFERROR(__xludf.DUMMYFUNCTION("""COMPUTED_VALUE"""),2291.0)</f>
        <v>2291</v>
      </c>
      <c r="H336" s="2">
        <f>IFERROR(__xludf.DUMMYFUNCTION("""COMPUTED_VALUE"""),2578.0)</f>
        <v>2578</v>
      </c>
      <c r="I336" s="2">
        <f>IFERROR(__xludf.DUMMYFUNCTION("""COMPUTED_VALUE"""),2864.0)</f>
        <v>2864</v>
      </c>
      <c r="J336" s="2">
        <f>IFERROR(__xludf.DUMMYFUNCTION("""COMPUTED_VALUE"""),1432.0)</f>
        <v>1432</v>
      </c>
      <c r="K336" s="2">
        <f>IFERROR(__xludf.DUMMYFUNCTION("""COMPUTED_VALUE"""),10.0)</f>
        <v>10</v>
      </c>
      <c r="L3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7">
      <c r="A337" s="5" t="str">
        <f>IFERROR(__xludf.DUMMYFUNCTION("""COMPUTED_VALUE"""),"G33127T")</f>
        <v>G33127T</v>
      </c>
      <c r="B337" s="5" t="str">
        <f>IFERROR(__xludf.DUMMYFUNCTION("""COMPUTED_VALUE"""),"Elementary Candle 7W E14 4100K 1/40 (3 лампы в упаковке)")</f>
        <v>Elementary Candle 7W E14 4100K 1/40 (3 лампы в упаковке)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IFERROR(__xludf.DUMMYFUNCTION("""COMPUTED_VALUE"""),94.9)</f>
        <v>94.9</v>
      </c>
      <c r="F337" s="2">
        <f>IFERROR(__xludf.DUMMYFUNCTION("""COMPUTED_VALUE"""),128.0)</f>
        <v>128</v>
      </c>
      <c r="G337" s="2">
        <f>IFERROR(__xludf.DUMMYFUNCTION("""COMPUTED_VALUE"""),141.0)</f>
        <v>141</v>
      </c>
      <c r="H337" s="2">
        <f>IFERROR(__xludf.DUMMYFUNCTION("""COMPUTED_VALUE"""),166.0)</f>
        <v>166</v>
      </c>
      <c r="I337" s="2">
        <f>IFERROR(__xludf.DUMMYFUNCTION("""COMPUTED_VALUE"""),210.0)</f>
        <v>210</v>
      </c>
      <c r="J337" s="2">
        <f>IFERROR(__xludf.DUMMYFUNCTION("""COMPUTED_VALUE"""),105.0)</f>
        <v>105</v>
      </c>
      <c r="K337" s="2">
        <f>IFERROR(__xludf.DUMMYFUNCTION("""COMPUTED_VALUE"""),18.0)</f>
        <v>18</v>
      </c>
      <c r="L337" s="2" t="str">
        <f>IFERROR(__xludf.DUMMYFUNCTION("""COMPUTED_VALUE"""),"Комплекты Gauss Elementary (x2, x3)")</f>
        <v>Комплекты Gauss Elementary (x2, x3)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IFERROR(__xludf.DUMMYFUNCTION("""COMPUTED_VALUE"""),"GL8213")</f>
        <v>GL8213</v>
      </c>
      <c r="B338" s="5" t="str">
        <f>IFERROR(__xludf.DUMMYFUNCTION("""COMPUTED_VALUE"""),"GLERIO Line 12 Вт 4000К 91P-12D-4N-K")</f>
        <v>GLERIO Line 12 Вт 4000К 91P-12D-4N-K</v>
      </c>
      <c r="C338" s="2">
        <f>IFERROR(__xludf.DUMMYFUNCTION("""COMPUTED_VALUE"""),0.3)</f>
        <v>0.3</v>
      </c>
      <c r="D338" s="2">
        <f>IFERROR(__xludf.DUMMYFUNCTION("""COMPUTED_VALUE"""),0.00195)</f>
        <v>0.00195</v>
      </c>
      <c r="E338" s="2">
        <f>IFERROR(__xludf.DUMMYFUNCTION("""COMPUTED_VALUE"""),921.5)</f>
        <v>921.5</v>
      </c>
      <c r="F338" s="2">
        <f>IFERROR(__xludf.DUMMYFUNCTION("""COMPUTED_VALUE"""),1070.0)</f>
        <v>1070</v>
      </c>
      <c r="G338" s="2">
        <f>IFERROR(__xludf.DUMMYFUNCTION("""COMPUTED_VALUE"""),1347.0)</f>
        <v>1347</v>
      </c>
      <c r="H338" s="2">
        <f>IFERROR(__xludf.DUMMYFUNCTION("""COMPUTED_VALUE"""),1513.0)</f>
        <v>1513</v>
      </c>
      <c r="I338" s="2">
        <f>IFERROR(__xludf.DUMMYFUNCTION("""COMPUTED_VALUE"""),1679.0)</f>
        <v>1679</v>
      </c>
      <c r="J338" s="2">
        <f>IFERROR(__xludf.DUMMYFUNCTION("""COMPUTED_VALUE"""),1347.0)</f>
        <v>1347</v>
      </c>
      <c r="K338" s="2">
        <f>IFERROR(__xludf.DUMMYFUNCTION("""COMPUTED_VALUE"""),2.0)</f>
        <v>2</v>
      </c>
      <c r="L338" s="2" t="str">
        <f>IFERROR(__xludf.DUMMYFUNCTION("""COMPUTED_VALUE"""),"Line (Айсберг) до 10.2025")</f>
        <v>Line (Айсберг)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IFERROR(__xludf.DUMMYFUNCTION("""COMPUTED_VALUE"""),"GL8232")</f>
        <v>GL8232</v>
      </c>
      <c r="B339" s="5" t="str">
        <f>IFERROR(__xludf.DUMMYFUNCTION("""COMPUTED_VALUE"""),"GLERIO Line 36 Вт 4000К 91P-36D-4N-MP")</f>
        <v>GLERIO Line 36 Вт 4000К 91P-36D-4N-MP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IFERROR(__xludf.DUMMYFUNCTION("""COMPUTED_VALUE"""),2007.67)</f>
        <v>2007.67</v>
      </c>
      <c r="F339" s="2">
        <f>IFERROR(__xludf.DUMMYFUNCTION("""COMPUTED_VALUE"""),2310.0)</f>
        <v>2310</v>
      </c>
      <c r="G339" s="2">
        <f>IFERROR(__xludf.DUMMYFUNCTION("""COMPUTED_VALUE"""),2908.0)</f>
        <v>2908</v>
      </c>
      <c r="H339" s="2">
        <f>IFERROR(__xludf.DUMMYFUNCTION("""COMPUTED_VALUE"""),3266.0)</f>
        <v>3266</v>
      </c>
      <c r="I339" s="2">
        <f>IFERROR(__xludf.DUMMYFUNCTION("""COMPUTED_VALUE"""),3624.0)</f>
        <v>3624</v>
      </c>
      <c r="J339" s="2">
        <f>IFERROR(__xludf.DUMMYFUNCTION("""COMPUTED_VALUE"""),3624.0)</f>
        <v>3624</v>
      </c>
      <c r="K339" s="2">
        <f>IFERROR(__xludf.DUMMYFUNCTION("""COMPUTED_VALUE"""),8.0)</f>
        <v>8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IFERROR(__xludf.DUMMYFUNCTION("""COMPUTED_VALUE"""),"4690612018935")</f>
        <v>4690612018935</v>
      </c>
      <c r="B340" s="5" t="str">
        <f>IFERROR(__xludf.DUMMYFUNCTION("""COMPUTED_VALUE"""),"ССП-155-PRO 18Вт 230В 4000К 1500Лм 600мм IP65 LLT")</f>
        <v>ССП-155-PRO 18Вт 230В 4000К 1500Лм 600мм IP65 LLT</v>
      </c>
      <c r="C340" s="2">
        <f>IFERROR(__xludf.DUMMYFUNCTION("""COMPUTED_VALUE"""),0.23)</f>
        <v>0.23</v>
      </c>
      <c r="D340" s="2">
        <f>IFERROR(__xludf.DUMMYFUNCTION("""COMPUTED_VALUE"""),0.0023)</f>
        <v>0.0023</v>
      </c>
      <c r="E340" s="2">
        <f>IFERROR(__xludf.DUMMYFUNCTION("""COMPUTED_VALUE"""),311.19)</f>
        <v>311.19</v>
      </c>
      <c r="F340" s="2">
        <f>IFERROR(__xludf.DUMMYFUNCTION("""COMPUTED_VALUE"""),303.0)</f>
        <v>303</v>
      </c>
      <c r="G340" s="2">
        <f>IFERROR(__xludf.DUMMYFUNCTION("""COMPUTED_VALUE"""),341.0)</f>
        <v>341</v>
      </c>
      <c r="H340" s="2">
        <f>IFERROR(__xludf.DUMMYFUNCTION("""COMPUTED_VALUE"""),396.0)</f>
        <v>396</v>
      </c>
      <c r="I340" s="2">
        <f>IFERROR(__xludf.DUMMYFUNCTION("""COMPUTED_VALUE"""),455.0)</f>
        <v>455</v>
      </c>
      <c r="J340" s="2">
        <f>IFERROR(__xludf.DUMMYFUNCTION("""COMPUTED_VALUE"""),228.0)</f>
        <v>228</v>
      </c>
      <c r="K340" s="2">
        <f>IFERROR(__xludf.DUMMYFUNCTION("""COMPUTED_VALUE"""),1.0)</f>
        <v>1</v>
      </c>
      <c r="L340" s="2" t="str">
        <f>IFERROR(__xludf.DUMMYFUNCTION("""COMPUTED_VALUE"""),"Светильники светодиодные ССП")</f>
        <v>Светильники светодиодные ССП</v>
      </c>
      <c r="M340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1">
      <c r="A341" s="5" t="str">
        <f>IFERROR(__xludf.DUMMYFUNCTION("""COMPUTED_VALUE"""),"4690612025964")</f>
        <v>4690612025964</v>
      </c>
      <c r="B341" s="5" t="str">
        <f>IFERROR(__xludf.DUMMYFUNCTION("""COMPUTED_VALUE"""),"DREAM-60D-ПУ 60Вт 230В 3000-6500K")</f>
        <v>DREAM-60D-ПУ 60Вт 230В 3000-6500K</v>
      </c>
      <c r="C341" s="2">
        <f>IFERROR(__xludf.DUMMYFUNCTION("""COMPUTED_VALUE"""),2.18)</f>
        <v>2.18</v>
      </c>
      <c r="D341" s="2">
        <f>IFERROR(__xludf.DUMMYFUNCTION("""COMPUTED_VALUE"""),0.0262)</f>
        <v>0.0262</v>
      </c>
      <c r="E341" s="2">
        <f>IFERROR(__xludf.DUMMYFUNCTION("""COMPUTED_VALUE"""),2251.3)</f>
        <v>2251.3</v>
      </c>
      <c r="F341" s="2">
        <f>IFERROR(__xludf.DUMMYFUNCTION("""COMPUTED_VALUE"""),2167.0)</f>
        <v>2167</v>
      </c>
      <c r="G341" s="2">
        <f>IFERROR(__xludf.DUMMYFUNCTION("""COMPUTED_VALUE"""),2438.0)</f>
        <v>2438</v>
      </c>
      <c r="H341" s="2">
        <f>IFERROR(__xludf.DUMMYFUNCTION("""COMPUTED_VALUE"""),2828.0)</f>
        <v>2828</v>
      </c>
      <c r="I341" s="2">
        <f>IFERROR(__xludf.DUMMYFUNCTION("""COMPUTED_VALUE"""),3250.0)</f>
        <v>3250</v>
      </c>
      <c r="J341" s="2">
        <f>IFERROR(__xludf.DUMMYFUNCTION("""COMPUTED_VALUE"""),1625.0)</f>
        <v>1625</v>
      </c>
      <c r="K341" s="2">
        <f>IFERROR(__xludf.DUMMYFUNCTION("""COMPUTED_VALUE"""),4.0)</f>
        <v>4</v>
      </c>
      <c r="L341" s="2" t="str">
        <f>IFERROR(__xludf.DUMMYFUNCTION("""COMPUTED_VALUE"""),"Светильники светодиодные COMFORT")</f>
        <v>Светильники светодиодные COMFORT</v>
      </c>
      <c r="M341" s="2" t="str">
        <f>IFERROR(__xludf.DUMMYFUNCTION("""COMPUTED_VALUE"""),"Накладные, LED Светильники")</f>
        <v>Накладные, LED Светильники</v>
      </c>
    </row>
    <row r="342">
      <c r="A342" s="5" t="str">
        <f>IFERROR(__xludf.DUMMYFUNCTION("""COMPUTED_VALUE"""),"4690612021966")</f>
        <v>4690612021966</v>
      </c>
      <c r="B342" s="5" t="str">
        <f>IFERROR(__xludf.DUMMYFUNCTION("""COMPUTED_VALUE"""),"DECO 18Вт 230В 4000К 1170Лм 230х55мм ОРИОН IN HOME")</f>
        <v>DECO 18Вт 230В 4000К 1170Лм 230х55мм ОРИОН IN HOME</v>
      </c>
      <c r="C342" s="2">
        <f>IFERROR(__xludf.DUMMYFUNCTION("""COMPUTED_VALUE"""),0.30833)</f>
        <v>0.30833</v>
      </c>
      <c r="D342" s="2">
        <f>IFERROR(__xludf.DUMMYFUNCTION("""COMPUTED_VALUE"""),0.00417)</f>
        <v>0.00417</v>
      </c>
      <c r="E342" s="2">
        <f>IFERROR(__xludf.DUMMYFUNCTION("""COMPUTED_VALUE"""),270.36)</f>
        <v>270.36</v>
      </c>
      <c r="F342" s="2">
        <f>IFERROR(__xludf.DUMMYFUNCTION("""COMPUTED_VALUE"""),321.0)</f>
        <v>321</v>
      </c>
      <c r="G342" s="2">
        <f>IFERROR(__xludf.DUMMYFUNCTION("""COMPUTED_VALUE"""),361.0)</f>
        <v>361</v>
      </c>
      <c r="H342" s="2">
        <f>IFERROR(__xludf.DUMMYFUNCTION("""COMPUTED_VALUE"""),418.0)</f>
        <v>418</v>
      </c>
      <c r="I342" s="2">
        <f>IFERROR(__xludf.DUMMYFUNCTION("""COMPUTED_VALUE"""),481.0)</f>
        <v>481</v>
      </c>
      <c r="J342" s="2">
        <f>IFERROR(__xludf.DUMMYFUNCTION("""COMPUTED_VALUE"""),241.0)</f>
        <v>241</v>
      </c>
      <c r="K342" s="2">
        <f>IFERROR(__xludf.DUMMYFUNCTION("""COMPUTED_VALUE"""),1.0)</f>
        <v>1</v>
      </c>
      <c r="L342" s="2" t="str">
        <f>IFERROR(__xludf.DUMMYFUNCTION("""COMPUTED_VALUE"""),"Светильник светодиодный серии DECO")</f>
        <v>Светильник светодиодный серии DECO</v>
      </c>
      <c r="M3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3">
      <c r="A343" s="5" t="str">
        <f>IFERROR(__xludf.DUMMYFUNCTION("""COMPUTED_VALUE"""),"4260760427738")</f>
        <v>4260760427738</v>
      </c>
      <c r="B343" s="5" t="str">
        <f>IFERROR(__xludf.DUMMYFUNCTION("""COMPUTED_VALUE"""),"LCL04-25W-R01-6K")</f>
        <v>LCL04-25W-R01-6K</v>
      </c>
      <c r="C343" s="2">
        <f>IFERROR(__xludf.DUMMYFUNCTION("""COMPUTED_VALUE"""),0.196)</f>
        <v>0.196</v>
      </c>
      <c r="D343" s="2">
        <f>IFERROR(__xludf.DUMMYFUNCTION("""COMPUTED_VALUE"""),0.0)</f>
        <v>0</v>
      </c>
      <c r="E343" s="2">
        <f>IFERROR(__xludf.DUMMYFUNCTION("""COMPUTED_VALUE"""),309.91)</f>
        <v>309.91</v>
      </c>
      <c r="F343" s="2">
        <f>IFERROR(__xludf.DUMMYFUNCTION("""COMPUTED_VALUE"""),476.0)</f>
        <v>476</v>
      </c>
      <c r="G343" s="2">
        <f>IFERROR(__xludf.DUMMYFUNCTION("""COMPUTED_VALUE"""),492.0)</f>
        <v>492</v>
      </c>
      <c r="H343" s="2">
        <f>IFERROR(__xludf.DUMMYFUNCTION("""COMPUTED_VALUE"""),646.0)</f>
        <v>646</v>
      </c>
      <c r="I343" s="2">
        <f>IFERROR(__xludf.DUMMYFUNCTION("""COMPUTED_VALUE"""),807.0)</f>
        <v>807</v>
      </c>
      <c r="J343" s="2">
        <f>IFERROR(__xludf.DUMMYFUNCTION("""COMPUTED_VALUE"""),492.0)</f>
        <v>492</v>
      </c>
      <c r="K343" s="2">
        <f>IFERROR(__xludf.DUMMYFUNCTION("""COMPUTED_VALUE"""),18.0)</f>
        <v>18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IFERROR(__xludf.DUMMYFUNCTION("""COMPUTED_VALUE"""),"14690612042326")</f>
        <v>14690612042326</v>
      </c>
      <c r="B344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4" s="2">
        <f>IFERROR(__xludf.DUMMYFUNCTION("""COMPUTED_VALUE"""),1.275)</f>
        <v>1.275</v>
      </c>
      <c r="D344" s="2">
        <f>IFERROR(__xludf.DUMMYFUNCTION("""COMPUTED_VALUE"""),0.0)</f>
        <v>0</v>
      </c>
      <c r="E344" s="2">
        <f>IFERROR(__xludf.DUMMYFUNCTION("""COMPUTED_VALUE"""),2178.6)</f>
        <v>2178.6</v>
      </c>
      <c r="F344" s="2">
        <f>IFERROR(__xludf.DUMMYFUNCTION("""COMPUTED_VALUE"""),2390.0)</f>
        <v>2390</v>
      </c>
      <c r="G344" s="2">
        <f>IFERROR(__xludf.DUMMYFUNCTION("""COMPUTED_VALUE"""),3137.0)</f>
        <v>3137</v>
      </c>
      <c r="H344" s="2">
        <f>IFERROR(__xludf.DUMMYFUNCTION("""COMPUTED_VALUE"""),3529.0)</f>
        <v>3529</v>
      </c>
      <c r="I344" s="2">
        <f>IFERROR(__xludf.DUMMYFUNCTION("""COMPUTED_VALUE"""),3921.0)</f>
        <v>3921</v>
      </c>
      <c r="J344" s="2">
        <f>IFERROR(__xludf.DUMMYFUNCTION("""COMPUTED_VALUE"""),1961.0)</f>
        <v>1961</v>
      </c>
      <c r="K344" s="2">
        <f>IFERROR(__xludf.DUMMYFUNCTION("""COMPUTED_VALUE"""),5.0)</f>
        <v>5</v>
      </c>
      <c r="L3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5">
      <c r="A345" s="5" t="str">
        <f>IFERROR(__xludf.DUMMYFUNCTION("""COMPUTED_VALUE"""),"ves004")</f>
        <v>ves004</v>
      </c>
      <c r="B345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IFERROR(__xludf.DUMMYFUNCTION("""COMPUTED_VALUE"""),409.5)</f>
        <v>409.5</v>
      </c>
      <c r="F345" s="2">
        <f>IFERROR(__xludf.DUMMYFUNCTION("""COMPUTED_VALUE"""),448.0)</f>
        <v>448</v>
      </c>
      <c r="G345" s="2">
        <f>IFERROR(__xludf.DUMMYFUNCTION("""COMPUTED_VALUE"""),478.0)</f>
        <v>478</v>
      </c>
      <c r="H345" s="2">
        <f>IFERROR(__xludf.DUMMYFUNCTION("""COMPUTED_VALUE"""),537.0)</f>
        <v>537</v>
      </c>
      <c r="I345" s="2">
        <f>IFERROR(__xludf.DUMMYFUNCTION("""COMPUTED_VALUE"""),597.0)</f>
        <v>597</v>
      </c>
      <c r="J345" s="2">
        <f>IFERROR(__xludf.DUMMYFUNCTION("""COMPUTED_VALUE"""),299.0)</f>
        <v>299</v>
      </c>
      <c r="K345" s="2">
        <f>IFERROR(__xludf.DUMMYFUNCTION("""COMPUTED_VALUE"""),26.0)</f>
        <v>26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IFERROR(__xludf.DUMMYFUNCTION("""COMPUTED_VALUE"""),"4690612007250")</f>
        <v>4690612007250</v>
      </c>
      <c r="B346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6" s="2">
        <f>IFERROR(__xludf.DUMMYFUNCTION("""COMPUTED_VALUE"""),0.22)</f>
        <v>0.22</v>
      </c>
      <c r="D346" s="2">
        <f>IFERROR(__xludf.DUMMYFUNCTION("""COMPUTED_VALUE"""),0.00102)</f>
        <v>0.00102</v>
      </c>
      <c r="E346" s="2">
        <f>IFERROR(__xludf.DUMMYFUNCTION("""COMPUTED_VALUE"""),193.79)</f>
        <v>193.79</v>
      </c>
      <c r="F346" s="2">
        <f>IFERROR(__xludf.DUMMYFUNCTION("""COMPUTED_VALUE"""),153.0)</f>
        <v>153</v>
      </c>
      <c r="G346" s="2">
        <f>IFERROR(__xludf.DUMMYFUNCTION("""COMPUTED_VALUE"""),173.0)</f>
        <v>173</v>
      </c>
      <c r="H346" s="2">
        <f>IFERROR(__xludf.DUMMYFUNCTION("""COMPUTED_VALUE"""),200.0)</f>
        <v>200</v>
      </c>
      <c r="I346" s="2">
        <f>IFERROR(__xludf.DUMMYFUNCTION("""COMPUTED_VALUE"""),230.5)</f>
        <v>230.5</v>
      </c>
      <c r="J346" s="2">
        <f>IFERROR(__xludf.DUMMYFUNCTION("""COMPUTED_VALUE"""),115.0)</f>
        <v>115</v>
      </c>
      <c r="K346" s="2">
        <f>IFERROR(__xludf.DUMMYFUNCTION("""COMPUTED_VALUE"""),1.0)</f>
        <v>1</v>
      </c>
      <c r="L346" s="2" t="str">
        <f>IFERROR(__xludf.DUMMYFUNCTION("""COMPUTED_VALUE"""),"Лампа светодиодная LED-СВЕЧА-standard")</f>
        <v>Лампа светодиодная LED-СВЕЧА-standard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IFERROR(__xludf.DUMMYFUNCTION("""COMPUTED_VALUE"""),"4260652193536")</f>
        <v>4260652193536</v>
      </c>
      <c r="B347" s="5" t="str">
        <f>IFERROR(__xludf.DUMMYFUNCTION("""COMPUTED_VALUE"""),"LCL04-18W-R11-6K-SOA")</f>
        <v>LCL04-18W-R11-6K-SOA</v>
      </c>
      <c r="C347" s="2">
        <f>IFERROR(__xludf.DUMMYFUNCTION("""COMPUTED_VALUE"""),0.145)</f>
        <v>0.145</v>
      </c>
      <c r="D347" s="2">
        <f>IFERROR(__xludf.DUMMYFUNCTION("""COMPUTED_VALUE"""),0.0)</f>
        <v>0</v>
      </c>
      <c r="E347" s="2">
        <f>IFERROR(__xludf.DUMMYFUNCTION("""COMPUTED_VALUE"""),330.28)</f>
        <v>330.28</v>
      </c>
      <c r="F347" s="2">
        <f>IFERROR(__xludf.DUMMYFUNCTION("""COMPUTED_VALUE"""),417.0)</f>
        <v>417</v>
      </c>
      <c r="G347" s="2">
        <f>IFERROR(__xludf.DUMMYFUNCTION("""COMPUTED_VALUE"""),431.0)</f>
        <v>431</v>
      </c>
      <c r="H347" s="2">
        <f>IFERROR(__xludf.DUMMYFUNCTION("""COMPUTED_VALUE"""),565.0)</f>
        <v>565</v>
      </c>
      <c r="I347" s="2">
        <f>IFERROR(__xludf.DUMMYFUNCTION("""COMPUTED_VALUE"""),707.0)</f>
        <v>707</v>
      </c>
      <c r="J347" s="2">
        <f>IFERROR(__xludf.DUMMYFUNCTION("""COMPUTED_VALUE"""),354.0)</f>
        <v>354</v>
      </c>
      <c r="K347" s="2">
        <f>IFERROR(__xludf.DUMMYFUNCTION("""COMPUTED_VALUE"""),19.0)</f>
        <v>19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IFERROR(__xludf.DUMMYFUNCTION("""COMPUTED_VALUE"""),"BRAS2216")</f>
        <v>BRAS2216</v>
      </c>
      <c r="B348" s="5" t="str">
        <f>IFERROR(__xludf.DUMMYFUNCTION("""COMPUTED_VALUE"""),"Фонарь прожекторный GFL602 Gauss")</f>
        <v>Фонарь прожекторный GFL602 Gauss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IFERROR(__xludf.DUMMYFUNCTION("""COMPUTED_VALUE"""),1018.07)</f>
        <v>1018.07</v>
      </c>
      <c r="F348" s="2">
        <f>IFERROR(__xludf.DUMMYFUNCTION("""COMPUTED_VALUE"""),1638.0)</f>
        <v>1638</v>
      </c>
      <c r="G348" s="2">
        <f>IFERROR(__xludf.DUMMYFUNCTION("""COMPUTED_VALUE"""),1747.0)</f>
        <v>1747</v>
      </c>
      <c r="H348" s="2">
        <f>IFERROR(__xludf.DUMMYFUNCTION("""COMPUTED_VALUE"""),1966.0)</f>
        <v>1966</v>
      </c>
      <c r="I348" s="2">
        <f>IFERROR(__xludf.DUMMYFUNCTION("""COMPUTED_VALUE"""),2184.0)</f>
        <v>2184</v>
      </c>
      <c r="J348" s="2">
        <f>IFERROR(__xludf.DUMMYFUNCTION("""COMPUTED_VALUE"""),1018.0)</f>
        <v>1018</v>
      </c>
      <c r="K348" s="2">
        <f>IFERROR(__xludf.DUMMYFUNCTION("""COMPUTED_VALUE"""),4.0)</f>
        <v>4</v>
      </c>
      <c r="L348" s="2" t="str">
        <f>IFERROR(__xludf.DUMMYFUNCTION("""COMPUTED_VALUE"""),"BRAS2 (тендер)")</f>
        <v>BRAS2 (тендер)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IFERROR(__xludf.DUMMYFUNCTION("""COMPUTED_VALUE"""),"4690612032900")</f>
        <v>4690612032900</v>
      </c>
      <c r="B349" s="5" t="str">
        <f>IFERROR(__xludf.DUMMYFUNCTION("""COMPUTED_VALUE"""),"ФР 606 6А 230В IN HOME")</f>
        <v>ФР 606 6А 230В IN HOME</v>
      </c>
      <c r="C349" s="2">
        <f>IFERROR(__xludf.DUMMYFUNCTION("""COMPUTED_VALUE"""),0.07500000000000001)</f>
        <v>0.075</v>
      </c>
      <c r="D349" s="2">
        <f>IFERROR(__xludf.DUMMYFUNCTION("""COMPUTED_VALUE"""),3.4E-4)</f>
        <v>0.00034</v>
      </c>
      <c r="E349" s="2">
        <f>IFERROR(__xludf.DUMMYFUNCTION("""COMPUTED_VALUE"""),136.7)</f>
        <v>136.7</v>
      </c>
      <c r="F349" s="2">
        <f>IFERROR(__xludf.DUMMYFUNCTION("""COMPUTED_VALUE"""),163.0)</f>
        <v>163</v>
      </c>
      <c r="G349" s="2">
        <f>IFERROR(__xludf.DUMMYFUNCTION("""COMPUTED_VALUE"""),184.0)</f>
        <v>184</v>
      </c>
      <c r="H349" s="2">
        <f>IFERROR(__xludf.DUMMYFUNCTION("""COMPUTED_VALUE"""),213.0)</f>
        <v>213</v>
      </c>
      <c r="I349" s="2">
        <f>IFERROR(__xludf.DUMMYFUNCTION("""COMPUTED_VALUE"""),245.0)</f>
        <v>245</v>
      </c>
      <c r="J349" s="2">
        <f>IFERROR(__xludf.DUMMYFUNCTION("""COMPUTED_VALUE"""),123.0)</f>
        <v>123</v>
      </c>
      <c r="K349" s="2">
        <f>IFERROR(__xludf.DUMMYFUNCTION("""COMPUTED_VALUE"""),3.0)</f>
        <v>3</v>
      </c>
      <c r="L349" s="2" t="str">
        <f>IFERROR(__xludf.DUMMYFUNCTION("""COMPUTED_VALUE"""),"ASD Комплектующие")</f>
        <v>ASD Комплектующие</v>
      </c>
      <c r="M349" s="2" t="str">
        <f>IFERROR(__xludf.DUMMYFUNCTION("""COMPUTED_VALUE"""),"Прочие товары")</f>
        <v>Прочие товары</v>
      </c>
    </row>
    <row r="350">
      <c r="A350" s="5" t="str">
        <f>IFERROR(__xludf.DUMMYFUNCTION("""COMPUTED_VALUE"""),"4690612060200")</f>
        <v>4690612060200</v>
      </c>
      <c r="B350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0" s="2">
        <f>IFERROR(__xludf.DUMMYFUNCTION("""COMPUTED_VALUE"""),0.4)</f>
        <v>0.4</v>
      </c>
      <c r="D350" s="2">
        <f>IFERROR(__xludf.DUMMYFUNCTION("""COMPUTED_VALUE"""),0.00185)</f>
        <v>0.00185</v>
      </c>
      <c r="E350" s="2">
        <f>IFERROR(__xludf.DUMMYFUNCTION("""COMPUTED_VALUE"""),1031.59)</f>
        <v>1031.59</v>
      </c>
      <c r="F350" s="2">
        <f>IFERROR(__xludf.DUMMYFUNCTION("""COMPUTED_VALUE"""),1031.0)</f>
        <v>1031</v>
      </c>
      <c r="G350" s="2">
        <f>IFERROR(__xludf.DUMMYFUNCTION("""COMPUTED_VALUE"""),1160.0)</f>
        <v>1160</v>
      </c>
      <c r="H350" s="2">
        <f>IFERROR(__xludf.DUMMYFUNCTION("""COMPUTED_VALUE"""),1345.0)</f>
        <v>1345</v>
      </c>
      <c r="I350" s="2">
        <f>IFERROR(__xludf.DUMMYFUNCTION("""COMPUTED_VALUE"""),1546.0)</f>
        <v>1546</v>
      </c>
      <c r="J350" s="2">
        <f>IFERROR(__xludf.DUMMYFUNCTION("""COMPUTED_VALUE"""),1546.0)</f>
        <v>1546</v>
      </c>
      <c r="K350" s="2">
        <f>IFERROR(__xludf.DUMMYFUNCTION("""COMPUTED_VALUE"""),0.0)</f>
        <v>0</v>
      </c>
      <c r="L350" s="2" t="str">
        <f>IFERROR(__xludf.DUMMYFUNCTION("""COMPUTED_VALUE"""),"NEOX Светильники LED ДВО")</f>
        <v>NEOX Светильники LED ДВО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IFERROR(__xludf.DUMMYFUNCTION("""COMPUTED_VALUE"""),10.0)</f>
        <v>10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IFERROR(__xludf.DUMMYFUNCTION("""COMPUTED_VALUE"""),314.0)</f>
        <v>314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IFERROR(__xludf.DUMMYFUNCTION("""COMPUTED_VALUE"""),79.0)</f>
        <v>79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IFERROR(__xludf.DUMMYFUNCTION("""COMPUTED_VALUE"""),-403.0)</f>
        <v>-403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IFERROR(__xludf.DUMMYFUNCTION("""COMPUTED_VALUE"""),47.0)</f>
        <v>47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IFERROR(__xludf.DUMMYFUNCTION("""COMPUTED_VALUE"""),16.0)</f>
        <v>16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IFERROR(__xludf.DUMMYFUNCTION("""COMPUTED_VALUE"""),5.0)</f>
        <v>5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IFERROR(__xludf.DUMMYFUNCTION("""COMPUTED_VALUE"""),55.0)</f>
        <v>55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IFERROR(__xludf.DUMMYFUNCTION("""COMPUTED_VALUE"""),19.0)</f>
        <v>19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IFERROR(__xludf.DUMMYFUNCTION("""COMPUTED_VALUE"""),97.0)</f>
        <v>97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IFERROR(__xludf.DUMMYFUNCTION("""COMPUTED_VALUE"""),22.0)</f>
        <v>22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IFERROR(__xludf.DUMMYFUNCTION("""COMPUTED_VALUE"""),26.0)</f>
        <v>26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IFERROR(__xludf.DUMMYFUNCTION("""COMPUTED_VALUE"""),394.0)</f>
        <v>394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IFERROR(__xludf.DUMMYFUNCTION("""COMPUTED_VALUE"""),1.0)</f>
        <v>1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IFERROR(__xludf.DUMMYFUNCTION("""COMPUTED_VALUE"""),180.0)</f>
        <v>180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IFERROR(__xludf.DUMMYFUNCTION("""COMPUTED_VALUE"""),1250.0)</f>
        <v>1250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IFERROR(__xludf.DUMMYFUNCTION("""COMPUTED_VALUE"""),"4690612015477")</f>
        <v>4690612015477</v>
      </c>
      <c r="B553" s="5" t="str">
        <f>IFERROR(__xludf.DUMMYFUNCTION("""COMPUTED_VALUE"""),"LED-ШАР-standard 10Вт 230В Е27 3000К 900Лм ASD")</f>
        <v>LED-ШАР-standard 10Вт 230В Е27 3000К 900Лм ASD</v>
      </c>
      <c r="C553" s="2">
        <f>IFERROR(__xludf.DUMMYFUNCTION("""COMPUTED_VALUE"""),0.04550000000000001)</f>
        <v>0.0455</v>
      </c>
      <c r="D553" s="2">
        <f>IFERROR(__xludf.DUMMYFUNCTION("""COMPUTED_VALUE"""),2.4E-4)</f>
        <v>0.00024</v>
      </c>
      <c r="E553" s="2">
        <f>IFERROR(__xludf.DUMMYFUNCTION("""COMPUTED_VALUE"""),48.02)</f>
        <v>48.02</v>
      </c>
      <c r="F553" s="2">
        <f>IFERROR(__xludf.DUMMYFUNCTION("""COMPUTED_VALUE"""),40.0)</f>
        <v>40</v>
      </c>
      <c r="G553" s="2">
        <f>IFERROR(__xludf.DUMMYFUNCTION("""COMPUTED_VALUE"""),45.0)</f>
        <v>45</v>
      </c>
      <c r="H553" s="2">
        <f>IFERROR(__xludf.DUMMYFUNCTION("""COMPUTED_VALUE"""),52.0)</f>
        <v>52</v>
      </c>
      <c r="I553" s="2">
        <f>IFERROR(__xludf.DUMMYFUNCTION("""COMPUTED_VALUE"""),60.5)</f>
        <v>60.5</v>
      </c>
      <c r="J553" s="2">
        <f>IFERROR(__xludf.DUMMYFUNCTION("""COMPUTED_VALUE"""),30.0)</f>
        <v>30</v>
      </c>
      <c r="K553" s="2">
        <f>IFERROR(__xludf.DUMMYFUNCTION("""COMPUTED_VALUE"""),9.0)</f>
        <v>9</v>
      </c>
      <c r="L553" s="2" t="str">
        <f>IFERROR(__xludf.DUMMYFUNCTION("""COMPUTED_VALUE"""),"Лампа светодиодная LED-ШАР-standard")</f>
        <v>Лампа светодиодная LED-ШАР-standard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IFERROR(__xludf.DUMMYFUNCTION("""COMPUTED_VALUE"""),"4690612029313")</f>
        <v>4690612029313</v>
      </c>
      <c r="B554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4" s="2">
        <f>IFERROR(__xludf.DUMMYFUNCTION("""COMPUTED_VALUE"""),0.21667)</f>
        <v>0.21667</v>
      </c>
      <c r="D554" s="2">
        <f>IFERROR(__xludf.DUMMYFUNCTION("""COMPUTED_VALUE"""),6.000000000000001E-4)</f>
        <v>0.0006</v>
      </c>
      <c r="E554" s="2">
        <f>IFERROR(__xludf.DUMMYFUNCTION("""COMPUTED_VALUE"""),200.06)</f>
        <v>200.06</v>
      </c>
      <c r="F554" s="2">
        <f>IFERROR(__xludf.DUMMYFUNCTION("""COMPUTED_VALUE"""),202.0)</f>
        <v>202</v>
      </c>
      <c r="G554" s="2">
        <f>IFERROR(__xludf.DUMMYFUNCTION("""COMPUTED_VALUE"""),227.0)</f>
        <v>227</v>
      </c>
      <c r="H554" s="2">
        <f>IFERROR(__xludf.DUMMYFUNCTION("""COMPUTED_VALUE"""),264.0)</f>
        <v>264</v>
      </c>
      <c r="I554" s="2">
        <f>IFERROR(__xludf.DUMMYFUNCTION("""COMPUTED_VALUE"""),303.0)</f>
        <v>303</v>
      </c>
      <c r="J554" s="2">
        <f>IFERROR(__xludf.DUMMYFUNCTION("""COMPUTED_VALUE"""),152.0)</f>
        <v>152</v>
      </c>
      <c r="K554" s="2">
        <f>IFERROR(__xludf.DUMMYFUNCTION("""COMPUTED_VALUE"""),2.0)</f>
        <v>2</v>
      </c>
      <c r="L554" s="2" t="str">
        <f>IFERROR(__xludf.DUMMYFUNCTION("""COMPUTED_VALUE"""),"Шинопровод и комплектующие")</f>
        <v>Шинопровод и комплектующие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IFERROR(__xludf.DUMMYFUNCTION("""COMPUTED_VALUE"""),"4690612042718-1")</f>
        <v>4690612042718-1</v>
      </c>
      <c r="B555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IFERROR(__xludf.DUMMYFUNCTION("""COMPUTED_VALUE"""),673.61)</f>
        <v>673.61</v>
      </c>
      <c r="F555" s="2">
        <f>IFERROR(__xludf.DUMMYFUNCTION("""COMPUTED_VALUE"""),739.0)</f>
        <v>739</v>
      </c>
      <c r="G555" s="2">
        <f>IFERROR(__xludf.DUMMYFUNCTION("""COMPUTED_VALUE"""),970.0)</f>
        <v>970</v>
      </c>
      <c r="H555" s="2">
        <f>IFERROR(__xludf.DUMMYFUNCTION("""COMPUTED_VALUE"""),1091.0)</f>
        <v>1091</v>
      </c>
      <c r="I555" s="2">
        <f>IFERROR(__xludf.DUMMYFUNCTION("""COMPUTED_VALUE"""),1212.0)</f>
        <v>1212</v>
      </c>
      <c r="J555" s="2">
        <f>IFERROR(__xludf.DUMMYFUNCTION("""COMPUTED_VALUE"""),606.0)</f>
        <v>606</v>
      </c>
      <c r="K555" s="2">
        <f>IFERROR(__xludf.DUMMYFUNCTION("""COMPUTED_VALUE"""),14.0)</f>
        <v>14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IFERROR(__xludf.DUMMYFUNCTION("""COMPUTED_VALUE"""),"4690612020402")</f>
        <v>4690612020402</v>
      </c>
      <c r="B556" s="5" t="str">
        <f>IFERROR(__xludf.DUMMYFUNCTION("""COMPUTED_VALUE"""),"LED-СВЕЧА-VC 6Вт 230В Е27 3000К 570Лм IN HOME")</f>
        <v>LED-СВЕЧА-VC 6Вт 230В Е27 3000К 570Лм IN HOME</v>
      </c>
      <c r="C556" s="2">
        <f>IFERROR(__xludf.DUMMYFUNCTION("""COMPUTED_VALUE"""),0.027)</f>
        <v>0.027</v>
      </c>
      <c r="D556" s="2">
        <f>IFERROR(__xludf.DUMMYFUNCTION("""COMPUTED_VALUE"""),1.9E-4)</f>
        <v>0.00019</v>
      </c>
      <c r="E556" s="2">
        <f>IFERROR(__xludf.DUMMYFUNCTION("""COMPUTED_VALUE"""),33.09)</f>
        <v>33.09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IFERROR(__xludf.DUMMYFUNCTION("""COMPUTED_VALUE"""),58.5)</f>
        <v>58.5</v>
      </c>
      <c r="J556" s="2">
        <f>IFERROR(__xludf.DUMMYFUNCTION("""COMPUTED_VALUE"""),29.0)</f>
        <v>29</v>
      </c>
      <c r="K556" s="2">
        <f>IFERROR(__xludf.DUMMYFUNCTION("""COMPUTED_VALUE"""),7.0)</f>
        <v>7</v>
      </c>
      <c r="L556" s="2" t="str">
        <f>IFERROR(__xludf.DUMMYFUNCTION("""COMPUTED_VALUE"""),"Лампа светодиодная LED-СВЕЧА-standard")</f>
        <v>Лампа светодиодная LED-СВЕЧА-standard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IFERROR(__xludf.DUMMYFUNCTION("""COMPUTED_VALUE"""),"00863")</f>
        <v>00863</v>
      </c>
      <c r="B557" s="5" t="str">
        <f>IFERROR(__xludf.DUMMYFUNCTION("""COMPUTED_VALUE"""),"TLWP236 PC ECP")</f>
        <v>TLWP236 PC ECP</v>
      </c>
      <c r="C557" s="2">
        <f>IFERROR(__xludf.DUMMYFUNCTION("""COMPUTED_VALUE"""),2.325)</f>
        <v>2.325</v>
      </c>
      <c r="D557" s="2">
        <f>IFERROR(__xludf.DUMMYFUNCTION("""COMPUTED_VALUE"""),0.01482)</f>
        <v>0.01482</v>
      </c>
      <c r="E557" s="2">
        <f>IFERROR(__xludf.DUMMYFUNCTION("""COMPUTED_VALUE"""),686.04)</f>
        <v>686.04</v>
      </c>
      <c r="F557" s="2">
        <f>IFERROR(__xludf.DUMMYFUNCTION("""COMPUTED_VALUE"""),859.0)</f>
        <v>859</v>
      </c>
      <c r="G557" s="2">
        <f>IFERROR(__xludf.DUMMYFUNCTION("""COMPUTED_VALUE"""),970.0)</f>
        <v>970</v>
      </c>
      <c r="H557" s="2">
        <f>IFERROR(__xludf.DUMMYFUNCTION("""COMPUTED_VALUE"""),992.0)</f>
        <v>992</v>
      </c>
      <c r="I557" s="2">
        <f>IFERROR(__xludf.DUMMYFUNCTION("""COMPUTED_VALUE"""),1210.0)</f>
        <v>1210</v>
      </c>
      <c r="J557" s="2">
        <f>IFERROR(__xludf.DUMMYFUNCTION("""COMPUTED_VALUE"""),605.0)</f>
        <v>605</v>
      </c>
      <c r="K557" s="2">
        <f>IFERROR(__xludf.DUMMYFUNCTION("""COMPUTED_VALUE"""),1.0)</f>
        <v>1</v>
      </c>
      <c r="L557" s="2" t="str">
        <f>IFERROR(__xludf.DUMMYFUNCTION("""COMPUTED_VALUE"""),"Технолюкс Ламповые TLWP (IP65)")</f>
        <v>Технолюкс Ламповые TLWP (IP65)</v>
      </c>
      <c r="M557" s="2" t="str">
        <f>IFERROR(__xludf.DUMMYFUNCTION("""COMPUTED_VALUE"""),"Ламповые светильники")</f>
        <v>Ламповые светильники</v>
      </c>
    </row>
    <row r="558">
      <c r="A558" s="5" t="str">
        <f>IFERROR(__xludf.DUMMYFUNCTION("""COMPUTED_VALUE"""),"4260708174656")</f>
        <v>4260708174656</v>
      </c>
      <c r="B558" s="5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IFERROR(__xludf.DUMMYFUNCTION("""COMPUTED_VALUE"""),1242.0)</f>
        <v>1242</v>
      </c>
      <c r="K558" s="2">
        <f>IFERROR(__xludf.DUMMYFUNCTION("""COMPUTED_VALUE"""),33.0)</f>
        <v>33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5" t="str">
        <f>IFERROR(__xludf.DUMMYFUNCTION("""COMPUTED_VALUE"""),"4690612035116")</f>
        <v>4690612035116</v>
      </c>
      <c r="B559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IFERROR(__xludf.DUMMYFUNCTION("""COMPUTED_VALUE"""),"4690612037417")</f>
        <v>4690612037417</v>
      </c>
      <c r="B560" s="5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IFERROR(__xludf.DUMMYFUNCTION("""COMPUTED_VALUE"""),"GL5136")</f>
        <v>GL5136</v>
      </c>
      <c r="B561" s="5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5" t="str">
        <f>IFERROR(__xludf.DUMMYFUNCTION("""COMPUTED_VALUE"""),"4690612042701")</f>
        <v>4690612042701</v>
      </c>
      <c r="B562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IFERROR(__xludf.DUMMYFUNCTION("""COMPUTED_VALUE"""),"12-0141")</f>
        <v>12-0141</v>
      </c>
      <c r="B563" s="5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IFERROR(__xludf.DUMMYFUNCTION("""COMPUTED_VALUE"""),"G23225")</f>
        <v>G23225</v>
      </c>
      <c r="B564" s="5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IFERROR(__xludf.DUMMYFUNCTION("""COMPUTED_VALUE"""),"4690612020594")</f>
        <v>4690612020594</v>
      </c>
      <c r="B565" s="5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IFERROR(__xludf.DUMMYFUNCTION("""COMPUTED_VALUE"""),"БПviled32Вт")</f>
        <v>БПviled32Вт</v>
      </c>
      <c r="B566" s="5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IFERROR(__xludf.DUMMYFUNCTION("""COMPUTED_VALUE"""),"R100297")</f>
        <v>R100297</v>
      </c>
      <c r="B567" s="5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IFERROR(__xludf.DUMMYFUNCTION("""COMPUTED_VALUE"""),232.0)</f>
        <v>232</v>
      </c>
      <c r="G567" s="2">
        <f>IFERROR(__xludf.DUMMYFUNCTION("""COMPUTED_VALUE"""),273.0)</f>
        <v>273</v>
      </c>
      <c r="H567" s="2">
        <f>IFERROR(__xludf.DUMMYFUNCTION("""COMPUTED_VALUE"""),281.0)</f>
        <v>281</v>
      </c>
      <c r="I567" s="2">
        <f>IFERROR(__xludf.DUMMYFUNCTION("""COMPUTED_VALUE"""),324.0)</f>
        <v>324</v>
      </c>
      <c r="J567" s="2">
        <f>IFERROR(__xludf.DUMMYFUNCTION("""COMPUTED_VALUE"""),162.0)</f>
        <v>162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5" t="str">
        <f>IFERROR(__xludf.DUMMYFUNCTION("""COMPUTED_VALUE"""),"11700006")</f>
        <v>11700006</v>
      </c>
      <c r="B568" s="5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5" t="str">
        <f>IFERROR(__xludf.DUMMYFUNCTION("""COMPUTED_VALUE"""),"NVAS010")</f>
        <v>NVAS010</v>
      </c>
      <c r="B569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IFERROR(__xludf.DUMMYFUNCTION("""COMPUTED_VALUE"""),"4690612009070")</f>
        <v>4690612009070</v>
      </c>
      <c r="B570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IFERROR(__xludf.DUMMYFUNCTION("""COMPUTED_VALUE"""),"4690612035338")</f>
        <v>4690612035338</v>
      </c>
      <c r="B571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5" t="str">
        <f>IFERROR(__xludf.DUMMYFUNCTION("""COMPUTED_VALUE"""),"V9007")</f>
        <v>V9007</v>
      </c>
      <c r="B572" s="5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IFERROR(__xludf.DUMMYFUNCTION("""COMPUTED_VALUE"""),0.118)</f>
        <v>0.118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IFERROR(__xludf.DUMMYFUNCTION("""COMPUTED_VALUE"""),217.0)</f>
        <v>217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5" t="str">
        <f>IFERROR(__xludf.DUMMYFUNCTION("""COMPUTED_VALUE"""),"ves021")</f>
        <v>ves021</v>
      </c>
      <c r="B573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IFERROR(__xludf.DUMMYFUNCTION("""COMPUTED_VALUE"""),"4690612034836")</f>
        <v>4690612034836</v>
      </c>
      <c r="B574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IFERROR(__xludf.DUMMYFUNCTION("""COMPUTED_VALUE"""),"12-0105")</f>
        <v>12-0105</v>
      </c>
      <c r="B575" s="5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IFERROR(__xludf.DUMMYFUNCTION("""COMPUTED_VALUE"""),"4690612026145-10")</f>
        <v>4690612026145-10</v>
      </c>
      <c r="B576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IFERROR(__xludf.DUMMYFUNCTION("""COMPUTED_VALUE"""),12.0)</f>
        <v>12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IFERROR(__xludf.DUMMYFUNCTION("""COMPUTED_VALUE"""),"GL8112")</f>
        <v>GL8112</v>
      </c>
      <c r="B577" s="5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IFERROR(__xludf.DUMMYFUNCTION("""COMPUTED_VALUE"""),"4690612007618")</f>
        <v>4690612007618</v>
      </c>
      <c r="B578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IFERROR(__xludf.DUMMYFUNCTION("""COMPUTED_VALUE"""),"4690612025582")</f>
        <v>4690612025582</v>
      </c>
      <c r="B579" s="5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5" t="str">
        <f>IFERROR(__xludf.DUMMYFUNCTION("""COMPUTED_VALUE"""),"Fefco/0201-10")</f>
        <v>Fefco/0201-10</v>
      </c>
      <c r="B580" s="5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IFERROR(__xludf.DUMMYFUNCTION("""COMPUTED_VALUE"""),"4690612025001")</f>
        <v>4690612025001</v>
      </c>
      <c r="B581" s="5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5" t="str">
        <f>IFERROR(__xludf.DUMMYFUNCTION("""COMPUTED_VALUE"""),"Fefco/0203-4")</f>
        <v>Fefco/0203-4</v>
      </c>
      <c r="B582" s="5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IFERROR(__xludf.DUMMYFUNCTION("""COMPUTED_VALUE"""),179.0)</f>
        <v>179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IFERROR(__xludf.DUMMYFUNCTION("""COMPUTED_VALUE"""),"4690612010632")</f>
        <v>4690612010632</v>
      </c>
      <c r="B583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5" t="str">
        <f>IFERROR(__xludf.DUMMYFUNCTION("""COMPUTED_VALUE"""),"4260652192782")</f>
        <v>4260652192782</v>
      </c>
      <c r="B584" s="5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5" t="str">
        <f>IFERROR(__xludf.DUMMYFUNCTION("""COMPUTED_VALUE"""),"4690612001791")</f>
        <v>4690612001791</v>
      </c>
      <c r="B585" s="5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IFERROR(__xludf.DUMMYFUNCTION("""COMPUTED_VALUE"""),"4690612053066-2")</f>
        <v>4690612053066-2</v>
      </c>
      <c r="B586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5" t="str">
        <f>IFERROR(__xludf.DUMMYFUNCTION("""COMPUTED_VALUE"""),"4680005959815-5")</f>
        <v>4680005959815-5</v>
      </c>
      <c r="B587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IFERROR(__xludf.DUMMYFUNCTION("""COMPUTED_VALUE"""),1.0)</f>
        <v>1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IFERROR(__xludf.DUMMYFUNCTION("""COMPUTED_VALUE"""),"GL8130")</f>
        <v>GL8130</v>
      </c>
      <c r="B588" s="5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IFERROR(__xludf.DUMMYFUNCTION("""COMPUTED_VALUE"""),"4690612057293-1")</f>
        <v>4690612057293-1</v>
      </c>
      <c r="B589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5" t="str">
        <f>IFERROR(__xludf.DUMMYFUNCTION("""COMPUTED_VALUE"""),"GL8152")</f>
        <v>GL8152</v>
      </c>
      <c r="B590" s="5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IFERROR(__xludf.DUMMYFUNCTION("""COMPUTED_VALUE"""),"4690612024080")</f>
        <v>4690612024080</v>
      </c>
      <c r="B591" s="5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IFERROR(__xludf.DUMMYFUNCTION("""COMPUTED_VALUE"""),"4690612000398-5")</f>
        <v>4690612000398-5</v>
      </c>
      <c r="B592" s="5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IFERROR(__xludf.DUMMYFUNCTION("""COMPUTED_VALUE"""),"4260652193345")</f>
        <v>4260652193345</v>
      </c>
      <c r="B593" s="5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IFERROR(__xludf.DUMMYFUNCTION("""COMPUTED_VALUE"""),7.0)</f>
        <v>7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5" t="str">
        <f>IFERROR(__xludf.DUMMYFUNCTION("""COMPUTED_VALUE"""),"GL8262")</f>
        <v>GL8262</v>
      </c>
      <c r="B594" s="5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5" t="str">
        <f>IFERROR(__xludf.DUMMYFUNCTION("""COMPUTED_VALUE"""),"4690612029863")</f>
        <v>4690612029863</v>
      </c>
      <c r="B595" s="5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IFERROR(__xludf.DUMMYFUNCTION("""COMPUTED_VALUE"""),"4690612040165")</f>
        <v>4690612040165</v>
      </c>
      <c r="B596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5" t="str">
        <f>IFERROR(__xludf.DUMMYFUNCTION("""COMPUTED_VALUE"""),"4262356474683")</f>
        <v>4262356474683</v>
      </c>
      <c r="B597" s="5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IFERROR(__xludf.DUMMYFUNCTION("""COMPUTED_VALUE"""),45.0)</f>
        <v>45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5" t="str">
        <f>IFERROR(__xludf.DUMMYFUNCTION("""COMPUTED_VALUE"""),"GL8432")</f>
        <v>GL8432</v>
      </c>
      <c r="B598" s="5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IFERROR(__xludf.DUMMYFUNCTION("""COMPUTED_VALUE"""),35.0)</f>
        <v>35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5" t="str">
        <f>IFERROR(__xludf.DUMMYFUNCTION("""COMPUTED_VALUE"""),"51-0527-2")</f>
        <v>51-0527-2</v>
      </c>
      <c r="B599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IFERROR(__xludf.DUMMYFUNCTION("""COMPUTED_VALUE"""),"4690612019857")</f>
        <v>4690612019857</v>
      </c>
      <c r="B600" s="5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IFERROR(__xludf.DUMMYFUNCTION("""COMPUTED_VALUE"""),"4690612020822")</f>
        <v>4690612020822</v>
      </c>
      <c r="B601" s="5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IFERROR(__xludf.DUMMYFUNCTION("""COMPUTED_VALUE"""),"4690612020457")</f>
        <v>4690612020457</v>
      </c>
      <c r="B602" s="5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IFERROR(__xludf.DUMMYFUNCTION("""COMPUTED_VALUE"""),"4690612020204")</f>
        <v>4690612020204</v>
      </c>
      <c r="B603" s="5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IFERROR(__xludf.DUMMYFUNCTION("""COMPUTED_VALUE"""),"4690612020808")</f>
        <v>4690612020808</v>
      </c>
      <c r="B604" s="5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IFERROR(__xludf.DUMMYFUNCTION("""COMPUTED_VALUE"""),"12-0126")</f>
        <v>12-0126</v>
      </c>
      <c r="B605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IFERROR(__xludf.DUMMYFUNCTION("""COMPUTED_VALUE"""),"55082")</f>
        <v>55082</v>
      </c>
      <c r="B606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5" t="str">
        <f>IFERROR(__xludf.DUMMYFUNCTION("""COMPUTED_VALUE"""),"R100344-1")</f>
        <v>R100344-1</v>
      </c>
      <c r="B607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IFERROR(__xludf.DUMMYFUNCTION("""COMPUTED_VALUE"""),11.0)</f>
        <v>11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5" t="str">
        <f>IFERROR(__xludf.DUMMYFUNCTION("""COMPUTED_VALUE"""),"ves003")</f>
        <v>ves003</v>
      </c>
      <c r="B608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5" t="str">
        <f>IFERROR(__xludf.DUMMYFUNCTION("""COMPUTED_VALUE"""),"4690612057279-1")</f>
        <v>4690612057279-1</v>
      </c>
      <c r="B609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5" t="str">
        <f>IFERROR(__xludf.DUMMYFUNCTION("""COMPUTED_VALUE"""),"4690612029634-2")</f>
        <v>4690612029634-2</v>
      </c>
      <c r="B610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5" t="str">
        <f>IFERROR(__xludf.DUMMYFUNCTION("""COMPUTED_VALUE"""),"Fefco/0201-4")</f>
        <v>Fefco/0201-4</v>
      </c>
      <c r="B611" s="5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IFERROR(__xludf.DUMMYFUNCTION("""COMPUTED_VALUE"""),"4260652192744")</f>
        <v>4260652192744</v>
      </c>
      <c r="B612" s="5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IFERROR(__xludf.DUMMYFUNCTION("""COMPUTED_VALUE"""),"V9008")</f>
        <v>V9008</v>
      </c>
      <c r="B613" s="5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IFERROR(__xludf.DUMMYFUNCTION("""COMPUTED_VALUE"""),0.122)</f>
        <v>0.122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IFERROR(__xludf.DUMMYFUNCTION("""COMPUTED_VALUE"""),11.0)</f>
        <v>11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5" t="str">
        <f>IFERROR(__xludf.DUMMYFUNCTION("""COMPUTED_VALUE"""),"Fefco/0201-1")</f>
        <v>Fefco/0201-1</v>
      </c>
      <c r="B614" s="5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IFERROR(__xludf.DUMMYFUNCTION("""COMPUTED_VALUE"""),"4690612007274")</f>
        <v>4690612007274</v>
      </c>
      <c r="B615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IFERROR(__xludf.DUMMYFUNCTION("""COMPUTED_VALUE"""),115.0)</f>
        <v>115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IFERROR(__xludf.DUMMYFUNCTION("""COMPUTED_VALUE"""),"06-0110-B")</f>
        <v>06-0110-B</v>
      </c>
      <c r="B616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IFERROR(__xludf.DUMMYFUNCTION("""COMPUTED_VALUE"""),"4690612035352")</f>
        <v>4690612035352</v>
      </c>
      <c r="B617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5" t="str">
        <f>IFERROR(__xludf.DUMMYFUNCTION("""COMPUTED_VALUE"""),"4690612020723")</f>
        <v>4690612020723</v>
      </c>
      <c r="B618" s="5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IFERROR(__xludf.DUMMYFUNCTION("""COMPUTED_VALUE"""),"4690626071261")</f>
        <v>4690626071261</v>
      </c>
      <c r="B619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5" t="str">
        <f>IFERROR(__xludf.DUMMYFUNCTION("""COMPUTED_VALUE"""),"ves2010")</f>
        <v>ves2010</v>
      </c>
      <c r="B620" s="5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IFERROR(__xludf.DUMMYFUNCTION("""COMPUTED_VALUE"""),"4690612000404-5")</f>
        <v>4690612000404-5</v>
      </c>
      <c r="B62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1" s="2">
        <f>IFERROR(__xludf.DUMMYFUNCTION("""COMPUTED_VALUE"""),0.065)</f>
        <v>0.065</v>
      </c>
      <c r="D621" s="2">
        <f>IFERROR(__xludf.DUMMYFUNCTION("""COMPUTED_VALUE"""),3.4E-4)</f>
        <v>0.00034</v>
      </c>
      <c r="E621" s="2">
        <f>IFERROR(__xludf.DUMMYFUNCTION("""COMPUTED_VALUE"""),240.95)</f>
        <v>240.95</v>
      </c>
      <c r="F621" s="2">
        <f>IFERROR(__xludf.DUMMYFUNCTION("""COMPUTED_VALUE"""),264.0)</f>
        <v>264</v>
      </c>
      <c r="G621" s="2">
        <f>IFERROR(__xludf.DUMMYFUNCTION("""COMPUTED_VALUE"""),347.0)</f>
        <v>347</v>
      </c>
      <c r="H621" s="2">
        <f>IFERROR(__xludf.DUMMYFUNCTION("""COMPUTED_VALUE"""),391.0)</f>
        <v>391</v>
      </c>
      <c r="I621" s="2">
        <f>IFERROR(__xludf.DUMMYFUNCTION("""COMPUTED_VALUE"""),434.0)</f>
        <v>434</v>
      </c>
      <c r="J621" s="2">
        <f>IFERROR(__xludf.DUMMYFUNCTION("""COMPUTED_VALUE"""),217.0)</f>
        <v>217</v>
      </c>
      <c r="K621" s="2">
        <f>IFERROR(__xludf.DUMMYFUNCTION("""COMPUTED_VALUE"""),4.0)</f>
        <v>4</v>
      </c>
      <c r="L621" s="2" t="str">
        <f>IFERROR(__xludf.DUMMYFUNCTION("""COMPUTED_VALUE"""),"Розетки, вилки производство, упаковка")</f>
        <v>Розетки, вилки производство, упаковка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IFERROR(__xludf.DUMMYFUNCTION("""COMPUTED_VALUE"""),"4690612037646-1")</f>
        <v>4690612037646-1</v>
      </c>
      <c r="B62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2" s="2">
        <f>IFERROR(__xludf.DUMMYFUNCTION("""COMPUTED_VALUE"""),1.35)</f>
        <v>1.35</v>
      </c>
      <c r="D622" s="2">
        <f>IFERROR(__xludf.DUMMYFUNCTION("""COMPUTED_VALUE"""),0.006730000000000001)</f>
        <v>0.00673</v>
      </c>
      <c r="E622" s="2">
        <f>IFERROR(__xludf.DUMMYFUNCTION("""COMPUTED_VALUE"""),605.28)</f>
        <v>605.28</v>
      </c>
      <c r="F622" s="2">
        <f>IFERROR(__xludf.DUMMYFUNCTION("""COMPUTED_VALUE"""),664.0)</f>
        <v>664</v>
      </c>
      <c r="G622" s="2">
        <f>IFERROR(__xludf.DUMMYFUNCTION("""COMPUTED_VALUE"""),872.0)</f>
        <v>872</v>
      </c>
      <c r="H622" s="2">
        <f>IFERROR(__xludf.DUMMYFUNCTION("""COMPUTED_VALUE"""),981.0)</f>
        <v>981</v>
      </c>
      <c r="I622" s="2">
        <f>IFERROR(__xludf.DUMMYFUNCTION("""COMPUTED_VALUE"""),1090.0)</f>
        <v>1090</v>
      </c>
      <c r="J622" s="2">
        <f>IFERROR(__xludf.DUMMYFUNCTION("""COMPUTED_VALUE"""),545.0)</f>
        <v>545</v>
      </c>
      <c r="K622" s="2">
        <f>IFERROR(__xludf.DUMMYFUNCTION("""COMPUTED_VALUE"""),1.0)</f>
        <v>1</v>
      </c>
      <c r="L6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3">
      <c r="A623" s="5" t="str">
        <f>IFERROR(__xludf.DUMMYFUNCTION("""COMPUTED_VALUE"""),"55052")</f>
        <v>55052</v>
      </c>
      <c r="B62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IFERROR(__xludf.DUMMYFUNCTION("""COMPUTED_VALUE"""),124.93)</f>
        <v>124.93</v>
      </c>
      <c r="F623" s="2">
        <f>IFERROR(__xludf.DUMMYFUNCTION("""COMPUTED_VALUE"""),140.0)</f>
        <v>140</v>
      </c>
      <c r="G623" s="2">
        <f>IFERROR(__xludf.DUMMYFUNCTION("""COMPUTED_VALUE"""),153.0)</f>
        <v>153</v>
      </c>
      <c r="H623" s="2">
        <f>IFERROR(__xludf.DUMMYFUNCTION("""COMPUTED_VALUE"""),165.0)</f>
        <v>165</v>
      </c>
      <c r="I623" s="2">
        <f>IFERROR(__xludf.DUMMYFUNCTION("""COMPUTED_VALUE"""),178.0)</f>
        <v>178</v>
      </c>
      <c r="J623" s="2">
        <f>IFERROR(__xludf.DUMMYFUNCTION("""COMPUTED_VALUE"""),89.0)</f>
        <v>89</v>
      </c>
      <c r="K623" s="2">
        <f>IFERROR(__xludf.DUMMYFUNCTION("""COMPUTED_VALUE"""),31.0)</f>
        <v>31</v>
      </c>
      <c r="L623" s="2" t="str">
        <f>IFERROR(__xludf.DUMMYFUNCTION("""COMPUTED_VALUE"""),"Праздничная иллюминация")</f>
        <v>Праздничная иллюминация</v>
      </c>
      <c r="M6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4">
      <c r="A624" s="5" t="str">
        <f>IFERROR(__xludf.DUMMYFUNCTION("""COMPUTED_VALUE"""),"LP5686")</f>
        <v>LP5686</v>
      </c>
      <c r="B624" s="5" t="str">
        <f>IFERROR(__xludf.DUMMYFUNCTION("""COMPUTED_VALUE"""),"Школа, призма, 24 Вт, IP65")</f>
        <v>Школа, призма, 24 Вт, IP65</v>
      </c>
      <c r="C624" s="2">
        <f>IFERROR(__xludf.DUMMYFUNCTION("""COMPUTED_VALUE"""),0.8)</f>
        <v>0.8</v>
      </c>
      <c r="D624" s="2">
        <f>IFERROR(__xludf.DUMMYFUNCTION("""COMPUTED_VALUE"""),0.01303)</f>
        <v>0.01303</v>
      </c>
      <c r="E624" s="2">
        <f>IFERROR(__xludf.DUMMYFUNCTION("""COMPUTED_VALUE"""),1166.2)</f>
        <v>1166.2</v>
      </c>
      <c r="F624" s="2">
        <f>IFERROR(__xludf.DUMMYFUNCTION("""COMPUTED_VALUE"""),1439.0)</f>
        <v>1439</v>
      </c>
      <c r="G624" s="2">
        <f>IFERROR(__xludf.DUMMYFUNCTION("""COMPUTED_VALUE"""),1730.0)</f>
        <v>1730</v>
      </c>
      <c r="H624" s="2">
        <f>IFERROR(__xludf.DUMMYFUNCTION("""COMPUTED_VALUE"""),1870.0)</f>
        <v>1870</v>
      </c>
      <c r="I624" s="2">
        <f>IFERROR(__xludf.DUMMYFUNCTION("""COMPUTED_VALUE"""),2160.0)</f>
        <v>2160</v>
      </c>
      <c r="J624" s="2">
        <f>IFERROR(__xludf.DUMMYFUNCTION("""COMPUTED_VALUE"""),1080.0)</f>
        <v>1080</v>
      </c>
      <c r="K624" s="2">
        <f>IFERROR(__xludf.DUMMYFUNCTION("""COMPUTED_VALUE"""),1.0)</f>
        <v>1</v>
      </c>
      <c r="L624" s="2" t="str">
        <f>IFERROR(__xludf.DUMMYFUNCTION("""COMPUTED_VALUE"""),"Школа, модификации")</f>
        <v>Школа, модификации</v>
      </c>
      <c r="M624" s="2" t="str">
        <f>IFERROR(__xludf.DUMMYFUNCTION("""COMPUTED_VALUE"""),"Встраиваемые, LED Светильники")</f>
        <v>Встраиваемые, LED Светильники</v>
      </c>
    </row>
    <row r="625">
      <c r="A625" s="5" t="str">
        <f>IFERROR(__xludf.DUMMYFUNCTION("""COMPUTED_VALUE"""),"4690612020525-10")</f>
        <v>4690612020525-10</v>
      </c>
      <c r="B625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5" s="2">
        <f>IFERROR(__xludf.DUMMYFUNCTION("""COMPUTED_VALUE"""),0.03)</f>
        <v>0.03</v>
      </c>
      <c r="D625" s="2">
        <f>IFERROR(__xludf.DUMMYFUNCTION("""COMPUTED_VALUE"""),0.0023)</f>
        <v>0.0023</v>
      </c>
      <c r="E625" s="2">
        <f>IFERROR(__xludf.DUMMYFUNCTION("""COMPUTED_VALUE"""),384.0)</f>
        <v>384</v>
      </c>
      <c r="F625" s="2">
        <f>IFERROR(__xludf.DUMMYFUNCTION("""COMPUTED_VALUE"""),421.0)</f>
        <v>421</v>
      </c>
      <c r="G625" s="2">
        <f>IFERROR(__xludf.DUMMYFUNCTION("""COMPUTED_VALUE"""),553.0)</f>
        <v>553</v>
      </c>
      <c r="H625" s="2">
        <f>IFERROR(__xludf.DUMMYFUNCTION("""COMPUTED_VALUE"""),622.0)</f>
        <v>622</v>
      </c>
      <c r="I625" s="2">
        <f>IFERROR(__xludf.DUMMYFUNCTION("""COMPUTED_VALUE"""),691.0)</f>
        <v>691</v>
      </c>
      <c r="J625" s="2">
        <f>IFERROR(__xludf.DUMMYFUNCTION("""COMPUTED_VALUE"""),346.0)</f>
        <v>346</v>
      </c>
      <c r="K625" s="2">
        <f>IFERROR(__xludf.DUMMYFUNCTION("""COMPUTED_VALUE"""),10.0)</f>
        <v>10</v>
      </c>
      <c r="L625" s="2" t="str">
        <f>IFERROR(__xludf.DUMMYFUNCTION("""COMPUTED_VALUE"""),"Лампы производство, упаковка")</f>
        <v>Лампы производство, упаковка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IFERROR(__xludf.DUMMYFUNCTION("""COMPUTED_VALUE"""),"4690612012278")</f>
        <v>4690612012278</v>
      </c>
      <c r="B626" s="5" t="str">
        <f>IFERROR(__xludf.DUMMYFUNCTION("""COMPUTED_VALUE"""),"LED-JCDR-standard 7.5Вт 230В GU5.3 6500К 675Лм ASD")</f>
        <v>LED-JCDR-standard 7.5Вт 230В GU5.3 6500К 675Лм ASD</v>
      </c>
      <c r="C626" s="2">
        <f>IFERROR(__xludf.DUMMYFUNCTION("""COMPUTED_VALUE"""),0.03)</f>
        <v>0.03</v>
      </c>
      <c r="D626" s="2">
        <f>IFERROR(__xludf.DUMMYFUNCTION("""COMPUTED_VALUE"""),2.1E-4)</f>
        <v>0.00021</v>
      </c>
      <c r="E626" s="2">
        <f>IFERROR(__xludf.DUMMYFUNCTION("""COMPUTED_VALUE"""),34.84)</f>
        <v>34.84</v>
      </c>
      <c r="F626" s="2">
        <f>IFERROR(__xludf.DUMMYFUNCTION("""COMPUTED_VALUE"""),27.0)</f>
        <v>27</v>
      </c>
      <c r="G626" s="2">
        <f>IFERROR(__xludf.DUMMYFUNCTION("""COMPUTED_VALUE"""),31.0)</f>
        <v>31</v>
      </c>
      <c r="H626" s="2">
        <f>IFERROR(__xludf.DUMMYFUNCTION("""COMPUTED_VALUE"""),36.0)</f>
        <v>36</v>
      </c>
      <c r="I626" s="2">
        <f>IFERROR(__xludf.DUMMYFUNCTION("""COMPUTED_VALUE"""),41.35)</f>
        <v>41.35</v>
      </c>
      <c r="J626" s="2">
        <f>IFERROR(__xludf.DUMMYFUNCTION("""COMPUTED_VALUE"""),21.0)</f>
        <v>21</v>
      </c>
      <c r="K626" s="2">
        <f>IFERROR(__xludf.DUMMYFUNCTION("""COMPUTED_VALUE"""),60.0)</f>
        <v>60</v>
      </c>
      <c r="L626" s="2" t="str">
        <f>IFERROR(__xludf.DUMMYFUNCTION("""COMPUTED_VALUE"""),"Лампа светодиодная LED-JCDR-standard")</f>
        <v>Лампа светодиодная LED-JCDR-standard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IFERROR(__xludf.DUMMYFUNCTION("""COMPUTED_VALUE"""),"4690612034492")</f>
        <v>4690612034492</v>
      </c>
      <c r="B627" s="5" t="str">
        <f>IFERROR(__xludf.DUMMYFUNCTION("""COMPUTED_VALUE"""),"БС М1В с аккумулятором USB черный IN HOME")</f>
        <v>БС М1В с аккумулятором USB черный IN HOME</v>
      </c>
      <c r="C627" s="2">
        <f>IFERROR(__xludf.DUMMYFUNCTION("""COMPUTED_VALUE"""),0.08)</f>
        <v>0.08</v>
      </c>
      <c r="D627" s="2">
        <f>IFERROR(__xludf.DUMMYFUNCTION("""COMPUTED_VALUE"""),2.0E-4)</f>
        <v>0.0002</v>
      </c>
      <c r="E627" s="2">
        <f>IFERROR(__xludf.DUMMYFUNCTION("""COMPUTED_VALUE"""),1092.1)</f>
        <v>1092.1</v>
      </c>
      <c r="F627" s="2">
        <f>IFERROR(__xludf.DUMMYFUNCTION("""COMPUTED_VALUE"""),880.0)</f>
        <v>880</v>
      </c>
      <c r="G627" s="2">
        <f>IFERROR(__xludf.DUMMYFUNCTION("""COMPUTED_VALUE"""),990.0)</f>
        <v>990</v>
      </c>
      <c r="H627" s="2">
        <f>IFERROR(__xludf.DUMMYFUNCTION("""COMPUTED_VALUE"""),1148.0)</f>
        <v>1148</v>
      </c>
      <c r="I627" s="2">
        <f>IFERROR(__xludf.DUMMYFUNCTION("""COMPUTED_VALUE"""),1320.0)</f>
        <v>1320</v>
      </c>
      <c r="J627" s="2">
        <f>IFERROR(__xludf.DUMMYFUNCTION("""COMPUTED_VALUE"""),660.0)</f>
        <v>660</v>
      </c>
      <c r="K627" s="2">
        <f>IFERROR(__xludf.DUMMYFUNCTION("""COMPUTED_VALUE"""),6.0)</f>
        <v>6</v>
      </c>
      <c r="L62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8">
      <c r="A628" s="5" t="str">
        <f>IFERROR(__xludf.DUMMYFUNCTION("""COMPUTED_VALUE"""),"GL8240")</f>
        <v>GL8240</v>
      </c>
      <c r="B628" s="5" t="str">
        <f>IFERROR(__xludf.DUMMYFUNCTION("""COMPUTED_VALUE"""),"GLERIO Line Shell 24 Вт 4000К 92P-24D-4P-M")</f>
        <v>GLERIO Line Shell 24 Вт 4000К 92P-24D-4P-M</v>
      </c>
      <c r="C628" s="2">
        <f>IFERROR(__xludf.DUMMYFUNCTION("""COMPUTED_VALUE"""),1.575)</f>
        <v>1.575</v>
      </c>
      <c r="D628" s="2">
        <f>IFERROR(__xludf.DUMMYFUNCTION("""COMPUTED_VALUE"""),0.00495)</f>
        <v>0.00495</v>
      </c>
      <c r="E628" s="2">
        <f>IFERROR(__xludf.DUMMYFUNCTION("""COMPUTED_VALUE"""),1843.37)</f>
        <v>1843.37</v>
      </c>
      <c r="F628" s="2">
        <f>IFERROR(__xludf.DUMMYFUNCTION("""COMPUTED_VALUE"""),2150.0)</f>
        <v>2150</v>
      </c>
      <c r="G628" s="2">
        <f>IFERROR(__xludf.DUMMYFUNCTION("""COMPUTED_VALUE"""),2707.0)</f>
        <v>2707</v>
      </c>
      <c r="H628" s="2">
        <f>IFERROR(__xludf.DUMMYFUNCTION("""COMPUTED_VALUE"""),3040.0)</f>
        <v>3040</v>
      </c>
      <c r="I628" s="2">
        <f>IFERROR(__xludf.DUMMYFUNCTION("""COMPUTED_VALUE"""),3373.0)</f>
        <v>3373</v>
      </c>
      <c r="J628" s="2">
        <f>IFERROR(__xludf.DUMMYFUNCTION("""COMPUTED_VALUE"""),2707.0)</f>
        <v>2707</v>
      </c>
      <c r="K628" s="2">
        <f>IFERROR(__xludf.DUMMYFUNCTION("""COMPUTED_VALUE"""),28.0)</f>
        <v>28</v>
      </c>
      <c r="L628" s="2" t="str">
        <f>IFERROR(__xludf.DUMMYFUNCTION("""COMPUTED_VALUE"""),"Line Shell, Free (Retail) до 10.2025")</f>
        <v>Line Shell, Free (Retail) до 10.2025</v>
      </c>
      <c r="M62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9">
      <c r="A629" s="5" t="str">
        <f>IFERROR(__xludf.DUMMYFUNCTION("""COMPUTED_VALUE"""),"4690612005096")</f>
        <v>4690612005096</v>
      </c>
      <c r="B629" s="5" t="str">
        <f>IFERROR(__xludf.DUMMYFUNCTION("""COMPUTED_VALUE"""),"LED-GX53-standard 8Вт 230В 3000К 720Лм ASD")</f>
        <v>LED-GX53-standard 8Вт 230В 3000К 720Лм ASD</v>
      </c>
      <c r="C629" s="2">
        <f>IFERROR(__xludf.DUMMYFUNCTION("""COMPUTED_VALUE"""),0.03800000000000001)</f>
        <v>0.038</v>
      </c>
      <c r="D629" s="2">
        <f>IFERROR(__xludf.DUMMYFUNCTION("""COMPUTED_VALUE"""),1.8E-4)</f>
        <v>0.00018</v>
      </c>
      <c r="E629" s="2">
        <f>IFERROR(__xludf.DUMMYFUNCTION("""COMPUTED_VALUE"""),45.56)</f>
        <v>45.56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IFERROR(__xludf.DUMMYFUNCTION("""COMPUTED_VALUE"""),5.0)</f>
        <v>5</v>
      </c>
      <c r="L629" s="2" t="str">
        <f>IFERROR(__xludf.DUMMYFUNCTION("""COMPUTED_VALUE"""),"Лампа светодиодная LED-GX53-standard")</f>
        <v>Лампа светодиодная LED-GX53-standard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IFERROR(__xludf.DUMMYFUNCTION("""COMPUTED_VALUE"""),"4690612003979")</f>
        <v>4690612003979</v>
      </c>
      <c r="B630" s="5" t="str">
        <f>IFERROR(__xludf.DUMMYFUNCTION("""COMPUTED_VALUE"""),"LED-ШАР-standard 7.5Вт 160-260В Е14 4000К 600Лм")</f>
        <v>LED-ШАР-standard 7.5Вт 160-260В Е14 4000К 600Лм</v>
      </c>
      <c r="C630" s="2">
        <f>IFERROR(__xludf.DUMMYFUNCTION("""COMPUTED_VALUE"""),0.028)</f>
        <v>0.028</v>
      </c>
      <c r="D630" s="2">
        <f>IFERROR(__xludf.DUMMYFUNCTION("""COMPUTED_VALUE"""),2.3E-4)</f>
        <v>0.00023</v>
      </c>
      <c r="E630" s="2">
        <f>IFERROR(__xludf.DUMMYFUNCTION("""COMPUTED_VALUE"""),36.24)</f>
        <v>36.24</v>
      </c>
      <c r="F630" s="2">
        <f>IFERROR(__xludf.DUMMYFUNCTION("""COMPUTED_VALUE"""),27.0)</f>
        <v>27</v>
      </c>
      <c r="G630" s="2">
        <f>IFERROR(__xludf.DUMMYFUNCTION("""COMPUTED_VALUE"""),30.0)</f>
        <v>30</v>
      </c>
      <c r="H630" s="2">
        <f>IFERROR(__xludf.DUMMYFUNCTION("""COMPUTED_VALUE"""),35.0)</f>
        <v>35</v>
      </c>
      <c r="I630" s="2">
        <f>IFERROR(__xludf.DUMMYFUNCTION("""COMPUTED_VALUE"""),40.4)</f>
        <v>40.4</v>
      </c>
      <c r="J630" s="2">
        <f>IFERROR(__xludf.DUMMYFUNCTION("""COMPUTED_VALUE"""),20.0)</f>
        <v>20</v>
      </c>
      <c r="K630" s="2">
        <f>IFERROR(__xludf.DUMMYFUNCTION("""COMPUTED_VALUE"""),4.0)</f>
        <v>4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IFERROR(__xludf.DUMMYFUNCTION("""COMPUTED_VALUE"""),"4690612005126-10")</f>
        <v>4690612005126-10</v>
      </c>
      <c r="B631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1" s="2">
        <f>IFERROR(__xludf.DUMMYFUNCTION("""COMPUTED_VALUE"""),0.05500000000000001)</f>
        <v>0.055</v>
      </c>
      <c r="D631" s="2">
        <f>IFERROR(__xludf.DUMMYFUNCTION("""COMPUTED_VALUE"""),1.9E-4)</f>
        <v>0.00019</v>
      </c>
      <c r="E631" s="2">
        <f>IFERROR(__xludf.DUMMYFUNCTION("""COMPUTED_VALUE"""),527.1)</f>
        <v>527.1</v>
      </c>
      <c r="F631" s="2">
        <f>IFERROR(__xludf.DUMMYFUNCTION("""COMPUTED_VALUE"""),578.0)</f>
        <v>578</v>
      </c>
      <c r="G631" s="2">
        <f>IFERROR(__xludf.DUMMYFUNCTION("""COMPUTED_VALUE"""),759.0)</f>
        <v>759</v>
      </c>
      <c r="H631" s="2">
        <f>IFERROR(__xludf.DUMMYFUNCTION("""COMPUTED_VALUE"""),854.0)</f>
        <v>854</v>
      </c>
      <c r="I631" s="2">
        <f>IFERROR(__xludf.DUMMYFUNCTION("""COMPUTED_VALUE"""),949.0)</f>
        <v>949</v>
      </c>
      <c r="J631" s="2">
        <f>IFERROR(__xludf.DUMMYFUNCTION("""COMPUTED_VALUE"""),475.0)</f>
        <v>475</v>
      </c>
      <c r="K631" s="2">
        <f>IFERROR(__xludf.DUMMYFUNCTION("""COMPUTED_VALUE"""),7.0)</f>
        <v>7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IFERROR(__xludf.DUMMYFUNCTION("""COMPUTED_VALUE"""),"4690612003764")</f>
        <v>4690612003764</v>
      </c>
      <c r="B632" s="5" t="str">
        <f>IFERROR(__xludf.DUMMYFUNCTION("""COMPUTED_VALUE"""),"LED-JCD-standard 3Вт 160-260В G9 3000К")</f>
        <v>LED-JCD-standard 3Вт 160-260В G9 3000К</v>
      </c>
      <c r="C632" s="2">
        <f>IFERROR(__xludf.DUMMYFUNCTION("""COMPUTED_VALUE"""),0.0145)</f>
        <v>0.0145</v>
      </c>
      <c r="D632" s="2">
        <f>IFERROR(__xludf.DUMMYFUNCTION("""COMPUTED_VALUE"""),5.0E-5)</f>
        <v>0.00005</v>
      </c>
      <c r="E632" s="2">
        <f>IFERROR(__xludf.DUMMYFUNCTION("""COMPUTED_VALUE"""),55.13)</f>
        <v>55.13</v>
      </c>
      <c r="F632" s="2">
        <f>IFERROR(__xludf.DUMMYFUNCTION("""COMPUTED_VALUE"""),34.0)</f>
        <v>34</v>
      </c>
      <c r="G632" s="2">
        <f>IFERROR(__xludf.DUMMYFUNCTION("""COMPUTED_VALUE"""),38.0)</f>
        <v>38</v>
      </c>
      <c r="H632" s="2">
        <f>IFERROR(__xludf.DUMMYFUNCTION("""COMPUTED_VALUE"""),45.0)</f>
        <v>45</v>
      </c>
      <c r="I632" s="2">
        <f>IFERROR(__xludf.DUMMYFUNCTION("""COMPUTED_VALUE"""),51.8)</f>
        <v>51.8</v>
      </c>
      <c r="J632" s="2">
        <f>IFERROR(__xludf.DUMMYFUNCTION("""COMPUTED_VALUE"""),26.0)</f>
        <v>26</v>
      </c>
      <c r="K632" s="2">
        <f>IFERROR(__xludf.DUMMYFUNCTION("""COMPUTED_VALUE"""),1.0)</f>
        <v>1</v>
      </c>
      <c r="L632" s="2" t="str">
        <f>IFERROR(__xludf.DUMMYFUNCTION("""COMPUTED_VALUE"""),"Лампа светодиодная LED-JCD-standard")</f>
        <v>Лампа светодиодная LED-JCD-standard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IFERROR(__xludf.DUMMYFUNCTION("""COMPUTED_VALUE"""),"4690612020556")</f>
        <v>4690612020556</v>
      </c>
      <c r="B633" s="5" t="str">
        <f>IFERROR(__xludf.DUMMYFUNCTION("""COMPUTED_VALUE"""),"LED-ШАР-VC 8Вт 230В Е14 4000К 760Лм IN HOME")</f>
        <v>LED-ШАР-VC 8Вт 230В Е14 4000К 760Лм IN HOME</v>
      </c>
      <c r="C633" s="2">
        <f>IFERROR(__xludf.DUMMYFUNCTION("""COMPUTED_VALUE"""),0.031)</f>
        <v>0.031</v>
      </c>
      <c r="D633" s="2">
        <f>IFERROR(__xludf.DUMMYFUNCTION("""COMPUTED_VALUE"""),2.3E-4)</f>
        <v>0.00023</v>
      </c>
      <c r="E633" s="2">
        <f>IFERROR(__xludf.DUMMYFUNCTION("""COMPUTED_VALUE"""),35.47)</f>
        <v>35.47</v>
      </c>
      <c r="F633" s="2">
        <f>IFERROR(__xludf.DUMMYFUNCTION("""COMPUTED_VALUE"""),45.0)</f>
        <v>45</v>
      </c>
      <c r="G633" s="2">
        <f>IFERROR(__xludf.DUMMYFUNCTION("""COMPUTED_VALUE"""),50.0)</f>
        <v>50</v>
      </c>
      <c r="H633" s="2">
        <f>IFERROR(__xludf.DUMMYFUNCTION("""COMPUTED_VALUE"""),58.0)</f>
        <v>58</v>
      </c>
      <c r="I633" s="2">
        <f>IFERROR(__xludf.DUMMYFUNCTION("""COMPUTED_VALUE"""),67.6)</f>
        <v>67.6</v>
      </c>
      <c r="J633" s="2">
        <f>IFERROR(__xludf.DUMMYFUNCTION("""COMPUTED_VALUE"""),34.0)</f>
        <v>34</v>
      </c>
      <c r="K633" s="2">
        <f>IFERROR(__xludf.DUMMYFUNCTION("""COMPUTED_VALUE"""),1.0)</f>
        <v>1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IFERROR(__xludf.DUMMYFUNCTION("""COMPUTED_VALUE"""),"4690626030893")</f>
        <v>4690626030893</v>
      </c>
      <c r="B634" s="5" t="str">
        <f>IFERROR(__xludf.DUMMYFUNCTION("""COMPUTED_VALUE"""),"SBF-02-G")</f>
        <v>SBF-02-G</v>
      </c>
      <c r="C634" s="2">
        <f>IFERROR(__xludf.DUMMYFUNCTION("""COMPUTED_VALUE"""),0.294)</f>
        <v>0.294</v>
      </c>
      <c r="D634" s="2">
        <f>IFERROR(__xludf.DUMMYFUNCTION("""COMPUTED_VALUE"""),3.0E-5)</f>
        <v>0.00003</v>
      </c>
      <c r="E634" s="2">
        <f>IFERROR(__xludf.DUMMYFUNCTION("""COMPUTED_VALUE"""),288.75)</f>
        <v>288.75</v>
      </c>
      <c r="F634" s="2">
        <f>IFERROR(__xludf.DUMMYFUNCTION("""COMPUTED_VALUE"""),0.0)</f>
        <v>0</v>
      </c>
      <c r="G634" s="2">
        <f>IFERROR(__xludf.DUMMYFUNCTION("""COMPUTED_VALUE"""),0.0)</f>
        <v>0</v>
      </c>
      <c r="H634" s="2">
        <f>IFERROR(__xludf.DUMMYFUNCTION("""COMPUTED_VALUE"""),0.0)</f>
        <v>0</v>
      </c>
      <c r="I634" s="2">
        <f>IFERROR(__xludf.DUMMYFUNCTION("""COMPUTED_VALUE"""),0.0)</f>
        <v>0</v>
      </c>
      <c r="J634" s="2">
        <f>IFERROR(__xludf.DUMMYFUNCTION("""COMPUTED_VALUE"""),0.0)</f>
        <v>0</v>
      </c>
      <c r="K634" s="2">
        <f>IFERROR(__xludf.DUMMYFUNCTION("""COMPUTED_VALUE"""),1.0)</f>
        <v>1</v>
      </c>
      <c r="L634" s="2" t="str">
        <f>IFERROR(__xludf.DUMMYFUNCTION("""COMPUTED_VALUE"""),"Smartbuy фонари")</f>
        <v>Smartbuy фонари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IFERROR(__xludf.DUMMYFUNCTION("""COMPUTED_VALUE"""),"4690612020822-10")</f>
        <v>4690612020822-10</v>
      </c>
      <c r="B63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5" s="2">
        <f>IFERROR(__xludf.DUMMYFUNCTION("""COMPUTED_VALUE"""),0.04)</f>
        <v>0.04</v>
      </c>
      <c r="D635" s="2">
        <f>IFERROR(__xludf.DUMMYFUNCTION("""COMPUTED_VALUE"""),0.0021)</f>
        <v>0.0021</v>
      </c>
      <c r="E635" s="2">
        <f>IFERROR(__xludf.DUMMYFUNCTION("""COMPUTED_VALUE"""),534.0)</f>
        <v>534</v>
      </c>
      <c r="F635" s="2">
        <f>IFERROR(__xludf.DUMMYFUNCTION("""COMPUTED_VALUE"""),586.0)</f>
        <v>586</v>
      </c>
      <c r="G635" s="2">
        <f>IFERROR(__xludf.DUMMYFUNCTION("""COMPUTED_VALUE"""),769.0)</f>
        <v>769</v>
      </c>
      <c r="H635" s="2">
        <f>IFERROR(__xludf.DUMMYFUNCTION("""COMPUTED_VALUE"""),865.0)</f>
        <v>865</v>
      </c>
      <c r="I635" s="2">
        <f>IFERROR(__xludf.DUMMYFUNCTION("""COMPUTED_VALUE"""),961.0)</f>
        <v>961</v>
      </c>
      <c r="J635" s="2">
        <f>IFERROR(__xludf.DUMMYFUNCTION("""COMPUTED_VALUE"""),481.0)</f>
        <v>481</v>
      </c>
      <c r="K635" s="2">
        <f>IFERROR(__xludf.DUMMYFUNCTION("""COMPUTED_VALUE"""),9.0)</f>
        <v>9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IFERROR(__xludf.DUMMYFUNCTION("""COMPUTED_VALUE"""),"4690612003993")</f>
        <v>4690612003993</v>
      </c>
      <c r="B636" s="5" t="str">
        <f>IFERROR(__xludf.DUMMYFUNCTION("""COMPUTED_VALUE"""),"LED-ШАР-standard 7.5Вт 160-260В Е27 4000К ASD")</f>
        <v>LED-ШАР-standard 7.5Вт 160-260В Е27 4000К ASD</v>
      </c>
      <c r="C636" s="2">
        <f>IFERROR(__xludf.DUMMYFUNCTION("""COMPUTED_VALUE"""),0.0462)</f>
        <v>0.0462</v>
      </c>
      <c r="D636" s="2">
        <f>IFERROR(__xludf.DUMMYFUNCTION("""COMPUTED_VALUE"""),2.4E-4)</f>
        <v>0.00024</v>
      </c>
      <c r="E636" s="2">
        <f>IFERROR(__xludf.DUMMYFUNCTION("""COMPUTED_VALUE"""),41.71)</f>
        <v>41.71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IFERROR(__xludf.DUMMYFUNCTION("""COMPUTED_VALUE"""),8.0)</f>
        <v>8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IFERROR(__xludf.DUMMYFUNCTION("""COMPUTED_VALUE"""),"4690612012308-10")</f>
        <v>4690612012308-10</v>
      </c>
      <c r="B63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7" s="2">
        <f>IFERROR(__xludf.DUMMYFUNCTION("""COMPUTED_VALUE"""),0.04)</f>
        <v>0.04</v>
      </c>
      <c r="D637" s="2">
        <f>IFERROR(__xludf.DUMMYFUNCTION("""COMPUTED_VALUE"""),9.000000000000001E-4)</f>
        <v>0.0009</v>
      </c>
      <c r="E637" s="2">
        <f>IFERROR(__xludf.DUMMYFUNCTION("""COMPUTED_VALUE"""),421.6)</f>
        <v>421.6</v>
      </c>
      <c r="F637" s="2">
        <f>IFERROR(__xludf.DUMMYFUNCTION("""COMPUTED_VALUE"""),463.0)</f>
        <v>463</v>
      </c>
      <c r="G637" s="2">
        <f>IFERROR(__xludf.DUMMYFUNCTION("""COMPUTED_VALUE"""),607.0)</f>
        <v>607</v>
      </c>
      <c r="H637" s="2">
        <f>IFERROR(__xludf.DUMMYFUNCTION("""COMPUTED_VALUE"""),683.0)</f>
        <v>683</v>
      </c>
      <c r="I637" s="2">
        <f>IFERROR(__xludf.DUMMYFUNCTION("""COMPUTED_VALUE"""),759.0)</f>
        <v>759</v>
      </c>
      <c r="J637" s="2">
        <f>IFERROR(__xludf.DUMMYFUNCTION("""COMPUTED_VALUE"""),380.0)</f>
        <v>380</v>
      </c>
      <c r="K637" s="2">
        <f>IFERROR(__xludf.DUMMYFUNCTION("""COMPUTED_VALUE"""),6.0)</f>
        <v>6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IFERROR(__xludf.DUMMYFUNCTION("""COMPUTED_VALUE"""),"R100395")</f>
        <v>R100395</v>
      </c>
      <c r="B638" s="5" t="str">
        <f>IFERROR(__xludf.DUMMYFUNCTION("""COMPUTED_VALUE"""),"RSV-SSP-04-150W-6500K-IP65")</f>
        <v>RSV-SSP-04-150W-6500K-IP65</v>
      </c>
      <c r="C638" s="2">
        <f>IFERROR(__xludf.DUMMYFUNCTION("""COMPUTED_VALUE"""),0.36)</f>
        <v>0.36</v>
      </c>
      <c r="D638" s="2">
        <f>IFERROR(__xludf.DUMMYFUNCTION("""COMPUTED_VALUE"""),0.0022)</f>
        <v>0.0022</v>
      </c>
      <c r="E638" s="2">
        <f>IFERROR(__xludf.DUMMYFUNCTION("""COMPUTED_VALUE"""),2336.58)</f>
        <v>2336.58</v>
      </c>
      <c r="F638" s="2">
        <f>IFERROR(__xludf.DUMMYFUNCTION("""COMPUTED_VALUE"""),1966.0)</f>
        <v>1966</v>
      </c>
      <c r="G638" s="2">
        <f>IFERROR(__xludf.DUMMYFUNCTION("""COMPUTED_VALUE"""),2314.0)</f>
        <v>2314</v>
      </c>
      <c r="H638" s="2">
        <f>IFERROR(__xludf.DUMMYFUNCTION("""COMPUTED_VALUE"""),2383.0)</f>
        <v>2383</v>
      </c>
      <c r="I638" s="2">
        <f>IFERROR(__xludf.DUMMYFUNCTION("""COMPUTED_VALUE"""),2741.0)</f>
        <v>2741</v>
      </c>
      <c r="J638" s="2">
        <f>IFERROR(__xludf.DUMMYFUNCTION("""COMPUTED_VALUE"""),1371.0)</f>
        <v>1371</v>
      </c>
      <c r="K638" s="2">
        <f>IFERROR(__xludf.DUMMYFUNCTION("""COMPUTED_VALUE"""),1.0)</f>
        <v>1</v>
      </c>
      <c r="L638" s="2" t="str">
        <f>IFERROR(__xludf.DUMMYFUNCTION("""COMPUTED_VALUE"""),"Промышленное освещение RSV")</f>
        <v>Промышленное освещение RSV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5" t="str">
        <f>IFERROR(__xludf.DUMMYFUNCTION("""COMPUTED_VALUE"""),"4690612029856")</f>
        <v>4690612029856</v>
      </c>
      <c r="B63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9" s="2">
        <f>IFERROR(__xludf.DUMMYFUNCTION("""COMPUTED_VALUE"""),1.225)</f>
        <v>1.225</v>
      </c>
      <c r="D639" s="2">
        <f>IFERROR(__xludf.DUMMYFUNCTION("""COMPUTED_VALUE"""),0.00525)</f>
        <v>0.00525</v>
      </c>
      <c r="E639" s="2">
        <f>IFERROR(__xludf.DUMMYFUNCTION("""COMPUTED_VALUE"""),730.24)</f>
        <v>730.24</v>
      </c>
      <c r="F639" s="2">
        <f>IFERROR(__xludf.DUMMYFUNCTION("""COMPUTED_VALUE"""),808.0)</f>
        <v>808</v>
      </c>
      <c r="G639" s="2">
        <f>IFERROR(__xludf.DUMMYFUNCTION("""COMPUTED_VALUE"""),909.0)</f>
        <v>909</v>
      </c>
      <c r="H639" s="2">
        <f>IFERROR(__xludf.DUMMYFUNCTION("""COMPUTED_VALUE"""),1054.0)</f>
        <v>1054</v>
      </c>
      <c r="I639" s="2">
        <f>IFERROR(__xludf.DUMMYFUNCTION("""COMPUTED_VALUE"""),1212.0)</f>
        <v>1212</v>
      </c>
      <c r="J639" s="2">
        <f>IFERROR(__xludf.DUMMYFUNCTION("""COMPUTED_VALUE"""),606.0)</f>
        <v>606</v>
      </c>
      <c r="K639" s="2">
        <f>IFERROR(__xludf.DUMMYFUNCTION("""COMPUTED_VALUE"""),4.0)</f>
        <v>4</v>
      </c>
      <c r="L639" s="2" t="str">
        <f>IFERROR(__xludf.DUMMYFUNCTION("""COMPUTED_VALUE"""),"Панели светодиодные LP серии ПРИЗМА")</f>
        <v>Панели светодиодные LP серии ПРИЗМА</v>
      </c>
      <c r="M6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0">
      <c r="A640" s="5" t="str">
        <f>IFERROR(__xludf.DUMMYFUNCTION("""COMPUTED_VALUE"""),"4690612053028-2")</f>
        <v>4690612053028-2</v>
      </c>
      <c r="B64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0" s="2">
        <f>IFERROR(__xludf.DUMMYFUNCTION("""COMPUTED_VALUE"""),1.29)</f>
        <v>1.29</v>
      </c>
      <c r="D640" s="2">
        <f>IFERROR(__xludf.DUMMYFUNCTION("""COMPUTED_VALUE"""),0.0)</f>
        <v>0</v>
      </c>
      <c r="E640" s="2">
        <f>IFERROR(__xludf.DUMMYFUNCTION("""COMPUTED_VALUE"""),1204.41)</f>
        <v>1204.41</v>
      </c>
      <c r="F640" s="2">
        <f>IFERROR(__xludf.DUMMYFUNCTION("""COMPUTED_VALUE"""),1321.0)</f>
        <v>1321</v>
      </c>
      <c r="G640" s="2">
        <f>IFERROR(__xludf.DUMMYFUNCTION("""COMPUTED_VALUE"""),1734.0)</f>
        <v>1734</v>
      </c>
      <c r="H640" s="2">
        <f>IFERROR(__xludf.DUMMYFUNCTION("""COMPUTED_VALUE"""),1951.0)</f>
        <v>1951</v>
      </c>
      <c r="I640" s="2">
        <f>IFERROR(__xludf.DUMMYFUNCTION("""COMPUTED_VALUE"""),2168.0)</f>
        <v>2168</v>
      </c>
      <c r="J640" s="2">
        <f>IFERROR(__xludf.DUMMYFUNCTION("""COMPUTED_VALUE"""),1084.0)</f>
        <v>1084</v>
      </c>
      <c r="K640" s="2">
        <f>IFERROR(__xludf.DUMMYFUNCTION("""COMPUTED_VALUE"""),3.0)</f>
        <v>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5" t="str">
        <f>IFERROR(__xludf.DUMMYFUNCTION("""COMPUTED_VALUE"""),"R100284")</f>
        <v>R100284</v>
      </c>
      <c r="B641" s="5" t="str">
        <f>IFERROR(__xludf.DUMMYFUNCTION("""COMPUTED_VALUE"""),"RSV-STP-150-6500K-IP66")</f>
        <v>RSV-STP-150-6500K-IP66</v>
      </c>
      <c r="C641" s="2">
        <f>IFERROR(__xludf.DUMMYFUNCTION("""COMPUTED_VALUE"""),3.6)</f>
        <v>3.6</v>
      </c>
      <c r="D641" s="2">
        <f>IFERROR(__xludf.DUMMYFUNCTION("""COMPUTED_VALUE"""),0.0146)</f>
        <v>0.0146</v>
      </c>
      <c r="E641" s="2">
        <f>IFERROR(__xludf.DUMMYFUNCTION("""COMPUTED_VALUE"""),3012.86)</f>
        <v>3012.86</v>
      </c>
      <c r="F641" s="2">
        <f>IFERROR(__xludf.DUMMYFUNCTION("""COMPUTED_VALUE"""),2353.0)</f>
        <v>2353</v>
      </c>
      <c r="G641" s="2">
        <f>IFERROR(__xludf.DUMMYFUNCTION("""COMPUTED_VALUE"""),2769.0)</f>
        <v>2769</v>
      </c>
      <c r="H641" s="2">
        <f>IFERROR(__xludf.DUMMYFUNCTION("""COMPUTED_VALUE"""),2852.0)</f>
        <v>2852</v>
      </c>
      <c r="I641" s="2">
        <f>IFERROR(__xludf.DUMMYFUNCTION("""COMPUTED_VALUE"""),3280.0)</f>
        <v>3280</v>
      </c>
      <c r="J641" s="2">
        <f>IFERROR(__xludf.DUMMYFUNCTION("""COMPUTED_VALUE"""),1640.0)</f>
        <v>1640</v>
      </c>
      <c r="K641" s="2">
        <f>IFERROR(__xludf.DUMMYFUNCTION("""COMPUTED_VALUE"""),2.0)</f>
        <v>2</v>
      </c>
      <c r="L641" s="2" t="str">
        <f>IFERROR(__xludf.DUMMYFUNCTION("""COMPUTED_VALUE"""),"Уличное освещение RSV")</f>
        <v>Уличное освещение RSV</v>
      </c>
      <c r="M641" s="2" t="str">
        <f>IFERROR(__xludf.DUMMYFUNCTION("""COMPUTED_VALUE"""),"Для обычных дорог, LED Светильники")</f>
        <v>Для обычных дорог, LED Светильники</v>
      </c>
    </row>
    <row r="642">
      <c r="A642" s="5" t="str">
        <f>IFERROR(__xludf.DUMMYFUNCTION("""COMPUTED_VALUE"""),"4690612033822")</f>
        <v>4690612033822</v>
      </c>
      <c r="B642" s="5" t="str">
        <f>IFERROR(__xludf.DUMMYFUNCTION("""COMPUTED_VALUE"""),"ДД 008 1200Вт 180 гр.12м IP44 черный IN HOME")</f>
        <v>ДД 008 1200Вт 180 гр.12м IP44 черный IN HOME</v>
      </c>
      <c r="C642" s="2">
        <f>IFERROR(__xludf.DUMMYFUNCTION("""COMPUTED_VALUE"""),0.226)</f>
        <v>0.226</v>
      </c>
      <c r="D642" s="2">
        <f>IFERROR(__xludf.DUMMYFUNCTION("""COMPUTED_VALUE"""),0.0014)</f>
        <v>0.0014</v>
      </c>
      <c r="E642" s="2">
        <f>IFERROR(__xludf.DUMMYFUNCTION("""COMPUTED_VALUE"""),295.63)</f>
        <v>295.63</v>
      </c>
      <c r="F642" s="2">
        <f>IFERROR(__xludf.DUMMYFUNCTION("""COMPUTED_VALUE"""),437.0)</f>
        <v>437</v>
      </c>
      <c r="G642" s="2">
        <f>IFERROR(__xludf.DUMMYFUNCTION("""COMPUTED_VALUE"""),492.0)</f>
        <v>492</v>
      </c>
      <c r="H642" s="2">
        <f>IFERROR(__xludf.DUMMYFUNCTION("""COMPUTED_VALUE"""),571.0)</f>
        <v>571</v>
      </c>
      <c r="I642" s="2">
        <f>IFERROR(__xludf.DUMMYFUNCTION("""COMPUTED_VALUE"""),656.0)</f>
        <v>656</v>
      </c>
      <c r="J642" s="2">
        <f>IFERROR(__xludf.DUMMYFUNCTION("""COMPUTED_VALUE"""),296.0)</f>
        <v>296</v>
      </c>
      <c r="K642" s="2">
        <f>IFERROR(__xludf.DUMMYFUNCTION("""COMPUTED_VALUE"""),1.0)</f>
        <v>1</v>
      </c>
      <c r="L642" s="2" t="str">
        <f>IFERROR(__xludf.DUMMYFUNCTION("""COMPUTED_VALUE"""),"ASD Комплектующие")</f>
        <v>ASD Комплектующие</v>
      </c>
      <c r="M642" s="2" t="str">
        <f>IFERROR(__xludf.DUMMYFUNCTION("""COMPUTED_VALUE"""),"Прочие товары")</f>
        <v>Прочие товары</v>
      </c>
    </row>
    <row r="643">
      <c r="A643" s="5" t="str">
        <f>IFERROR(__xludf.DUMMYFUNCTION("""COMPUTED_VALUE"""),"4690612015118")</f>
        <v>4690612015118</v>
      </c>
      <c r="B64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3" s="2">
        <f>IFERROR(__xludf.DUMMYFUNCTION("""COMPUTED_VALUE"""),0.111)</f>
        <v>0.111</v>
      </c>
      <c r="D643" s="2">
        <f>IFERROR(__xludf.DUMMYFUNCTION("""COMPUTED_VALUE"""),0.0022)</f>
        <v>0.0022</v>
      </c>
      <c r="E643" s="2">
        <f>IFERROR(__xludf.DUMMYFUNCTION("""COMPUTED_VALUE"""),250.28)</f>
        <v>250.28</v>
      </c>
      <c r="F643" s="2">
        <f>IFERROR(__xludf.DUMMYFUNCTION("""COMPUTED_VALUE"""),100.0)</f>
        <v>100</v>
      </c>
      <c r="G643" s="2">
        <f>IFERROR(__xludf.DUMMYFUNCTION("""COMPUTED_VALUE"""),113.0)</f>
        <v>113</v>
      </c>
      <c r="H643" s="2">
        <f>IFERROR(__xludf.DUMMYFUNCTION("""COMPUTED_VALUE"""),131.0)</f>
        <v>131</v>
      </c>
      <c r="I643" s="2">
        <f>IFERROR(__xludf.DUMMYFUNCTION("""COMPUTED_VALUE"""),150.0)</f>
        <v>150</v>
      </c>
      <c r="J643" s="2">
        <f>IFERROR(__xludf.DUMMYFUNCTION("""COMPUTED_VALUE"""),75.0)</f>
        <v>75</v>
      </c>
      <c r="K643" s="2">
        <f>IFERROR(__xludf.DUMMYFUNCTION("""COMPUTED_VALUE"""),8.0)</f>
        <v>8</v>
      </c>
      <c r="L643" s="2" t="str">
        <f>IFERROR(__xludf.DUMMYFUNCTION("""COMPUTED_VALUE"""),"Светильники ночники")</f>
        <v>Светильники ночники</v>
      </c>
      <c r="M6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4">
      <c r="A644" s="5" t="str">
        <f>IFERROR(__xludf.DUMMYFUNCTION("""COMPUTED_VALUE"""),"ves015")</f>
        <v>ves015</v>
      </c>
      <c r="B644" s="5" t="str">
        <f>IFERROR(__xludf.DUMMYFUNCTION("""COMPUTED_VALUE"""),"Фонарь светодиодный NPT-SP12-ACCU")</f>
        <v>Фонарь светодиодный NPT-SP12-ACCU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IFERROR(__xludf.DUMMYFUNCTION("""COMPUTED_VALUE"""),1880.96)</f>
        <v>1880.96</v>
      </c>
      <c r="F644" s="2">
        <f>IFERROR(__xludf.DUMMYFUNCTION("""COMPUTED_VALUE"""),1800.0)</f>
        <v>1800</v>
      </c>
      <c r="G644" s="2">
        <f>IFERROR(__xludf.DUMMYFUNCTION("""COMPUTED_VALUE"""),1920.0)</f>
        <v>1920</v>
      </c>
      <c r="H644" s="2">
        <f>IFERROR(__xludf.DUMMYFUNCTION("""COMPUTED_VALUE"""),2160.0)</f>
        <v>2160</v>
      </c>
      <c r="I644" s="2">
        <f>IFERROR(__xludf.DUMMYFUNCTION("""COMPUTED_VALUE"""),2400.0)</f>
        <v>2400</v>
      </c>
      <c r="J644" s="2">
        <f>IFERROR(__xludf.DUMMYFUNCTION("""COMPUTED_VALUE"""),1200.0)</f>
        <v>1200</v>
      </c>
      <c r="K644" s="2">
        <f>IFERROR(__xludf.DUMMYFUNCTION("""COMPUTED_VALUE"""),11.0)</f>
        <v>11</v>
      </c>
      <c r="L644" s="2" t="str">
        <f>IFERROR(__xludf.DUMMYFUNCTION("""COMPUTED_VALUE"""),"ves")</f>
        <v>ves</v>
      </c>
      <c r="M644" s="2" t="str">
        <f>IFERROR(__xludf.DUMMYFUNCTION("""COMPUTED_VALUE"""),"LED Светильники")</f>
        <v>LED Светильники</v>
      </c>
    </row>
    <row r="645">
      <c r="A645" s="5" t="str">
        <f>IFERROR(__xludf.DUMMYFUNCTION("""COMPUTED_VALUE"""),"12-0167")</f>
        <v>12-0167</v>
      </c>
      <c r="B64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IFERROR(__xludf.DUMMYFUNCTION("""COMPUTED_VALUE"""),1.0)</f>
        <v>1</v>
      </c>
      <c r="F645" s="2">
        <f>IFERROR(__xludf.DUMMYFUNCTION("""COMPUTED_VALUE"""),2302.0)</f>
        <v>2302</v>
      </c>
      <c r="G645" s="2">
        <f>IFERROR(__xludf.DUMMYFUNCTION("""COMPUTED_VALUE"""),2455.0)</f>
        <v>2455</v>
      </c>
      <c r="H645" s="2">
        <f>IFERROR(__xludf.DUMMYFUNCTION("""COMPUTED_VALUE"""),2762.0)</f>
        <v>2762</v>
      </c>
      <c r="I645" s="2">
        <f>IFERROR(__xludf.DUMMYFUNCTION("""COMPUTED_VALUE"""),3068.81)</f>
        <v>3068.81</v>
      </c>
      <c r="J645" s="2">
        <f>IFERROR(__xludf.DUMMYFUNCTION("""COMPUTED_VALUE"""),2302.0)</f>
        <v>2302</v>
      </c>
      <c r="K645" s="2">
        <f>IFERROR(__xludf.DUMMYFUNCTION("""COMPUTED_VALUE"""),2.0)</f>
        <v>2</v>
      </c>
      <c r="L645" s="2" t="str">
        <f>IFERROR(__xludf.DUMMYFUNCTION("""COMPUTED_VALUE"""),"Rexant")</f>
        <v>Rexant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IFERROR(__xludf.DUMMYFUNCTION("""COMPUTED_VALUE"""),"55106")</f>
        <v>55106</v>
      </c>
      <c r="B64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IFERROR(__xludf.DUMMYFUNCTION("""COMPUTED_VALUE"""),1811.04)</f>
        <v>1811.04</v>
      </c>
      <c r="F646" s="2">
        <f>IFERROR(__xludf.DUMMYFUNCTION("""COMPUTED_VALUE"""),1829.0)</f>
        <v>1829</v>
      </c>
      <c r="G646" s="2">
        <f>IFERROR(__xludf.DUMMYFUNCTION("""COMPUTED_VALUE"""),1995.0)</f>
        <v>1995</v>
      </c>
      <c r="H646" s="2">
        <f>IFERROR(__xludf.DUMMYFUNCTION("""COMPUTED_VALUE"""),2161.0)</f>
        <v>2161</v>
      </c>
      <c r="I646" s="2">
        <f>IFERROR(__xludf.DUMMYFUNCTION("""COMPUTED_VALUE"""),2327.0)</f>
        <v>2327</v>
      </c>
      <c r="J646" s="2">
        <f>IFERROR(__xludf.DUMMYFUNCTION("""COMPUTED_VALUE"""),1164.0)</f>
        <v>1164</v>
      </c>
      <c r="K646" s="2">
        <f>IFERROR(__xludf.DUMMYFUNCTION("""COMPUTED_VALUE"""),10.0)</f>
        <v>10</v>
      </c>
      <c r="L646" s="2" t="str">
        <f>IFERROR(__xludf.DUMMYFUNCTION("""COMPUTED_VALUE"""),"Праздничная иллюминация")</f>
        <v>Праздничная иллюминация</v>
      </c>
      <c r="M6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7">
      <c r="A647" s="5" t="str">
        <f>IFERROR(__xludf.DUMMYFUNCTION("""COMPUTED_VALUE"""),"14690612042333")</f>
        <v>14690612042333</v>
      </c>
      <c r="B64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7" s="2">
        <f>IFERROR(__xludf.DUMMYFUNCTION("""COMPUTED_VALUE"""),1.45)</f>
        <v>1.45</v>
      </c>
      <c r="D647" s="2">
        <f>IFERROR(__xludf.DUMMYFUNCTION("""COMPUTED_VALUE"""),0.0)</f>
        <v>0</v>
      </c>
      <c r="E647" s="2">
        <f>IFERROR(__xludf.DUMMYFUNCTION("""COMPUTED_VALUE"""),3028.73)</f>
        <v>3028.73</v>
      </c>
      <c r="F647" s="2">
        <f>IFERROR(__xludf.DUMMYFUNCTION("""COMPUTED_VALUE"""),3323.0)</f>
        <v>3323</v>
      </c>
      <c r="G647" s="2">
        <f>IFERROR(__xludf.DUMMYFUNCTION("""COMPUTED_VALUE"""),4362.0)</f>
        <v>4362</v>
      </c>
      <c r="H647" s="2">
        <f>IFERROR(__xludf.DUMMYFUNCTION("""COMPUTED_VALUE"""),4907.0)</f>
        <v>4907</v>
      </c>
      <c r="I647" s="2">
        <f>IFERROR(__xludf.DUMMYFUNCTION("""COMPUTED_VALUE"""),5452.0)</f>
        <v>5452</v>
      </c>
      <c r="J647" s="2">
        <f>IFERROR(__xludf.DUMMYFUNCTION("""COMPUTED_VALUE"""),2726.0)</f>
        <v>2726</v>
      </c>
      <c r="K647" s="2">
        <f>IFERROR(__xludf.DUMMYFUNCTION("""COMPUTED_VALUE"""),5.0)</f>
        <v>5</v>
      </c>
      <c r="L6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8">
      <c r="A648" s="5" t="str">
        <f>IFERROR(__xludf.DUMMYFUNCTION("""COMPUTED_VALUE"""),"4680005957880")</f>
        <v>4680005957880</v>
      </c>
      <c r="B648" s="5" t="str">
        <f>IFERROR(__xludf.DUMMYFUNCTION("""COMPUTED_VALUE"""),"Патрон-переходник Е40/Е27 короткий")</f>
        <v>Патрон-переходник Е40/Е27 короткий</v>
      </c>
      <c r="C648" s="2">
        <f>IFERROR(__xludf.DUMMYFUNCTION("""COMPUTED_VALUE"""),0.029)</f>
        <v>0.029</v>
      </c>
      <c r="D648" s="2">
        <f>IFERROR(__xludf.DUMMYFUNCTION("""COMPUTED_VALUE"""),1.2E-4)</f>
        <v>0.00012</v>
      </c>
      <c r="E648" s="2">
        <f>IFERROR(__xludf.DUMMYFUNCTION("""COMPUTED_VALUE"""),24.9)</f>
        <v>24.9</v>
      </c>
      <c r="F648" s="2">
        <f>IFERROR(__xludf.DUMMYFUNCTION("""COMPUTED_VALUE"""),31.0)</f>
        <v>31</v>
      </c>
      <c r="G648" s="2">
        <f>IFERROR(__xludf.DUMMYFUNCTION("""COMPUTED_VALUE"""),35.0)</f>
        <v>35</v>
      </c>
      <c r="H648" s="2">
        <f>IFERROR(__xludf.DUMMYFUNCTION("""COMPUTED_VALUE"""),41.0)</f>
        <v>41</v>
      </c>
      <c r="I648" s="2">
        <f>IFERROR(__xludf.DUMMYFUNCTION("""COMPUTED_VALUE"""),47.0)</f>
        <v>47</v>
      </c>
      <c r="J648" s="2">
        <f>IFERROR(__xludf.DUMMYFUNCTION("""COMPUTED_VALUE"""),24.0)</f>
        <v>24</v>
      </c>
      <c r="K648" s="2">
        <f>IFERROR(__xludf.DUMMYFUNCTION("""COMPUTED_VALUE"""),1.0)</f>
        <v>1</v>
      </c>
      <c r="L648" s="2" t="str">
        <f>IFERROR(__xludf.DUMMYFUNCTION("""COMPUTED_VALUE"""),"ASD электромонтажные изделия")</f>
        <v>ASD электромонтажные изделия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IFERROR(__xludf.DUMMYFUNCTION("""COMPUTED_VALUE"""),"4690612038162-1")</f>
        <v>4690612038162-1</v>
      </c>
      <c r="B64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9" s="2">
        <f>IFERROR(__xludf.DUMMYFUNCTION("""COMPUTED_VALUE"""),1.28)</f>
        <v>1.28</v>
      </c>
      <c r="D649" s="2">
        <f>IFERROR(__xludf.DUMMYFUNCTION("""COMPUTED_VALUE"""),0.006730000000000001)</f>
        <v>0.00673</v>
      </c>
      <c r="E649" s="2">
        <f>IFERROR(__xludf.DUMMYFUNCTION("""COMPUTED_VALUE"""),524.22)</f>
        <v>524.22</v>
      </c>
      <c r="F649" s="2">
        <f>IFERROR(__xludf.DUMMYFUNCTION("""COMPUTED_VALUE"""),575.0)</f>
        <v>575</v>
      </c>
      <c r="G649" s="2">
        <f>IFERROR(__xludf.DUMMYFUNCTION("""COMPUTED_VALUE"""),755.0)</f>
        <v>755</v>
      </c>
      <c r="H649" s="2">
        <f>IFERROR(__xludf.DUMMYFUNCTION("""COMPUTED_VALUE"""),850.0)</f>
        <v>850</v>
      </c>
      <c r="I649" s="2">
        <f>IFERROR(__xludf.DUMMYFUNCTION("""COMPUTED_VALUE"""),944.0)</f>
        <v>944</v>
      </c>
      <c r="J649" s="2">
        <f>IFERROR(__xludf.DUMMYFUNCTION("""COMPUTED_VALUE"""),472.0)</f>
        <v>472</v>
      </c>
      <c r="K649" s="2">
        <f>IFERROR(__xludf.DUMMYFUNCTION("""COMPUTED_VALUE"""),82.0)</f>
        <v>82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5" t="str">
        <f>IFERROR(__xludf.DUMMYFUNCTION("""COMPUTED_VALUE"""),"4690612020440")</f>
        <v>4690612020440</v>
      </c>
      <c r="B650" s="5" t="str">
        <f>IFERROR(__xludf.DUMMYFUNCTION("""COMPUTED_VALUE"""),"LED-СВЕЧА-VC 8Вт 230В Е27 3000К 760Лм IN HOME")</f>
        <v>LED-СВЕЧА-VC 8Вт 230В Е27 3000К 760Лм IN HOME</v>
      </c>
      <c r="C650" s="2">
        <f>IFERROR(__xludf.DUMMYFUNCTION("""COMPUTED_VALUE"""),0.028)</f>
        <v>0.028</v>
      </c>
      <c r="D650" s="2">
        <f>IFERROR(__xludf.DUMMYFUNCTION("""COMPUTED_VALUE"""),1.9E-4)</f>
        <v>0.00019</v>
      </c>
      <c r="E650" s="2">
        <f>IFERROR(__xludf.DUMMYFUNCTION("""COMPUTED_VALUE"""),35.4)</f>
        <v>35.4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IFERROR(__xludf.DUMMYFUNCTION("""COMPUTED_VALUE"""),53.0)</f>
        <v>53</v>
      </c>
      <c r="L650" s="2" t="str">
        <f>IFERROR(__xludf.DUMMYFUNCTION("""COMPUTED_VALUE"""),"Лампа светодиодная LED-СВЕЧА-standard")</f>
        <v>Лампа светодиодная LED-СВЕЧА-standard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IFERROR(__xludf.DUMMYFUNCTION("""COMPUTED_VALUE"""),"4690612015507")</f>
        <v>4690612015507</v>
      </c>
      <c r="B651" s="5" t="str">
        <f>IFERROR(__xludf.DUMMYFUNCTION("""COMPUTED_VALUE"""),"LED-СВЕЧА-standard 10Вт 230В Е14 3000К 900Лм ASD")</f>
        <v>LED-СВЕЧА-standard 10Вт 230В Е14 3000К 900Лм ASD</v>
      </c>
      <c r="C651" s="2">
        <f>IFERROR(__xludf.DUMMYFUNCTION("""COMPUTED_VALUE"""),0.033)</f>
        <v>0.033</v>
      </c>
      <c r="D651" s="2">
        <f>IFERROR(__xludf.DUMMYFUNCTION("""COMPUTED_VALUE"""),1.9E-4)</f>
        <v>0.00019</v>
      </c>
      <c r="E651" s="2">
        <f>IFERROR(__xludf.DUMMYFUNCTION("""COMPUTED_VALUE"""),29.77)</f>
        <v>29.77</v>
      </c>
      <c r="F651" s="2">
        <f>IFERROR(__xludf.DUMMYFUNCTION("""COMPUTED_VALUE"""),33.0)</f>
        <v>33</v>
      </c>
      <c r="G651" s="2">
        <f>IFERROR(__xludf.DUMMYFUNCTION("""COMPUTED_VALUE"""),37.0)</f>
        <v>37</v>
      </c>
      <c r="H651" s="2">
        <f>IFERROR(__xludf.DUMMYFUNCTION("""COMPUTED_VALUE"""),43.0)</f>
        <v>43</v>
      </c>
      <c r="I651" s="2">
        <f>IFERROR(__xludf.DUMMYFUNCTION("""COMPUTED_VALUE"""),49.9)</f>
        <v>49.9</v>
      </c>
      <c r="J651" s="2">
        <f>IFERROR(__xludf.DUMMYFUNCTION("""COMPUTED_VALUE"""),25.0)</f>
        <v>25</v>
      </c>
      <c r="K651" s="2">
        <f>IFERROR(__xludf.DUMMYFUNCTION("""COMPUTED_VALUE"""),6.0)</f>
        <v>6</v>
      </c>
      <c r="L651" s="2" t="str">
        <f>IFERROR(__xludf.DUMMYFUNCTION("""COMPUTED_VALUE"""),"ASD лампы LED")</f>
        <v>ASD лампы LED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IFERROR(__xludf.DUMMYFUNCTION("""COMPUTED_VALUE"""),"4690612042640")</f>
        <v>4690612042640</v>
      </c>
      <c r="B65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2" s="2">
        <f>IFERROR(__xludf.DUMMYFUNCTION("""COMPUTED_VALUE"""),1.75)</f>
        <v>1.75</v>
      </c>
      <c r="D652" s="2">
        <f>IFERROR(__xludf.DUMMYFUNCTION("""COMPUTED_VALUE"""),0.007600000000000001)</f>
        <v>0.0076</v>
      </c>
      <c r="E652" s="2">
        <f>IFERROR(__xludf.DUMMYFUNCTION("""COMPUTED_VALUE"""),2578.07)</f>
        <v>2578.07</v>
      </c>
      <c r="F652" s="2">
        <f>IFERROR(__xludf.DUMMYFUNCTION("""COMPUTED_VALUE"""),2564.0)</f>
        <v>2564</v>
      </c>
      <c r="G652" s="2">
        <f>IFERROR(__xludf.DUMMYFUNCTION("""COMPUTED_VALUE"""),2885.0)</f>
        <v>2885</v>
      </c>
      <c r="H652" s="2">
        <f>IFERROR(__xludf.DUMMYFUNCTION("""COMPUTED_VALUE"""),3346.0)</f>
        <v>3346</v>
      </c>
      <c r="I652" s="2">
        <f>IFERROR(__xludf.DUMMYFUNCTION("""COMPUTED_VALUE"""),3846.0)</f>
        <v>3846</v>
      </c>
      <c r="J652" s="2">
        <f>IFERROR(__xludf.DUMMYFUNCTION("""COMPUTED_VALUE"""),1923.0)</f>
        <v>1923</v>
      </c>
      <c r="K652" s="2">
        <f>IFERROR(__xludf.DUMMYFUNCTION("""COMPUTED_VALUE"""),5.0)</f>
        <v>5</v>
      </c>
      <c r="L652" s="2" t="str">
        <f>IFERROR(__xludf.DUMMYFUNCTION("""COMPUTED_VALUE"""),"NEOX Светильники LED LHB, WHB")</f>
        <v>NEOX Светильники LED LHB, WHB</v>
      </c>
      <c r="M65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3">
      <c r="A653" s="5" t="str">
        <f>IFERROR(__xludf.DUMMYFUNCTION("""COMPUTED_VALUE"""),"4690612053004")</f>
        <v>4690612053004</v>
      </c>
      <c r="B653" s="5" t="str">
        <f>IFERROR(__xludf.DUMMYFUNCTION("""COMPUTED_VALUE"""),"ДВО-01 7565-ПРИЗМА 75Вт 6500К 180х1195х19 NEOX")</f>
        <v>ДВО-01 7565-ПРИЗМА 75Вт 6500К 180х1195х19 NEOX</v>
      </c>
      <c r="C653" s="2">
        <f>IFERROR(__xludf.DUMMYFUNCTION("""COMPUTED_VALUE"""),1.23)</f>
        <v>1.23</v>
      </c>
      <c r="D653" s="2">
        <f>IFERROR(__xludf.DUMMYFUNCTION("""COMPUTED_VALUE"""),0.00525)</f>
        <v>0.00525</v>
      </c>
      <c r="E653" s="2">
        <f>IFERROR(__xludf.DUMMYFUNCTION("""COMPUTED_VALUE"""),738.12)</f>
        <v>738.12</v>
      </c>
      <c r="F653" s="2">
        <f>IFERROR(__xludf.DUMMYFUNCTION("""COMPUTED_VALUE"""),945.0)</f>
        <v>945</v>
      </c>
      <c r="G653" s="2">
        <f>IFERROR(__xludf.DUMMYFUNCTION("""COMPUTED_VALUE"""),1063.0)</f>
        <v>1063</v>
      </c>
      <c r="H653" s="2">
        <f>IFERROR(__xludf.DUMMYFUNCTION("""COMPUTED_VALUE"""),1233.0)</f>
        <v>1233</v>
      </c>
      <c r="I653" s="2">
        <f>IFERROR(__xludf.DUMMYFUNCTION("""COMPUTED_VALUE"""),1417.0)</f>
        <v>1417</v>
      </c>
      <c r="J653" s="2">
        <f>IFERROR(__xludf.DUMMYFUNCTION("""COMPUTED_VALUE"""),1417.0)</f>
        <v>1417</v>
      </c>
      <c r="K653" s="2">
        <f>IFERROR(__xludf.DUMMYFUNCTION("""COMPUTED_VALUE"""),0.0)</f>
        <v>0</v>
      </c>
      <c r="L653" s="2" t="str">
        <f>IFERROR(__xludf.DUMMYFUNCTION("""COMPUTED_VALUE"""),"NEOX Светильники LED ДВО")</f>
        <v>NEOX Светильники LED ДВО</v>
      </c>
      <c r="M6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4">
      <c r="A654" s="5" t="str">
        <f>IFERROR(__xludf.DUMMYFUNCTION("""COMPUTED_VALUE"""),"G207707102")</f>
        <v>G207707102</v>
      </c>
      <c r="B654" s="5" t="str">
        <f>IFERROR(__xludf.DUMMYFUNCTION("""COMPUTED_VALUE"""),"G4 12V 2W 2700K 1/20/200")</f>
        <v>G4 12V 2W 2700K 1/20/200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IFERROR(__xludf.DUMMYFUNCTION("""COMPUTED_VALUE"""),169.9)</f>
        <v>169.9</v>
      </c>
      <c r="F654" s="2">
        <f>IFERROR(__xludf.DUMMYFUNCTION("""COMPUTED_VALUE"""),186.0)</f>
        <v>186</v>
      </c>
      <c r="G654" s="2">
        <f>IFERROR(__xludf.DUMMYFUNCTION("""COMPUTED_VALUE"""),205.0)</f>
        <v>205</v>
      </c>
      <c r="H654" s="2">
        <f>IFERROR(__xludf.DUMMYFUNCTION("""COMPUTED_VALUE"""),241.0)</f>
        <v>241</v>
      </c>
      <c r="I654" s="2">
        <f>IFERROR(__xludf.DUMMYFUNCTION("""COMPUTED_VALUE"""),305.0)</f>
        <v>305</v>
      </c>
      <c r="J654" s="2">
        <f>IFERROR(__xludf.DUMMYFUNCTION("""COMPUTED_VALUE"""),153.0)</f>
        <v>153</v>
      </c>
      <c r="K654" s="2">
        <f>IFERROR(__xludf.DUMMYFUNCTION("""COMPUTED_VALUE"""),11.0)</f>
        <v>11</v>
      </c>
      <c r="L654" s="2" t="str">
        <f>IFERROR(__xludf.DUMMYFUNCTION("""COMPUTED_VALUE"""),"Капсульные лампы G4, G9")</f>
        <v>Капсульные лампы G4, G9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IFERROR(__xludf.DUMMYFUNCTION("""COMPUTED_VALUE"""),"GL81411")</f>
        <v>GL81411</v>
      </c>
      <c r="B655" s="5" t="str">
        <f>IFERROR(__xludf.DUMMYFUNCTION("""COMPUTED_VALUE"""),"GLERIO Office Special 20 Вт 4000K 82P-20D-4V-P")</f>
        <v>GLERIO Office Special 20 Вт 4000K 82P-20D-4V-P</v>
      </c>
      <c r="C655" s="2">
        <f>IFERROR(__xludf.DUMMYFUNCTION("""COMPUTED_VALUE"""),1.04)</f>
        <v>1.04</v>
      </c>
      <c r="D655" s="2">
        <f>IFERROR(__xludf.DUMMYFUNCTION("""COMPUTED_VALUE"""),0.008190000000000001)</f>
        <v>0.00819</v>
      </c>
      <c r="E655" s="2">
        <f>IFERROR(__xludf.DUMMYFUNCTION("""COMPUTED_VALUE"""),1464.7)</f>
        <v>1464.7</v>
      </c>
      <c r="F655" s="2">
        <f>IFERROR(__xludf.DUMMYFUNCTION("""COMPUTED_VALUE"""),1700.0)</f>
        <v>1700</v>
      </c>
      <c r="G655" s="2">
        <f>IFERROR(__xludf.DUMMYFUNCTION("""COMPUTED_VALUE"""),2140.0)</f>
        <v>2140</v>
      </c>
      <c r="H655" s="2">
        <f>IFERROR(__xludf.DUMMYFUNCTION("""COMPUTED_VALUE"""),2404.0)</f>
        <v>2404</v>
      </c>
      <c r="I655" s="2">
        <f>IFERROR(__xludf.DUMMYFUNCTION("""COMPUTED_VALUE"""),2667.0)</f>
        <v>2667</v>
      </c>
      <c r="J655" s="2">
        <f>IFERROR(__xludf.DUMMYFUNCTION("""COMPUTED_VALUE"""),1334.0)</f>
        <v>1334</v>
      </c>
      <c r="K655" s="2">
        <f>IFERROR(__xludf.DUMMYFUNCTION("""COMPUTED_VALUE"""),30.0)</f>
        <v>30</v>
      </c>
      <c r="L655" s="2" t="str">
        <f>IFERROR(__xludf.DUMMYFUNCTION("""COMPUTED_VALUE"""),"Office Special+ GLERIO (Офис Премиум)")</f>
        <v>Office Special+ GLERIO (Офис Премиум)</v>
      </c>
      <c r="M65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6">
      <c r="A656" s="5" t="str">
        <f>IFERROR(__xludf.DUMMYFUNCTION("""COMPUTED_VALUE"""),"100-300")</f>
        <v>100-300</v>
      </c>
      <c r="B656" s="5" t="str">
        <f>IFERROR(__xludf.DUMMYFUNCTION("""COMPUTED_VALUE"""),"Пиктограмма 100х300мм ""ВЫХОД""")</f>
        <v>Пиктограмма 100х300мм "ВЫХОД"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IFERROR(__xludf.DUMMYFUNCTION("""COMPUTED_VALUE"""),31.15)</f>
        <v>31.15</v>
      </c>
      <c r="F656" s="2">
        <f>IFERROR(__xludf.DUMMYFUNCTION("""COMPUTED_VALUE"""),1.0)</f>
        <v>1</v>
      </c>
      <c r="G656" s="2">
        <f>IFERROR(__xludf.DUMMYFUNCTION("""COMPUTED_VALUE"""),1.0)</f>
        <v>1</v>
      </c>
      <c r="H656" s="2">
        <f>IFERROR(__xludf.DUMMYFUNCTION("""COMPUTED_VALUE"""),1.0)</f>
        <v>1</v>
      </c>
      <c r="I656" s="2">
        <f>IFERROR(__xludf.DUMMYFUNCTION("""COMPUTED_VALUE"""),1.5)</f>
        <v>1.5</v>
      </c>
      <c r="J656" s="2">
        <f>IFERROR(__xludf.DUMMYFUNCTION("""COMPUTED_VALUE"""),1.5)</f>
        <v>1.5</v>
      </c>
      <c r="K656" s="2">
        <f>IFERROR(__xludf.DUMMYFUNCTION("""COMPUTED_VALUE"""),12.0)</f>
        <v>12</v>
      </c>
      <c r="L656" s="2" t="str">
        <f>IFERROR(__xludf.DUMMYFUNCTION("""COMPUTED_VALUE"""),"Аварийные светильники")</f>
        <v>Аварийные светильники</v>
      </c>
      <c r="M65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7">
      <c r="A657" s="5" t="str">
        <f>IFERROR(__xludf.DUMMYFUNCTION("""COMPUTED_VALUE"""),"4690612015576")</f>
        <v>4690612015576</v>
      </c>
      <c r="B657" s="5" t="str">
        <f>IFERROR(__xludf.DUMMYFUNCTION("""COMPUTED_VALUE"""),"LED-СВЕЧА-standard 10Вт 230В Е14 4000К 900Лм ASD")</f>
        <v>LED-СВЕЧА-standard 10Вт 230В Е14 4000К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IFERROR(__xludf.DUMMYFUNCTION("""COMPUTED_VALUE"""),48.02)</f>
        <v>48.02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IFERROR(__xludf.DUMMYFUNCTION("""COMPUTED_VALUE"""),3.0)</f>
        <v>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IFERROR(__xludf.DUMMYFUNCTION("""COMPUTED_VALUE"""),"01-4002")</f>
        <v>01-4002</v>
      </c>
      <c r="B65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IFERROR(__xludf.DUMMYFUNCTION("""COMPUTED_VALUE"""),1.0)</f>
        <v>1</v>
      </c>
      <c r="F658" s="2">
        <f>IFERROR(__xludf.DUMMYFUNCTION("""COMPUTED_VALUE"""),3387.0)</f>
        <v>3387</v>
      </c>
      <c r="G658" s="2">
        <f>IFERROR(__xludf.DUMMYFUNCTION("""COMPUTED_VALUE"""),3613.0)</f>
        <v>3613</v>
      </c>
      <c r="H658" s="2">
        <f>IFERROR(__xludf.DUMMYFUNCTION("""COMPUTED_VALUE"""),4065.0)</f>
        <v>4065</v>
      </c>
      <c r="I658" s="2">
        <f>IFERROR(__xludf.DUMMYFUNCTION("""COMPUTED_VALUE"""),4516.22)</f>
        <v>4516.22</v>
      </c>
      <c r="J658" s="2">
        <f>IFERROR(__xludf.DUMMYFUNCTION("""COMPUTED_VALUE"""),2258.0)</f>
        <v>2258</v>
      </c>
      <c r="K658" s="2">
        <f>IFERROR(__xludf.DUMMYFUNCTION("""COMPUTED_VALUE"""),3.0)</f>
        <v>3</v>
      </c>
      <c r="L658" s="2" t="str">
        <f>IFERROR(__xludf.DUMMYFUNCTION("""COMPUTED_VALUE"""),"Rexant")</f>
        <v>Rexant</v>
      </c>
      <c r="M658" s="2" t="str">
        <f>IFERROR(__xludf.DUMMYFUNCTION("""COMPUTED_VALUE"""),"Прочие товары")</f>
        <v>Прочие товары</v>
      </c>
    </row>
    <row r="659">
      <c r="A659" s="5" t="str">
        <f>IFERROR(__xludf.DUMMYFUNCTION("""COMPUTED_VALUE"""),"4690612053028-1")</f>
        <v>4690612053028-1</v>
      </c>
      <c r="B65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IFERROR(__xludf.DUMMYFUNCTION("""COMPUTED_VALUE"""),607.3100000000001)</f>
        <v>607.31</v>
      </c>
      <c r="F659" s="2">
        <f>IFERROR(__xludf.DUMMYFUNCTION("""COMPUTED_VALUE"""),666.0)</f>
        <v>666</v>
      </c>
      <c r="G659" s="2">
        <f>IFERROR(__xludf.DUMMYFUNCTION("""COMPUTED_VALUE"""),874.0)</f>
        <v>874</v>
      </c>
      <c r="H659" s="2">
        <f>IFERROR(__xludf.DUMMYFUNCTION("""COMPUTED_VALUE"""),984.0)</f>
        <v>984</v>
      </c>
      <c r="I659" s="2">
        <f>IFERROR(__xludf.DUMMYFUNCTION("""COMPUTED_VALUE"""),1093.0)</f>
        <v>1093</v>
      </c>
      <c r="J659" s="2">
        <f>IFERROR(__xludf.DUMMYFUNCTION("""COMPUTED_VALUE"""),547.0)</f>
        <v>547</v>
      </c>
      <c r="K659" s="2">
        <f>IFERROR(__xludf.DUMMYFUNCTION("""COMPUTED_VALUE"""),2.0)</f>
        <v>2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IFERROR(__xludf.DUMMYFUNCTION("""COMPUTED_VALUE"""),"V13004")</f>
        <v>V13004</v>
      </c>
      <c r="B660" s="5" t="str">
        <f>IFERROR(__xludf.DUMMYFUNCTION("""COMPUTED_VALUE"""),"VRN-RTL-44-8MA50K65-U, 44Вт, Универсальный")</f>
        <v>VRN-RTL-44-8MA50K65-U, 44Вт, Универсальный</v>
      </c>
      <c r="C660" s="2">
        <f>IFERROR(__xludf.DUMMYFUNCTION("""COMPUTED_VALUE"""),2.3)</f>
        <v>2.3</v>
      </c>
      <c r="D660" s="2">
        <f>IFERROR(__xludf.DUMMYFUNCTION("""COMPUTED_VALUE"""),0.0255)</f>
        <v>0.0255</v>
      </c>
      <c r="E660" s="2">
        <f>IFERROR(__xludf.DUMMYFUNCTION("""COMPUTED_VALUE"""),3387.0)</f>
        <v>3387</v>
      </c>
      <c r="F660" s="2">
        <f>IFERROR(__xludf.DUMMYFUNCTION("""COMPUTED_VALUE"""),3725.0)</f>
        <v>3725</v>
      </c>
      <c r="G660" s="2">
        <f>IFERROR(__xludf.DUMMYFUNCTION("""COMPUTED_VALUE"""),4843.0)</f>
        <v>4843</v>
      </c>
      <c r="H660" s="2">
        <f>IFERROR(__xludf.DUMMYFUNCTION("""COMPUTED_VALUE"""),5085.0)</f>
        <v>5085</v>
      </c>
      <c r="I660" s="2">
        <f>IFERROR(__xludf.DUMMYFUNCTION("""COMPUTED_VALUE"""),5327.0)</f>
        <v>5327</v>
      </c>
      <c r="J660" s="2">
        <f>IFERROR(__xludf.DUMMYFUNCTION("""COMPUTED_VALUE"""),5327.0)</f>
        <v>5327</v>
      </c>
      <c r="K660" s="2">
        <f>IFERROR(__xludf.DUMMYFUNCTION("""COMPUTED_VALUE"""),5.0)</f>
        <v>5</v>
      </c>
      <c r="L660" s="2" t="str">
        <f>IFERROR(__xludf.DUMMYFUNCTION("""COMPUTED_VALUE"""),"Ритейл")</f>
        <v>Ритейл</v>
      </c>
      <c r="M66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1">
      <c r="A661" s="5" t="str">
        <f>IFERROR(__xludf.DUMMYFUNCTION("""COMPUTED_VALUE"""),"4260652196285")</f>
        <v>4260652196285</v>
      </c>
      <c r="B661" s="5" t="str">
        <f>IFERROR(__xludf.DUMMYFUNCTION("""COMPUTED_VALUE"""),"WTL-15W/02B")</f>
        <v>WTL-15W/02B</v>
      </c>
      <c r="C661" s="2">
        <f>IFERROR(__xludf.DUMMYFUNCTION("""COMPUTED_VALUE"""),0.485)</f>
        <v>0.485</v>
      </c>
      <c r="D661" s="2">
        <f>IFERROR(__xludf.DUMMYFUNCTION("""COMPUTED_VALUE"""),0.00193)</f>
        <v>0.00193</v>
      </c>
      <c r="E661" s="2">
        <f>IFERROR(__xludf.DUMMYFUNCTION("""COMPUTED_VALUE"""),875.0)</f>
        <v>875</v>
      </c>
      <c r="F661" s="2">
        <f>IFERROR(__xludf.DUMMYFUNCTION("""COMPUTED_VALUE"""),1446.0)</f>
        <v>1446</v>
      </c>
      <c r="G661" s="2">
        <f>IFERROR(__xludf.DUMMYFUNCTION("""COMPUTED_VALUE"""),1495.0)</f>
        <v>1495</v>
      </c>
      <c r="H661" s="2">
        <f>IFERROR(__xludf.DUMMYFUNCTION("""COMPUTED_VALUE"""),1960.0)</f>
        <v>1960</v>
      </c>
      <c r="I661" s="2">
        <f>IFERROR(__xludf.DUMMYFUNCTION("""COMPUTED_VALUE"""),2450.0)</f>
        <v>2450</v>
      </c>
      <c r="J661" s="2">
        <f>IFERROR(__xludf.DUMMYFUNCTION("""COMPUTED_VALUE"""),1225.0)</f>
        <v>1225</v>
      </c>
      <c r="K661" s="2">
        <f>IFERROR(__xludf.DUMMYFUNCTION("""COMPUTED_VALUE"""),2.0)</f>
        <v>2</v>
      </c>
      <c r="L661" s="2" t="str">
        <f>IFERROR(__xludf.DUMMYFUNCTION("""COMPUTED_VALUE"""),"Wolta трековые")</f>
        <v>Wolta трековые</v>
      </c>
      <c r="M661" s="2" t="str">
        <f>IFERROR(__xludf.DUMMYFUNCTION("""COMPUTED_VALUE"""),"Трековые, LED Светильники")</f>
        <v>Трековые, LED Светильники</v>
      </c>
    </row>
    <row r="662">
      <c r="A662" s="5" t="str">
        <f>IFERROR(__xludf.DUMMYFUNCTION("""COMPUTED_VALUE"""),"B2100-ST-051")</f>
        <v>B2100-ST-051</v>
      </c>
      <c r="B662" s="5" t="str">
        <f>IFERROR(__xludf.DUMMYFUNCTION("""COMPUTED_VALUE"""),"Балка яруса Ш=2100 Cтeллaжа CT-051")</f>
        <v>Балка яруса Ш=2100 Cтeллaжа CT-051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IFERROR(__xludf.DUMMYFUNCTION("""COMPUTED_VALUE"""),0.0)</f>
        <v>0</v>
      </c>
      <c r="F662" s="2">
        <f>IFERROR(__xludf.DUMMYFUNCTION("""COMPUTED_VALUE"""),900.0)</f>
        <v>900</v>
      </c>
      <c r="G662" s="2">
        <f>IFERROR(__xludf.DUMMYFUNCTION("""COMPUTED_VALUE"""),960.0)</f>
        <v>960</v>
      </c>
      <c r="H662" s="2">
        <f>IFERROR(__xludf.DUMMYFUNCTION("""COMPUTED_VALUE"""),1080.0)</f>
        <v>1080</v>
      </c>
      <c r="I662" s="2">
        <f>IFERROR(__xludf.DUMMYFUNCTION("""COMPUTED_VALUE"""),1200.5)</f>
        <v>1200.5</v>
      </c>
      <c r="J662" s="2">
        <f>IFERROR(__xludf.DUMMYFUNCTION("""COMPUTED_VALUE"""),600.0)</f>
        <v>600</v>
      </c>
      <c r="K662" s="2">
        <f>IFERROR(__xludf.DUMMYFUNCTION("""COMPUTED_VALUE"""),18.0)</f>
        <v>18</v>
      </c>
      <c r="L662" s="2" t="str">
        <f>IFERROR(__xludf.DUMMYFUNCTION("""COMPUTED_VALUE"""),"Другие")</f>
        <v>Другие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IFERROR(__xludf.DUMMYFUNCTION("""COMPUTED_VALUE"""),"G103102207")</f>
        <v>G103102207</v>
      </c>
      <c r="B663" s="5" t="str">
        <f>IFERROR(__xludf.DUMMYFUNCTION("""COMPUTED_VALUE"""),"Candle E27 6.5W 4100К 1/10/100")</f>
        <v>Candle E27 6.5W 4100К 1/10/100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IFERROR(__xludf.DUMMYFUNCTION("""COMPUTED_VALUE"""),78.87)</f>
        <v>78.87</v>
      </c>
      <c r="F663" s="2">
        <f>IFERROR(__xludf.DUMMYFUNCTION("""COMPUTED_VALUE"""),82.0)</f>
        <v>82</v>
      </c>
      <c r="G663" s="2">
        <f>IFERROR(__xludf.DUMMYFUNCTION("""COMPUTED_VALUE"""),90.0)</f>
        <v>90</v>
      </c>
      <c r="H663" s="2">
        <f>IFERROR(__xludf.DUMMYFUNCTION("""COMPUTED_VALUE"""),106.0)</f>
        <v>106</v>
      </c>
      <c r="I663" s="2">
        <f>IFERROR(__xludf.DUMMYFUNCTION("""COMPUTED_VALUE"""),134.0)</f>
        <v>134</v>
      </c>
      <c r="J663" s="2">
        <f>IFERROR(__xludf.DUMMYFUNCTION("""COMPUTED_VALUE"""),67.0)</f>
        <v>67</v>
      </c>
      <c r="K663" s="2">
        <f>IFERROR(__xludf.DUMMYFUNCTION("""COMPUTED_VALUE"""),49.0)</f>
        <v>49</v>
      </c>
      <c r="L663" s="2" t="str">
        <f>IFERROR(__xludf.DUMMYFUNCTION("""COMPUTED_VALUE"""),"Свечи")</f>
        <v>Свечи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IFERROR(__xludf.DUMMYFUNCTION("""COMPUTED_VALUE"""),"4690612057279")</f>
        <v>4690612057279</v>
      </c>
      <c r="B66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4" s="2">
        <f>IFERROR(__xludf.DUMMYFUNCTION("""COMPUTED_VALUE"""),0.9750000000000001)</f>
        <v>0.975</v>
      </c>
      <c r="D664" s="2">
        <f>IFERROR(__xludf.DUMMYFUNCTION("""COMPUTED_VALUE"""),0.01625)</f>
        <v>0.01625</v>
      </c>
      <c r="E664" s="2">
        <f>IFERROR(__xludf.DUMMYFUNCTION("""COMPUTED_VALUE"""),763.14)</f>
        <v>763.14</v>
      </c>
      <c r="F664" s="2">
        <f>IFERROR(__xludf.DUMMYFUNCTION("""COMPUTED_VALUE"""),964.0)</f>
        <v>964</v>
      </c>
      <c r="G664" s="2">
        <f>IFERROR(__xludf.DUMMYFUNCTION("""COMPUTED_VALUE"""),1084.0)</f>
        <v>1084</v>
      </c>
      <c r="H664" s="2">
        <f>IFERROR(__xludf.DUMMYFUNCTION("""COMPUTED_VALUE"""),1257.0)</f>
        <v>1257</v>
      </c>
      <c r="I664" s="2">
        <f>IFERROR(__xludf.DUMMYFUNCTION("""COMPUTED_VALUE"""),1445.0)</f>
        <v>1445</v>
      </c>
      <c r="J664" s="2">
        <f>IFERROR(__xludf.DUMMYFUNCTION("""COMPUTED_VALUE"""),723.0)</f>
        <v>723</v>
      </c>
      <c r="K664" s="2">
        <f>IFERROR(__xludf.DUMMYFUNCTION("""COMPUTED_VALUE"""),37.0)</f>
        <v>37</v>
      </c>
      <c r="L664" s="2" t="str">
        <f>IFERROR(__xludf.DUMMYFUNCTION("""COMPUTED_VALUE"""),"NEOX Светильники LED ДВО")</f>
        <v>NEOX Светильники LED ДВО</v>
      </c>
      <c r="M6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5">
      <c r="A665" s="5" t="str">
        <f>IFERROR(__xludf.DUMMYFUNCTION("""COMPUTED_VALUE"""),"4690612009025-5")</f>
        <v>4690612009025-5</v>
      </c>
      <c r="B66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5" s="2">
        <f>IFERROR(__xludf.DUMMYFUNCTION("""COMPUTED_VALUE"""),0.028)</f>
        <v>0.028</v>
      </c>
      <c r="D665" s="2">
        <f>IFERROR(__xludf.DUMMYFUNCTION("""COMPUTED_VALUE"""),1.3E-4)</f>
        <v>0.00013</v>
      </c>
      <c r="E665" s="2">
        <f>IFERROR(__xludf.DUMMYFUNCTION("""COMPUTED_VALUE"""),178.25)</f>
        <v>178.25</v>
      </c>
      <c r="F665" s="2">
        <f>IFERROR(__xludf.DUMMYFUNCTION("""COMPUTED_VALUE"""),196.0)</f>
        <v>196</v>
      </c>
      <c r="G665" s="2">
        <f>IFERROR(__xludf.DUMMYFUNCTION("""COMPUTED_VALUE"""),257.0)</f>
        <v>257</v>
      </c>
      <c r="H665" s="2">
        <f>IFERROR(__xludf.DUMMYFUNCTION("""COMPUTED_VALUE"""),289.0)</f>
        <v>289</v>
      </c>
      <c r="I665" s="2">
        <f>IFERROR(__xludf.DUMMYFUNCTION("""COMPUTED_VALUE"""),321.0)</f>
        <v>321</v>
      </c>
      <c r="J665" s="2">
        <f>IFERROR(__xludf.DUMMYFUNCTION("""COMPUTED_VALUE"""),161.0)</f>
        <v>161</v>
      </c>
      <c r="K665" s="2">
        <f>IFERROR(__xludf.DUMMYFUNCTION("""COMPUTED_VALUE"""),40.0)</f>
        <v>40</v>
      </c>
      <c r="L665" s="2" t="str">
        <f>IFERROR(__xludf.DUMMYFUNCTION("""COMPUTED_VALUE"""),"Розетки, вилки производство, упаковка")</f>
        <v>Розетки, вилки производство, упаковка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IFERROR(__xludf.DUMMYFUNCTION("""COMPUTED_VALUE"""),"G103101207")</f>
        <v>G103101207</v>
      </c>
      <c r="B666" s="5" t="str">
        <f>IFERROR(__xludf.DUMMYFUNCTION("""COMPUTED_VALUE"""),"Candle E14 6.5W 4100К 1/10/50")</f>
        <v>Candle E14 6.5W 4100К 1/10/50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IFERROR(__xludf.DUMMYFUNCTION("""COMPUTED_VALUE"""),67.0)</f>
        <v>67</v>
      </c>
      <c r="K666" s="2">
        <f>IFERROR(__xludf.DUMMYFUNCTION("""COMPUTED_VALUE"""),1.0)</f>
        <v>1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IFERROR(__xludf.DUMMYFUNCTION("""COMPUTED_VALUE"""),"4690612024042")</f>
        <v>4690612024042</v>
      </c>
      <c r="B667" s="5" t="str">
        <f>IFERROR(__xludf.DUMMYFUNCTION("""COMPUTED_VALUE"""),"LED-A60-VC 8Вт 230В Е27 6500К 760Лм IN HOME")</f>
        <v>LED-A60-VC 8Вт 230В Е27 6500К 760Лм IN HOME</v>
      </c>
      <c r="C667" s="2">
        <f>IFERROR(__xludf.DUMMYFUNCTION("""COMPUTED_VALUE"""),0.05500000000000001)</f>
        <v>0.055</v>
      </c>
      <c r="D667" s="2">
        <f>IFERROR(__xludf.DUMMYFUNCTION("""COMPUTED_VALUE"""),4.0E-4)</f>
        <v>0.0004</v>
      </c>
      <c r="E667" s="2">
        <f>IFERROR(__xludf.DUMMYFUNCTION("""COMPUTED_VALUE"""),35.55)</f>
        <v>35.55</v>
      </c>
      <c r="F667" s="2">
        <f>IFERROR(__xludf.DUMMYFUNCTION("""COMPUTED_VALUE"""),43.0)</f>
        <v>43</v>
      </c>
      <c r="G667" s="2">
        <f>IFERROR(__xludf.DUMMYFUNCTION("""COMPUTED_VALUE"""),48.0)</f>
        <v>48</v>
      </c>
      <c r="H667" s="2">
        <f>IFERROR(__xludf.DUMMYFUNCTION("""COMPUTED_VALUE"""),56.0)</f>
        <v>56</v>
      </c>
      <c r="I667" s="2">
        <f>IFERROR(__xludf.DUMMYFUNCTION("""COMPUTED_VALUE"""),64.3)</f>
        <v>64.3</v>
      </c>
      <c r="J667" s="2">
        <f>IFERROR(__xludf.DUMMYFUNCTION("""COMPUTED_VALUE"""),32.0)</f>
        <v>32</v>
      </c>
      <c r="K667" s="2">
        <f>IFERROR(__xludf.DUMMYFUNCTION("""COMPUTED_VALUE"""),8.0)</f>
        <v>8</v>
      </c>
      <c r="L667" s="2" t="str">
        <f>IFERROR(__xludf.DUMMYFUNCTION("""COMPUTED_VALUE"""),"Лампа светодиодная LED-A60-standard")</f>
        <v>Лампа светодиодная LED-A60-standard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IFERROR(__xludf.DUMMYFUNCTION("""COMPUTED_VALUE"""),"4680005959754-10")</f>
        <v>4680005959754-10</v>
      </c>
      <c r="B66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8" s="2">
        <f>IFERROR(__xludf.DUMMYFUNCTION("""COMPUTED_VALUE"""),0.05)</f>
        <v>0.05</v>
      </c>
      <c r="D668" s="2">
        <f>IFERROR(__xludf.DUMMYFUNCTION("""COMPUTED_VALUE"""),2.5E-4)</f>
        <v>0.00025</v>
      </c>
      <c r="E668" s="2">
        <f>IFERROR(__xludf.DUMMYFUNCTION("""COMPUTED_VALUE"""),503.5)</f>
        <v>503.5</v>
      </c>
      <c r="F668" s="2">
        <f>IFERROR(__xludf.DUMMYFUNCTION("""COMPUTED_VALUE"""),552.0)</f>
        <v>552</v>
      </c>
      <c r="G668" s="2">
        <f>IFERROR(__xludf.DUMMYFUNCTION("""COMPUTED_VALUE"""),725.0)</f>
        <v>725</v>
      </c>
      <c r="H668" s="2">
        <f>IFERROR(__xludf.DUMMYFUNCTION("""COMPUTED_VALUE"""),815.0)</f>
        <v>815</v>
      </c>
      <c r="I668" s="2">
        <f>IFERROR(__xludf.DUMMYFUNCTION("""COMPUTED_VALUE"""),906.0)</f>
        <v>906</v>
      </c>
      <c r="J668" s="2">
        <f>IFERROR(__xludf.DUMMYFUNCTION("""COMPUTED_VALUE"""),453.0)</f>
        <v>453</v>
      </c>
      <c r="K668" s="2">
        <f>IFERROR(__xludf.DUMMYFUNCTION("""COMPUTED_VALUE"""),13.0)</f>
        <v>13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IFERROR(__xludf.DUMMYFUNCTION("""COMPUTED_VALUE"""),"11700133")</f>
        <v>11700133</v>
      </c>
      <c r="B669" s="5" t="str">
        <f>IFERROR(__xludf.DUMMYFUNCTION("""COMPUTED_VALUE"""),"LTT - BROKS L1000 4000К 30Вт")</f>
        <v>LTT - BROKS L1000 4000К 30Вт</v>
      </c>
      <c r="C669" s="2">
        <f>IFERROR(__xludf.DUMMYFUNCTION("""COMPUTED_VALUE"""),1.0)</f>
        <v>1</v>
      </c>
      <c r="D669" s="2">
        <f>IFERROR(__xludf.DUMMYFUNCTION("""COMPUTED_VALUE"""),0.006840000000000001)</f>
        <v>0.00684</v>
      </c>
      <c r="E669" s="2">
        <f>IFERROR(__xludf.DUMMYFUNCTION("""COMPUTED_VALUE"""),2302.25)</f>
        <v>2302.25</v>
      </c>
      <c r="F669" s="2">
        <f>IFERROR(__xludf.DUMMYFUNCTION("""COMPUTED_VALUE"""),3308.0)</f>
        <v>3308</v>
      </c>
      <c r="G669" s="2">
        <f>IFERROR(__xludf.DUMMYFUNCTION("""COMPUTED_VALUE"""),3701.0)</f>
        <v>3701</v>
      </c>
      <c r="H669" s="2">
        <f>IFERROR(__xludf.DUMMYFUNCTION("""COMPUTED_VALUE"""),4163.0)</f>
        <v>4163</v>
      </c>
      <c r="I669" s="2">
        <f>IFERROR(__xludf.DUMMYFUNCTION("""COMPUTED_VALUE"""),4626.0)</f>
        <v>4626</v>
      </c>
      <c r="J669" s="2">
        <f>IFERROR(__xludf.DUMMYFUNCTION("""COMPUTED_VALUE"""),2313.0)</f>
        <v>2313</v>
      </c>
      <c r="K669" s="2">
        <f>IFERROR(__xludf.DUMMYFUNCTION("""COMPUTED_VALUE"""),1.0)</f>
        <v>1</v>
      </c>
      <c r="L669" s="2" t="str">
        <f>IFERROR(__xludf.DUMMYFUNCTION("""COMPUTED_VALUE"""),"LEDOS Промышленное освещение")</f>
        <v>LEDOS Промышленное освещение</v>
      </c>
      <c r="M669" s="2" t="str">
        <f>IFERROR(__xludf.DUMMYFUNCTION("""COMPUTED_VALUE"""),"Пластиковые (линейные), LED Светильники")</f>
        <v>Пластиковые (линейные), LED Светильники</v>
      </c>
    </row>
    <row r="670">
      <c r="A670" s="5" t="str">
        <f>IFERROR(__xludf.DUMMYFUNCTION("""COMPUTED_VALUE"""),"4260652193406")</f>
        <v>4260652193406</v>
      </c>
      <c r="B670" s="5" t="str">
        <f>IFERROR(__xludf.DUMMYFUNCTION("""COMPUTED_VALUE"""),"LCL04-12W-R11-6K-SOA")</f>
        <v>LCL04-12W-R11-6K-SOA</v>
      </c>
      <c r="C670" s="2">
        <f>IFERROR(__xludf.DUMMYFUNCTION("""COMPUTED_VALUE"""),0.11)</f>
        <v>0.11</v>
      </c>
      <c r="D670" s="2">
        <f>IFERROR(__xludf.DUMMYFUNCTION("""COMPUTED_VALUE"""),0.0)</f>
        <v>0</v>
      </c>
      <c r="E670" s="2">
        <f>IFERROR(__xludf.DUMMYFUNCTION("""COMPUTED_VALUE"""),237.07)</f>
        <v>237.07</v>
      </c>
      <c r="F670" s="2">
        <f>IFERROR(__xludf.DUMMYFUNCTION("""COMPUTED_VALUE"""),340.0)</f>
        <v>340</v>
      </c>
      <c r="G670" s="2">
        <f>IFERROR(__xludf.DUMMYFUNCTION("""COMPUTED_VALUE"""),352.0)</f>
        <v>352</v>
      </c>
      <c r="H670" s="2">
        <f>IFERROR(__xludf.DUMMYFUNCTION("""COMPUTED_VALUE"""),461.0)</f>
        <v>461</v>
      </c>
      <c r="I670" s="2">
        <f>IFERROR(__xludf.DUMMYFUNCTION("""COMPUTED_VALUE"""),576.0)</f>
        <v>576</v>
      </c>
      <c r="J670" s="2">
        <f>IFERROR(__xludf.DUMMYFUNCTION("""COMPUTED_VALUE"""),288.0)</f>
        <v>288</v>
      </c>
      <c r="K670" s="2">
        <f>IFERROR(__xludf.DUMMYFUNCTION("""COMPUTED_VALUE"""),34.0)</f>
        <v>34</v>
      </c>
      <c r="L670" s="2" t="str">
        <f>IFERROR(__xludf.DUMMYFUNCTION("""COMPUTED_VALUE"""),"Wolta ЖКХ")</f>
        <v>Wolta ЖКХ</v>
      </c>
      <c r="M670" s="2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5" t="str">
        <f>IFERROR(__xludf.DUMMYFUNCTION("""COMPUTED_VALUE"""),"GL8280")</f>
        <v>GL8280</v>
      </c>
      <c r="B671" s="5" t="str">
        <f>IFERROR(__xludf.DUMMYFUNCTION("""COMPUTED_VALUE"""),"GLERIO Line Ultra 36 Вт 4000К 94P-36D-4N-M")</f>
        <v>GLERIO Line Ultra 36 Вт 4000К 94P-36D-4N-M</v>
      </c>
      <c r="C671" s="2">
        <f>IFERROR(__xludf.DUMMYFUNCTION("""COMPUTED_VALUE"""),0.7200000000000001)</f>
        <v>0.72</v>
      </c>
      <c r="D671" s="2">
        <f>IFERROR(__xludf.DUMMYFUNCTION("""COMPUTED_VALUE"""),0.00485)</f>
        <v>0.00485</v>
      </c>
      <c r="E671" s="2">
        <f>IFERROR(__xludf.DUMMYFUNCTION("""COMPUTED_VALUE"""),2114.6)</f>
        <v>2114.6</v>
      </c>
      <c r="F671" s="2">
        <f>IFERROR(__xludf.DUMMYFUNCTION("""COMPUTED_VALUE"""),2680.0)</f>
        <v>2680</v>
      </c>
      <c r="G671" s="2">
        <f>IFERROR(__xludf.DUMMYFUNCTION("""COMPUTED_VALUE"""),3374.0)</f>
        <v>3374</v>
      </c>
      <c r="H671" s="2">
        <f>IFERROR(__xludf.DUMMYFUNCTION("""COMPUTED_VALUE"""),3789.0)</f>
        <v>3789</v>
      </c>
      <c r="I671" s="2">
        <f>IFERROR(__xludf.DUMMYFUNCTION("""COMPUTED_VALUE"""),4204.0)</f>
        <v>4204</v>
      </c>
      <c r="J671" s="2">
        <f>IFERROR(__xludf.DUMMYFUNCTION("""COMPUTED_VALUE"""),2102.0)</f>
        <v>2102</v>
      </c>
      <c r="K671" s="2">
        <f>IFERROR(__xludf.DUMMYFUNCTION("""COMPUTED_VALUE"""),3.0)</f>
        <v>3</v>
      </c>
      <c r="L671" s="2" t="str">
        <f>IFERROR(__xludf.DUMMYFUNCTION("""COMPUTED_VALUE"""),"Line Ultra (Сеть) до 10.2025")</f>
        <v>Line Ultra (Сеть) до 10.2025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IFERROR(__xludf.DUMMYFUNCTION("""COMPUTED_VALUE"""),"14690612038169")</f>
        <v>14690612038169</v>
      </c>
      <c r="B67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2" s="2">
        <f>IFERROR(__xludf.DUMMYFUNCTION("""COMPUTED_VALUE"""),1.075)</f>
        <v>1.075</v>
      </c>
      <c r="D672" s="2">
        <f>IFERROR(__xludf.DUMMYFUNCTION("""COMPUTED_VALUE"""),0.01)</f>
        <v>0.01</v>
      </c>
      <c r="E672" s="2">
        <f>IFERROR(__xludf.DUMMYFUNCTION("""COMPUTED_VALUE"""),1924.67)</f>
        <v>1924.67</v>
      </c>
      <c r="F672" s="2">
        <f>IFERROR(__xludf.DUMMYFUNCTION("""COMPUTED_VALUE"""),2112.0)</f>
        <v>2112</v>
      </c>
      <c r="G672" s="2">
        <f>IFERROR(__xludf.DUMMYFUNCTION("""COMPUTED_VALUE"""),2771.0)</f>
        <v>2771</v>
      </c>
      <c r="H672" s="2">
        <f>IFERROR(__xludf.DUMMYFUNCTION("""COMPUTED_VALUE"""),3118.0)</f>
        <v>3118</v>
      </c>
      <c r="I672" s="2">
        <f>IFERROR(__xludf.DUMMYFUNCTION("""COMPUTED_VALUE"""),3464.0)</f>
        <v>3464</v>
      </c>
      <c r="J672" s="2">
        <f>IFERROR(__xludf.DUMMYFUNCTION("""COMPUTED_VALUE"""),1732.0)</f>
        <v>1732</v>
      </c>
      <c r="K672" s="2">
        <f>IFERROR(__xludf.DUMMYFUNCTION("""COMPUTED_VALUE"""),13.0)</f>
        <v>13</v>
      </c>
      <c r="L6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3">
      <c r="A673" s="5" t="str">
        <f>IFERROR(__xludf.DUMMYFUNCTION("""COMPUTED_VALUE"""),"V11013")</f>
        <v>V11013</v>
      </c>
      <c r="B673" s="5" t="str">
        <f>IFERROR(__xludf.DUMMYFUNCTION("""COMPUTED_VALUE"""),"VRN-LPE30-64-A50K67-U, 64Вт, Универсальный")</f>
        <v>VRN-LPE30-64-A50K67-U, 64Вт, Универсальный</v>
      </c>
      <c r="C673" s="2">
        <f>IFERROR(__xludf.DUMMYFUNCTION("""COMPUTED_VALUE"""),2.0)</f>
        <v>2</v>
      </c>
      <c r="D673" s="2">
        <f>IFERROR(__xludf.DUMMYFUNCTION("""COMPUTED_VALUE"""),0.0074)</f>
        <v>0.0074</v>
      </c>
      <c r="E673" s="2">
        <f>IFERROR(__xludf.DUMMYFUNCTION("""COMPUTED_VALUE"""),3250.0)</f>
        <v>3250</v>
      </c>
      <c r="F673" s="2">
        <f>IFERROR(__xludf.DUMMYFUNCTION("""COMPUTED_VALUE"""),3760.0)</f>
        <v>3760</v>
      </c>
      <c r="G673" s="2">
        <f>IFERROR(__xludf.DUMMYFUNCTION("""COMPUTED_VALUE"""),4888.0)</f>
        <v>4888</v>
      </c>
      <c r="H673" s="2">
        <f>IFERROR(__xludf.DUMMYFUNCTION("""COMPUTED_VALUE"""),5132.0)</f>
        <v>5132</v>
      </c>
      <c r="I673" s="2">
        <f>IFERROR(__xludf.DUMMYFUNCTION("""COMPUTED_VALUE"""),5377.0)</f>
        <v>5377</v>
      </c>
      <c r="J673" s="2">
        <f>IFERROR(__xludf.DUMMYFUNCTION("""COMPUTED_VALUE"""),2689.0)</f>
        <v>2689</v>
      </c>
      <c r="K673" s="2">
        <f>IFERROR(__xludf.DUMMYFUNCTION("""COMPUTED_VALUE"""),13.0)</f>
        <v>13</v>
      </c>
      <c r="L673" s="2" t="str">
        <f>IFERROR(__xludf.DUMMYFUNCTION("""COMPUTED_VALUE"""),"Прожектор Эконом")</f>
        <v>Прожектор Эконом</v>
      </c>
      <c r="M67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4">
      <c r="A674" s="5" t="str">
        <f>IFERROR(__xludf.DUMMYFUNCTION("""COMPUTED_VALUE"""),"4690612030890")</f>
        <v>4690612030890</v>
      </c>
      <c r="B67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4" s="2">
        <f>IFERROR(__xludf.DUMMYFUNCTION("""COMPUTED_VALUE"""),0.108)</f>
        <v>0.108</v>
      </c>
      <c r="D674" s="2">
        <f>IFERROR(__xludf.DUMMYFUNCTION("""COMPUTED_VALUE"""),7.2E-4)</f>
        <v>0.00072</v>
      </c>
      <c r="E674" s="2">
        <f>IFERROR(__xludf.DUMMYFUNCTION("""COMPUTED_VALUE"""),62.4)</f>
        <v>62.4</v>
      </c>
      <c r="F674" s="2">
        <f>IFERROR(__xludf.DUMMYFUNCTION("""COMPUTED_VALUE"""),80.0)</f>
        <v>80</v>
      </c>
      <c r="G674" s="2">
        <f>IFERROR(__xludf.DUMMYFUNCTION("""COMPUTED_VALUE"""),90.0)</f>
        <v>90</v>
      </c>
      <c r="H674" s="2">
        <f>IFERROR(__xludf.DUMMYFUNCTION("""COMPUTED_VALUE"""),104.0)</f>
        <v>104</v>
      </c>
      <c r="I674" s="2">
        <f>IFERROR(__xludf.DUMMYFUNCTION("""COMPUTED_VALUE"""),120.4)</f>
        <v>120.4</v>
      </c>
      <c r="J674" s="2">
        <f>IFERROR(__xludf.DUMMYFUNCTION("""COMPUTED_VALUE"""),60.0)</f>
        <v>60</v>
      </c>
      <c r="K674" s="2">
        <f>IFERROR(__xludf.DUMMYFUNCTION("""COMPUTED_VALUE"""),20.0)</f>
        <v>20</v>
      </c>
      <c r="L674" s="2" t="str">
        <f>IFERROR(__xludf.DUMMYFUNCTION("""COMPUTED_VALUE"""),"Лампа светодиодная LED-T8")</f>
        <v>Лампа светодиодная LED-T8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IFERROR(__xludf.DUMMYFUNCTION("""COMPUTED_VALUE"""),"G207707202")</f>
        <v>G207707202</v>
      </c>
      <c r="B675" s="5" t="str">
        <f>IFERROR(__xludf.DUMMYFUNCTION("""COMPUTED_VALUE"""),"G4 12V 2W 4100K 1/20/200")</f>
        <v>G4 12V 2W 4100K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IFERROR(__xludf.DUMMYFUNCTION("""COMPUTED_VALUE"""),8.0)</f>
        <v>8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IFERROR(__xludf.DUMMYFUNCTION("""COMPUTED_VALUE"""),"4690612023250")</f>
        <v>4690612023250</v>
      </c>
      <c r="B676" s="5" t="str">
        <f>IFERROR(__xludf.DUMMYFUNCTION("""COMPUTED_VALUE"""),"RING-1540R-W 15Вт 230В 4000К 910Лм 190мм IP65 КРУГ IN HOME")</f>
        <v>RING-1540R-W 15Вт 230В 4000К 910Лм 190мм IP65 КРУГ IN HOME</v>
      </c>
      <c r="C676" s="2">
        <f>IFERROR(__xludf.DUMMYFUNCTION("""COMPUTED_VALUE"""),0.38333)</f>
        <v>0.38333</v>
      </c>
      <c r="D676" s="2">
        <f>IFERROR(__xludf.DUMMYFUNCTION("""COMPUTED_VALUE"""),0.00208)</f>
        <v>0.00208</v>
      </c>
      <c r="E676" s="2">
        <f>IFERROR(__xludf.DUMMYFUNCTION("""COMPUTED_VALUE"""),567.97)</f>
        <v>567.97</v>
      </c>
      <c r="F676" s="2">
        <f>IFERROR(__xludf.DUMMYFUNCTION("""COMPUTED_VALUE"""),557.0)</f>
        <v>557</v>
      </c>
      <c r="G676" s="2">
        <f>IFERROR(__xludf.DUMMYFUNCTION("""COMPUTED_VALUE"""),627.0)</f>
        <v>627</v>
      </c>
      <c r="H676" s="2">
        <f>IFERROR(__xludf.DUMMYFUNCTION("""COMPUTED_VALUE"""),727.0)</f>
        <v>727</v>
      </c>
      <c r="I676" s="2">
        <f>IFERROR(__xludf.DUMMYFUNCTION("""COMPUTED_VALUE"""),836.0)</f>
        <v>836</v>
      </c>
      <c r="J676" s="2">
        <f>IFERROR(__xludf.DUMMYFUNCTION("""COMPUTED_VALUE"""),418.0)</f>
        <v>418</v>
      </c>
      <c r="K676" s="2">
        <f>IFERROR(__xludf.DUMMYFUNCTION("""COMPUTED_VALUE"""),23.0)</f>
        <v>23</v>
      </c>
      <c r="L676" s="2" t="str">
        <f>IFERROR(__xludf.DUMMYFUNCTION("""COMPUTED_VALUE"""),"Светильники светодиодные RING")</f>
        <v>Светильники светодиодные RING</v>
      </c>
      <c r="M6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7">
      <c r="A677" s="5" t="str">
        <f>IFERROR(__xludf.DUMMYFUNCTION("""COMPUTED_VALUE"""),"4690612020297")</f>
        <v>4690612020297</v>
      </c>
      <c r="B677" s="5" t="str">
        <f>IFERROR(__xludf.DUMMYFUNCTION("""COMPUTED_VALUE"""),"LED-A60-VC 20Вт 230В Е27 3000К 1900Лм IN HOME")</f>
        <v>LED-A60-VC 20Вт 230В Е27 3000К 1900Лм IN HOME</v>
      </c>
      <c r="C677" s="2">
        <f>IFERROR(__xludf.DUMMYFUNCTION("""COMPUTED_VALUE"""),0.05500000000000001)</f>
        <v>0.055</v>
      </c>
      <c r="D677" s="2">
        <f>IFERROR(__xludf.DUMMYFUNCTION("""COMPUTED_VALUE"""),4.0E-4)</f>
        <v>0.0004</v>
      </c>
      <c r="E677" s="2">
        <f>IFERROR(__xludf.DUMMYFUNCTION("""COMPUTED_VALUE"""),57.0)</f>
        <v>57</v>
      </c>
      <c r="F677" s="2">
        <f>IFERROR(__xludf.DUMMYFUNCTION("""COMPUTED_VALUE"""),60.0)</f>
        <v>60</v>
      </c>
      <c r="G677" s="2">
        <f>IFERROR(__xludf.DUMMYFUNCTION("""COMPUTED_VALUE"""),68.0)</f>
        <v>68</v>
      </c>
      <c r="H677" s="2">
        <f>IFERROR(__xludf.DUMMYFUNCTION("""COMPUTED_VALUE"""),78.0)</f>
        <v>78</v>
      </c>
      <c r="I677" s="2">
        <f>IFERROR(__xludf.DUMMYFUNCTION("""COMPUTED_VALUE"""),90.5)</f>
        <v>90.5</v>
      </c>
      <c r="J677" s="2">
        <f>IFERROR(__xludf.DUMMYFUNCTION("""COMPUTED_VALUE"""),45.0)</f>
        <v>45</v>
      </c>
      <c r="K677" s="2">
        <f>IFERROR(__xludf.DUMMYFUNCTION("""COMPUTED_VALUE"""),13.0)</f>
        <v>13</v>
      </c>
      <c r="L677" s="2" t="str">
        <f>IFERROR(__xludf.DUMMYFUNCTION("""COMPUTED_VALUE"""),"Лампа светодиодная LED-A60-standard")</f>
        <v>Лампа светодиодная LED-A60-standard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IFERROR(__xludf.DUMMYFUNCTION("""COMPUTED_VALUE"""),"4690612044217")</f>
        <v>4690612044217</v>
      </c>
      <c r="B67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IFERROR(__xludf.DUMMYFUNCTION("""COMPUTED_VALUE"""),459.45)</f>
        <v>459.45</v>
      </c>
      <c r="F678" s="2">
        <f>IFERROR(__xludf.DUMMYFUNCTION("""COMPUTED_VALUE"""),576.0)</f>
        <v>576</v>
      </c>
      <c r="G678" s="2">
        <f>IFERROR(__xludf.DUMMYFUNCTION("""COMPUTED_VALUE"""),648.0)</f>
        <v>648</v>
      </c>
      <c r="H678" s="2">
        <f>IFERROR(__xludf.DUMMYFUNCTION("""COMPUTED_VALUE"""),751.0)</f>
        <v>751</v>
      </c>
      <c r="I678" s="2">
        <f>IFERROR(__xludf.DUMMYFUNCTION("""COMPUTED_VALUE"""),864.0)</f>
        <v>864</v>
      </c>
      <c r="J678" s="2">
        <f>IFERROR(__xludf.DUMMYFUNCTION("""COMPUTED_VALUE"""),432.0)</f>
        <v>432</v>
      </c>
      <c r="K678" s="2">
        <f>IFERROR(__xludf.DUMMYFUNCTION("""COMPUTED_VALUE"""),5.0)</f>
        <v>5</v>
      </c>
      <c r="L678" s="2" t="str">
        <f>IFERROR(__xludf.DUMMYFUNCTION("""COMPUTED_VALUE"""),"Под лампу GX53")</f>
        <v>Под лампу GX53</v>
      </c>
      <c r="M678" s="2" t="str">
        <f>IFERROR(__xludf.DUMMYFUNCTION("""COMPUTED_VALUE"""),"Ламповые светильники")</f>
        <v>Ламповые светильники</v>
      </c>
    </row>
    <row r="679">
      <c r="A679" s="5" t="str">
        <f>IFERROR(__xludf.DUMMYFUNCTION("""COMPUTED_VALUE"""),"4690612029979")</f>
        <v>4690612029979</v>
      </c>
      <c r="B67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9" s="2">
        <f>IFERROR(__xludf.DUMMYFUNCTION("""COMPUTED_VALUE"""),1.1)</f>
        <v>1.1</v>
      </c>
      <c r="D679" s="2">
        <f>IFERROR(__xludf.DUMMYFUNCTION("""COMPUTED_VALUE"""),0.00825)</f>
        <v>0.00825</v>
      </c>
      <c r="E679" s="2">
        <f>IFERROR(__xludf.DUMMYFUNCTION("""COMPUTED_VALUE"""),542.65)</f>
        <v>542.65</v>
      </c>
      <c r="F679" s="2">
        <f>IFERROR(__xludf.DUMMYFUNCTION("""COMPUTED_VALUE"""),601.0)</f>
        <v>601</v>
      </c>
      <c r="G679" s="2">
        <f>IFERROR(__xludf.DUMMYFUNCTION("""COMPUTED_VALUE"""),676.0)</f>
        <v>676</v>
      </c>
      <c r="H679" s="2">
        <f>IFERROR(__xludf.DUMMYFUNCTION("""COMPUTED_VALUE"""),784.0)</f>
        <v>784</v>
      </c>
      <c r="I679" s="2">
        <f>IFERROR(__xludf.DUMMYFUNCTION("""COMPUTED_VALUE"""),901.0)</f>
        <v>901</v>
      </c>
      <c r="J679" s="2">
        <f>IFERROR(__xludf.DUMMYFUNCTION("""COMPUTED_VALUE"""),451.0)</f>
        <v>451</v>
      </c>
      <c r="K679" s="2">
        <f>IFERROR(__xludf.DUMMYFUNCTION("""COMPUTED_VALUE"""),4.0)</f>
        <v>4</v>
      </c>
      <c r="L679" s="2" t="str">
        <f>IFERROR(__xludf.DUMMYFUNCTION("""COMPUTED_VALUE"""),"Панели светодиодные LP серии EMERGENCY")</f>
        <v>Панели светодиодные LP серии EMERGENCY</v>
      </c>
      <c r="M6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0">
      <c r="A680" s="5" t="str">
        <f>IFERROR(__xludf.DUMMYFUNCTION("""COMPUTED_VALUE"""),"4690612064390-1")</f>
        <v>4690612064390-1</v>
      </c>
      <c r="B68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IFERROR(__xludf.DUMMYFUNCTION("""COMPUTED_VALUE"""),1034.6)</f>
        <v>1034.6</v>
      </c>
      <c r="F680" s="2">
        <f>IFERROR(__xludf.DUMMYFUNCTION("""COMPUTED_VALUE"""),1135.0)</f>
        <v>1135</v>
      </c>
      <c r="G680" s="2">
        <f>IFERROR(__xludf.DUMMYFUNCTION("""COMPUTED_VALUE"""),1490.0)</f>
        <v>1490</v>
      </c>
      <c r="H680" s="2">
        <f>IFERROR(__xludf.DUMMYFUNCTION("""COMPUTED_VALUE"""),1676.0)</f>
        <v>1676</v>
      </c>
      <c r="I680" s="2">
        <f>IFERROR(__xludf.DUMMYFUNCTION("""COMPUTED_VALUE"""),1862.0)</f>
        <v>1862</v>
      </c>
      <c r="J680" s="2">
        <f>IFERROR(__xludf.DUMMYFUNCTION("""COMPUTED_VALUE"""),931.0)</f>
        <v>931</v>
      </c>
      <c r="K680" s="2">
        <f>IFERROR(__xludf.DUMMYFUNCTION("""COMPUTED_VALUE"""),21.0)</f>
        <v>21</v>
      </c>
      <c r="L6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IFERROR(__xludf.DUMMYFUNCTION("""COMPUTED_VALUE"""),"4690612037561")</f>
        <v>4690612037561</v>
      </c>
      <c r="B681" s="5" t="str">
        <f>IFERROR(__xludf.DUMMYFUNCTION("""COMPUTED_VALUE"""),"ССП-153 36Вт 230В 4000К 3420Лм 1200мм IP65 IN HOME")</f>
        <v>ССП-153 36Вт 230В 4000К 3420Лм 1200мм IP65 IN HOME</v>
      </c>
      <c r="C681" s="2">
        <f>IFERROR(__xludf.DUMMYFUNCTION("""COMPUTED_VALUE"""),0.196)</f>
        <v>0.196</v>
      </c>
      <c r="D681" s="2">
        <f>IFERROR(__xludf.DUMMYFUNCTION("""COMPUTED_VALUE"""),0.0014)</f>
        <v>0.0014</v>
      </c>
      <c r="E681" s="2">
        <f>IFERROR(__xludf.DUMMYFUNCTION("""COMPUTED_VALUE"""),332.64)</f>
        <v>332.64</v>
      </c>
      <c r="F681" s="2">
        <f>IFERROR(__xludf.DUMMYFUNCTION("""COMPUTED_VALUE"""),367.0)</f>
        <v>367</v>
      </c>
      <c r="G681" s="2">
        <f>IFERROR(__xludf.DUMMYFUNCTION("""COMPUTED_VALUE"""),413.0)</f>
        <v>413</v>
      </c>
      <c r="H681" s="2">
        <f>IFERROR(__xludf.DUMMYFUNCTION("""COMPUTED_VALUE"""),479.0)</f>
        <v>479</v>
      </c>
      <c r="I681" s="2">
        <f>IFERROR(__xludf.DUMMYFUNCTION("""COMPUTED_VALUE"""),550.0)</f>
        <v>550</v>
      </c>
      <c r="J681" s="2">
        <f>IFERROR(__xludf.DUMMYFUNCTION("""COMPUTED_VALUE"""),275.0)</f>
        <v>275</v>
      </c>
      <c r="K681" s="2">
        <f>IFERROR(__xludf.DUMMYFUNCTION("""COMPUTED_VALUE"""),1.0)</f>
        <v>1</v>
      </c>
      <c r="L681" s="2" t="str">
        <f>IFERROR(__xludf.DUMMYFUNCTION("""COMPUTED_VALUE"""),"Светильники светодиодные ССП")</f>
        <v>Светильники светодиодные ССП</v>
      </c>
      <c r="M68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2">
      <c r="A682" s="5" t="str">
        <f>IFERROR(__xludf.DUMMYFUNCTION("""COMPUTED_VALUE"""),"4690612013473")</f>
        <v>4690612013473</v>
      </c>
      <c r="B68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2" s="2">
        <f>IFERROR(__xludf.DUMMYFUNCTION("""COMPUTED_VALUE"""),0.65)</f>
        <v>0.65</v>
      </c>
      <c r="D682" s="2">
        <f>IFERROR(__xludf.DUMMYFUNCTION("""COMPUTED_VALUE"""),0.004500000000000001)</f>
        <v>0.0045</v>
      </c>
      <c r="E682" s="2">
        <f>IFERROR(__xludf.DUMMYFUNCTION("""COMPUTED_VALUE"""),670.86)</f>
        <v>670.86</v>
      </c>
      <c r="F682" s="2">
        <f>IFERROR(__xludf.DUMMYFUNCTION("""COMPUTED_VALUE"""),986.0)</f>
        <v>986</v>
      </c>
      <c r="G682" s="2">
        <f>IFERROR(__xludf.DUMMYFUNCTION("""COMPUTED_VALUE"""),1110.0)</f>
        <v>1110</v>
      </c>
      <c r="H682" s="2">
        <f>IFERROR(__xludf.DUMMYFUNCTION("""COMPUTED_VALUE"""),1287.0)</f>
        <v>1287</v>
      </c>
      <c r="I682" s="2">
        <f>IFERROR(__xludf.DUMMYFUNCTION("""COMPUTED_VALUE"""),1480.0)</f>
        <v>1480</v>
      </c>
      <c r="J682" s="2">
        <f>IFERROR(__xludf.DUMMYFUNCTION("""COMPUTED_VALUE"""),740.0)</f>
        <v>740</v>
      </c>
      <c r="K682" s="2">
        <f>IFERROR(__xludf.DUMMYFUNCTION("""COMPUTED_VALUE"""),3.0)</f>
        <v>3</v>
      </c>
      <c r="L682" s="2" t="str">
        <f>IFERROR(__xludf.DUMMYFUNCTION("""COMPUTED_VALUE"""),"Светильники настольные светодиодные")</f>
        <v>Светильники настольные светодиодные</v>
      </c>
      <c r="M6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3">
      <c r="A683" s="5" t="str">
        <f>IFERROR(__xludf.DUMMYFUNCTION("""COMPUTED_VALUE"""),"4260652193383")</f>
        <v>4260652193383</v>
      </c>
      <c r="B683" s="5" t="str">
        <f>IFERROR(__xludf.DUMMYFUNCTION("""COMPUTED_VALUE"""),"LCL04-12W-R11-4K-SOA")</f>
        <v>LCL04-12W-R11-4K-SOA</v>
      </c>
      <c r="C683" s="2">
        <f>IFERROR(__xludf.DUMMYFUNCTION("""COMPUTED_VALUE"""),0.11)</f>
        <v>0.11</v>
      </c>
      <c r="D683" s="2">
        <f>IFERROR(__xludf.DUMMYFUNCTION("""COMPUTED_VALUE"""),0.04)</f>
        <v>0.04</v>
      </c>
      <c r="E683" s="2">
        <f>IFERROR(__xludf.DUMMYFUNCTION("""COMPUTED_VALUE"""),365.12)</f>
        <v>365.12</v>
      </c>
      <c r="F683" s="2">
        <f>IFERROR(__xludf.DUMMYFUNCTION("""COMPUTED_VALUE"""),340.0)</f>
        <v>340</v>
      </c>
      <c r="G683" s="2">
        <f>IFERROR(__xludf.DUMMYFUNCTION("""COMPUTED_VALUE"""),352.0)</f>
        <v>352</v>
      </c>
      <c r="H683" s="2">
        <f>IFERROR(__xludf.DUMMYFUNCTION("""COMPUTED_VALUE"""),461.0)</f>
        <v>461</v>
      </c>
      <c r="I683" s="2">
        <f>IFERROR(__xludf.DUMMYFUNCTION("""COMPUTED_VALUE"""),576.0)</f>
        <v>576</v>
      </c>
      <c r="J683" s="2">
        <f>IFERROR(__xludf.DUMMYFUNCTION("""COMPUTED_VALUE"""),288.0)</f>
        <v>288</v>
      </c>
      <c r="K683" s="2">
        <f>IFERROR(__xludf.DUMMYFUNCTION("""COMPUTED_VALUE"""),58.0)</f>
        <v>58</v>
      </c>
      <c r="L683" s="2" t="str">
        <f>IFERROR(__xludf.DUMMYFUNCTION("""COMPUTED_VALUE"""),"Wolta ЖКХ")</f>
        <v>Wolta ЖКХ</v>
      </c>
      <c r="M683" s="2" t="str">
        <f>IFERROR(__xludf.DUMMYFUNCTION("""COMPUTED_VALUE"""),"Для ЖКХ, дома, дачи, LED Светильники")</f>
        <v>Для ЖКХ, дома, дачи, LED Светильники</v>
      </c>
    </row>
    <row r="684">
      <c r="A684" s="5" t="str">
        <f>IFERROR(__xludf.DUMMYFUNCTION("""COMPUTED_VALUE"""),"4690612003757")</f>
        <v>4690612003757</v>
      </c>
      <c r="B684" s="5" t="str">
        <f>IFERROR(__xludf.DUMMYFUNCTION("""COMPUTED_VALUE"""),"LED-JC-standard 1.5Вт 12В G4 3000К 135Лм ASD")</f>
        <v>LED-JC-standard 1.5Вт 12В G4 3000К 135Лм ASD</v>
      </c>
      <c r="C684" s="2">
        <f>IFERROR(__xludf.DUMMYFUNCTION("""COMPUTED_VALUE"""),0.004)</f>
        <v>0.004</v>
      </c>
      <c r="D684" s="2">
        <f>IFERROR(__xludf.DUMMYFUNCTION("""COMPUTED_VALUE"""),3.0E-5)</f>
        <v>0.00003</v>
      </c>
      <c r="E684" s="2">
        <f>IFERROR(__xludf.DUMMYFUNCTION("""COMPUTED_VALUE"""),45.89)</f>
        <v>45.89</v>
      </c>
      <c r="F684" s="2">
        <f>IFERROR(__xludf.DUMMYFUNCTION("""COMPUTED_VALUE"""),37.0)</f>
        <v>37</v>
      </c>
      <c r="G684" s="2">
        <f>IFERROR(__xludf.DUMMYFUNCTION("""COMPUTED_VALUE"""),42.0)</f>
        <v>42</v>
      </c>
      <c r="H684" s="2">
        <f>IFERROR(__xludf.DUMMYFUNCTION("""COMPUTED_VALUE"""),49.0)</f>
        <v>49</v>
      </c>
      <c r="I684" s="2">
        <f>IFERROR(__xludf.DUMMYFUNCTION("""COMPUTED_VALUE"""),56.5)</f>
        <v>56.5</v>
      </c>
      <c r="J684" s="2">
        <f>IFERROR(__xludf.DUMMYFUNCTION("""COMPUTED_VALUE"""),28.0)</f>
        <v>28</v>
      </c>
      <c r="K684" s="2">
        <f>IFERROR(__xludf.DUMMYFUNCTION("""COMPUTED_VALUE"""),50.0)</f>
        <v>50</v>
      </c>
      <c r="L684" s="2" t="str">
        <f>IFERROR(__xludf.DUMMYFUNCTION("""COMPUTED_VALUE"""),"Лампа светодиодная LED-JC-standard")</f>
        <v>Лампа светодиодная LED-JC-standard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IFERROR(__xludf.DUMMYFUNCTION("""COMPUTED_VALUE"""),"4690612020563")</f>
        <v>4690612020563</v>
      </c>
      <c r="B685" s="5" t="str">
        <f>IFERROR(__xludf.DUMMYFUNCTION("""COMPUTED_VALUE"""),"LED-ШАР-VC 8Вт 230В Е27 3000К 760Лм IN HOME")</f>
        <v>LED-ШАР-VC 8Вт 230В Е27 3000К 760Лм IN HOME</v>
      </c>
      <c r="C685" s="2">
        <f>IFERROR(__xludf.DUMMYFUNCTION("""COMPUTED_VALUE"""),0.031)</f>
        <v>0.031</v>
      </c>
      <c r="D685" s="2">
        <f>IFERROR(__xludf.DUMMYFUNCTION("""COMPUTED_VALUE"""),2.3E-4)</f>
        <v>0.00023</v>
      </c>
      <c r="E685" s="2">
        <f>IFERROR(__xludf.DUMMYFUNCTION("""COMPUTED_VALUE"""),35.4)</f>
        <v>35.4</v>
      </c>
      <c r="F685" s="2">
        <f>IFERROR(__xludf.DUMMYFUNCTION("""COMPUTED_VALUE"""),45.0)</f>
        <v>45</v>
      </c>
      <c r="G685" s="2">
        <f>IFERROR(__xludf.DUMMYFUNCTION("""COMPUTED_VALUE"""),50.0)</f>
        <v>50</v>
      </c>
      <c r="H685" s="2">
        <f>IFERROR(__xludf.DUMMYFUNCTION("""COMPUTED_VALUE"""),58.0)</f>
        <v>58</v>
      </c>
      <c r="I685" s="2">
        <f>IFERROR(__xludf.DUMMYFUNCTION("""COMPUTED_VALUE"""),67.6)</f>
        <v>67.6</v>
      </c>
      <c r="J685" s="2">
        <f>IFERROR(__xludf.DUMMYFUNCTION("""COMPUTED_VALUE"""),34.0)</f>
        <v>34</v>
      </c>
      <c r="K685" s="2">
        <f>IFERROR(__xludf.DUMMYFUNCTION("""COMPUTED_VALUE"""),27.0)</f>
        <v>27</v>
      </c>
      <c r="L685" s="2" t="str">
        <f>IFERROR(__xludf.DUMMYFUNCTION("""COMPUTED_VALUE"""),"Лампа светодиодная LED-ШАР-standard")</f>
        <v>Лампа светодиодная LED-ШАР-standard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IFERROR(__xludf.DUMMYFUNCTION("""COMPUTED_VALUE"""),"4260652192843")</f>
        <v>4260652192843</v>
      </c>
      <c r="B686" s="5" t="str">
        <f>IFERROR(__xludf.DUMMYFUNCTION("""COMPUTED_VALUE"""),"WTL-AC/01B")</f>
        <v>WTL-AC/01B</v>
      </c>
      <c r="C686" s="2">
        <f>IFERROR(__xludf.DUMMYFUNCTION("""COMPUTED_VALUE"""),0.05)</f>
        <v>0.05</v>
      </c>
      <c r="D686" s="2">
        <f>IFERROR(__xludf.DUMMYFUNCTION("""COMPUTED_VALUE"""),0.00158)</f>
        <v>0.00158</v>
      </c>
      <c r="E686" s="2">
        <f>IFERROR(__xludf.DUMMYFUNCTION("""COMPUTED_VALUE"""),130.75)</f>
        <v>130.75</v>
      </c>
      <c r="F686" s="2">
        <f>IFERROR(__xludf.DUMMYFUNCTION("""COMPUTED_VALUE"""),138.0)</f>
        <v>138</v>
      </c>
      <c r="G686" s="2">
        <f>IFERROR(__xludf.DUMMYFUNCTION("""COMPUTED_VALUE"""),143.0)</f>
        <v>143</v>
      </c>
      <c r="H686" s="2">
        <f>IFERROR(__xludf.DUMMYFUNCTION("""COMPUTED_VALUE"""),187.0)</f>
        <v>187</v>
      </c>
      <c r="I686" s="2">
        <f>IFERROR(__xludf.DUMMYFUNCTION("""COMPUTED_VALUE"""),234.0)</f>
        <v>234</v>
      </c>
      <c r="J686" s="2">
        <f>IFERROR(__xludf.DUMMYFUNCTION("""COMPUTED_VALUE"""),117.0)</f>
        <v>117</v>
      </c>
      <c r="K686" s="2">
        <f>IFERROR(__xludf.DUMMYFUNCTION("""COMPUTED_VALUE"""),9.0)</f>
        <v>9</v>
      </c>
      <c r="L686" s="2" t="str">
        <f>IFERROR(__xludf.DUMMYFUNCTION("""COMPUTED_VALUE"""),"Wolta трековые")</f>
        <v>Wolta трековые</v>
      </c>
      <c r="M686" s="2" t="str">
        <f>IFERROR(__xludf.DUMMYFUNCTION("""COMPUTED_VALUE"""),"Трековые, LED Светильники")</f>
        <v>Трековые, LED Светильники</v>
      </c>
    </row>
    <row r="687">
      <c r="A687" s="5" t="str">
        <f>IFERROR(__xludf.DUMMYFUNCTION("""COMPUTED_VALUE"""),"ves2015")</f>
        <v>ves2015</v>
      </c>
      <c r="B687" s="5" t="str">
        <f>IFERROR(__xludf.DUMMYFUNCTION("""COMPUTED_VALUE"""),"Вилка переносная 025 3Р+РЕ+N 32А 380В IP44")</f>
        <v>Вилка переносная 025 3Р+РЕ+N 32А 380В IP44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IFERROR(__xludf.DUMMYFUNCTION("""COMPUTED_VALUE"""),225.18)</f>
        <v>225.18</v>
      </c>
      <c r="F687" s="2">
        <f>IFERROR(__xludf.DUMMYFUNCTION("""COMPUTED_VALUE"""),300.0)</f>
        <v>300</v>
      </c>
      <c r="G687" s="2">
        <f>IFERROR(__xludf.DUMMYFUNCTION("""COMPUTED_VALUE"""),320.0)</f>
        <v>320</v>
      </c>
      <c r="H687" s="2">
        <f>IFERROR(__xludf.DUMMYFUNCTION("""COMPUTED_VALUE"""),360.0)</f>
        <v>360</v>
      </c>
      <c r="I687" s="2">
        <f>IFERROR(__xludf.DUMMYFUNCTION("""COMPUTED_VALUE"""),400.02)</f>
        <v>400.02</v>
      </c>
      <c r="J687" s="2">
        <f>IFERROR(__xludf.DUMMYFUNCTION("""COMPUTED_VALUE"""),200.0)</f>
        <v>200</v>
      </c>
      <c r="K687" s="2">
        <f>IFERROR(__xludf.DUMMYFUNCTION("""COMPUTED_VALUE"""),1.0)</f>
        <v>1</v>
      </c>
      <c r="L687" s="2" t="str">
        <f>IFERROR(__xludf.DUMMYFUNCTION("""COMPUTED_VALUE"""),"ves2 (тендер)")</f>
        <v>ves2 (тендер)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IFERROR(__xludf.DUMMYFUNCTION("""COMPUTED_VALUE"""),"V9048")</f>
        <v>V9048</v>
      </c>
      <c r="B688" s="5" t="str">
        <f>IFERROR(__xludf.DUMMYFUNCTION("""COMPUTED_VALUE"""),"VRN-UNE-96D-G40K67-UV, 96Вт, Галочка")</f>
        <v>VRN-UNE-96D-G40K67-UV, 96Вт, Галочка</v>
      </c>
      <c r="C688" s="2">
        <f>IFERROR(__xludf.DUMMYFUNCTION("""COMPUTED_VALUE"""),2.45)</f>
        <v>2.45</v>
      </c>
      <c r="D688" s="2">
        <f>IFERROR(__xludf.DUMMYFUNCTION("""COMPUTED_VALUE"""),0.0103)</f>
        <v>0.0103</v>
      </c>
      <c r="E688" s="2">
        <f>IFERROR(__xludf.DUMMYFUNCTION("""COMPUTED_VALUE"""),3901.22)</f>
        <v>3901.22</v>
      </c>
      <c r="F688" s="2">
        <f>IFERROR(__xludf.DUMMYFUNCTION("""COMPUTED_VALUE"""),4510.0)</f>
        <v>4510</v>
      </c>
      <c r="G688" s="2">
        <f>IFERROR(__xludf.DUMMYFUNCTION("""COMPUTED_VALUE"""),5863.0)</f>
        <v>5863</v>
      </c>
      <c r="H688" s="2">
        <f>IFERROR(__xludf.DUMMYFUNCTION("""COMPUTED_VALUE"""),6156.0)</f>
        <v>6156</v>
      </c>
      <c r="I688" s="2">
        <f>IFERROR(__xludf.DUMMYFUNCTION("""COMPUTED_VALUE"""),6449.0)</f>
        <v>6449</v>
      </c>
      <c r="J688" s="2">
        <f>IFERROR(__xludf.DUMMYFUNCTION("""COMPUTED_VALUE"""),6449.0)</f>
        <v>6449</v>
      </c>
      <c r="K688" s="2">
        <f>IFERROR(__xludf.DUMMYFUNCTION("""COMPUTED_VALUE"""),41.0)</f>
        <v>41</v>
      </c>
      <c r="L688" s="2" t="str">
        <f>IFERROR(__xludf.DUMMYFUNCTION("""COMPUTED_VALUE"""),"Универсал Эконом")</f>
        <v>Универсал Эконом</v>
      </c>
      <c r="M6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9">
      <c r="A689" s="5" t="str">
        <f>IFERROR(__xludf.DUMMYFUNCTION("""COMPUTED_VALUE"""),"4690612042565")</f>
        <v>4690612042565</v>
      </c>
      <c r="B689" s="5" t="str">
        <f>IFERROR(__xludf.DUMMYFUNCTION("""COMPUTED_VALUE"""),"ДСП-153Н 18Вт 230В 4000К 2250Лм 125лм/Вт 600мм IP65 NEOX")</f>
        <v>ДСП-153Н 18Вт 230В 4000К 2250Лм 125лм/Вт 600мм IP65 NEOX</v>
      </c>
      <c r="C689" s="2">
        <f>IFERROR(__xludf.DUMMYFUNCTION("""COMPUTED_VALUE"""),0.17)</f>
        <v>0.17</v>
      </c>
      <c r="D689" s="2">
        <f>IFERROR(__xludf.DUMMYFUNCTION("""COMPUTED_VALUE"""),0.00145)</f>
        <v>0.00145</v>
      </c>
      <c r="E689" s="2">
        <f>IFERROR(__xludf.DUMMYFUNCTION("""COMPUTED_VALUE"""),374.33)</f>
        <v>374.33</v>
      </c>
      <c r="F689" s="2">
        <f>IFERROR(__xludf.DUMMYFUNCTION("""COMPUTED_VALUE"""),340.0)</f>
        <v>340</v>
      </c>
      <c r="G689" s="2">
        <f>IFERROR(__xludf.DUMMYFUNCTION("""COMPUTED_VALUE"""),383.0)</f>
        <v>383</v>
      </c>
      <c r="H689" s="2">
        <f>IFERROR(__xludf.DUMMYFUNCTION("""COMPUTED_VALUE"""),444.0)</f>
        <v>444</v>
      </c>
      <c r="I689" s="2">
        <f>IFERROR(__xludf.DUMMYFUNCTION("""COMPUTED_VALUE"""),510.0)</f>
        <v>510</v>
      </c>
      <c r="J689" s="2">
        <f>IFERROR(__xludf.DUMMYFUNCTION("""COMPUTED_VALUE"""),255.0)</f>
        <v>255</v>
      </c>
      <c r="K689" s="2">
        <f>IFERROR(__xludf.DUMMYFUNCTION("""COMPUTED_VALUE"""),21.0)</f>
        <v>21</v>
      </c>
      <c r="L689" s="2" t="str">
        <f>IFERROR(__xludf.DUMMYFUNCTION("""COMPUTED_VALUE"""),"NEOX Светильники LED ДСП")</f>
        <v>NEOX Светильники LED ДСП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IFERROR(__xludf.DUMMYFUNCTION("""COMPUTED_VALUE"""),"4260652193499")</f>
        <v>4260652193499</v>
      </c>
      <c r="B690" s="5" t="str">
        <f>IFERROR(__xludf.DUMMYFUNCTION("""COMPUTED_VALUE"""),"LCL04-18W-R21-6K-SM")</f>
        <v>LCL04-18W-R21-6K-SM</v>
      </c>
      <c r="C690" s="2">
        <f>IFERROR(__xludf.DUMMYFUNCTION("""COMPUTED_VALUE"""),0.215)</f>
        <v>0.215</v>
      </c>
      <c r="D690" s="2">
        <f>IFERROR(__xludf.DUMMYFUNCTION("""COMPUTED_VALUE"""),0.0)</f>
        <v>0</v>
      </c>
      <c r="E690" s="2">
        <f>IFERROR(__xludf.DUMMYFUNCTION("""COMPUTED_VALUE"""),555.38)</f>
        <v>555.38</v>
      </c>
      <c r="F690" s="2">
        <f>IFERROR(__xludf.DUMMYFUNCTION("""COMPUTED_VALUE"""),537.0)</f>
        <v>537</v>
      </c>
      <c r="G690" s="2">
        <f>IFERROR(__xludf.DUMMYFUNCTION("""COMPUTED_VALUE"""),555.0)</f>
        <v>555</v>
      </c>
      <c r="H690" s="2">
        <f>IFERROR(__xludf.DUMMYFUNCTION("""COMPUTED_VALUE"""),728.0)</f>
        <v>728</v>
      </c>
      <c r="I690" s="2">
        <f>IFERROR(__xludf.DUMMYFUNCTION("""COMPUTED_VALUE"""),910.0)</f>
        <v>910</v>
      </c>
      <c r="J690" s="2">
        <f>IFERROR(__xludf.DUMMYFUNCTION("""COMPUTED_VALUE"""),455.0)</f>
        <v>455</v>
      </c>
      <c r="K690" s="2">
        <f>IFERROR(__xludf.DUMMYFUNCTION("""COMPUTED_VALUE"""),32.0)</f>
        <v>32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IFERROR(__xludf.DUMMYFUNCTION("""COMPUTED_VALUE"""),"R102823")</f>
        <v>R102823</v>
      </c>
      <c r="B691" s="5" t="str">
        <f>IFERROR(__xludf.DUMMYFUNCTION("""COMPUTED_VALUE"""),"RSV-SPP-8W-6500K-IP65")</f>
        <v>RSV-SPP-8W-6500K-IP65</v>
      </c>
      <c r="C691" s="2">
        <f>IFERROR(__xludf.DUMMYFUNCTION("""COMPUTED_VALUE"""),0.175)</f>
        <v>0.175</v>
      </c>
      <c r="D691" s="2">
        <f>IFERROR(__xludf.DUMMYFUNCTION("""COMPUTED_VALUE"""),0.00111)</f>
        <v>0.00111</v>
      </c>
      <c r="E691" s="2">
        <f>IFERROR(__xludf.DUMMYFUNCTION("""COMPUTED_VALUE"""),159.43)</f>
        <v>159.43</v>
      </c>
      <c r="F691" s="2">
        <f>IFERROR(__xludf.DUMMYFUNCTION("""COMPUTED_VALUE"""),78.0)</f>
        <v>78</v>
      </c>
      <c r="G691" s="2">
        <f>IFERROR(__xludf.DUMMYFUNCTION("""COMPUTED_VALUE"""),92.0)</f>
        <v>92</v>
      </c>
      <c r="H691" s="2">
        <f>IFERROR(__xludf.DUMMYFUNCTION("""COMPUTED_VALUE"""),95.0)</f>
        <v>95</v>
      </c>
      <c r="I691" s="2">
        <f>IFERROR(__xludf.DUMMYFUNCTION("""COMPUTED_VALUE"""),109.0)</f>
        <v>109</v>
      </c>
      <c r="J691" s="2">
        <f>IFERROR(__xludf.DUMMYFUNCTION("""COMPUTED_VALUE"""),55.0)</f>
        <v>55</v>
      </c>
      <c r="K691" s="2">
        <f>IFERROR(__xludf.DUMMYFUNCTION("""COMPUTED_VALUE"""),130.0)</f>
        <v>130</v>
      </c>
      <c r="L691" s="2" t="str">
        <f>IFERROR(__xludf.DUMMYFUNCTION("""COMPUTED_VALUE"""),"ЖКХ светильники RSV")</f>
        <v>ЖКХ светильники RSV</v>
      </c>
      <c r="M691" s="2" t="str">
        <f>IFERROR(__xludf.DUMMYFUNCTION("""COMPUTED_VALUE"""),"Без датчиков, LED Светильники")</f>
        <v>Без датчиков, LED Светильники</v>
      </c>
    </row>
    <row r="692">
      <c r="A692" s="5" t="str">
        <f>IFERROR(__xludf.DUMMYFUNCTION("""COMPUTED_VALUE"""),"R100872")</f>
        <v>R100872</v>
      </c>
      <c r="B692" s="5" t="str">
        <f>IFERROR(__xludf.DUMMYFUNCTION("""COMPUTED_VALUE"""),"RSV-SWP-02-48W RGB ( с ИК пультом)")</f>
        <v>RSV-SWP-02-48W RGB ( с ИК пультом)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IFERROR(__xludf.DUMMYFUNCTION("""COMPUTED_VALUE"""),1724.02)</f>
        <v>1724.02</v>
      </c>
      <c r="F692" s="2">
        <f>IFERROR(__xludf.DUMMYFUNCTION("""COMPUTED_VALUE"""),888.0)</f>
        <v>888</v>
      </c>
      <c r="G692" s="2">
        <f>IFERROR(__xludf.DUMMYFUNCTION("""COMPUTED_VALUE"""),1045.0)</f>
        <v>1045</v>
      </c>
      <c r="H692" s="2">
        <f>IFERROR(__xludf.DUMMYFUNCTION("""COMPUTED_VALUE"""),1077.0)</f>
        <v>1077</v>
      </c>
      <c r="I692" s="2">
        <f>IFERROR(__xludf.DUMMYFUNCTION("""COMPUTED_VALUE"""),1238.0)</f>
        <v>1238</v>
      </c>
      <c r="J692" s="2">
        <f>IFERROR(__xludf.DUMMYFUNCTION("""COMPUTED_VALUE"""),619.0)</f>
        <v>619</v>
      </c>
      <c r="K692" s="2">
        <f>IFERROR(__xludf.DUMMYFUNCTION("""COMPUTED_VALUE"""),0.0)</f>
        <v>0</v>
      </c>
      <c r="L692" s="2" t="str">
        <f>IFERROR(__xludf.DUMMYFUNCTION("""COMPUTED_VALUE"""),"Декоративные")</f>
        <v>Декоративные</v>
      </c>
      <c r="M69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3">
      <c r="A693" s="5" t="str">
        <f>IFERROR(__xludf.DUMMYFUNCTION("""COMPUTED_VALUE"""),"V13101")</f>
        <v>V13101</v>
      </c>
      <c r="B693" s="5" t="str">
        <f>IFERROR(__xludf.DUMMYFUNCTION("""COMPUTED_VALUE"""),"VRN-RTL-69-8MA50K65-U, 69Вт, Универсальный")</f>
        <v>VRN-RTL-69-8MA50K65-U, 69Вт, Универсальный</v>
      </c>
      <c r="C693" s="2">
        <f>IFERROR(__xludf.DUMMYFUNCTION("""COMPUTED_VALUE"""),2.0)</f>
        <v>2</v>
      </c>
      <c r="D693" s="2">
        <f>IFERROR(__xludf.DUMMYFUNCTION("""COMPUTED_VALUE"""),0.0196)</f>
        <v>0.0196</v>
      </c>
      <c r="E693" s="2">
        <f>IFERROR(__xludf.DUMMYFUNCTION("""COMPUTED_VALUE"""),3152.0)</f>
        <v>3152</v>
      </c>
      <c r="F693" s="2">
        <f>IFERROR(__xludf.DUMMYFUNCTION("""COMPUTED_VALUE"""),3465.0)</f>
        <v>3465</v>
      </c>
      <c r="G693" s="2">
        <f>IFERROR(__xludf.DUMMYFUNCTION("""COMPUTED_VALUE"""),4505.0)</f>
        <v>4505</v>
      </c>
      <c r="H693" s="2">
        <f>IFERROR(__xludf.DUMMYFUNCTION("""COMPUTED_VALUE"""),4730.0)</f>
        <v>4730</v>
      </c>
      <c r="I693" s="2">
        <f>IFERROR(__xludf.DUMMYFUNCTION("""COMPUTED_VALUE"""),4955.0)</f>
        <v>4955</v>
      </c>
      <c r="J693" s="2">
        <f>IFERROR(__xludf.DUMMYFUNCTION("""COMPUTED_VALUE"""),4955.0)</f>
        <v>4955</v>
      </c>
      <c r="K693" s="2">
        <f>IFERROR(__xludf.DUMMYFUNCTION("""COMPUTED_VALUE"""),6.0)</f>
        <v>6</v>
      </c>
      <c r="L693" s="2" t="str">
        <f>IFERROR(__xludf.DUMMYFUNCTION("""COMPUTED_VALUE"""),"Ритейл")</f>
        <v>Ритейл</v>
      </c>
      <c r="M69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4">
      <c r="A694" s="5" t="str">
        <f>IFERROR(__xludf.DUMMYFUNCTION("""COMPUTED_VALUE"""),"4690612001395")</f>
        <v>4690612001395</v>
      </c>
      <c r="B694" s="5" t="str">
        <f>IFERROR(__xludf.DUMMYFUNCTION("""COMPUTED_VALUE"""),"LP-КПТ на тросах для панели светодиодной")</f>
        <v>LP-КПТ на тросах для панели светодиодной</v>
      </c>
      <c r="C694" s="2">
        <f>IFERROR(__xludf.DUMMYFUNCTION("""COMPUTED_VALUE"""),0.18833)</f>
        <v>0.18833</v>
      </c>
      <c r="D694" s="2">
        <f>IFERROR(__xludf.DUMMYFUNCTION("""COMPUTED_VALUE"""),1.5E-4)</f>
        <v>0.00015</v>
      </c>
      <c r="E694" s="2">
        <f>IFERROR(__xludf.DUMMYFUNCTION("""COMPUTED_VALUE"""),271.35)</f>
        <v>271.35</v>
      </c>
      <c r="F694" s="2">
        <f>IFERROR(__xludf.DUMMYFUNCTION("""COMPUTED_VALUE"""),270.0)</f>
        <v>270</v>
      </c>
      <c r="G694" s="2">
        <f>IFERROR(__xludf.DUMMYFUNCTION("""COMPUTED_VALUE"""),304.0)</f>
        <v>304</v>
      </c>
      <c r="H694" s="2">
        <f>IFERROR(__xludf.DUMMYFUNCTION("""COMPUTED_VALUE"""),352.0)</f>
        <v>352</v>
      </c>
      <c r="I694" s="2">
        <f>IFERROR(__xludf.DUMMYFUNCTION("""COMPUTED_VALUE"""),405.0)</f>
        <v>405</v>
      </c>
      <c r="J694" s="2">
        <f>IFERROR(__xludf.DUMMYFUNCTION("""COMPUTED_VALUE"""),203.0)</f>
        <v>203</v>
      </c>
      <c r="K694" s="2">
        <f>IFERROR(__xludf.DUMMYFUNCTION("""COMPUTED_VALUE"""),1.0)</f>
        <v>1</v>
      </c>
      <c r="L694" s="2" t="str">
        <f>IFERROR(__xludf.DUMMYFUNCTION("""COMPUTED_VALUE"""),"ASD Комплектующие")</f>
        <v>ASD Комплектующие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IFERROR(__xludf.DUMMYFUNCTION("""COMPUTED_VALUE"""),"GL8113")</f>
        <v>GL8113</v>
      </c>
      <c r="B695" s="5" t="str">
        <f>IFERROR(__xludf.DUMMYFUNCTION("""COMPUTED_VALUE"""),"GLERIO Office Casual 24 Вт 4000К 81P-24D-4V-K")</f>
        <v>GLERIO Office Casual 24 Вт 4000К 81P-24D-4V-K</v>
      </c>
      <c r="C695" s="2">
        <f>IFERROR(__xludf.DUMMYFUNCTION("""COMPUTED_VALUE"""),1.04)</f>
        <v>1.04</v>
      </c>
      <c r="D695" s="2">
        <f>IFERROR(__xludf.DUMMYFUNCTION("""COMPUTED_VALUE"""),0.008190000000000001)</f>
        <v>0.00819</v>
      </c>
      <c r="E695" s="2">
        <f>IFERROR(__xludf.DUMMYFUNCTION("""COMPUTED_VALUE"""),1464.7)</f>
        <v>1464.7</v>
      </c>
      <c r="F695" s="2">
        <f>IFERROR(__xludf.DUMMYFUNCTION("""COMPUTED_VALUE"""),1700.0)</f>
        <v>1700</v>
      </c>
      <c r="G695" s="2">
        <f>IFERROR(__xludf.DUMMYFUNCTION("""COMPUTED_VALUE"""),2140.0)</f>
        <v>2140</v>
      </c>
      <c r="H695" s="2">
        <f>IFERROR(__xludf.DUMMYFUNCTION("""COMPUTED_VALUE"""),2404.0)</f>
        <v>2404</v>
      </c>
      <c r="I695" s="2">
        <f>IFERROR(__xludf.DUMMYFUNCTION("""COMPUTED_VALUE"""),2667.0)</f>
        <v>2667</v>
      </c>
      <c r="J695" s="2">
        <f>IFERROR(__xludf.DUMMYFUNCTION("""COMPUTED_VALUE"""),2667.0)</f>
        <v>2667</v>
      </c>
      <c r="K695" s="2">
        <f>IFERROR(__xludf.DUMMYFUNCTION("""COMPUTED_VALUE"""),11.0)</f>
        <v>11</v>
      </c>
      <c r="L695" s="2" t="str">
        <f>IFERROR(__xludf.DUMMYFUNCTION("""COMPUTED_VALUE"""),"Office Casual (Офис) до 10.2025")</f>
        <v>Office Casual (Офис) до 10.2025</v>
      </c>
      <c r="M6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6">
      <c r="A696" s="5" t="str">
        <f>IFERROR(__xludf.DUMMYFUNCTION("""COMPUTED_VALUE"""),"12-0123-1")</f>
        <v>12-0123-1</v>
      </c>
      <c r="B69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IFERROR(__xludf.DUMMYFUNCTION("""COMPUTED_VALUE"""),840.0)</f>
        <v>840</v>
      </c>
      <c r="G696" s="2">
        <f>IFERROR(__xludf.DUMMYFUNCTION("""COMPUTED_VALUE"""),896.0)</f>
        <v>896</v>
      </c>
      <c r="H696" s="2">
        <f>IFERROR(__xludf.DUMMYFUNCTION("""COMPUTED_VALUE"""),1008.0)</f>
        <v>1008</v>
      </c>
      <c r="I696" s="2">
        <f>IFERROR(__xludf.DUMMYFUNCTION("""COMPUTED_VALUE"""),1120.06)</f>
        <v>1120.06</v>
      </c>
      <c r="J696" s="2">
        <f>IFERROR(__xludf.DUMMYFUNCTION("""COMPUTED_VALUE"""),560.0)</f>
        <v>560</v>
      </c>
      <c r="K696" s="2">
        <f>IFERROR(__xludf.DUMMYFUNCTION("""COMPUTED_VALUE"""),2.0)</f>
        <v>2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IFERROR(__xludf.DUMMYFUNCTION("""COMPUTED_VALUE"""),"12-0186")</f>
        <v>12-0186</v>
      </c>
      <c r="B69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IFERROR(__xludf.DUMMYFUNCTION("""COMPUTED_VALUE"""),1.0)</f>
        <v>1</v>
      </c>
      <c r="F697" s="2">
        <f>IFERROR(__xludf.DUMMYFUNCTION("""COMPUTED_VALUE"""),1113.0)</f>
        <v>1113</v>
      </c>
      <c r="G697" s="2">
        <f>IFERROR(__xludf.DUMMYFUNCTION("""COMPUTED_VALUE"""),1187.0)</f>
        <v>1187</v>
      </c>
      <c r="H697" s="2">
        <f>IFERROR(__xludf.DUMMYFUNCTION("""COMPUTED_VALUE"""),1335.0)</f>
        <v>1335</v>
      </c>
      <c r="I697" s="2">
        <f>IFERROR(__xludf.DUMMYFUNCTION("""COMPUTED_VALUE"""),1483.45)</f>
        <v>1483.45</v>
      </c>
      <c r="J697" s="2">
        <f>IFERROR(__xludf.DUMMYFUNCTION("""COMPUTED_VALUE"""),742.0)</f>
        <v>742</v>
      </c>
      <c r="K697" s="2">
        <f>IFERROR(__xludf.DUMMYFUNCTION("""COMPUTED_VALUE"""),4.0)</f>
        <v>4</v>
      </c>
      <c r="L697" s="2" t="str">
        <f>IFERROR(__xludf.DUMMYFUNCTION("""COMPUTED_VALUE"""),"Rexant")</f>
        <v>Rexant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IFERROR(__xludf.DUMMYFUNCTION("""COMPUTED_VALUE"""),"V9020")</f>
        <v>V9020</v>
      </c>
      <c r="B698" s="5" t="str">
        <f>IFERROR(__xludf.DUMMYFUNCTION("""COMPUTED_VALUE"""),"VRN-UNE-80-G40K67-K, 80Вт, Консольный")</f>
        <v>VRN-UNE-80-G40K67-K, 80Вт, Консольный</v>
      </c>
      <c r="C698" s="2">
        <f>IFERROR(__xludf.DUMMYFUNCTION("""COMPUTED_VALUE"""),0.064)</f>
        <v>0.064</v>
      </c>
      <c r="D698" s="2">
        <f>IFERROR(__xludf.DUMMYFUNCTION("""COMPUTED_VALUE"""),0.00805)</f>
        <v>0.00805</v>
      </c>
      <c r="E698" s="2">
        <f>IFERROR(__xludf.DUMMYFUNCTION("""COMPUTED_VALUE"""),3570.0)</f>
        <v>3570</v>
      </c>
      <c r="F698" s="2">
        <f>IFERROR(__xludf.DUMMYFUNCTION("""COMPUTED_VALUE"""),3925.0)</f>
        <v>3925</v>
      </c>
      <c r="G698" s="2">
        <f>IFERROR(__xludf.DUMMYFUNCTION("""COMPUTED_VALUE"""),5103.0)</f>
        <v>5103</v>
      </c>
      <c r="H698" s="2">
        <f>IFERROR(__xludf.DUMMYFUNCTION("""COMPUTED_VALUE"""),5358.0)</f>
        <v>5358</v>
      </c>
      <c r="I698" s="2">
        <f>IFERROR(__xludf.DUMMYFUNCTION("""COMPUTED_VALUE"""),5613.0)</f>
        <v>5613</v>
      </c>
      <c r="J698" s="2">
        <f>IFERROR(__xludf.DUMMYFUNCTION("""COMPUTED_VALUE"""),5613.0)</f>
        <v>5613</v>
      </c>
      <c r="K698" s="2">
        <f>IFERROR(__xludf.DUMMYFUNCTION("""COMPUTED_VALUE"""),12.0)</f>
        <v>12</v>
      </c>
      <c r="L698" s="2" t="str">
        <f>IFERROR(__xludf.DUMMYFUNCTION("""COMPUTED_VALUE"""),"Универсал Эконом")</f>
        <v>Универсал Эконом</v>
      </c>
      <c r="M698" s="2" t="str">
        <f>IFERROR(__xludf.DUMMYFUNCTION("""COMPUTED_VALUE"""),"Для обычных дорог, LED Светильники")</f>
        <v>Для обычных дорог, LED Светильники</v>
      </c>
    </row>
    <row r="699">
      <c r="A699" s="5" t="str">
        <f>IFERROR(__xludf.DUMMYFUNCTION("""COMPUTED_VALUE"""),"4690612044224")</f>
        <v>4690612044224</v>
      </c>
      <c r="B69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9" s="2">
        <f>IFERROR(__xludf.DUMMYFUNCTION("""COMPUTED_VALUE"""),0.65)</f>
        <v>0.65</v>
      </c>
      <c r="D699" s="2">
        <f>IFERROR(__xludf.DUMMYFUNCTION("""COMPUTED_VALUE"""),4.4E-4)</f>
        <v>0.00044</v>
      </c>
      <c r="E699" s="2">
        <f>IFERROR(__xludf.DUMMYFUNCTION("""COMPUTED_VALUE"""),426.84)</f>
        <v>426.84</v>
      </c>
      <c r="F699" s="2">
        <f>IFERROR(__xludf.DUMMYFUNCTION("""COMPUTED_VALUE"""),515.0)</f>
        <v>515</v>
      </c>
      <c r="G699" s="2">
        <f>IFERROR(__xludf.DUMMYFUNCTION("""COMPUTED_VALUE"""),579.0)</f>
        <v>579</v>
      </c>
      <c r="H699" s="2">
        <f>IFERROR(__xludf.DUMMYFUNCTION("""COMPUTED_VALUE"""),672.0)</f>
        <v>672</v>
      </c>
      <c r="I699" s="2">
        <f>IFERROR(__xludf.DUMMYFUNCTION("""COMPUTED_VALUE"""),772.0)</f>
        <v>772</v>
      </c>
      <c r="J699" s="2">
        <f>IFERROR(__xludf.DUMMYFUNCTION("""COMPUTED_VALUE"""),386.0)</f>
        <v>386</v>
      </c>
      <c r="K699" s="2">
        <f>IFERROR(__xludf.DUMMYFUNCTION("""COMPUTED_VALUE"""),9.0)</f>
        <v>9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IFERROR(__xludf.DUMMYFUNCTION("""COMPUTED_VALUE"""),"R100006")</f>
        <v>R100006</v>
      </c>
      <c r="B700" s="5" t="str">
        <f>IFERROR(__xludf.DUMMYFUNCTION("""COMPUTED_VALUE"""),"RSV-SPP-12W-4000K-IP65 Oval")</f>
        <v>RSV-SPP-12W-4000K-IP65 Oval</v>
      </c>
      <c r="C700" s="2">
        <f>IFERROR(__xludf.DUMMYFUNCTION("""COMPUTED_VALUE"""),0.14)</f>
        <v>0.14</v>
      </c>
      <c r="D700" s="2">
        <f>IFERROR(__xludf.DUMMYFUNCTION("""COMPUTED_VALUE"""),6.8E-4)</f>
        <v>0.00068</v>
      </c>
      <c r="E700" s="2">
        <f>IFERROR(__xludf.DUMMYFUNCTION("""COMPUTED_VALUE"""),190.37)</f>
        <v>190.37</v>
      </c>
      <c r="F700" s="2">
        <f>IFERROR(__xludf.DUMMYFUNCTION("""COMPUTED_VALUE"""),139.0)</f>
        <v>139</v>
      </c>
      <c r="G700" s="2">
        <f>IFERROR(__xludf.DUMMYFUNCTION("""COMPUTED_VALUE"""),164.0)</f>
        <v>164</v>
      </c>
      <c r="H700" s="2">
        <f>IFERROR(__xludf.DUMMYFUNCTION("""COMPUTED_VALUE"""),169.0)</f>
        <v>169</v>
      </c>
      <c r="I700" s="2">
        <f>IFERROR(__xludf.DUMMYFUNCTION("""COMPUTED_VALUE"""),194.0)</f>
        <v>194</v>
      </c>
      <c r="J700" s="2">
        <f>IFERROR(__xludf.DUMMYFUNCTION("""COMPUTED_VALUE"""),164.0)</f>
        <v>164</v>
      </c>
      <c r="K700" s="2">
        <f>IFERROR(__xludf.DUMMYFUNCTION("""COMPUTED_VALUE"""),152.0)</f>
        <v>152</v>
      </c>
      <c r="L700" s="2" t="str">
        <f>IFERROR(__xludf.DUMMYFUNCTION("""COMPUTED_VALUE"""),"ЖКХ светильники RSV")</f>
        <v>ЖКХ светильники RSV</v>
      </c>
      <c r="M700" s="2" t="str">
        <f>IFERROR(__xludf.DUMMYFUNCTION("""COMPUTED_VALUE"""),"Без датчиков, LED Светильники")</f>
        <v>Без датчиков, LED Светильники</v>
      </c>
    </row>
    <row r="701">
      <c r="A701" s="5" t="str">
        <f>IFERROR(__xludf.DUMMYFUNCTION("""COMPUTED_VALUE"""),"4690612013299")</f>
        <v>4690612013299</v>
      </c>
      <c r="B70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1" s="2">
        <f>IFERROR(__xludf.DUMMYFUNCTION("""COMPUTED_VALUE"""),0.13)</f>
        <v>0.13</v>
      </c>
      <c r="D701" s="2">
        <f>IFERROR(__xludf.DUMMYFUNCTION("""COMPUTED_VALUE"""),6.7E-4)</f>
        <v>0.00067</v>
      </c>
      <c r="E701" s="2">
        <f>IFERROR(__xludf.DUMMYFUNCTION("""COMPUTED_VALUE"""),253.73)</f>
        <v>253.73</v>
      </c>
      <c r="F701" s="2">
        <f>IFERROR(__xludf.DUMMYFUNCTION("""COMPUTED_VALUE"""),429.0)</f>
        <v>429</v>
      </c>
      <c r="G701" s="2">
        <f>IFERROR(__xludf.DUMMYFUNCTION("""COMPUTED_VALUE"""),483.0)</f>
        <v>483</v>
      </c>
      <c r="H701" s="2">
        <f>IFERROR(__xludf.DUMMYFUNCTION("""COMPUTED_VALUE"""),560.0)</f>
        <v>560</v>
      </c>
      <c r="I701" s="2">
        <f>IFERROR(__xludf.DUMMYFUNCTION("""COMPUTED_VALUE"""),644.0)</f>
        <v>644</v>
      </c>
      <c r="J701" s="2">
        <f>IFERROR(__xludf.DUMMYFUNCTION("""COMPUTED_VALUE"""),322.0)</f>
        <v>322</v>
      </c>
      <c r="K701" s="2">
        <f>IFERROR(__xludf.DUMMYFUNCTION("""COMPUTED_VALUE"""),1.0)</f>
        <v>1</v>
      </c>
      <c r="L701" s="2" t="str">
        <f>IFERROR(__xludf.DUMMYFUNCTION("""COMPUTED_VALUE"""),"Звонки")</f>
        <v>Звонки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IFERROR(__xludf.DUMMYFUNCTION("""COMPUTED_VALUE"""),"4690612036571")</f>
        <v>4690612036571</v>
      </c>
      <c r="B70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2" s="2">
        <f>IFERROR(__xludf.DUMMYFUNCTION("""COMPUTED_VALUE"""),0.6900000000000001)</f>
        <v>0.69</v>
      </c>
      <c r="D702" s="2">
        <f>IFERROR(__xludf.DUMMYFUNCTION("""COMPUTED_VALUE"""),0.00367)</f>
        <v>0.00367</v>
      </c>
      <c r="E702" s="2">
        <f>IFERROR(__xludf.DUMMYFUNCTION("""COMPUTED_VALUE"""),971.52)</f>
        <v>971.52</v>
      </c>
      <c r="F702" s="2">
        <f>IFERROR(__xludf.DUMMYFUNCTION("""COMPUTED_VALUE"""),1139.0)</f>
        <v>1139</v>
      </c>
      <c r="G702" s="2">
        <f>IFERROR(__xludf.DUMMYFUNCTION("""COMPUTED_VALUE"""),1282.0)</f>
        <v>1282</v>
      </c>
      <c r="H702" s="2">
        <f>IFERROR(__xludf.DUMMYFUNCTION("""COMPUTED_VALUE"""),1487.0)</f>
        <v>1487</v>
      </c>
      <c r="I702" s="2">
        <f>IFERROR(__xludf.DUMMYFUNCTION("""COMPUTED_VALUE"""),1709.0)</f>
        <v>1709</v>
      </c>
      <c r="J702" s="2">
        <f>IFERROR(__xludf.DUMMYFUNCTION("""COMPUTED_VALUE"""),855.0)</f>
        <v>855</v>
      </c>
      <c r="K702" s="2">
        <f>IFERROR(__xludf.DUMMYFUNCTION("""COMPUTED_VALUE"""),4.0)</f>
        <v>4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IFERROR(__xludf.DUMMYFUNCTION("""COMPUTED_VALUE"""),"4260652193451")</f>
        <v>4260652193451</v>
      </c>
      <c r="B703" s="5" t="str">
        <f>IFERROR(__xludf.DUMMYFUNCTION("""COMPUTED_VALUE"""),"LCL04-18W-R01-6K")</f>
        <v>LCL04-18W-R01-6K</v>
      </c>
      <c r="C703" s="2">
        <f>IFERROR(__xludf.DUMMYFUNCTION("""COMPUTED_VALUE"""),0.146)</f>
        <v>0.146</v>
      </c>
      <c r="D703" s="2">
        <f>IFERROR(__xludf.DUMMYFUNCTION("""COMPUTED_VALUE"""),0.08176000000000001)</f>
        <v>0.08176</v>
      </c>
      <c r="E703" s="2">
        <f>IFERROR(__xludf.DUMMYFUNCTION("""COMPUTED_VALUE"""),261.0)</f>
        <v>261</v>
      </c>
      <c r="F703" s="2">
        <f>IFERROR(__xludf.DUMMYFUNCTION("""COMPUTED_VALUE"""),317.0)</f>
        <v>317</v>
      </c>
      <c r="G703" s="2">
        <f>IFERROR(__xludf.DUMMYFUNCTION("""COMPUTED_VALUE"""),328.0)</f>
        <v>328</v>
      </c>
      <c r="H703" s="2">
        <f>IFERROR(__xludf.DUMMYFUNCTION("""COMPUTED_VALUE"""),430.0)</f>
        <v>430</v>
      </c>
      <c r="I703" s="2">
        <f>IFERROR(__xludf.DUMMYFUNCTION("""COMPUTED_VALUE"""),538.0)</f>
        <v>538</v>
      </c>
      <c r="J703" s="2">
        <f>IFERROR(__xludf.DUMMYFUNCTION("""COMPUTED_VALUE"""),269.0)</f>
        <v>269</v>
      </c>
      <c r="K703" s="2">
        <f>IFERROR(__xludf.DUMMYFUNCTION("""COMPUTED_VALUE"""),30.0)</f>
        <v>30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IFERROR(__xludf.DUMMYFUNCTION("""COMPUTED_VALUE"""),"4690612007298")</f>
        <v>4690612007298</v>
      </c>
      <c r="B70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4" s="2">
        <f>IFERROR(__xludf.DUMMYFUNCTION("""COMPUTED_VALUE"""),0.19)</f>
        <v>0.19</v>
      </c>
      <c r="D704" s="2">
        <f>IFERROR(__xludf.DUMMYFUNCTION("""COMPUTED_VALUE"""),7.5E-4)</f>
        <v>0.00075</v>
      </c>
      <c r="E704" s="2">
        <f>IFERROR(__xludf.DUMMYFUNCTION("""COMPUTED_VALUE"""),240.76)</f>
        <v>240.76</v>
      </c>
      <c r="F704" s="2">
        <f>IFERROR(__xludf.DUMMYFUNCTION("""COMPUTED_VALUE"""),289.0)</f>
        <v>289</v>
      </c>
      <c r="G704" s="2">
        <f>IFERROR(__xludf.DUMMYFUNCTION("""COMPUTED_VALUE"""),325.0)</f>
        <v>325</v>
      </c>
      <c r="H704" s="2">
        <f>IFERROR(__xludf.DUMMYFUNCTION("""COMPUTED_VALUE"""),377.0)</f>
        <v>377</v>
      </c>
      <c r="I704" s="2">
        <f>IFERROR(__xludf.DUMMYFUNCTION("""COMPUTED_VALUE"""),433.5)</f>
        <v>433.5</v>
      </c>
      <c r="J704" s="2">
        <f>IFERROR(__xludf.DUMMYFUNCTION("""COMPUTED_VALUE"""),217.0)</f>
        <v>217</v>
      </c>
      <c r="K704" s="2">
        <f>IFERROR(__xludf.DUMMYFUNCTION("""COMPUTED_VALUE"""),2.0)</f>
        <v>2</v>
      </c>
      <c r="L704" s="2" t="str">
        <f>IFERROR(__xludf.DUMMYFUNCTION("""COMPUTED_VALUE"""),"Лампа светодиодная LED-JCDR-standard")</f>
        <v>Лампа светодиодная LED-JCDR-standard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IFERROR(__xludf.DUMMYFUNCTION("""COMPUTED_VALUE"""),"4690612030814")</f>
        <v>4690612030814</v>
      </c>
      <c r="B705" s="5" t="str">
        <f>IFERROR(__xludf.DUMMYFUNCTION("""COMPUTED_VALUE"""),"LED-GX53-VC 6Вт 230В 6500К 570Лм IN HOME")</f>
        <v>LED-GX53-VC 6Вт 230В 6500К 570Лм IN HOME</v>
      </c>
      <c r="C705" s="2">
        <f>IFERROR(__xludf.DUMMYFUNCTION("""COMPUTED_VALUE"""),0.033)</f>
        <v>0.033</v>
      </c>
      <c r="D705" s="2">
        <f>IFERROR(__xludf.DUMMYFUNCTION("""COMPUTED_VALUE"""),2.1E-4)</f>
        <v>0.00021</v>
      </c>
      <c r="E705" s="2">
        <f>IFERROR(__xludf.DUMMYFUNCTION("""COMPUTED_VALUE"""),32.4)</f>
        <v>32.4</v>
      </c>
      <c r="F705" s="2">
        <f>IFERROR(__xludf.DUMMYFUNCTION("""COMPUTED_VALUE"""),36.0)</f>
        <v>36</v>
      </c>
      <c r="G705" s="2">
        <f>IFERROR(__xludf.DUMMYFUNCTION("""COMPUTED_VALUE"""),41.0)</f>
        <v>41</v>
      </c>
      <c r="H705" s="2">
        <f>IFERROR(__xludf.DUMMYFUNCTION("""COMPUTED_VALUE"""),47.0)</f>
        <v>47</v>
      </c>
      <c r="I705" s="2">
        <f>IFERROR(__xludf.DUMMYFUNCTION("""COMPUTED_VALUE"""),54.5)</f>
        <v>54.5</v>
      </c>
      <c r="J705" s="2">
        <f>IFERROR(__xludf.DUMMYFUNCTION("""COMPUTED_VALUE"""),27.0)</f>
        <v>27</v>
      </c>
      <c r="K705" s="2">
        <f>IFERROR(__xludf.DUMMYFUNCTION("""COMPUTED_VALUE"""),63.0)</f>
        <v>63</v>
      </c>
      <c r="L705" s="2" t="str">
        <f>IFERROR(__xludf.DUMMYFUNCTION("""COMPUTED_VALUE"""),"Лампа светодиодная LED-GX53-standard")</f>
        <v>Лампа светодиодная LED-GX53-standard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IFERROR(__xludf.DUMMYFUNCTION("""COMPUTED_VALUE"""),"4680005959754")</f>
        <v>4680005959754</v>
      </c>
      <c r="B706" s="5" t="str">
        <f>IFERROR(__xludf.DUMMYFUNCTION("""COMPUTED_VALUE"""),"BOLLETO Выключатель белый накладной 7121 IN HOME")</f>
        <v>BOLLETO Выключатель белый накладной 7121 IN HOME</v>
      </c>
      <c r="C706" s="2">
        <f>IFERROR(__xludf.DUMMYFUNCTION("""COMPUTED_VALUE"""),0.05)</f>
        <v>0.05</v>
      </c>
      <c r="D706" s="2">
        <f>IFERROR(__xludf.DUMMYFUNCTION("""COMPUTED_VALUE"""),2.5E-4)</f>
        <v>0.00025</v>
      </c>
      <c r="E706" s="2">
        <f>IFERROR(__xludf.DUMMYFUNCTION("""COMPUTED_VALUE"""),50.35)</f>
        <v>50.35</v>
      </c>
      <c r="F706" s="2">
        <f>IFERROR(__xludf.DUMMYFUNCTION("""COMPUTED_VALUE"""),56.0)</f>
        <v>56</v>
      </c>
      <c r="G706" s="2">
        <f>IFERROR(__xludf.DUMMYFUNCTION("""COMPUTED_VALUE"""),64.0)</f>
        <v>64</v>
      </c>
      <c r="H706" s="2">
        <f>IFERROR(__xludf.DUMMYFUNCTION("""COMPUTED_VALUE"""),74.0)</f>
        <v>74</v>
      </c>
      <c r="I706" s="2">
        <f>IFERROR(__xludf.DUMMYFUNCTION("""COMPUTED_VALUE"""),85.0)</f>
        <v>85</v>
      </c>
      <c r="J706" s="2">
        <f>IFERROR(__xludf.DUMMYFUNCTION("""COMPUTED_VALUE"""),64.0)</f>
        <v>64</v>
      </c>
      <c r="K706" s="2">
        <f>IFERROR(__xludf.DUMMYFUNCTION("""COMPUTED_VALUE"""),7.0)</f>
        <v>7</v>
      </c>
      <c r="L706" s="2" t="str">
        <f>IFERROR(__xludf.DUMMYFUNCTION("""COMPUTED_VALUE"""),"Выключатель")</f>
        <v>Выключатель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IFERROR(__xludf.DUMMYFUNCTION("""COMPUTED_VALUE"""),"ves2011")</f>
        <v>ves2011</v>
      </c>
      <c r="B707" s="5" t="str">
        <f>IFERROR(__xludf.DUMMYFUNCTION("""COMPUTED_VALUE"""),"Вилка переносная SBE-32-PP3-220")</f>
        <v>Вилка переносная SBE-32-PP3-220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IFERROR(__xludf.DUMMYFUNCTION("""COMPUTED_VALUE"""),181.21)</f>
        <v>181.21</v>
      </c>
      <c r="F707" s="2">
        <f>IFERROR(__xludf.DUMMYFUNCTION("""COMPUTED_VALUE"""),260.0)</f>
        <v>260</v>
      </c>
      <c r="G707" s="2">
        <f>IFERROR(__xludf.DUMMYFUNCTION("""COMPUTED_VALUE"""),277.0)</f>
        <v>277</v>
      </c>
      <c r="H707" s="2">
        <f>IFERROR(__xludf.DUMMYFUNCTION("""COMPUTED_VALUE"""),312.0)</f>
        <v>312</v>
      </c>
      <c r="I707" s="2">
        <f>IFERROR(__xludf.DUMMYFUNCTION("""COMPUTED_VALUE"""),346.56)</f>
        <v>346.56</v>
      </c>
      <c r="J707" s="2">
        <f>IFERROR(__xludf.DUMMYFUNCTION("""COMPUTED_VALUE"""),173.0)</f>
        <v>173</v>
      </c>
      <c r="K707" s="2">
        <f>IFERROR(__xludf.DUMMYFUNCTION("""COMPUTED_VALUE"""),4.0)</f>
        <v>4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IFERROR(__xludf.DUMMYFUNCTION("""COMPUTED_VALUE"""),"12-0183-1")</f>
        <v>12-0183-1</v>
      </c>
      <c r="B70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IFERROR(__xludf.DUMMYFUNCTION("""COMPUTED_VALUE"""),1.0)</f>
        <v>1</v>
      </c>
      <c r="F708" s="2">
        <f>IFERROR(__xludf.DUMMYFUNCTION("""COMPUTED_VALUE"""),1343.0)</f>
        <v>1343</v>
      </c>
      <c r="G708" s="2">
        <f>IFERROR(__xludf.DUMMYFUNCTION("""COMPUTED_VALUE"""),1432.0)</f>
        <v>1432</v>
      </c>
      <c r="H708" s="2">
        <f>IFERROR(__xludf.DUMMYFUNCTION("""COMPUTED_VALUE"""),1611.0)</f>
        <v>1611</v>
      </c>
      <c r="I708" s="2">
        <f>IFERROR(__xludf.DUMMYFUNCTION("""COMPUTED_VALUE"""),1790.21)</f>
        <v>1790.21</v>
      </c>
      <c r="J708" s="2">
        <f>IFERROR(__xludf.DUMMYFUNCTION("""COMPUTED_VALUE"""),895.0)</f>
        <v>895</v>
      </c>
      <c r="K708" s="2">
        <f>IFERROR(__xludf.DUMMYFUNCTION("""COMPUTED_VALUE"""),1.0)</f>
        <v>1</v>
      </c>
      <c r="L708" s="2" t="str">
        <f>IFERROR(__xludf.DUMMYFUNCTION("""COMPUTED_VALUE"""),"Rexant")</f>
        <v>Rexant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IFERROR(__xludf.DUMMYFUNCTION("""COMPUTED_VALUE"""),"4690612013480")</f>
        <v>4690612013480</v>
      </c>
      <c r="B70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9" s="2">
        <f>IFERROR(__xludf.DUMMYFUNCTION("""COMPUTED_VALUE"""),0.65)</f>
        <v>0.65</v>
      </c>
      <c r="D709" s="2">
        <f>IFERROR(__xludf.DUMMYFUNCTION("""COMPUTED_VALUE"""),0.004500000000000001)</f>
        <v>0.0045</v>
      </c>
      <c r="E709" s="2">
        <f>IFERROR(__xludf.DUMMYFUNCTION("""COMPUTED_VALUE"""),678.0)</f>
        <v>678</v>
      </c>
      <c r="F709" s="2">
        <f>IFERROR(__xludf.DUMMYFUNCTION("""COMPUTED_VALUE"""),986.0)</f>
        <v>986</v>
      </c>
      <c r="G709" s="2">
        <f>IFERROR(__xludf.DUMMYFUNCTION("""COMPUTED_VALUE"""),1110.0)</f>
        <v>1110</v>
      </c>
      <c r="H709" s="2">
        <f>IFERROR(__xludf.DUMMYFUNCTION("""COMPUTED_VALUE"""),1287.0)</f>
        <v>1287</v>
      </c>
      <c r="I709" s="2">
        <f>IFERROR(__xludf.DUMMYFUNCTION("""COMPUTED_VALUE"""),1480.0)</f>
        <v>1480</v>
      </c>
      <c r="J709" s="2">
        <f>IFERROR(__xludf.DUMMYFUNCTION("""COMPUTED_VALUE"""),740.0)</f>
        <v>740</v>
      </c>
      <c r="K709" s="2">
        <f>IFERROR(__xludf.DUMMYFUNCTION("""COMPUTED_VALUE"""),1.0)</f>
        <v>1</v>
      </c>
      <c r="L709" s="2" t="str">
        <f>IFERROR(__xludf.DUMMYFUNCTION("""COMPUTED_VALUE"""),"Светильники настольные светодиодные")</f>
        <v>Светильники настольные светодиодные</v>
      </c>
      <c r="M70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0">
      <c r="A710" s="5" t="str">
        <f>IFERROR(__xludf.DUMMYFUNCTION("""COMPUTED_VALUE"""),"4690612013497")</f>
        <v>4690612013497</v>
      </c>
      <c r="B71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0" s="2">
        <f>IFERROR(__xludf.DUMMYFUNCTION("""COMPUTED_VALUE"""),0.62)</f>
        <v>0.62</v>
      </c>
      <c r="D710" s="2">
        <f>IFERROR(__xludf.DUMMYFUNCTION("""COMPUTED_VALUE"""),0.004500000000000001)</f>
        <v>0.0045</v>
      </c>
      <c r="E710" s="2">
        <f>IFERROR(__xludf.DUMMYFUNCTION("""COMPUTED_VALUE"""),1090.33)</f>
        <v>1090.33</v>
      </c>
      <c r="F710" s="2">
        <f>IFERROR(__xludf.DUMMYFUNCTION("""COMPUTED_VALUE"""),813.0)</f>
        <v>813</v>
      </c>
      <c r="G710" s="2">
        <f>IFERROR(__xludf.DUMMYFUNCTION("""COMPUTED_VALUE"""),915.0)</f>
        <v>915</v>
      </c>
      <c r="H710" s="2">
        <f>IFERROR(__xludf.DUMMYFUNCTION("""COMPUTED_VALUE"""),1061.0)</f>
        <v>1061</v>
      </c>
      <c r="I710" s="2">
        <f>IFERROR(__xludf.DUMMYFUNCTION("""COMPUTED_VALUE"""),1220.0)</f>
        <v>1220</v>
      </c>
      <c r="J710" s="2">
        <f>IFERROR(__xludf.DUMMYFUNCTION("""COMPUTED_VALUE"""),610.0)</f>
        <v>610</v>
      </c>
      <c r="K710" s="2">
        <f>IFERROR(__xludf.DUMMYFUNCTION("""COMPUTED_VALUE"""),6.0)</f>
        <v>6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IFERROR(__xludf.DUMMYFUNCTION("""COMPUTED_VALUE"""),"GL81211")</f>
        <v>GL81211</v>
      </c>
      <c r="B711" s="5" t="str">
        <f>IFERROR(__xludf.DUMMYFUNCTION("""COMPUTED_VALUE"""),"GLERIO Office Casual 30 Вт 4000K 81P-30D-4V-P")</f>
        <v>GLERIO Office Casual 30 Вт 4000K 81P-30D-4V-P</v>
      </c>
      <c r="C711" s="2">
        <f>IFERROR(__xludf.DUMMYFUNCTION("""COMPUTED_VALUE"""),1.14)</f>
        <v>1.14</v>
      </c>
      <c r="D711" s="2">
        <f>IFERROR(__xludf.DUMMYFUNCTION("""COMPUTED_VALUE"""),0.008190000000000001)</f>
        <v>0.00819</v>
      </c>
      <c r="E711" s="2">
        <f>IFERROR(__xludf.DUMMYFUNCTION("""COMPUTED_VALUE"""),2095.2)</f>
        <v>2095.2</v>
      </c>
      <c r="F711" s="2">
        <f>IFERROR(__xludf.DUMMYFUNCTION("""COMPUTED_VALUE"""),2420.0)</f>
        <v>2420</v>
      </c>
      <c r="G711" s="2">
        <f>IFERROR(__xludf.DUMMYFUNCTION("""COMPUTED_VALUE"""),3047.0)</f>
        <v>3047</v>
      </c>
      <c r="H711" s="2">
        <f>IFERROR(__xludf.DUMMYFUNCTION("""COMPUTED_VALUE"""),3422.0)</f>
        <v>3422</v>
      </c>
      <c r="I711" s="2">
        <f>IFERROR(__xludf.DUMMYFUNCTION("""COMPUTED_VALUE"""),3796.0)</f>
        <v>3796</v>
      </c>
      <c r="J711" s="2">
        <f>IFERROR(__xludf.DUMMYFUNCTION("""COMPUTED_VALUE"""),3047.0)</f>
        <v>3047</v>
      </c>
      <c r="K711" s="2">
        <f>IFERROR(__xludf.DUMMYFUNCTION("""COMPUTED_VALUE"""),25.0)</f>
        <v>25</v>
      </c>
      <c r="L711" s="2" t="str">
        <f>IFERROR(__xludf.DUMMYFUNCTION("""COMPUTED_VALUE"""),"Office Casual+ GLERIO (Офис)")</f>
        <v>Office Casual+ GLERIO (Офис)</v>
      </c>
      <c r="M7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2">
      <c r="A712" s="5" t="str">
        <f>IFERROR(__xludf.DUMMYFUNCTION("""COMPUTED_VALUE"""),"4690626052659")</f>
        <v>4690626052659</v>
      </c>
      <c r="B712" s="5" t="str">
        <f>IFERROR(__xludf.DUMMYFUNCTION("""COMPUTED_VALUE"""),"SBL-P45-9_5-40K-E14")</f>
        <v>SBL-P45-9_5-40K-E14</v>
      </c>
      <c r="C712" s="2">
        <f>IFERROR(__xludf.DUMMYFUNCTION("""COMPUTED_VALUE"""),0.035)</f>
        <v>0.035</v>
      </c>
      <c r="D712" s="2">
        <f>IFERROR(__xludf.DUMMYFUNCTION("""COMPUTED_VALUE"""),2.5E-4)</f>
        <v>0.00025</v>
      </c>
      <c r="E712" s="2">
        <f>IFERROR(__xludf.DUMMYFUNCTION("""COMPUTED_VALUE"""),44.98)</f>
        <v>44.98</v>
      </c>
      <c r="F712" s="2">
        <f>IFERROR(__xludf.DUMMYFUNCTION("""COMPUTED_VALUE"""),47.0)</f>
        <v>47</v>
      </c>
      <c r="G712" s="2">
        <f>IFERROR(__xludf.DUMMYFUNCTION("""COMPUTED_VALUE"""),52.0)</f>
        <v>52</v>
      </c>
      <c r="H712" s="2">
        <f>IFERROR(__xludf.DUMMYFUNCTION("""COMPUTED_VALUE"""),57.0)</f>
        <v>57</v>
      </c>
      <c r="I712" s="2">
        <f>IFERROR(__xludf.DUMMYFUNCTION("""COMPUTED_VALUE"""),63.0)</f>
        <v>63</v>
      </c>
      <c r="J712" s="2">
        <f>IFERROR(__xludf.DUMMYFUNCTION("""COMPUTED_VALUE"""),32.0)</f>
        <v>32</v>
      </c>
      <c r="K712" s="2">
        <f>IFERROR(__xludf.DUMMYFUNCTION("""COMPUTED_VALUE"""),1.0)</f>
        <v>1</v>
      </c>
      <c r="L712" s="2" t="str">
        <f>IFERROR(__xludf.DUMMYFUNCTION("""COMPUTED_VALUE"""),"Smartbuy лампы LED")</f>
        <v>Smartbuy лампы LED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IFERROR(__xludf.DUMMYFUNCTION("""COMPUTED_VALUE"""),"4690612005102")</f>
        <v>4690612005102</v>
      </c>
      <c r="B713" s="5" t="str">
        <f>IFERROR(__xludf.DUMMYFUNCTION("""COMPUTED_VALUE"""),"LED-GX53-standard 8Вт 160-260В 4000К 640Лм ASD")</f>
        <v>LED-GX53-standard 8Вт 160-260В 4000К 640Лм ASD</v>
      </c>
      <c r="C713" s="2">
        <f>IFERROR(__xludf.DUMMYFUNCTION("""COMPUTED_VALUE"""),0.05)</f>
        <v>0.05</v>
      </c>
      <c r="D713" s="2">
        <f>IFERROR(__xludf.DUMMYFUNCTION("""COMPUTED_VALUE"""),1.9E-4)</f>
        <v>0.00019</v>
      </c>
      <c r="E713" s="2">
        <f>IFERROR(__xludf.DUMMYFUNCTION("""COMPUTED_VALUE"""),50.25)</f>
        <v>50.25</v>
      </c>
      <c r="F713" s="2">
        <f>IFERROR(__xludf.DUMMYFUNCTION("""COMPUTED_VALUE"""),53.0)</f>
        <v>53</v>
      </c>
      <c r="G713" s="2">
        <f>IFERROR(__xludf.DUMMYFUNCTION("""COMPUTED_VALUE"""),59.0)</f>
        <v>59</v>
      </c>
      <c r="H713" s="2">
        <f>IFERROR(__xludf.DUMMYFUNCTION("""COMPUTED_VALUE"""),69.0)</f>
        <v>69</v>
      </c>
      <c r="I713" s="2">
        <f>IFERROR(__xludf.DUMMYFUNCTION("""COMPUTED_VALUE"""),79.5)</f>
        <v>79.5</v>
      </c>
      <c r="J713" s="2">
        <f>IFERROR(__xludf.DUMMYFUNCTION("""COMPUTED_VALUE"""),40.0)</f>
        <v>40</v>
      </c>
      <c r="K713" s="2">
        <f>IFERROR(__xludf.DUMMYFUNCTION("""COMPUTED_VALUE"""),1.0)</f>
        <v>1</v>
      </c>
      <c r="L713" s="2" t="str">
        <f>IFERROR(__xludf.DUMMYFUNCTION("""COMPUTED_VALUE"""),"Лампа светодиодная LED-GX53-standard")</f>
        <v>Лампа светодиодная LED-GX53-standard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IFERROR(__xludf.DUMMYFUNCTION("""COMPUTED_VALUE"""),"GL51301")</f>
        <v>GL51301</v>
      </c>
      <c r="B714" s="5" t="str">
        <f>IFERROR(__xludf.DUMMYFUNCTION("""COMPUTED_VALUE"""),"GLERIO Practical 64 Вт 5000К 6A-64D-5U+")</f>
        <v>GLERIO Practical 64 Вт 5000К 6A-64D-5U+</v>
      </c>
      <c r="C714" s="2">
        <f>IFERROR(__xludf.DUMMYFUNCTION("""COMPUTED_VALUE"""),1.2)</f>
        <v>1.2</v>
      </c>
      <c r="D714" s="2">
        <f>IFERROR(__xludf.DUMMYFUNCTION("""COMPUTED_VALUE"""),0.00357)</f>
        <v>0.00357</v>
      </c>
      <c r="E714" s="2">
        <f>IFERROR(__xludf.DUMMYFUNCTION("""COMPUTED_VALUE"""),2095.2)</f>
        <v>2095.2</v>
      </c>
      <c r="F714" s="2">
        <f>IFERROR(__xludf.DUMMYFUNCTION("""COMPUTED_VALUE"""),2400.0)</f>
        <v>2400</v>
      </c>
      <c r="G714" s="2">
        <f>IFERROR(__xludf.DUMMYFUNCTION("""COMPUTED_VALUE"""),3000.0)</f>
        <v>3000</v>
      </c>
      <c r="H714" s="2">
        <f>IFERROR(__xludf.DUMMYFUNCTION("""COMPUTED_VALUE"""),3375.0)</f>
        <v>3375</v>
      </c>
      <c r="I714" s="2">
        <f>IFERROR(__xludf.DUMMYFUNCTION("""COMPUTED_VALUE"""),3750.0)</f>
        <v>3750</v>
      </c>
      <c r="J714" s="2">
        <f>IFERROR(__xludf.DUMMYFUNCTION("""COMPUTED_VALUE"""),3750.0)</f>
        <v>3750</v>
      </c>
      <c r="K714" s="2">
        <f>IFERROR(__xludf.DUMMYFUNCTION("""COMPUTED_VALUE"""),18.0)</f>
        <v>18</v>
      </c>
      <c r="L714" s="2" t="str">
        <f>IFERROR(__xludf.DUMMYFUNCTION("""COMPUTED_VALUE"""),"Practical+ Уличные GLERIO")</f>
        <v>Practical+ Уличные GLERIO</v>
      </c>
      <c r="M714" s="2" t="str">
        <f>IFERROR(__xludf.DUMMYFUNCTION("""COMPUTED_VALUE"""),"Для обычных дорог, LED Светильники")</f>
        <v>Для обычных дорог, LED Светильники</v>
      </c>
    </row>
    <row r="715">
      <c r="A715" s="5" t="str">
        <f>IFERROR(__xludf.DUMMYFUNCTION("""COMPUTED_VALUE"""),"4690612034782")</f>
        <v>4690612034782</v>
      </c>
      <c r="B71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5" s="2">
        <f>IFERROR(__xludf.DUMMYFUNCTION("""COMPUTED_VALUE"""),2.14)</f>
        <v>2.14</v>
      </c>
      <c r="D715" s="2">
        <f>IFERROR(__xludf.DUMMYFUNCTION("""COMPUTED_VALUE"""),0.03800000000000001)</f>
        <v>0.038</v>
      </c>
      <c r="E715" s="2">
        <f>IFERROR(__xludf.DUMMYFUNCTION("""COMPUTED_VALUE"""),0.0)</f>
        <v>0</v>
      </c>
      <c r="F715" s="2">
        <f>IFERROR(__xludf.DUMMYFUNCTION("""COMPUTED_VALUE"""),1829.0)</f>
        <v>1829</v>
      </c>
      <c r="G715" s="2">
        <f>IFERROR(__xludf.DUMMYFUNCTION("""COMPUTED_VALUE"""),2058.0)</f>
        <v>2058</v>
      </c>
      <c r="H715" s="2">
        <f>IFERROR(__xludf.DUMMYFUNCTION("""COMPUTED_VALUE"""),2387.0)</f>
        <v>2387</v>
      </c>
      <c r="I715" s="2">
        <f>IFERROR(__xludf.DUMMYFUNCTION("""COMPUTED_VALUE"""),2744.0)</f>
        <v>2744</v>
      </c>
      <c r="J715" s="2">
        <f>IFERROR(__xludf.DUMMYFUNCTION("""COMPUTED_VALUE"""),1372.0)</f>
        <v>1372</v>
      </c>
      <c r="K715" s="2">
        <f>IFERROR(__xludf.DUMMYFUNCTION("""COMPUTED_VALUE"""),1.0)</f>
        <v>1</v>
      </c>
      <c r="L715" s="2" t="str">
        <f>IFERROR(__xludf.DUMMYFUNCTION("""COMPUTED_VALUE"""),"Светильники светодиодные COMFORT")</f>
        <v>Светильники светодиодные COMFORT</v>
      </c>
      <c r="M7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6">
      <c r="A716" s="5" t="str">
        <f>IFERROR(__xludf.DUMMYFUNCTION("""COMPUTED_VALUE"""),"Fefco/0201-8")</f>
        <v>Fefco/0201-8</v>
      </c>
      <c r="B716" s="5" t="str">
        <f>IFERROR(__xludf.DUMMYFUNCTION("""COMPUTED_VALUE"""),"Короб 300х300х200 (картон Т-24 ""В"" бурый)")</f>
        <v>Короб 300х300х200 (картон Т-24 "В" бурый)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IFERROR(__xludf.DUMMYFUNCTION("""COMPUTED_VALUE"""),71.0)</f>
        <v>71</v>
      </c>
      <c r="F716" s="2">
        <f>IFERROR(__xludf.DUMMYFUNCTION("""COMPUTED_VALUE"""),1.0)</f>
        <v>1</v>
      </c>
      <c r="G716" s="2">
        <f>IFERROR(__xludf.DUMMYFUNCTION("""COMPUTED_VALUE"""),1.0)</f>
        <v>1</v>
      </c>
      <c r="H716" s="2">
        <f>IFERROR(__xludf.DUMMYFUNCTION("""COMPUTED_VALUE"""),1.0)</f>
        <v>1</v>
      </c>
      <c r="I716" s="2">
        <f>IFERROR(__xludf.DUMMYFUNCTION("""COMPUTED_VALUE"""),1.5)</f>
        <v>1.5</v>
      </c>
      <c r="J716" s="2">
        <f>IFERROR(__xludf.DUMMYFUNCTION("""COMPUTED_VALUE"""),1.5)</f>
        <v>1.5</v>
      </c>
      <c r="K716" s="2">
        <f>IFERROR(__xludf.DUMMYFUNCTION("""COMPUTED_VALUE"""),12.0)</f>
        <v>12</v>
      </c>
      <c r="L716" s="2" t="str">
        <f>IFERROR(__xludf.DUMMYFUNCTION("""COMPUTED_VALUE"""),"Упаковка")</f>
        <v>Упаковка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IFERROR(__xludf.DUMMYFUNCTION("""COMPUTED_VALUE"""),"4690612029887")</f>
        <v>4690612029887</v>
      </c>
      <c r="B717" s="5" t="str">
        <f>IFERROR(__xludf.DUMMYFUNCTION("""COMPUTED_VALUE"""),"LPU-02 40Вт ОПАЛ 230В 4000К 3600Лм 595х595х25мм IP40 IN HOME")</f>
        <v>LPU-02 40Вт ОПАЛ 230В 4000К 3600Лм 595х595х25мм IP40 IN HOME</v>
      </c>
      <c r="C717" s="2">
        <f>IFERROR(__xludf.DUMMYFUNCTION("""COMPUTED_VALUE"""),1.2)</f>
        <v>1.2</v>
      </c>
      <c r="D717" s="2">
        <f>IFERROR(__xludf.DUMMYFUNCTION("""COMPUTED_VALUE"""),0.00975)</f>
        <v>0.00975</v>
      </c>
      <c r="E717" s="2">
        <f>IFERROR(__xludf.DUMMYFUNCTION("""COMPUTED_VALUE"""),697.82)</f>
        <v>697.82</v>
      </c>
      <c r="F717" s="2">
        <f>IFERROR(__xludf.DUMMYFUNCTION("""COMPUTED_VALUE"""),690.0)</f>
        <v>690</v>
      </c>
      <c r="G717" s="2">
        <f>IFERROR(__xludf.DUMMYFUNCTION("""COMPUTED_VALUE"""),776.0)</f>
        <v>776</v>
      </c>
      <c r="H717" s="2">
        <f>IFERROR(__xludf.DUMMYFUNCTION("""COMPUTED_VALUE"""),900.0)</f>
        <v>900</v>
      </c>
      <c r="I717" s="2">
        <f>IFERROR(__xludf.DUMMYFUNCTION("""COMPUTED_VALUE"""),1035.0)</f>
        <v>1035</v>
      </c>
      <c r="J717" s="2">
        <f>IFERROR(__xludf.DUMMYFUNCTION("""COMPUTED_VALUE"""),518.0)</f>
        <v>518</v>
      </c>
      <c r="K717" s="2">
        <f>IFERROR(__xludf.DUMMYFUNCTION("""COMPUTED_VALUE"""),2.0)</f>
        <v>2</v>
      </c>
      <c r="L717" s="2" t="str">
        <f>IFERROR(__xludf.DUMMYFUNCTION("""COMPUTED_VALUE"""),"Панели светодиодные LP серии ОПАЛ")</f>
        <v>Панели светодиодные LP серии ОПАЛ</v>
      </c>
      <c r="M7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8">
      <c r="A718" s="5" t="str">
        <f>IFERROR(__xludf.DUMMYFUNCTION("""COMPUTED_VALUE"""),"4680005959884")</f>
        <v>4680005959884</v>
      </c>
      <c r="B718" s="5" t="str">
        <f>IFERROR(__xludf.DUMMYFUNCTION("""COMPUTED_VALUE"""),"Вт CLASSICO белый 2111 IN HOME")</f>
        <v>Вт CLASSICO белый 2111 IN HOME</v>
      </c>
      <c r="C718" s="2">
        <f>IFERROR(__xludf.DUMMYFUNCTION("""COMPUTED_VALUE"""),0.08700000000000001)</f>
        <v>0.087</v>
      </c>
      <c r="D718" s="2">
        <f>IFERROR(__xludf.DUMMYFUNCTION("""COMPUTED_VALUE"""),4.0E-4)</f>
        <v>0.0004</v>
      </c>
      <c r="E718" s="2">
        <f>IFERROR(__xludf.DUMMYFUNCTION("""COMPUTED_VALUE"""),159.74)</f>
        <v>159.74</v>
      </c>
      <c r="F718" s="2">
        <f>IFERROR(__xludf.DUMMYFUNCTION("""COMPUTED_VALUE"""),264.0)</f>
        <v>264</v>
      </c>
      <c r="G718" s="2">
        <f>IFERROR(__xludf.DUMMYFUNCTION("""COMPUTED_VALUE"""),297.0)</f>
        <v>297</v>
      </c>
      <c r="H718" s="2">
        <f>IFERROR(__xludf.DUMMYFUNCTION("""COMPUTED_VALUE"""),345.0)</f>
        <v>345</v>
      </c>
      <c r="I718" s="2">
        <f>IFERROR(__xludf.DUMMYFUNCTION("""COMPUTED_VALUE"""),396.0)</f>
        <v>396</v>
      </c>
      <c r="J718" s="2">
        <f>IFERROR(__xludf.DUMMYFUNCTION("""COMPUTED_VALUE"""),198.0)</f>
        <v>198</v>
      </c>
      <c r="K718" s="2">
        <f>IFERROR(__xludf.DUMMYFUNCTION("""COMPUTED_VALUE"""),10.0)</f>
        <v>10</v>
      </c>
      <c r="L718" s="2" t="str">
        <f>IFERROR(__xludf.DUMMYFUNCTION("""COMPUTED_VALUE"""),"Выключатель")</f>
        <v>Выключатель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IFERROR(__xludf.DUMMYFUNCTION("""COMPUTED_VALUE"""),"06-0080-A2")</f>
        <v>06-0080-A2</v>
      </c>
      <c r="B71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IFERROR(__xludf.DUMMYFUNCTION("""COMPUTED_VALUE"""),1.0)</f>
        <v>1</v>
      </c>
      <c r="F719" s="2">
        <f>IFERROR(__xludf.DUMMYFUNCTION("""COMPUTED_VALUE"""),18.0)</f>
        <v>18</v>
      </c>
      <c r="G719" s="2">
        <f>IFERROR(__xludf.DUMMYFUNCTION("""COMPUTED_VALUE"""),19.0)</f>
        <v>19</v>
      </c>
      <c r="H719" s="2">
        <f>IFERROR(__xludf.DUMMYFUNCTION("""COMPUTED_VALUE"""),21.0)</f>
        <v>21</v>
      </c>
      <c r="I719" s="2">
        <f>IFERROR(__xludf.DUMMYFUNCTION("""COMPUTED_VALUE"""),23.4)</f>
        <v>23.4</v>
      </c>
      <c r="J719" s="2">
        <f>IFERROR(__xludf.DUMMYFUNCTION("""COMPUTED_VALUE"""),12.0)</f>
        <v>12</v>
      </c>
      <c r="K719" s="2">
        <f>IFERROR(__xludf.DUMMYFUNCTION("""COMPUTED_VALUE"""),10.0)</f>
        <v>10</v>
      </c>
      <c r="L719" s="2" t="str">
        <f>IFERROR(__xludf.DUMMYFUNCTION("""COMPUTED_VALUE"""),"Rexant")</f>
        <v>Rexant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IFERROR(__xludf.DUMMYFUNCTION("""COMPUTED_VALUE"""),"4690626031821")</f>
        <v>4690626031821</v>
      </c>
      <c r="B720" s="5" t="str">
        <f>IFERROR(__xludf.DUMMYFUNCTION("""COMPUTED_VALUE"""),"SBL-FLSen-10-65K")</f>
        <v>SBL-FLSen-10-65K</v>
      </c>
      <c r="C720" s="2">
        <f>IFERROR(__xludf.DUMMYFUNCTION("""COMPUTED_VALUE"""),0.33)</f>
        <v>0.33</v>
      </c>
      <c r="D720" s="2">
        <f>IFERROR(__xludf.DUMMYFUNCTION("""COMPUTED_VALUE"""),4.0E-5)</f>
        <v>0.00004</v>
      </c>
      <c r="E720" s="2">
        <f>IFERROR(__xludf.DUMMYFUNCTION("""COMPUTED_VALUE"""),462.0)</f>
        <v>462</v>
      </c>
      <c r="F720" s="2">
        <f>IFERROR(__xludf.DUMMYFUNCTION("""COMPUTED_VALUE"""),588.0)</f>
        <v>588</v>
      </c>
      <c r="G720" s="2">
        <f>IFERROR(__xludf.DUMMYFUNCTION("""COMPUTED_VALUE"""),645.0)</f>
        <v>645</v>
      </c>
      <c r="H720" s="2">
        <f>IFERROR(__xludf.DUMMYFUNCTION("""COMPUTED_VALUE"""),717.0)</f>
        <v>717</v>
      </c>
      <c r="I720" s="2">
        <f>IFERROR(__xludf.DUMMYFUNCTION("""COMPUTED_VALUE"""),788.0)</f>
        <v>788</v>
      </c>
      <c r="J720" s="2">
        <f>IFERROR(__xludf.DUMMYFUNCTION("""COMPUTED_VALUE"""),394.0)</f>
        <v>394</v>
      </c>
      <c r="K720" s="2">
        <f>IFERROR(__xludf.DUMMYFUNCTION("""COMPUTED_VALUE"""),2.0)</f>
        <v>2</v>
      </c>
      <c r="L720" s="2" t="str">
        <f>IFERROR(__xludf.DUMMYFUNCTION("""COMPUTED_VALUE"""),"Smartbuy LED светильники")</f>
        <v>Smartbuy LED светильники</v>
      </c>
      <c r="M72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1">
      <c r="A721" s="5" t="str">
        <f>IFERROR(__xludf.DUMMYFUNCTION("""COMPUTED_VALUE"""),"GL81111")</f>
        <v>GL81111</v>
      </c>
      <c r="B721" s="5" t="str">
        <f>IFERROR(__xludf.DUMMYFUNCTION("""COMPUTED_VALUE"""),"GLERIO Office Casual 20 Вт 4000K 81P-20D-4V-P")</f>
        <v>GLERIO Office Casual 20 Вт 4000K 81P-20D-4V-P</v>
      </c>
      <c r="C721" s="2">
        <f>IFERROR(__xludf.DUMMYFUNCTION("""COMPUTED_VALUE"""),1.04)</f>
        <v>1.04</v>
      </c>
      <c r="D721" s="2">
        <f>IFERROR(__xludf.DUMMYFUNCTION("""COMPUTED_VALUE"""),0.008190000000000001)</f>
        <v>0.00819</v>
      </c>
      <c r="E721" s="2">
        <f>IFERROR(__xludf.DUMMYFUNCTION("""COMPUTED_VALUE"""),1461.68)</f>
        <v>1461.68</v>
      </c>
      <c r="F721" s="2">
        <f>IFERROR(__xludf.DUMMYFUNCTION("""COMPUTED_VALUE"""),1700.0)</f>
        <v>1700</v>
      </c>
      <c r="G721" s="2">
        <f>IFERROR(__xludf.DUMMYFUNCTION("""COMPUTED_VALUE"""),2140.0)</f>
        <v>2140</v>
      </c>
      <c r="H721" s="2">
        <f>IFERROR(__xludf.DUMMYFUNCTION("""COMPUTED_VALUE"""),2404.0)</f>
        <v>2404</v>
      </c>
      <c r="I721" s="2">
        <f>IFERROR(__xludf.DUMMYFUNCTION("""COMPUTED_VALUE"""),2667.0)</f>
        <v>2667</v>
      </c>
      <c r="J721" s="2">
        <f>IFERROR(__xludf.DUMMYFUNCTION("""COMPUTED_VALUE"""),2667.0)</f>
        <v>2667</v>
      </c>
      <c r="K721" s="2">
        <f>IFERROR(__xludf.DUMMYFUNCTION("""COMPUTED_VALUE"""),12.0)</f>
        <v>12</v>
      </c>
      <c r="L721" s="2" t="str">
        <f>IFERROR(__xludf.DUMMYFUNCTION("""COMPUTED_VALUE"""),"Office Casual+ GLERIO (Офис)")</f>
        <v>Office Casual+ GLERIO (Офис)</v>
      </c>
      <c r="M72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2">
      <c r="A722" s="5" t="str">
        <f>IFERROR(__xludf.DUMMYFUNCTION("""COMPUTED_VALUE"""),"Fefco/0201-9")</f>
        <v>Fefco/0201-9</v>
      </c>
      <c r="B722" s="5" t="str">
        <f>IFERROR(__xludf.DUMMYFUNCTION("""COMPUTED_VALUE"""),"Короб 450х320х320 (картон Т-24 ""В"" бурый)")</f>
        <v>Короб 450х320х320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IFERROR(__xludf.DUMMYFUNCTION("""COMPUTED_VALUE"""),99.0)</f>
        <v>99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IFERROR(__xludf.DUMMYFUNCTION("""COMPUTED_VALUE"""),41.0)</f>
        <v>41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IFERROR(__xludf.DUMMYFUNCTION("""COMPUTED_VALUE"""),"4690612030753")</f>
        <v>4690612030753</v>
      </c>
      <c r="B723" s="5" t="str">
        <f>IFERROR(__xludf.DUMMYFUNCTION("""COMPUTED_VALUE"""),"LED-JCDRC-VC 6Вт 230В GU10 6500К 530Лм IN HOME")</f>
        <v>LED-JCDRC-VC 6Вт 230В GU10 6500К 530Лм IN HOME</v>
      </c>
      <c r="C723" s="2">
        <f>IFERROR(__xludf.DUMMYFUNCTION("""COMPUTED_VALUE"""),0.035)</f>
        <v>0.035</v>
      </c>
      <c r="D723" s="2">
        <f>IFERROR(__xludf.DUMMYFUNCTION("""COMPUTED_VALUE"""),2.1E-4)</f>
        <v>0.00021</v>
      </c>
      <c r="E723" s="2">
        <f>IFERROR(__xludf.DUMMYFUNCTION("""COMPUTED_VALUE"""),30.19)</f>
        <v>30.19</v>
      </c>
      <c r="F723" s="2">
        <f>IFERROR(__xludf.DUMMYFUNCTION("""COMPUTED_VALUE"""),35.0)</f>
        <v>35</v>
      </c>
      <c r="G723" s="2">
        <f>IFERROR(__xludf.DUMMYFUNCTION("""COMPUTED_VALUE"""),40.0)</f>
        <v>40</v>
      </c>
      <c r="H723" s="2">
        <f>IFERROR(__xludf.DUMMYFUNCTION("""COMPUTED_VALUE"""),46.0)</f>
        <v>46</v>
      </c>
      <c r="I723" s="2">
        <f>IFERROR(__xludf.DUMMYFUNCTION("""COMPUTED_VALUE"""),53.5)</f>
        <v>53.5</v>
      </c>
      <c r="J723" s="2">
        <f>IFERROR(__xludf.DUMMYFUNCTION("""COMPUTED_VALUE"""),27.0)</f>
        <v>27</v>
      </c>
      <c r="K723" s="2">
        <f>IFERROR(__xludf.DUMMYFUNCTION("""COMPUTED_VALUE"""),69.0)</f>
        <v>69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IFERROR(__xludf.DUMMYFUNCTION("""COMPUTED_VALUE"""),"R100343")</f>
        <v>R100343</v>
      </c>
      <c r="B724" s="5" t="str">
        <f>IFERROR(__xludf.DUMMYFUNCTION("""COMPUTED_VALUE"""),"RSV-A65-20W-4000K-E27 P")</f>
        <v>RSV-A65-20W-4000K-E27 P</v>
      </c>
      <c r="C724" s="2">
        <f>IFERROR(__xludf.DUMMYFUNCTION("""COMPUTED_VALUE"""),0.0727)</f>
        <v>0.0727</v>
      </c>
      <c r="D724" s="2">
        <f>IFERROR(__xludf.DUMMYFUNCTION("""COMPUTED_VALUE"""),7.5E-4)</f>
        <v>0.00075</v>
      </c>
      <c r="E724" s="2">
        <f>IFERROR(__xludf.DUMMYFUNCTION("""COMPUTED_VALUE"""),77.82000000000001)</f>
        <v>77.82</v>
      </c>
      <c r="F724" s="2">
        <f>IFERROR(__xludf.DUMMYFUNCTION("""COMPUTED_VALUE"""),108.0)</f>
        <v>108</v>
      </c>
      <c r="G724" s="2">
        <f>IFERROR(__xludf.DUMMYFUNCTION("""COMPUTED_VALUE"""),116.0)</f>
        <v>116</v>
      </c>
      <c r="H724" s="2">
        <f>IFERROR(__xludf.DUMMYFUNCTION("""COMPUTED_VALUE"""),130.0)</f>
        <v>130</v>
      </c>
      <c r="I724" s="2">
        <f>IFERROR(__xludf.DUMMYFUNCTION("""COMPUTED_VALUE"""),144.38)</f>
        <v>144.38</v>
      </c>
      <c r="J724" s="2">
        <f>IFERROR(__xludf.DUMMYFUNCTION("""COMPUTED_VALUE"""),72.0)</f>
        <v>72</v>
      </c>
      <c r="K724" s="2">
        <f>IFERROR(__xludf.DUMMYFUNCTION("""COMPUTED_VALUE"""),20.0)</f>
        <v>20</v>
      </c>
      <c r="L724" s="2" t="str">
        <f>IFERROR(__xludf.DUMMYFUNCTION("""COMPUTED_VALUE"""),"Светодиодные лампы A60")</f>
        <v>Светодиодные лампы A60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IFERROR(__xludf.DUMMYFUNCTION("""COMPUTED_VALUE"""),"4690612026145")</f>
        <v>4690612026145</v>
      </c>
      <c r="B72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5" s="2">
        <f>IFERROR(__xludf.DUMMYFUNCTION("""COMPUTED_VALUE"""),0.044)</f>
        <v>0.044</v>
      </c>
      <c r="D725" s="2">
        <f>IFERROR(__xludf.DUMMYFUNCTION("""COMPUTED_VALUE"""),5.600000000000001E-4)</f>
        <v>0.00056</v>
      </c>
      <c r="E725" s="2">
        <f>IFERROR(__xludf.DUMMYFUNCTION("""COMPUTED_VALUE"""),81.0)</f>
        <v>81</v>
      </c>
      <c r="F725" s="2">
        <f>IFERROR(__xludf.DUMMYFUNCTION("""COMPUTED_VALUE"""),98.0)</f>
        <v>98</v>
      </c>
      <c r="G725" s="2">
        <f>IFERROR(__xludf.DUMMYFUNCTION("""COMPUTED_VALUE"""),110.0)</f>
        <v>110</v>
      </c>
      <c r="H725" s="2">
        <f>IFERROR(__xludf.DUMMYFUNCTION("""COMPUTED_VALUE"""),128.0)</f>
        <v>128</v>
      </c>
      <c r="I725" s="2">
        <f>IFERROR(__xludf.DUMMYFUNCTION("""COMPUTED_VALUE"""),147.5)</f>
        <v>147.5</v>
      </c>
      <c r="J725" s="2">
        <f>IFERROR(__xludf.DUMMYFUNCTION("""COMPUTED_VALUE"""),74.0)</f>
        <v>74</v>
      </c>
      <c r="K725" s="2">
        <f>IFERROR(__xludf.DUMMYFUNCTION("""COMPUTED_VALUE"""),4.0)</f>
        <v>4</v>
      </c>
      <c r="L725" s="2" t="str">
        <f>IFERROR(__xludf.DUMMYFUNCTION("""COMPUTED_VALUE"""),"Лампа светодиодная LED-A60 DECO")</f>
        <v>Лампа светодиодная LED-A60 DECO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IFERROR(__xludf.DUMMYFUNCTION("""COMPUTED_VALUE"""),"4690612010182")</f>
        <v>4690612010182</v>
      </c>
      <c r="B726" s="5" t="str">
        <f>IFERROR(__xludf.DUMMYFUNCTION("""COMPUTED_VALUE"""),"РШ/ВШ карболитовый 25А 380В черный 9112 IN HOME")</f>
        <v>РШ/ВШ карболитовый 25А 380В черный 9112 IN HOME</v>
      </c>
      <c r="C726" s="2">
        <f>IFERROR(__xludf.DUMMYFUNCTION("""COMPUTED_VALUE"""),0.20694)</f>
        <v>0.20694</v>
      </c>
      <c r="D726" s="2">
        <f>IFERROR(__xludf.DUMMYFUNCTION("""COMPUTED_VALUE"""),5.0E-4)</f>
        <v>0.0005</v>
      </c>
      <c r="E726" s="2">
        <f>IFERROR(__xludf.DUMMYFUNCTION("""COMPUTED_VALUE"""),139.9)</f>
        <v>139.9</v>
      </c>
      <c r="F726" s="2">
        <f>IFERROR(__xludf.DUMMYFUNCTION("""COMPUTED_VALUE"""),172.0)</f>
        <v>172</v>
      </c>
      <c r="G726" s="2">
        <f>IFERROR(__xludf.DUMMYFUNCTION("""COMPUTED_VALUE"""),194.0)</f>
        <v>194</v>
      </c>
      <c r="H726" s="2">
        <f>IFERROR(__xludf.DUMMYFUNCTION("""COMPUTED_VALUE"""),224.0)</f>
        <v>224</v>
      </c>
      <c r="I726" s="2">
        <f>IFERROR(__xludf.DUMMYFUNCTION("""COMPUTED_VALUE"""),258.0)</f>
        <v>258</v>
      </c>
      <c r="J726" s="2">
        <f>IFERROR(__xludf.DUMMYFUNCTION("""COMPUTED_VALUE"""),129.0)</f>
        <v>129</v>
      </c>
      <c r="K726" s="2">
        <f>IFERROR(__xludf.DUMMYFUNCTION("""COMPUTED_VALUE"""),6.0)</f>
        <v>6</v>
      </c>
      <c r="L726" s="2" t="str">
        <f>IFERROR(__xludf.DUMMYFUNCTION("""COMPUTED_VALUE"""),"Розетки, вилки и колодки")</f>
        <v>Розетки, вилки и колодки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IFERROR(__xludf.DUMMYFUNCTION("""COMPUTED_VALUE"""),"4690612035581-10")</f>
        <v>4690612035581-10</v>
      </c>
      <c r="B727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2">
        <f>IFERROR(__xludf.DUMMYFUNCTION("""COMPUTED_VALUE"""),0.04)</f>
        <v>0.04</v>
      </c>
      <c r="D727" s="2">
        <f>IFERROR(__xludf.DUMMYFUNCTION("""COMPUTED_VALUE"""),0.0028)</f>
        <v>0.0028</v>
      </c>
      <c r="E727" s="2">
        <f>IFERROR(__xludf.DUMMYFUNCTION("""COMPUTED_VALUE"""),1019.8)</f>
        <v>1019.8</v>
      </c>
      <c r="F727" s="2">
        <f>IFERROR(__xludf.DUMMYFUNCTION("""COMPUTED_VALUE"""),1119.0)</f>
        <v>1119</v>
      </c>
      <c r="G727" s="2">
        <f>IFERROR(__xludf.DUMMYFUNCTION("""COMPUTED_VALUE"""),1469.0)</f>
        <v>1469</v>
      </c>
      <c r="H727" s="2">
        <f>IFERROR(__xludf.DUMMYFUNCTION("""COMPUTED_VALUE"""),1652.0)</f>
        <v>1652</v>
      </c>
      <c r="I727" s="2">
        <f>IFERROR(__xludf.DUMMYFUNCTION("""COMPUTED_VALUE"""),1836.0)</f>
        <v>1836</v>
      </c>
      <c r="J727" s="2">
        <f>IFERROR(__xludf.DUMMYFUNCTION("""COMPUTED_VALUE"""),918.0)</f>
        <v>918</v>
      </c>
      <c r="K727" s="2">
        <f>IFERROR(__xludf.DUMMYFUNCTION("""COMPUTED_VALUE"""),4.0)</f>
        <v>4</v>
      </c>
      <c r="L727" s="2" t="str">
        <f>IFERROR(__xludf.DUMMYFUNCTION("""COMPUTED_VALUE"""),"Лампы производство, упаковка")</f>
        <v>Лампы производство, упаковка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IFERROR(__xludf.DUMMYFUNCTION("""COMPUTED_VALUE"""),"ZUK77")</f>
        <v>ZUK77</v>
      </c>
      <c r="B728" s="5" t="str">
        <f>IFERROR(__xludf.DUMMYFUNCTION("""COMPUTED_VALUE"""),"Защитный уголок из картона 40х40х4х1200")</f>
        <v>Защитный уголок из картона 40х40х4х1200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IFERROR(__xludf.DUMMYFUNCTION("""COMPUTED_VALUE"""),30.33)</f>
        <v>30.33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IFERROR(__xludf.DUMMYFUNCTION("""COMPUTED_VALUE"""),942.0)</f>
        <v>942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IFERROR(__xludf.DUMMYFUNCTION("""COMPUTED_VALUE"""),"4690612042701-2")</f>
        <v>4690612042701-2</v>
      </c>
      <c r="B729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9" s="2">
        <f>IFERROR(__xludf.DUMMYFUNCTION("""COMPUTED_VALUE"""),1.35)</f>
        <v>1.35</v>
      </c>
      <c r="D729" s="2">
        <f>IFERROR(__xludf.DUMMYFUNCTION("""COMPUTED_VALUE"""),0.0)</f>
        <v>0</v>
      </c>
      <c r="E729" s="2">
        <f>IFERROR(__xludf.DUMMYFUNCTION("""COMPUTED_VALUE"""),1147.76)</f>
        <v>1147.76</v>
      </c>
      <c r="F729" s="2">
        <f>IFERROR(__xludf.DUMMYFUNCTION("""COMPUTED_VALUE"""),1259.0)</f>
        <v>1259</v>
      </c>
      <c r="G729" s="2">
        <f>IFERROR(__xludf.DUMMYFUNCTION("""COMPUTED_VALUE"""),1653.0)</f>
        <v>1653</v>
      </c>
      <c r="H729" s="2">
        <f>IFERROR(__xludf.DUMMYFUNCTION("""COMPUTED_VALUE"""),1859.0)</f>
        <v>1859</v>
      </c>
      <c r="I729" s="2">
        <f>IFERROR(__xludf.DUMMYFUNCTION("""COMPUTED_VALUE"""),2066.0)</f>
        <v>2066</v>
      </c>
      <c r="J729" s="2">
        <f>IFERROR(__xludf.DUMMYFUNCTION("""COMPUTED_VALUE"""),1033.0)</f>
        <v>1033</v>
      </c>
      <c r="K729" s="2">
        <f>IFERROR(__xludf.DUMMYFUNCTION("""COMPUTED_VALUE"""),7.0)</f>
        <v>7</v>
      </c>
      <c r="L72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0">
      <c r="A730" s="5" t="str">
        <f>IFERROR(__xludf.DUMMYFUNCTION("""COMPUTED_VALUE"""),"4690612014111")</f>
        <v>4690612014111</v>
      </c>
      <c r="B730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0" s="2">
        <f>IFERROR(__xludf.DUMMYFUNCTION("""COMPUTED_VALUE"""),0.294)</f>
        <v>0.294</v>
      </c>
      <c r="D730" s="2">
        <f>IFERROR(__xludf.DUMMYFUNCTION("""COMPUTED_VALUE"""),0.001)</f>
        <v>0.001</v>
      </c>
      <c r="E730" s="2">
        <f>IFERROR(__xludf.DUMMYFUNCTION("""COMPUTED_VALUE"""),178.97)</f>
        <v>178.97</v>
      </c>
      <c r="F730" s="2">
        <f>IFERROR(__xludf.DUMMYFUNCTION("""COMPUTED_VALUE"""),181.0)</f>
        <v>181</v>
      </c>
      <c r="G730" s="2">
        <f>IFERROR(__xludf.DUMMYFUNCTION("""COMPUTED_VALUE"""),203.0)</f>
        <v>203</v>
      </c>
      <c r="H730" s="2">
        <f>IFERROR(__xludf.DUMMYFUNCTION("""COMPUTED_VALUE"""),236.0)</f>
        <v>236</v>
      </c>
      <c r="I730" s="2">
        <f>IFERROR(__xludf.DUMMYFUNCTION("""COMPUTED_VALUE"""),271.0)</f>
        <v>271</v>
      </c>
      <c r="J730" s="2">
        <f>IFERROR(__xludf.DUMMYFUNCTION("""COMPUTED_VALUE"""),136.0)</f>
        <v>136</v>
      </c>
      <c r="K730" s="2">
        <f>IFERROR(__xludf.DUMMYFUNCTION("""COMPUTED_VALUE"""),5.0)</f>
        <v>5</v>
      </c>
      <c r="L730" s="2" t="str">
        <f>IFERROR(__xludf.DUMMYFUNCTION("""COMPUTED_VALUE"""),"Под лампу GX53")</f>
        <v>Под лампу GX53</v>
      </c>
      <c r="M73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1">
      <c r="A731" s="5" t="str">
        <f>IFERROR(__xludf.DUMMYFUNCTION("""COMPUTED_VALUE"""),"426052929244723")</f>
        <v>426052929244723</v>
      </c>
      <c r="B731" s="5" t="str">
        <f>IFERROR(__xludf.DUMMYFUNCTION("""COMPUTED_VALUE"""),"WT5S10W60 10 Вт 4000К IP20 700 Лм 32x23x570 мм 1/30")</f>
        <v>WT5S10W60 10 Вт 4000К IP20 700 Лм 32x23x570 мм 1/30</v>
      </c>
      <c r="C731" s="2">
        <f>IFERROR(__xludf.DUMMYFUNCTION("""COMPUTED_VALUE"""),0.186)</f>
        <v>0.186</v>
      </c>
      <c r="D731" s="2">
        <f>IFERROR(__xludf.DUMMYFUNCTION("""COMPUTED_VALUE"""),7.700000000000001E-4)</f>
        <v>0.00077</v>
      </c>
      <c r="E731" s="2">
        <f>IFERROR(__xludf.DUMMYFUNCTION("""COMPUTED_VALUE"""),235.52)</f>
        <v>235.52</v>
      </c>
      <c r="F731" s="2">
        <f>IFERROR(__xludf.DUMMYFUNCTION("""COMPUTED_VALUE"""),214.0)</f>
        <v>214</v>
      </c>
      <c r="G731" s="2">
        <f>IFERROR(__xludf.DUMMYFUNCTION("""COMPUTED_VALUE"""),221.0)</f>
        <v>221</v>
      </c>
      <c r="H731" s="2">
        <f>IFERROR(__xludf.DUMMYFUNCTION("""COMPUTED_VALUE"""),290.0)</f>
        <v>290</v>
      </c>
      <c r="I731" s="2">
        <f>IFERROR(__xludf.DUMMYFUNCTION("""COMPUTED_VALUE"""),363.0)</f>
        <v>363</v>
      </c>
      <c r="J731" s="2">
        <f>IFERROR(__xludf.DUMMYFUNCTION("""COMPUTED_VALUE"""),182.0)</f>
        <v>182</v>
      </c>
      <c r="K731" s="2">
        <f>IFERROR(__xludf.DUMMYFUNCTION("""COMPUTED_VALUE"""),58.0)</f>
        <v>58</v>
      </c>
      <c r="L731" s="2" t="str">
        <f>IFERROR(__xludf.DUMMYFUNCTION("""COMPUTED_VALUE"""),"Wolta")</f>
        <v>Wolta</v>
      </c>
      <c r="M731" s="2" t="str">
        <f>IFERROR(__xludf.DUMMYFUNCTION("""COMPUTED_VALUE"""),"Пластиковые (линейные), LED Светильники")</f>
        <v>Пластиковые (линейные), LED Светильники</v>
      </c>
    </row>
    <row r="732">
      <c r="A732" s="5" t="str">
        <f>IFERROR(__xludf.DUMMYFUNCTION("""COMPUTED_VALUE"""),"4690612008462")</f>
        <v>4690612008462</v>
      </c>
      <c r="B732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2" s="2">
        <f>IFERROR(__xludf.DUMMYFUNCTION("""COMPUTED_VALUE"""),0.05300000000000001)</f>
        <v>0.053</v>
      </c>
      <c r="D732" s="2">
        <f>IFERROR(__xludf.DUMMYFUNCTION("""COMPUTED_VALUE"""),2.5E-4)</f>
        <v>0.00025</v>
      </c>
      <c r="E732" s="2">
        <f>IFERROR(__xludf.DUMMYFUNCTION("""COMPUTED_VALUE"""),52.89)</f>
        <v>52.89</v>
      </c>
      <c r="F732" s="2">
        <f>IFERROR(__xludf.DUMMYFUNCTION("""COMPUTED_VALUE"""),65.0)</f>
        <v>65</v>
      </c>
      <c r="G732" s="2">
        <f>IFERROR(__xludf.DUMMYFUNCTION("""COMPUTED_VALUE"""),74.0)</f>
        <v>74</v>
      </c>
      <c r="H732" s="2">
        <f>IFERROR(__xludf.DUMMYFUNCTION("""COMPUTED_VALUE"""),85.0)</f>
        <v>85</v>
      </c>
      <c r="I732" s="2">
        <f>IFERROR(__xludf.DUMMYFUNCTION("""COMPUTED_VALUE"""),98.0)</f>
        <v>98</v>
      </c>
      <c r="J732" s="2">
        <f>IFERROR(__xludf.DUMMYFUNCTION("""COMPUTED_VALUE"""),49.0)</f>
        <v>49</v>
      </c>
      <c r="K732" s="2">
        <f>IFERROR(__xludf.DUMMYFUNCTION("""COMPUTED_VALUE"""),6.0)</f>
        <v>6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IFERROR(__xludf.DUMMYFUNCTION("""COMPUTED_VALUE"""),"4690612013466")</f>
        <v>4690612013466</v>
      </c>
      <c r="B733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3" s="2">
        <f>IFERROR(__xludf.DUMMYFUNCTION("""COMPUTED_VALUE"""),0.64)</f>
        <v>0.64</v>
      </c>
      <c r="D733" s="2">
        <f>IFERROR(__xludf.DUMMYFUNCTION("""COMPUTED_VALUE"""),0.004750000000000001)</f>
        <v>0.00475</v>
      </c>
      <c r="E733" s="2">
        <f>IFERROR(__xludf.DUMMYFUNCTION("""COMPUTED_VALUE"""),919.26)</f>
        <v>919.26</v>
      </c>
      <c r="F733" s="2">
        <f>IFERROR(__xludf.DUMMYFUNCTION("""COMPUTED_VALUE"""),820.0)</f>
        <v>820</v>
      </c>
      <c r="G733" s="2">
        <f>IFERROR(__xludf.DUMMYFUNCTION("""COMPUTED_VALUE"""),923.0)</f>
        <v>923</v>
      </c>
      <c r="H733" s="2">
        <f>IFERROR(__xludf.DUMMYFUNCTION("""COMPUTED_VALUE"""),1070.0)</f>
        <v>1070</v>
      </c>
      <c r="I733" s="2">
        <f>IFERROR(__xludf.DUMMYFUNCTION("""COMPUTED_VALUE"""),1230.0)</f>
        <v>1230</v>
      </c>
      <c r="J733" s="2">
        <f>IFERROR(__xludf.DUMMYFUNCTION("""COMPUTED_VALUE"""),615.0)</f>
        <v>615</v>
      </c>
      <c r="K733" s="2">
        <f>IFERROR(__xludf.DUMMYFUNCTION("""COMPUTED_VALUE"""),3.0)</f>
        <v>3</v>
      </c>
      <c r="L733" s="2" t="str">
        <f>IFERROR(__xludf.DUMMYFUNCTION("""COMPUTED_VALUE"""),"Светильники настольные светодиодные")</f>
        <v>Светильники настольные светодиодные</v>
      </c>
      <c r="M7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4">
      <c r="A734" s="5" t="str">
        <f>IFERROR(__xludf.DUMMYFUNCTION("""COMPUTED_VALUE"""),"4690626071278")</f>
        <v>4690626071278</v>
      </c>
      <c r="B734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IFERROR(__xludf.DUMMYFUNCTION("""COMPUTED_VALUE"""),561.7)</f>
        <v>561.7</v>
      </c>
      <c r="F734" s="2">
        <f>IFERROR(__xludf.DUMMYFUNCTION("""COMPUTED_VALUE"""),606.0)</f>
        <v>606</v>
      </c>
      <c r="G734" s="2">
        <f>IFERROR(__xludf.DUMMYFUNCTION("""COMPUTED_VALUE"""),665.0)</f>
        <v>665</v>
      </c>
      <c r="H734" s="2">
        <f>IFERROR(__xludf.DUMMYFUNCTION("""COMPUTED_VALUE"""),739.0)</f>
        <v>739</v>
      </c>
      <c r="I734" s="2">
        <f>IFERROR(__xludf.DUMMYFUNCTION("""COMPUTED_VALUE"""),813.0)</f>
        <v>813</v>
      </c>
      <c r="J734" s="2">
        <f>IFERROR(__xludf.DUMMYFUNCTION("""COMPUTED_VALUE"""),407.0)</f>
        <v>407</v>
      </c>
      <c r="K734" s="2">
        <f>IFERROR(__xludf.DUMMYFUNCTION("""COMPUTED_VALUE"""),9.0)</f>
        <v>9</v>
      </c>
      <c r="L734" s="2" t="str">
        <f>IFERROR(__xludf.DUMMYFUNCTION("""COMPUTED_VALUE"""),"Smartbuy LED светильники")</f>
        <v>Smartbuy LED светильники</v>
      </c>
      <c r="M7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5">
      <c r="A735" s="5" t="str">
        <f>IFERROR(__xludf.DUMMYFUNCTION("""COMPUTED_VALUE"""),"G103101207-10")</f>
        <v>G103101207-10</v>
      </c>
      <c r="B735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5" s="2">
        <f>IFERROR(__xludf.DUMMYFUNCTION("""COMPUTED_VALUE"""),0.03)</f>
        <v>0.03</v>
      </c>
      <c r="D735" s="2">
        <f>IFERROR(__xludf.DUMMYFUNCTION("""COMPUTED_VALUE"""),0.0)</f>
        <v>0</v>
      </c>
      <c r="E735" s="2">
        <f>IFERROR(__xludf.DUMMYFUNCTION("""COMPUTED_VALUE"""),788.7)</f>
        <v>788.7</v>
      </c>
      <c r="F735" s="2">
        <f>IFERROR(__xludf.DUMMYFUNCTION("""COMPUTED_VALUE"""),865.0)</f>
        <v>865</v>
      </c>
      <c r="G735" s="2">
        <f>IFERROR(__xludf.DUMMYFUNCTION("""COMPUTED_VALUE"""),1136.0)</f>
        <v>1136</v>
      </c>
      <c r="H735" s="2">
        <f>IFERROR(__xludf.DUMMYFUNCTION("""COMPUTED_VALUE"""),1278.0)</f>
        <v>1278</v>
      </c>
      <c r="I735" s="2">
        <f>IFERROR(__xludf.DUMMYFUNCTION("""COMPUTED_VALUE"""),1420.0)</f>
        <v>1420</v>
      </c>
      <c r="J735" s="2">
        <f>IFERROR(__xludf.DUMMYFUNCTION("""COMPUTED_VALUE"""),710.0)</f>
        <v>710</v>
      </c>
      <c r="K735" s="2">
        <f>IFERROR(__xludf.DUMMYFUNCTION("""COMPUTED_VALUE"""),8.0)</f>
        <v>8</v>
      </c>
      <c r="L735" s="2" t="str">
        <f>IFERROR(__xludf.DUMMYFUNCTION("""COMPUTED_VALUE"""),"Лампы производство, упаковка")</f>
        <v>Лампы производство, упаковка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IFERROR(__xludf.DUMMYFUNCTION("""COMPUTED_VALUE"""),"4690612029849")</f>
        <v>4690612029849</v>
      </c>
      <c r="B736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6" s="2">
        <f>IFERROR(__xludf.DUMMYFUNCTION("""COMPUTED_VALUE"""),1.225)</f>
        <v>1.225</v>
      </c>
      <c r="D736" s="2">
        <f>IFERROR(__xludf.DUMMYFUNCTION("""COMPUTED_VALUE"""),0.00525)</f>
        <v>0.00525</v>
      </c>
      <c r="E736" s="2">
        <f>IFERROR(__xludf.DUMMYFUNCTION("""COMPUTED_VALUE"""),718.0600000000001)</f>
        <v>718.06</v>
      </c>
      <c r="F736" s="2">
        <f>IFERROR(__xludf.DUMMYFUNCTION("""COMPUTED_VALUE"""),808.0)</f>
        <v>808</v>
      </c>
      <c r="G736" s="2">
        <f>IFERROR(__xludf.DUMMYFUNCTION("""COMPUTED_VALUE"""),909.0)</f>
        <v>909</v>
      </c>
      <c r="H736" s="2">
        <f>IFERROR(__xludf.DUMMYFUNCTION("""COMPUTED_VALUE"""),1054.0)</f>
        <v>1054</v>
      </c>
      <c r="I736" s="2">
        <f>IFERROR(__xludf.DUMMYFUNCTION("""COMPUTED_VALUE"""),1212.0)</f>
        <v>1212</v>
      </c>
      <c r="J736" s="2">
        <f>IFERROR(__xludf.DUMMYFUNCTION("""COMPUTED_VALUE"""),606.0)</f>
        <v>606</v>
      </c>
      <c r="K736" s="2">
        <f>IFERROR(__xludf.DUMMYFUNCTION("""COMPUTED_VALUE"""),9.0)</f>
        <v>9</v>
      </c>
      <c r="L736" s="2" t="str">
        <f>IFERROR(__xludf.DUMMYFUNCTION("""COMPUTED_VALUE"""),"Панели светодиодные LP серии ПРИЗМА")</f>
        <v>Панели светодиодные LP серии ПРИЗМА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IFERROR(__xludf.DUMMYFUNCTION("""COMPUTED_VALUE"""),"4260652193222")</f>
        <v>4260652193222</v>
      </c>
      <c r="B737" s="5" t="str">
        <f>IFERROR(__xludf.DUMMYFUNCTION("""COMPUTED_VALUE"""),"LCL04-8W-R21-4K-SM")</f>
        <v>LCL04-8W-R21-4K-SM</v>
      </c>
      <c r="C737" s="2">
        <f>IFERROR(__xludf.DUMMYFUNCTION("""COMPUTED_VALUE"""),0.09000000000000001)</f>
        <v>0.09</v>
      </c>
      <c r="D737" s="2">
        <f>IFERROR(__xludf.DUMMYFUNCTION("""COMPUTED_VALUE"""),0.0353)</f>
        <v>0.0353</v>
      </c>
      <c r="E737" s="2">
        <f>IFERROR(__xludf.DUMMYFUNCTION("""COMPUTED_VALUE"""),434.9)</f>
        <v>434.9</v>
      </c>
      <c r="F737" s="2">
        <f>IFERROR(__xludf.DUMMYFUNCTION("""COMPUTED_VALUE"""),431.0)</f>
        <v>431</v>
      </c>
      <c r="G737" s="2">
        <f>IFERROR(__xludf.DUMMYFUNCTION("""COMPUTED_VALUE"""),446.0)</f>
        <v>446</v>
      </c>
      <c r="H737" s="2">
        <f>IFERROR(__xludf.DUMMYFUNCTION("""COMPUTED_VALUE"""),585.0)</f>
        <v>585</v>
      </c>
      <c r="I737" s="2">
        <f>IFERROR(__xludf.DUMMYFUNCTION("""COMPUTED_VALUE"""),731.0)</f>
        <v>731</v>
      </c>
      <c r="J737" s="2">
        <f>IFERROR(__xludf.DUMMYFUNCTION("""COMPUTED_VALUE"""),366.0)</f>
        <v>366</v>
      </c>
      <c r="K737" s="2">
        <f>IFERROR(__xludf.DUMMYFUNCTION("""COMPUTED_VALUE"""),16.0)</f>
        <v>16</v>
      </c>
      <c r="L737" s="2" t="str">
        <f>IFERROR(__xludf.DUMMYFUNCTION("""COMPUTED_VALUE"""),"Wolta ЖКХ")</f>
        <v>Wolta ЖКХ</v>
      </c>
      <c r="M737" s="2" t="str">
        <f>IFERROR(__xludf.DUMMYFUNCTION("""COMPUTED_VALUE"""),"Для ЖКХ, дома, дачи, LED Светильники")</f>
        <v>Для ЖКХ, дома, дачи, LED Светильники</v>
      </c>
    </row>
    <row r="738">
      <c r="A738" s="5" t="str">
        <f>IFERROR(__xludf.DUMMYFUNCTION("""COMPUTED_VALUE"""),"4690612035109")</f>
        <v>4690612035109</v>
      </c>
      <c r="B738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8" s="2">
        <f>IFERROR(__xludf.DUMMYFUNCTION("""COMPUTED_VALUE"""),1.72)</f>
        <v>1.72</v>
      </c>
      <c r="D738" s="2">
        <f>IFERROR(__xludf.DUMMYFUNCTION("""COMPUTED_VALUE"""),0.034)</f>
        <v>0.034</v>
      </c>
      <c r="E738" s="2">
        <f>IFERROR(__xludf.DUMMYFUNCTION("""COMPUTED_VALUE"""),2271.72)</f>
        <v>2271.72</v>
      </c>
      <c r="F738" s="2">
        <f>IFERROR(__xludf.DUMMYFUNCTION("""COMPUTED_VALUE"""),1518.0)</f>
        <v>1518</v>
      </c>
      <c r="G738" s="2">
        <f>IFERROR(__xludf.DUMMYFUNCTION("""COMPUTED_VALUE"""),1708.0)</f>
        <v>1708</v>
      </c>
      <c r="H738" s="2">
        <f>IFERROR(__xludf.DUMMYFUNCTION("""COMPUTED_VALUE"""),1981.0)</f>
        <v>1981</v>
      </c>
      <c r="I738" s="2">
        <f>IFERROR(__xludf.DUMMYFUNCTION("""COMPUTED_VALUE"""),2277.0)</f>
        <v>2277</v>
      </c>
      <c r="J738" s="2">
        <f>IFERROR(__xludf.DUMMYFUNCTION("""COMPUTED_VALUE"""),1139.0)</f>
        <v>1139</v>
      </c>
      <c r="K738" s="2">
        <f>IFERROR(__xludf.DUMMYFUNCTION("""COMPUTED_VALUE"""),1.0)</f>
        <v>1</v>
      </c>
      <c r="L738" s="2" t="str">
        <f>IFERROR(__xludf.DUMMYFUNCTION("""COMPUTED_VALUE"""),"Светильники светодиодные COMFORT")</f>
        <v>Светильники светодиодные COMFORT</v>
      </c>
      <c r="M7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9">
      <c r="A739" s="5" t="str">
        <f>IFERROR(__xludf.DUMMYFUNCTION("""COMPUTED_VALUE"""),"4690612048291-1")</f>
        <v>4690612048291-1</v>
      </c>
      <c r="B739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9" s="2">
        <f>IFERROR(__xludf.DUMMYFUNCTION("""COMPUTED_VALUE"""),0.0)</f>
        <v>0</v>
      </c>
      <c r="D739" s="2">
        <f>IFERROR(__xludf.DUMMYFUNCTION("""COMPUTED_VALUE"""),0.00293)</f>
        <v>0.00293</v>
      </c>
      <c r="E739" s="2">
        <f>IFERROR(__xludf.DUMMYFUNCTION("""COMPUTED_VALUE"""),374.3)</f>
        <v>374.3</v>
      </c>
      <c r="F739" s="2">
        <f>IFERROR(__xludf.DUMMYFUNCTION("""COMPUTED_VALUE"""),411.0)</f>
        <v>411</v>
      </c>
      <c r="G739" s="2">
        <f>IFERROR(__xludf.DUMMYFUNCTION("""COMPUTED_VALUE"""),539.0)</f>
        <v>539</v>
      </c>
      <c r="H739" s="2">
        <f>IFERROR(__xludf.DUMMYFUNCTION("""COMPUTED_VALUE"""),607.0)</f>
        <v>607</v>
      </c>
      <c r="I739" s="2">
        <f>IFERROR(__xludf.DUMMYFUNCTION("""COMPUTED_VALUE"""),674.0)</f>
        <v>674</v>
      </c>
      <c r="J739" s="2">
        <f>IFERROR(__xludf.DUMMYFUNCTION("""COMPUTED_VALUE"""),337.0)</f>
        <v>337</v>
      </c>
      <c r="K739" s="2">
        <f>IFERROR(__xludf.DUMMYFUNCTION("""COMPUTED_VALUE"""),1.0)</f>
        <v>1</v>
      </c>
      <c r="L739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0">
      <c r="A740" s="5" t="str">
        <f>IFERROR(__xludf.DUMMYFUNCTION("""COMPUTED_VALUE"""),"4690612037653-1")</f>
        <v>4690612037653-1</v>
      </c>
      <c r="B740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0" s="2">
        <f>IFERROR(__xludf.DUMMYFUNCTION("""COMPUTED_VALUE"""),1.35)</f>
        <v>1.35</v>
      </c>
      <c r="D740" s="2">
        <f>IFERROR(__xludf.DUMMYFUNCTION("""COMPUTED_VALUE"""),0.006730000000000001)</f>
        <v>0.00673</v>
      </c>
      <c r="E740" s="2">
        <f>IFERROR(__xludf.DUMMYFUNCTION("""COMPUTED_VALUE"""),613.88)</f>
        <v>613.88</v>
      </c>
      <c r="F740" s="2">
        <f>IFERROR(__xludf.DUMMYFUNCTION("""COMPUTED_VALUE"""),674.0)</f>
        <v>674</v>
      </c>
      <c r="G740" s="2">
        <f>IFERROR(__xludf.DUMMYFUNCTION("""COMPUTED_VALUE"""),884.0)</f>
        <v>884</v>
      </c>
      <c r="H740" s="2">
        <f>IFERROR(__xludf.DUMMYFUNCTION("""COMPUTED_VALUE"""),995.0)</f>
        <v>995</v>
      </c>
      <c r="I740" s="2">
        <f>IFERROR(__xludf.DUMMYFUNCTION("""COMPUTED_VALUE"""),1105.0)</f>
        <v>1105</v>
      </c>
      <c r="J740" s="2">
        <f>IFERROR(__xludf.DUMMYFUNCTION("""COMPUTED_VALUE"""),553.0)</f>
        <v>553</v>
      </c>
      <c r="K740" s="2">
        <f>IFERROR(__xludf.DUMMYFUNCTION("""COMPUTED_VALUE"""),2.0)</f>
        <v>2</v>
      </c>
      <c r="L7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1">
      <c r="A741" s="5" t="str">
        <f>IFERROR(__xludf.DUMMYFUNCTION("""COMPUTED_VALUE"""),"4262356474317")</f>
        <v>4262356474317</v>
      </c>
      <c r="B741" s="5" t="str">
        <f>IFERROR(__xludf.DUMMYFUNCTION("""COMPUTED_VALUE"""),"WTL-GX53/01W")</f>
        <v>WTL-GX53/01W</v>
      </c>
      <c r="C741" s="2">
        <f>IFERROR(__xludf.DUMMYFUNCTION("""COMPUTED_VALUE"""),0.209)</f>
        <v>0.209</v>
      </c>
      <c r="D741" s="2">
        <f>IFERROR(__xludf.DUMMYFUNCTION("""COMPUTED_VALUE"""),0.0)</f>
        <v>0</v>
      </c>
      <c r="E741" s="2">
        <f>IFERROR(__xludf.DUMMYFUNCTION("""COMPUTED_VALUE"""),395.5)</f>
        <v>395.5</v>
      </c>
      <c r="F741" s="2">
        <f>IFERROR(__xludf.DUMMYFUNCTION("""COMPUTED_VALUE"""),480.0)</f>
        <v>480</v>
      </c>
      <c r="G741" s="2">
        <f>IFERROR(__xludf.DUMMYFUNCTION("""COMPUTED_VALUE"""),497.0)</f>
        <v>497</v>
      </c>
      <c r="H741" s="2">
        <f>IFERROR(__xludf.DUMMYFUNCTION("""COMPUTED_VALUE"""),651.0)</f>
        <v>651</v>
      </c>
      <c r="I741" s="2">
        <f>IFERROR(__xludf.DUMMYFUNCTION("""COMPUTED_VALUE"""),814.0)</f>
        <v>814</v>
      </c>
      <c r="J741" s="2">
        <f>IFERROR(__xludf.DUMMYFUNCTION("""COMPUTED_VALUE"""),407.0)</f>
        <v>407</v>
      </c>
      <c r="K741" s="2">
        <f>IFERROR(__xludf.DUMMYFUNCTION("""COMPUTED_VALUE"""),1.0)</f>
        <v>1</v>
      </c>
      <c r="L741" s="2" t="str">
        <f>IFERROR(__xludf.DUMMYFUNCTION("""COMPUTED_VALUE"""),"Wolta трековые")</f>
        <v>Wolta трековые</v>
      </c>
      <c r="M741" s="2" t="str">
        <f>IFERROR(__xludf.DUMMYFUNCTION("""COMPUTED_VALUE"""),"Трековые, LED Светильники")</f>
        <v>Трековые, LED Светильники</v>
      </c>
    </row>
    <row r="742">
      <c r="A742" s="5" t="str">
        <f>IFERROR(__xludf.DUMMYFUNCTION("""COMPUTED_VALUE"""),"4690612053004-1")</f>
        <v>4690612053004-1</v>
      </c>
      <c r="B742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IFERROR(__xludf.DUMMYFUNCTION("""COMPUTED_VALUE"""),786.53)</f>
        <v>786.53</v>
      </c>
      <c r="F742" s="2">
        <f>IFERROR(__xludf.DUMMYFUNCTION("""COMPUTED_VALUE"""),863.0)</f>
        <v>863</v>
      </c>
      <c r="G742" s="2">
        <f>IFERROR(__xludf.DUMMYFUNCTION("""COMPUTED_VALUE"""),1133.0)</f>
        <v>1133</v>
      </c>
      <c r="H742" s="2">
        <f>IFERROR(__xludf.DUMMYFUNCTION("""COMPUTED_VALUE"""),1274.0)</f>
        <v>1274</v>
      </c>
      <c r="I742" s="2">
        <f>IFERROR(__xludf.DUMMYFUNCTION("""COMPUTED_VALUE"""),1416.0)</f>
        <v>1416</v>
      </c>
      <c r="J742" s="2">
        <f>IFERROR(__xludf.DUMMYFUNCTION("""COMPUTED_VALUE"""),708.0)</f>
        <v>708</v>
      </c>
      <c r="K742" s="2">
        <f>IFERROR(__xludf.DUMMYFUNCTION("""COMPUTED_VALUE"""),18.0)</f>
        <v>18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IFERROR(__xludf.DUMMYFUNCTION("""COMPUTED_VALUE"""),"V12020")</f>
        <v>V12020</v>
      </c>
      <c r="B743" s="5" t="str">
        <f>IFERROR(__xludf.DUMMYFUNCTION("""COMPUTED_VALUE"""),"VRN-LME136X78-128D-A50K67-K, 128Вт, Консольный")</f>
        <v>VRN-LME136X78-128D-A50K67-K, 128Вт, Консольный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IFERROR(__xludf.DUMMYFUNCTION("""COMPUTED_VALUE"""),6500.0)</f>
        <v>6500</v>
      </c>
      <c r="F743" s="2">
        <f>IFERROR(__xludf.DUMMYFUNCTION("""COMPUTED_VALUE"""),7515.0)</f>
        <v>7515</v>
      </c>
      <c r="G743" s="2">
        <f>IFERROR(__xludf.DUMMYFUNCTION("""COMPUTED_VALUE"""),9770.0)</f>
        <v>9770</v>
      </c>
      <c r="H743" s="2">
        <f>IFERROR(__xludf.DUMMYFUNCTION("""COMPUTED_VALUE"""),10258.0)</f>
        <v>10258</v>
      </c>
      <c r="I743" s="2">
        <f>IFERROR(__xludf.DUMMYFUNCTION("""COMPUTED_VALUE"""),10746.0)</f>
        <v>10746</v>
      </c>
      <c r="J743" s="2">
        <f>IFERROR(__xludf.DUMMYFUNCTION("""COMPUTED_VALUE"""),5373.0)</f>
        <v>5373</v>
      </c>
      <c r="K743" s="2">
        <f>IFERROR(__xludf.DUMMYFUNCTION("""COMPUTED_VALUE"""),1.0)</f>
        <v>1</v>
      </c>
      <c r="L743" s="2" t="str">
        <f>IFERROR(__xludf.DUMMYFUNCTION("""COMPUTED_VALUE"""),"Магистраль Эконом")</f>
        <v>Магистраль Эконом</v>
      </c>
      <c r="M743" s="2" t="str">
        <f>IFERROR(__xludf.DUMMYFUNCTION("""COMPUTED_VALUE"""),"Для автомагистралей, LED Светильники")</f>
        <v>Для автомагистралей, LED Светильники</v>
      </c>
    </row>
    <row r="744">
      <c r="A744" s="5" t="str">
        <f>IFERROR(__xludf.DUMMYFUNCTION("""COMPUTED_VALUE"""),"4690612042718-2")</f>
        <v>4690612042718-2</v>
      </c>
      <c r="B744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4" s="2">
        <f>IFERROR(__xludf.DUMMYFUNCTION("""COMPUTED_VALUE"""),1.36)</f>
        <v>1.36</v>
      </c>
      <c r="D744" s="2">
        <f>IFERROR(__xludf.DUMMYFUNCTION("""COMPUTED_VALUE"""),0.0)</f>
        <v>0</v>
      </c>
      <c r="E744" s="2">
        <f>IFERROR(__xludf.DUMMYFUNCTION("""COMPUTED_VALUE"""),1298.81)</f>
        <v>1298.81</v>
      </c>
      <c r="F744" s="2">
        <f>IFERROR(__xludf.DUMMYFUNCTION("""COMPUTED_VALUE"""),1425.0)</f>
        <v>1425</v>
      </c>
      <c r="G744" s="2">
        <f>IFERROR(__xludf.DUMMYFUNCTION("""COMPUTED_VALUE"""),1870.0)</f>
        <v>1870</v>
      </c>
      <c r="H744" s="2">
        <f>IFERROR(__xludf.DUMMYFUNCTION("""COMPUTED_VALUE"""),2104.0)</f>
        <v>2104</v>
      </c>
      <c r="I744" s="2">
        <f>IFERROR(__xludf.DUMMYFUNCTION("""COMPUTED_VALUE"""),2338.0)</f>
        <v>2338</v>
      </c>
      <c r="J744" s="2">
        <f>IFERROR(__xludf.DUMMYFUNCTION("""COMPUTED_VALUE"""),1169.0)</f>
        <v>1169</v>
      </c>
      <c r="K744" s="2">
        <f>IFERROR(__xludf.DUMMYFUNCTION("""COMPUTED_VALUE"""),5.0)</f>
        <v>5</v>
      </c>
      <c r="L7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5">
      <c r="A745" s="5" t="str">
        <f>IFERROR(__xludf.DUMMYFUNCTION("""COMPUTED_VALUE"""),"CS16")</f>
        <v>CS16</v>
      </c>
      <c r="B745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IFERROR(__xludf.DUMMYFUNCTION("""COMPUTED_VALUE"""),734.3000000000001)</f>
        <v>734.3</v>
      </c>
      <c r="F745" s="2">
        <f>IFERROR(__xludf.DUMMYFUNCTION("""COMPUTED_VALUE"""),309.0)</f>
        <v>309</v>
      </c>
      <c r="G745" s="2">
        <f>IFERROR(__xludf.DUMMYFUNCTION("""COMPUTED_VALUE"""),330.0)</f>
        <v>330</v>
      </c>
      <c r="H745" s="2">
        <f>IFERROR(__xludf.DUMMYFUNCTION("""COMPUTED_VALUE"""),371.0)</f>
        <v>371</v>
      </c>
      <c r="I745" s="2">
        <f>IFERROR(__xludf.DUMMYFUNCTION("""COMPUTED_VALUE"""),412.44)</f>
        <v>412.44</v>
      </c>
      <c r="J745" s="2">
        <f>IFERROR(__xludf.DUMMYFUNCTION("""COMPUTED_VALUE"""),206.0)</f>
        <v>206</v>
      </c>
      <c r="K745" s="2">
        <f>IFERROR(__xludf.DUMMYFUNCTION("""COMPUTED_VALUE"""),2.0)</f>
        <v>2</v>
      </c>
      <c r="L745" s="2" t="str">
        <f>IFERROR(__xludf.DUMMYFUNCTION("""COMPUTED_VALUE"""),"CS")</f>
        <v>CS</v>
      </c>
      <c r="M745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6">
      <c r="A746" s="5" t="str">
        <f>IFERROR(__xludf.DUMMYFUNCTION("""COMPUTED_VALUE"""),"4690612035369")</f>
        <v>4690612035369</v>
      </c>
      <c r="B746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6" s="2">
        <f>IFERROR(__xludf.DUMMYFUNCTION("""COMPUTED_VALUE"""),2.0)</f>
        <v>2</v>
      </c>
      <c r="D746" s="2">
        <f>IFERROR(__xludf.DUMMYFUNCTION("""COMPUTED_VALUE"""),0.016)</f>
        <v>0.016</v>
      </c>
      <c r="E746" s="2">
        <f>IFERROR(__xludf.DUMMYFUNCTION("""COMPUTED_VALUE"""),4391.08)</f>
        <v>4391.08</v>
      </c>
      <c r="F746" s="2">
        <f>IFERROR(__xludf.DUMMYFUNCTION("""COMPUTED_VALUE"""),2421.0)</f>
        <v>2421</v>
      </c>
      <c r="G746" s="2">
        <f>IFERROR(__xludf.DUMMYFUNCTION("""COMPUTED_VALUE"""),2723.0)</f>
        <v>2723</v>
      </c>
      <c r="H746" s="2">
        <f>IFERROR(__xludf.DUMMYFUNCTION("""COMPUTED_VALUE"""),3159.0)</f>
        <v>3159</v>
      </c>
      <c r="I746" s="2">
        <f>IFERROR(__xludf.DUMMYFUNCTION("""COMPUTED_VALUE"""),3631.0)</f>
        <v>3631</v>
      </c>
      <c r="J746" s="2">
        <f>IFERROR(__xludf.DUMMYFUNCTION("""COMPUTED_VALUE"""),1816.0)</f>
        <v>1816</v>
      </c>
      <c r="K746" s="2">
        <f>IFERROR(__xludf.DUMMYFUNCTION("""COMPUTED_VALUE"""),2.0)</f>
        <v>2</v>
      </c>
      <c r="L746" s="2" t="str">
        <f>IFERROR(__xludf.DUMMYFUNCTION("""COMPUTED_VALUE"""),"Светильники светодиодные серии ELEGANT IN HOME")</f>
        <v>Светильники светодиодные серии ELEGANT IN HOME</v>
      </c>
      <c r="M7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7">
      <c r="A747" s="5" t="str">
        <f>IFERROR(__xludf.DUMMYFUNCTION("""COMPUTED_VALUE"""),"4260529295639")</f>
        <v>4260529295639</v>
      </c>
      <c r="B747" s="5" t="str">
        <f>IFERROR(__xludf.DUMMYFUNCTION("""COMPUTED_VALUE"""),"WT5S6W30")</f>
        <v>WT5S6W30</v>
      </c>
      <c r="C747" s="2">
        <f>IFERROR(__xludf.DUMMYFUNCTION("""COMPUTED_VALUE"""),0.14)</f>
        <v>0.14</v>
      </c>
      <c r="D747" s="2">
        <f>IFERROR(__xludf.DUMMYFUNCTION("""COMPUTED_VALUE"""),0.014)</f>
        <v>0.014</v>
      </c>
      <c r="E747" s="2">
        <f>IFERROR(__xludf.DUMMYFUNCTION("""COMPUTED_VALUE"""),192.7)</f>
        <v>192.7</v>
      </c>
      <c r="F747" s="2">
        <f>IFERROR(__xludf.DUMMYFUNCTION("""COMPUTED_VALUE"""),227.0)</f>
        <v>227</v>
      </c>
      <c r="G747" s="2">
        <f>IFERROR(__xludf.DUMMYFUNCTION("""COMPUTED_VALUE"""),235.0)</f>
        <v>235</v>
      </c>
      <c r="H747" s="2">
        <f>IFERROR(__xludf.DUMMYFUNCTION("""COMPUTED_VALUE"""),308.0)</f>
        <v>308</v>
      </c>
      <c r="I747" s="2">
        <f>IFERROR(__xludf.DUMMYFUNCTION("""COMPUTED_VALUE"""),385.0)</f>
        <v>385</v>
      </c>
      <c r="J747" s="2">
        <f>IFERROR(__xludf.DUMMYFUNCTION("""COMPUTED_VALUE"""),193.0)</f>
        <v>193</v>
      </c>
      <c r="K747" s="2">
        <f>IFERROR(__xludf.DUMMYFUNCTION("""COMPUTED_VALUE"""),23.0)</f>
        <v>23</v>
      </c>
      <c r="L747" s="2" t="str">
        <f>IFERROR(__xludf.DUMMYFUNCTION("""COMPUTED_VALUE"""),"Wolta светильники бытовые WT4, WT5, WT8")</f>
        <v>Wolta светильники бытовые WT4, WT5, WT8</v>
      </c>
      <c r="M747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8">
      <c r="A748" s="5" t="str">
        <f>IFERROR(__xludf.DUMMYFUNCTION("""COMPUTED_VALUE"""),"4260652193185")</f>
        <v>4260652193185</v>
      </c>
      <c r="B748" s="5" t="str">
        <f>IFERROR(__xludf.DUMMYFUNCTION("""COMPUTED_VALUE"""),"LCL04-8W-R01-4K")</f>
        <v>LCL04-8W-R01-4K</v>
      </c>
      <c r="C748" s="2">
        <f>IFERROR(__xludf.DUMMYFUNCTION("""COMPUTED_VALUE"""),0.09000000000000001)</f>
        <v>0.09</v>
      </c>
      <c r="D748" s="2">
        <f>IFERROR(__xludf.DUMMYFUNCTION("""COMPUTED_VALUE"""),0.0012)</f>
        <v>0.0012</v>
      </c>
      <c r="E748" s="2">
        <f>IFERROR(__xludf.DUMMYFUNCTION("""COMPUTED_VALUE"""),208.21)</f>
        <v>208.21</v>
      </c>
      <c r="F748" s="2">
        <f>IFERROR(__xludf.DUMMYFUNCTION("""COMPUTED_VALUE"""),179.0)</f>
        <v>179</v>
      </c>
      <c r="G748" s="2">
        <f>IFERROR(__xludf.DUMMYFUNCTION("""COMPUTED_VALUE"""),185.0)</f>
        <v>185</v>
      </c>
      <c r="H748" s="2">
        <f>IFERROR(__xludf.DUMMYFUNCTION("""COMPUTED_VALUE"""),242.0)</f>
        <v>242</v>
      </c>
      <c r="I748" s="2">
        <f>IFERROR(__xludf.DUMMYFUNCTION("""COMPUTED_VALUE"""),303.0)</f>
        <v>303</v>
      </c>
      <c r="J748" s="2">
        <f>IFERROR(__xludf.DUMMYFUNCTION("""COMPUTED_VALUE"""),185.0)</f>
        <v>185</v>
      </c>
      <c r="K748" s="2">
        <f>IFERROR(__xludf.DUMMYFUNCTION("""COMPUTED_VALUE"""),2.0)</f>
        <v>2</v>
      </c>
      <c r="L748" s="2" t="str">
        <f>IFERROR(__xludf.DUMMYFUNCTION("""COMPUTED_VALUE"""),"Wolta ЖКХ")</f>
        <v>Wolta ЖКХ</v>
      </c>
      <c r="M748" s="2" t="str">
        <f>IFERROR(__xludf.DUMMYFUNCTION("""COMPUTED_VALUE"""),"Для ЖКХ, дома, дачи, LED Светильники")</f>
        <v>Для ЖКХ, дома, дачи, LED Светильники</v>
      </c>
    </row>
    <row r="749">
      <c r="A749" s="5" t="str">
        <f>IFERROR(__xludf.DUMMYFUNCTION("""COMPUTED_VALUE"""),"4260529296704")</f>
        <v>4260529296704</v>
      </c>
      <c r="B749" s="5" t="str">
        <f>IFERROR(__xludf.DUMMYFUNCTION("""COMPUTED_VALUE"""),"ДПП01-12-021-4К-ОА")</f>
        <v>ДПП01-12-021-4К-ОА</v>
      </c>
      <c r="C749" s="2">
        <f>IFERROR(__xludf.DUMMYFUNCTION("""COMPUTED_VALUE"""),0.14)</f>
        <v>0.14</v>
      </c>
      <c r="D749" s="2">
        <f>IFERROR(__xludf.DUMMYFUNCTION("""COMPUTED_VALUE"""),0.04029000000000001)</f>
        <v>0.04029</v>
      </c>
      <c r="E749" s="2">
        <f>IFERROR(__xludf.DUMMYFUNCTION("""COMPUTED_VALUE"""),374.5)</f>
        <v>374.5</v>
      </c>
      <c r="F749" s="2">
        <f>IFERROR(__xludf.DUMMYFUNCTION("""COMPUTED_VALUE"""),913.0)</f>
        <v>913</v>
      </c>
      <c r="G749" s="2">
        <f>IFERROR(__xludf.DUMMYFUNCTION("""COMPUTED_VALUE"""),944.0)</f>
        <v>944</v>
      </c>
      <c r="H749" s="2">
        <f>IFERROR(__xludf.DUMMYFUNCTION("""COMPUTED_VALUE"""),1238.0)</f>
        <v>1238</v>
      </c>
      <c r="I749" s="2">
        <f>IFERROR(__xludf.DUMMYFUNCTION("""COMPUTED_VALUE"""),1547.0)</f>
        <v>1547</v>
      </c>
      <c r="J749" s="2">
        <f>IFERROR(__xludf.DUMMYFUNCTION("""COMPUTED_VALUE"""),774.0)</f>
        <v>774</v>
      </c>
      <c r="K749" s="2">
        <f>IFERROR(__xludf.DUMMYFUNCTION("""COMPUTED_VALUE"""),1.0)</f>
        <v>1</v>
      </c>
      <c r="L749" s="2" t="str">
        <f>IFERROR(__xludf.DUMMYFUNCTION("""COMPUTED_VALUE"""),"Wolta ЖКХ")</f>
        <v>Wolta ЖКХ</v>
      </c>
      <c r="M749" s="2" t="str">
        <f>IFERROR(__xludf.DUMMYFUNCTION("""COMPUTED_VALUE"""),"Для ЖКХ, дома, дачи, LED Светильники")</f>
        <v>Для ЖКХ, дома, дачи, LED Светильники</v>
      </c>
    </row>
    <row r="750">
      <c r="A750" s="5" t="str">
        <f>IFERROR(__xludf.DUMMYFUNCTION("""COMPUTED_VALUE"""),"R100088")</f>
        <v>R100088</v>
      </c>
      <c r="B750" s="5" t="str">
        <f>IFERROR(__xludf.DUMMYFUNCTION("""COMPUTED_VALUE"""),"RSV-STP-50-6500K-IP66")</f>
        <v>RSV-STP-50-6500K-IP66</v>
      </c>
      <c r="C750" s="2">
        <f>IFERROR(__xludf.DUMMYFUNCTION("""COMPUTED_VALUE"""),1.15)</f>
        <v>1.15</v>
      </c>
      <c r="D750" s="2">
        <f>IFERROR(__xludf.DUMMYFUNCTION("""COMPUTED_VALUE"""),5.600000000000001E-4)</f>
        <v>0.00056</v>
      </c>
      <c r="E750" s="2">
        <f>IFERROR(__xludf.DUMMYFUNCTION("""COMPUTED_VALUE"""),1411.09)</f>
        <v>1411.09</v>
      </c>
      <c r="F750" s="2">
        <f>IFERROR(__xludf.DUMMYFUNCTION("""COMPUTED_VALUE"""),1937.0)</f>
        <v>1937</v>
      </c>
      <c r="G750" s="2">
        <f>IFERROR(__xludf.DUMMYFUNCTION("""COMPUTED_VALUE"""),2279.0)</f>
        <v>2279</v>
      </c>
      <c r="H750" s="2">
        <f>IFERROR(__xludf.DUMMYFUNCTION("""COMPUTED_VALUE"""),2348.0)</f>
        <v>2348</v>
      </c>
      <c r="I750" s="2">
        <f>IFERROR(__xludf.DUMMYFUNCTION("""COMPUTED_VALUE"""),2700.0)</f>
        <v>2700</v>
      </c>
      <c r="J750" s="2">
        <f>IFERROR(__xludf.DUMMYFUNCTION("""COMPUTED_VALUE"""),1350.0)</f>
        <v>1350</v>
      </c>
      <c r="K750" s="2">
        <f>IFERROR(__xludf.DUMMYFUNCTION("""COMPUTED_VALUE"""),3.0)</f>
        <v>3</v>
      </c>
      <c r="L750" s="2" t="str">
        <f>IFERROR(__xludf.DUMMYFUNCTION("""COMPUTED_VALUE"""),"Уличное освещение RSV")</f>
        <v>Уличное освещение RSV</v>
      </c>
      <c r="M750" s="2" t="str">
        <f>IFERROR(__xludf.DUMMYFUNCTION("""COMPUTED_VALUE"""),"Для обычных дорог, LED Светильники")</f>
        <v>Для обычных дорог, LED Светильники</v>
      </c>
    </row>
    <row r="751">
      <c r="A751" s="5" t="str">
        <f>IFERROR(__xludf.DUMMYFUNCTION("""COMPUTED_VALUE"""),"V1007")</f>
        <v>V1007</v>
      </c>
      <c r="B751" s="5" t="str">
        <f>IFERROR(__xludf.DUMMYFUNCTION("""COMPUTED_VALUE"""),"VRN-UN-48-G50K67-U, 48Вт, Универсальный")</f>
        <v>VRN-UN-48-G50K67-U, 48Вт, Универсальный</v>
      </c>
      <c r="C751" s="2">
        <f>IFERROR(__xludf.DUMMYFUNCTION("""COMPUTED_VALUE"""),1.3)</f>
        <v>1.3</v>
      </c>
      <c r="D751" s="2">
        <f>IFERROR(__xludf.DUMMYFUNCTION("""COMPUTED_VALUE"""),0.00483)</f>
        <v>0.00483</v>
      </c>
      <c r="E751" s="2">
        <f>IFERROR(__xludf.DUMMYFUNCTION("""COMPUTED_VALUE"""),2506.68)</f>
        <v>2506.68</v>
      </c>
      <c r="F751" s="2">
        <f>IFERROR(__xludf.DUMMYFUNCTION("""COMPUTED_VALUE"""),2895.0)</f>
        <v>2895</v>
      </c>
      <c r="G751" s="2">
        <f>IFERROR(__xludf.DUMMYFUNCTION("""COMPUTED_VALUE"""),3764.0)</f>
        <v>3764</v>
      </c>
      <c r="H751" s="2">
        <f>IFERROR(__xludf.DUMMYFUNCTION("""COMPUTED_VALUE"""),3952.0)</f>
        <v>3952</v>
      </c>
      <c r="I751" s="2">
        <f>IFERROR(__xludf.DUMMYFUNCTION("""COMPUTED_VALUE"""),4140.0)</f>
        <v>4140</v>
      </c>
      <c r="J751" s="2">
        <f>IFERROR(__xludf.DUMMYFUNCTION("""COMPUTED_VALUE"""),4140.0)</f>
        <v>4140</v>
      </c>
      <c r="K751" s="2">
        <f>IFERROR(__xludf.DUMMYFUNCTION("""COMPUTED_VALUE"""),38.0)</f>
        <v>38</v>
      </c>
      <c r="L751" s="2" t="str">
        <f>IFERROR(__xludf.DUMMYFUNCTION("""COMPUTED_VALUE"""),"Универсал")</f>
        <v>Универсал</v>
      </c>
      <c r="M7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2">
      <c r="A752" s="5" t="str">
        <f>IFERROR(__xludf.DUMMYFUNCTION("""COMPUTED_VALUE"""),"4690626079649")</f>
        <v>4690626079649</v>
      </c>
      <c r="B752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IFERROR(__xludf.DUMMYFUNCTION("""COMPUTED_VALUE"""),807.9300000000001)</f>
        <v>807.93</v>
      </c>
      <c r="F752" s="2">
        <f>IFERROR(__xludf.DUMMYFUNCTION("""COMPUTED_VALUE"""),772.0)</f>
        <v>772</v>
      </c>
      <c r="G752" s="2">
        <f>IFERROR(__xludf.DUMMYFUNCTION("""COMPUTED_VALUE"""),847.0)</f>
        <v>847</v>
      </c>
      <c r="H752" s="2">
        <f>IFERROR(__xludf.DUMMYFUNCTION("""COMPUTED_VALUE"""),941.0)</f>
        <v>941</v>
      </c>
      <c r="I752" s="2">
        <f>IFERROR(__xludf.DUMMYFUNCTION("""COMPUTED_VALUE"""),1035.0)</f>
        <v>1035</v>
      </c>
      <c r="J752" s="2">
        <f>IFERROR(__xludf.DUMMYFUNCTION("""COMPUTED_VALUE"""),847.0)</f>
        <v>847</v>
      </c>
      <c r="K752" s="2">
        <f>IFERROR(__xludf.DUMMYFUNCTION("""COMPUTED_VALUE"""),2.0)</f>
        <v>2</v>
      </c>
      <c r="L752" s="2" t="str">
        <f>IFERROR(__xludf.DUMMYFUNCTION("""COMPUTED_VALUE"""),"Smartbuy лампы LED")</f>
        <v>Smartbuy лампы LED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IFERROR(__xludf.DUMMYFUNCTION("""COMPUTED_VALUE"""),"4690612020464")</f>
        <v>4690612020464</v>
      </c>
      <c r="B753" s="5" t="str">
        <f>IFERROR(__xludf.DUMMYFUNCTION("""COMPUTED_VALUE"""),"LED-СВЕЧА-VC 11Вт 230В Е14 3000К 1050Лм IN HOME")</f>
        <v>LED-СВЕЧА-VC 11Вт 230В Е14 3000К 1050Лм IN HOME</v>
      </c>
      <c r="C753" s="2">
        <f>IFERROR(__xludf.DUMMYFUNCTION("""COMPUTED_VALUE"""),0.035)</f>
        <v>0.035</v>
      </c>
      <c r="D753" s="2">
        <f>IFERROR(__xludf.DUMMYFUNCTION("""COMPUTED_VALUE"""),1.9E-4)</f>
        <v>0.00019</v>
      </c>
      <c r="E753" s="2">
        <f>IFERROR(__xludf.DUMMYFUNCTION("""COMPUTED_VALUE"""),40.2)</f>
        <v>40.2</v>
      </c>
      <c r="F753" s="2">
        <f>IFERROR(__xludf.DUMMYFUNCTION("""COMPUTED_VALUE"""),46.0)</f>
        <v>46</v>
      </c>
      <c r="G753" s="2">
        <f>IFERROR(__xludf.DUMMYFUNCTION("""COMPUTED_VALUE"""),52.0)</f>
        <v>52</v>
      </c>
      <c r="H753" s="2">
        <f>IFERROR(__xludf.DUMMYFUNCTION("""COMPUTED_VALUE"""),60.0)</f>
        <v>60</v>
      </c>
      <c r="I753" s="2">
        <f>IFERROR(__xludf.DUMMYFUNCTION("""COMPUTED_VALUE"""),69.8)</f>
        <v>69.8</v>
      </c>
      <c r="J753" s="2">
        <f>IFERROR(__xludf.DUMMYFUNCTION("""COMPUTED_VALUE"""),35.0)</f>
        <v>35</v>
      </c>
      <c r="K753" s="2">
        <f>IFERROR(__xludf.DUMMYFUNCTION("""COMPUTED_VALUE"""),36.0)</f>
        <v>36</v>
      </c>
      <c r="L753" s="2" t="str">
        <f>IFERROR(__xludf.DUMMYFUNCTION("""COMPUTED_VALUE"""),"Лампа светодиодная LED-СВЕЧА-standard")</f>
        <v>Лампа светодиодная LED-СВЕЧА-standard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IFERROR(__xludf.DUMMYFUNCTION("""COMPUTED_VALUE"""),"Fefco/0203-1")</f>
        <v>Fefco/0203-1</v>
      </c>
      <c r="B754" s="5" t="str">
        <f>IFERROR(__xludf.DUMMYFUNCTION("""COMPUTED_VALUE"""),"Короб 605х30х605 (картон Т-24 ""В"" бурый)")</f>
        <v>Короб 605х30х605 (картон Т-24 "В" бурый)</v>
      </c>
      <c r="C754" s="2">
        <f>IFERROR(__xludf.DUMMYFUNCTION("""COMPUTED_VALUE"""),0.36)</f>
        <v>0.36</v>
      </c>
      <c r="D754" s="2">
        <f>IFERROR(__xludf.DUMMYFUNCTION("""COMPUTED_VALUE"""),0.004)</f>
        <v>0.004</v>
      </c>
      <c r="E754" s="2">
        <f>IFERROR(__xludf.DUMMYFUNCTION("""COMPUTED_VALUE"""),55.4)</f>
        <v>55.4</v>
      </c>
      <c r="F754" s="2">
        <f>IFERROR(__xludf.DUMMYFUNCTION("""COMPUTED_VALUE"""),1.0)</f>
        <v>1</v>
      </c>
      <c r="G754" s="2">
        <f>IFERROR(__xludf.DUMMYFUNCTION("""COMPUTED_VALUE"""),1.0)</f>
        <v>1</v>
      </c>
      <c r="H754" s="2">
        <f>IFERROR(__xludf.DUMMYFUNCTION("""COMPUTED_VALUE"""),1.0)</f>
        <v>1</v>
      </c>
      <c r="I754" s="2">
        <f>IFERROR(__xludf.DUMMYFUNCTION("""COMPUTED_VALUE"""),1.5)</f>
        <v>1.5</v>
      </c>
      <c r="J754" s="2">
        <f>IFERROR(__xludf.DUMMYFUNCTION("""COMPUTED_VALUE"""),1.5)</f>
        <v>1.5</v>
      </c>
      <c r="K754" s="2">
        <f>IFERROR(__xludf.DUMMYFUNCTION("""COMPUTED_VALUE"""),-276.0)</f>
        <v>-276</v>
      </c>
      <c r="L754" s="2" t="str">
        <f>IFERROR(__xludf.DUMMYFUNCTION("""COMPUTED_VALUE"""),"Упаковка")</f>
        <v>Упаковка</v>
      </c>
      <c r="M754" s="2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IFERROR(__xludf.DUMMYFUNCTION("""COMPUTED_VALUE"""),"4690612050829-10")</f>
        <v>4690612050829-10</v>
      </c>
      <c r="B755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5" s="2">
        <f>IFERROR(__xludf.DUMMYFUNCTION("""COMPUTED_VALUE"""),0.07)</f>
        <v>0.07</v>
      </c>
      <c r="D755" s="2">
        <f>IFERROR(__xludf.DUMMYFUNCTION("""COMPUTED_VALUE"""),0.004200000000000001)</f>
        <v>0.0042</v>
      </c>
      <c r="E755" s="2">
        <f>IFERROR(__xludf.DUMMYFUNCTION("""COMPUTED_VALUE"""),1164.0)</f>
        <v>1164</v>
      </c>
      <c r="F755" s="2">
        <f>IFERROR(__xludf.DUMMYFUNCTION("""COMPUTED_VALUE"""),1277.0)</f>
        <v>1277</v>
      </c>
      <c r="G755" s="2">
        <f>IFERROR(__xludf.DUMMYFUNCTION("""COMPUTED_VALUE"""),1676.0)</f>
        <v>1676</v>
      </c>
      <c r="H755" s="2">
        <f>IFERROR(__xludf.DUMMYFUNCTION("""COMPUTED_VALUE"""),1886.0)</f>
        <v>1886</v>
      </c>
      <c r="I755" s="2">
        <f>IFERROR(__xludf.DUMMYFUNCTION("""COMPUTED_VALUE"""),2095.0)</f>
        <v>2095</v>
      </c>
      <c r="J755" s="2">
        <f>IFERROR(__xludf.DUMMYFUNCTION("""COMPUTED_VALUE"""),1048.0)</f>
        <v>1048</v>
      </c>
      <c r="K755" s="2">
        <f>IFERROR(__xludf.DUMMYFUNCTION("""COMPUTED_VALUE"""),5.0)</f>
        <v>5</v>
      </c>
      <c r="L755" s="2" t="str">
        <f>IFERROR(__xludf.DUMMYFUNCTION("""COMPUTED_VALUE"""),"Лампы производство, упаковка")</f>
        <v>Лампы производство, упаковка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IFERROR(__xludf.DUMMYFUNCTION("""COMPUTED_VALUE"""),"4690612026107")</f>
        <v>4690612026107</v>
      </c>
      <c r="B756" s="5" t="str">
        <f>IFERROR(__xludf.DUMMYFUNCTION("""COMPUTED_VALUE"""),"LED-A60-deco 9Вт 230В Е27 6500К 1040Лм прозрачная IN HOME")</f>
        <v>LED-A60-deco 9Вт 230В Е27 6500К 1040Лм прозрачная IN HOME</v>
      </c>
      <c r="C756" s="2">
        <f>IFERROR(__xludf.DUMMYFUNCTION("""COMPUTED_VALUE"""),0.044)</f>
        <v>0.044</v>
      </c>
      <c r="D756" s="2">
        <f>IFERROR(__xludf.DUMMYFUNCTION("""COMPUTED_VALUE"""),5.600000000000001E-4)</f>
        <v>0.00056</v>
      </c>
      <c r="E756" s="2">
        <f>IFERROR(__xludf.DUMMYFUNCTION("""COMPUTED_VALUE"""),68.34)</f>
        <v>68.34</v>
      </c>
      <c r="F756" s="2">
        <f>IFERROR(__xludf.DUMMYFUNCTION("""COMPUTED_VALUE"""),69.0)</f>
        <v>69</v>
      </c>
      <c r="G756" s="2">
        <f>IFERROR(__xludf.DUMMYFUNCTION("""COMPUTED_VALUE"""),77.0)</f>
        <v>77</v>
      </c>
      <c r="H756" s="2">
        <f>IFERROR(__xludf.DUMMYFUNCTION("""COMPUTED_VALUE"""),90.0)</f>
        <v>90</v>
      </c>
      <c r="I756" s="2">
        <f>IFERROR(__xludf.DUMMYFUNCTION("""COMPUTED_VALUE"""),103.5)</f>
        <v>103.5</v>
      </c>
      <c r="J756" s="2">
        <f>IFERROR(__xludf.DUMMYFUNCTION("""COMPUTED_VALUE"""),52.0)</f>
        <v>52</v>
      </c>
      <c r="K756" s="2">
        <f>IFERROR(__xludf.DUMMYFUNCTION("""COMPUTED_VALUE"""),40.0)</f>
        <v>40</v>
      </c>
      <c r="L756" s="2" t="str">
        <f>IFERROR(__xludf.DUMMYFUNCTION("""COMPUTED_VALUE"""),"Лампа светодиодная LED-A60 DECO")</f>
        <v>Лампа светодиодная LED-A60 DECO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IFERROR(__xludf.DUMMYFUNCTION("""COMPUTED_VALUE"""),"4690612029412")</f>
        <v>4690612029412</v>
      </c>
      <c r="B757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7" s="2">
        <f>IFERROR(__xludf.DUMMYFUNCTION("""COMPUTED_VALUE"""),0.018)</f>
        <v>0.018</v>
      </c>
      <c r="D757" s="2">
        <f>IFERROR(__xludf.DUMMYFUNCTION("""COMPUTED_VALUE"""),3.0E-5)</f>
        <v>0.00003</v>
      </c>
      <c r="E757" s="2">
        <f>IFERROR(__xludf.DUMMYFUNCTION("""COMPUTED_VALUE"""),31.9)</f>
        <v>31.9</v>
      </c>
      <c r="F757" s="2">
        <f>IFERROR(__xludf.DUMMYFUNCTION("""COMPUTED_VALUE"""),33.0)</f>
        <v>33</v>
      </c>
      <c r="G757" s="2">
        <f>IFERROR(__xludf.DUMMYFUNCTION("""COMPUTED_VALUE"""),37.0)</f>
        <v>37</v>
      </c>
      <c r="H757" s="2">
        <f>IFERROR(__xludf.DUMMYFUNCTION("""COMPUTED_VALUE"""),43.0)</f>
        <v>43</v>
      </c>
      <c r="I757" s="2">
        <f>IFERROR(__xludf.DUMMYFUNCTION("""COMPUTED_VALUE"""),49.0)</f>
        <v>49</v>
      </c>
      <c r="J757" s="2">
        <f>IFERROR(__xludf.DUMMYFUNCTION("""COMPUTED_VALUE"""),25.0)</f>
        <v>25</v>
      </c>
      <c r="K757" s="2">
        <f>IFERROR(__xludf.DUMMYFUNCTION("""COMPUTED_VALUE"""),10.0)</f>
        <v>10</v>
      </c>
      <c r="L757" s="2" t="str">
        <f>IFERROR(__xludf.DUMMYFUNCTION("""COMPUTED_VALUE"""),"Шинопровод и комплектующие")</f>
        <v>Шинопровод и комплектующие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IFERROR(__xludf.DUMMYFUNCTION("""COMPUTED_VALUE"""),"4690612007267")</f>
        <v>4690612007267</v>
      </c>
      <c r="B758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8" s="2">
        <f>IFERROR(__xludf.DUMMYFUNCTION("""COMPUTED_VALUE"""),0.21)</f>
        <v>0.21</v>
      </c>
      <c r="D758" s="2">
        <f>IFERROR(__xludf.DUMMYFUNCTION("""COMPUTED_VALUE"""),8.500000000000001E-4)</f>
        <v>0.00085</v>
      </c>
      <c r="E758" s="2">
        <f>IFERROR(__xludf.DUMMYFUNCTION("""COMPUTED_VALUE"""),193.92)</f>
        <v>193.92</v>
      </c>
      <c r="F758" s="2">
        <f>IFERROR(__xludf.DUMMYFUNCTION("""COMPUTED_VALUE"""),153.0)</f>
        <v>153</v>
      </c>
      <c r="G758" s="2">
        <f>IFERROR(__xludf.DUMMYFUNCTION("""COMPUTED_VALUE"""),173.0)</f>
        <v>173</v>
      </c>
      <c r="H758" s="2">
        <f>IFERROR(__xludf.DUMMYFUNCTION("""COMPUTED_VALUE"""),200.0)</f>
        <v>200</v>
      </c>
      <c r="I758" s="2">
        <f>IFERROR(__xludf.DUMMYFUNCTION("""COMPUTED_VALUE"""),230.5)</f>
        <v>230.5</v>
      </c>
      <c r="J758" s="2">
        <f>IFERROR(__xludf.DUMMYFUNCTION("""COMPUTED_VALUE"""),115.0)</f>
        <v>115</v>
      </c>
      <c r="K758" s="2">
        <f>IFERROR(__xludf.DUMMYFUNCTION("""COMPUTED_VALUE"""),13.0)</f>
        <v>13</v>
      </c>
      <c r="L758" s="2" t="str">
        <f>IFERROR(__xludf.DUMMYFUNCTION("""COMPUTED_VALUE"""),"Лампа светодиодная LED-ШАР-standard")</f>
        <v>Лампа светодиодная LED-ШАР-standard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IFERROR(__xludf.DUMMYFUNCTION("""COMPUTED_VALUE"""),"4690612057286-1")</f>
        <v>4690612057286-1</v>
      </c>
      <c r="B759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IFERROR(__xludf.DUMMYFUNCTION("""COMPUTED_VALUE"""),990.86)</f>
        <v>990.86</v>
      </c>
      <c r="F759" s="2">
        <f>IFERROR(__xludf.DUMMYFUNCTION("""COMPUTED_VALUE"""),1087.0)</f>
        <v>1087</v>
      </c>
      <c r="G759" s="2">
        <f>IFERROR(__xludf.DUMMYFUNCTION("""COMPUTED_VALUE"""),1427.0)</f>
        <v>1427</v>
      </c>
      <c r="H759" s="2">
        <f>IFERROR(__xludf.DUMMYFUNCTION("""COMPUTED_VALUE"""),1606.0)</f>
        <v>1606</v>
      </c>
      <c r="I759" s="2">
        <f>IFERROR(__xludf.DUMMYFUNCTION("""COMPUTED_VALUE"""),1784.0)</f>
        <v>1784</v>
      </c>
      <c r="J759" s="2">
        <f>IFERROR(__xludf.DUMMYFUNCTION("""COMPUTED_VALUE"""),892.0)</f>
        <v>892</v>
      </c>
      <c r="K759" s="2">
        <f>IFERROR(__xludf.DUMMYFUNCTION("""COMPUTED_VALUE"""),4.0)</f>
        <v>4</v>
      </c>
      <c r="L75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