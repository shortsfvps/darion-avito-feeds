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<sst xmlns="http://schemas.openxmlformats.org/spreadsheetml/2006/main" count="18" uniqueCount="14">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</sst>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web/binary/saveas?model=product.product&amp;field=datasheet&amp;filename_field=datasheet_filename&amp;id=14100" TargetMode="External"/><Relationship Id="rId194" Type="http://schemas.openxmlformats.org/officeDocument/2006/relationships/hyperlink" Target="http://darion-svet.com/web/binary/saveas?model=product.product&amp;field=datasheet&amp;filename_field=datasheet_filename&amp;id=14101" TargetMode="External"/><Relationship Id="rId193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92" Type="http://schemas.openxmlformats.org/officeDocument/2006/relationships/hyperlink" Target="http://darion-svet.com/shop/product/4690612020372-led-jcdr-vc-6vt-230v-gu53-4000k-480lm-in-home" TargetMode="External"/><Relationship Id="rId191" Type="http://schemas.openxmlformats.org/officeDocument/2006/relationships/hyperlink" Target="http://darion-svet.com/web/binary/image?model=product.product&amp;id=14101&amp;field=image" TargetMode="External"/><Relationship Id="rId187" Type="http://schemas.openxmlformats.org/officeDocument/2006/relationships/hyperlink" Target="http://darion-svet.com/web/binary/image?model=product.product&amp;id=14100&amp;field=image" TargetMode="External"/><Relationship Id="rId186" Type="http://schemas.openxmlformats.org/officeDocument/2006/relationships/hyperlink" Target="http://darion-svet.com/web/binary/saveas?model=product.product&amp;field=datasheet&amp;filename_field=datasheet_filename&amp;id=14099" TargetMode="External"/><Relationship Id="rId185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84" Type="http://schemas.openxmlformats.org/officeDocument/2006/relationships/hyperlink" Target="http://darion-svet.com/shop/product/4690612020358-led-jcdr-vc-11vt-230v-gu53-4000k-820lm-in-home" TargetMode="External"/><Relationship Id="rId189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8" Type="http://schemas.openxmlformats.org/officeDocument/2006/relationships/hyperlink" Target="http://darion-svet.com/shop/product/4690612020365-led-jcdr-vc-6vt-230v-gu53-3000k-480lm-in-home" TargetMode="External"/><Relationship Id="rId183" Type="http://schemas.openxmlformats.org/officeDocument/2006/relationships/hyperlink" Target="http://darion-svet.com/web/binary/image?model=product.product&amp;id=14099&amp;field=image" TargetMode="External"/><Relationship Id="rId182" Type="http://schemas.openxmlformats.org/officeDocument/2006/relationships/hyperlink" Target="http://darion-svet.com/web/binary/saveas?model=product.product&amp;field=datasheet&amp;filename_field=datasheet_filename&amp;id=14098" TargetMode="External"/><Relationship Id="rId181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180" Type="http://schemas.openxmlformats.org/officeDocument/2006/relationships/hyperlink" Target="http://darion-svet.com/shop/product/4690612020341-led-jcdr-vc-11vt-230v-gu53-3000k-820lm-in-home" TargetMode="External"/><Relationship Id="rId176" Type="http://schemas.openxmlformats.org/officeDocument/2006/relationships/hyperlink" Target="http://darion-svet.com/shop/product/4690612020327-led-jcdr-vc-8vt-230v-gu53-3000k-600lm-in-home" TargetMode="External"/><Relationship Id="rId297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175" Type="http://schemas.openxmlformats.org/officeDocument/2006/relationships/hyperlink" Target="http://darion-svet.com/web/binary/image?model=product.product&amp;id=14102&amp;field=image" TargetMode="External"/><Relationship Id="rId296" Type="http://schemas.openxmlformats.org/officeDocument/2006/relationships/hyperlink" Target="http://darion-svet.com/shop/product/4690612020808-led-gx53-vc-12vt-230v-6500k-960lm-in-home" TargetMode="External"/><Relationship Id="rId174" Type="http://schemas.openxmlformats.org/officeDocument/2006/relationships/hyperlink" Target="http://darion-svet.com/web/binary/saveas?model=product.product&amp;field=datasheet&amp;filename_field=datasheet_filename&amp;id=14058" TargetMode="External"/><Relationship Id="rId295" Type="http://schemas.openxmlformats.org/officeDocument/2006/relationships/hyperlink" Target="http://darion-svet.com/web/binary/image?model=product.product&amp;id=14109&amp;field=image" TargetMode="External"/><Relationship Id="rId173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94" Type="http://schemas.openxmlformats.org/officeDocument/2006/relationships/hyperlink" Target="http://darion-svet.com/web/binary/saveas?model=product.product&amp;field=datasheet&amp;filename_field=datasheet_filename&amp;id=14108" TargetMode="External"/><Relationship Id="rId179" Type="http://schemas.openxmlformats.org/officeDocument/2006/relationships/hyperlink" Target="http://darion-svet.com/web/binary/image?model=product.product&amp;id=14098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4102" TargetMode="External"/><Relationship Id="rId299" Type="http://schemas.openxmlformats.org/officeDocument/2006/relationships/hyperlink" Target="http://darion-svet.com/web/binary/image?model=product.product&amp;id=14110&amp;field=image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8" Type="http://schemas.openxmlformats.org/officeDocument/2006/relationships/hyperlink" Target="http://darion-svet.com/web/binary/saveas?model=product.product&amp;field=datasheet&amp;filename_field=datasheet_filename&amp;id=14109" TargetMode="External"/><Relationship Id="rId198" Type="http://schemas.openxmlformats.org/officeDocument/2006/relationships/hyperlink" Target="http://darion-svet.com/web/binary/saveas?model=product.product&amp;field=datasheet&amp;filename_field=datasheet_filename&amp;id=14064" TargetMode="External"/><Relationship Id="rId197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96" Type="http://schemas.openxmlformats.org/officeDocument/2006/relationships/hyperlink" Target="http://darion-svet.com/shop/product/4690612020396-led-svecha-vc-6vt-230v-e14-4000k-480lm-in-home" TargetMode="External"/><Relationship Id="rId195" Type="http://schemas.openxmlformats.org/officeDocument/2006/relationships/hyperlink" Target="http://darion-svet.com/web/binary/image?model=product.product&amp;id=14064&amp;field=image" TargetMode="External"/><Relationship Id="rId199" Type="http://schemas.openxmlformats.org/officeDocument/2006/relationships/hyperlink" Target="http://darion-svet.com/web/binary/image?model=product.product&amp;id=14065&amp;field=image" TargetMode="External"/><Relationship Id="rId150" Type="http://schemas.openxmlformats.org/officeDocument/2006/relationships/hyperlink" Target="http://darion-svet.com/web/binary/saveas?model=product.product&amp;field=datasheet&amp;filename_field=datasheet_filename&amp;id=14090" TargetMode="External"/><Relationship Id="rId271" Type="http://schemas.openxmlformats.org/officeDocument/2006/relationships/hyperlink" Target="http://darion-svet.com/web/binary/image?model=product.product&amp;id=14113&amp;field=image" TargetMode="External"/><Relationship Id="rId392" Type="http://schemas.openxmlformats.org/officeDocument/2006/relationships/hyperlink" Target="http://darion-svet.com/web/binary/saveas?model=product.product&amp;field=datasheet&amp;filename_field=datasheet_filename&amp;id=20992" TargetMode="External"/><Relationship Id="rId270" Type="http://schemas.openxmlformats.org/officeDocument/2006/relationships/hyperlink" Target="http://darion-svet.com/web/binary/saveas?model=product.product&amp;field=datasheet&amp;filename_field=datasheet_filename&amp;id=14073" TargetMode="External"/><Relationship Id="rId391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390" Type="http://schemas.openxmlformats.org/officeDocument/2006/relationships/hyperlink" Target="http://darion-svet.com/shop/product/4690612030920-led-t8r-m-pro-10vt-230v-g13r-6500k-1000lm-600mm-matovaya-povorotnaya-in-home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shop/product/4690612019864-led-jcd-vc-3vt-230v-g9-4000k-270lm-in-home" TargetMode="External"/><Relationship Id="rId269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image?model=product.product&amp;id=14089&amp;field=image" TargetMode="External"/><Relationship Id="rId264" Type="http://schemas.openxmlformats.org/officeDocument/2006/relationships/hyperlink" Target="http://darion-svet.com/shop/product/4690612020600-led-shar-vc-11vt-230v-e27-3000k-820lm-in-home" TargetMode="External"/><Relationship Id="rId385" Type="http://schemas.openxmlformats.org/officeDocument/2006/relationships/hyperlink" Target="http://darion-svet.com/web/binary/image?model=product.product&amp;id=16455&amp;field=image" TargetMode="External"/><Relationship Id="rId142" Type="http://schemas.openxmlformats.org/officeDocument/2006/relationships/hyperlink" Target="http://darion-svet.com/web/binary/saveas?model=product.product&amp;field=datasheet&amp;filename_field=datasheet_filename&amp;id=14082" TargetMode="External"/><Relationship Id="rId263" Type="http://schemas.openxmlformats.org/officeDocument/2006/relationships/hyperlink" Target="http://darion-svet.com/web/binary/image?model=product.product&amp;id=14072&amp;field=image" TargetMode="External"/><Relationship Id="rId384" Type="http://schemas.openxmlformats.org/officeDocument/2006/relationships/hyperlink" Target="http://darion-svet.com/web/binary/saveas?model=product.product&amp;field=datasheet&amp;filename_field=datasheet_filename&amp;id=16575" TargetMode="External"/><Relationship Id="rId141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62" Type="http://schemas.openxmlformats.org/officeDocument/2006/relationships/hyperlink" Target="http://darion-svet.com/web/binary/saveas?model=product.product&amp;field=datasheet&amp;filename_field=datasheet_filename&amp;id=14071" TargetMode="External"/><Relationship Id="rId383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40" Type="http://schemas.openxmlformats.org/officeDocument/2006/relationships/hyperlink" Target="http://darion-svet.com/shop/product/4690612019765-led-jc-vc-15vt-12v-g4-6500k-135lm-in-home" TargetMode="External"/><Relationship Id="rId261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82" Type="http://schemas.openxmlformats.org/officeDocument/2006/relationships/hyperlink" Target="http://darion-svet.com/shop/product/4690612030814-led-gx53-vc-6vt-230v-6500k-540lm-in-home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image?model=product.product&amp;id=14090&amp;field=image" TargetMode="External"/><Relationship Id="rId268" Type="http://schemas.openxmlformats.org/officeDocument/2006/relationships/hyperlink" Target="http://darion-svet.com/shop/product/4690612020617-led-shar-vc-11vt-230v-e27-4000k-820lm-in-home" TargetMode="External"/><Relationship Id="rId389" Type="http://schemas.openxmlformats.org/officeDocument/2006/relationships/hyperlink" Target="http://darion-svet.com/web/binary/image?model=product.product&amp;id=20992&amp;field=image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web/binary/saveas?model=product.product&amp;field=datasheet&amp;filename_field=datasheet_filename&amp;id=14089" TargetMode="External"/><Relationship Id="rId267" Type="http://schemas.openxmlformats.org/officeDocument/2006/relationships/hyperlink" Target="http://darion-svet.com/web/binary/image?model=product.product&amp;id=14073&amp;field=image" TargetMode="External"/><Relationship Id="rId388" Type="http://schemas.openxmlformats.org/officeDocument/2006/relationships/hyperlink" Target="http://darion-svet.com/web/binary/saveas?model=product.product&amp;field=datasheet&amp;filename_field=datasheet_filename&amp;id=16455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266" Type="http://schemas.openxmlformats.org/officeDocument/2006/relationships/hyperlink" Target="http://darion-svet.com/web/binary/saveas?model=product.product&amp;field=datasheet&amp;filename_field=datasheet_filename&amp;id=14072" TargetMode="External"/><Relationship Id="rId387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shop/product/4690612019857-led-jcd-vc-3vt-230v-g9-3000k-270lm-in-home" TargetMode="External"/><Relationship Id="rId265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386" Type="http://schemas.openxmlformats.org/officeDocument/2006/relationships/hyperlink" Target="http://darion-svet.com/shop/product/4690612030890-led-t8-m-pro-10vt-230v-g13-4000k-800lm-600mm-matovaya-nepovorotnaya-in-home" TargetMode="External"/><Relationship Id="rId260" Type="http://schemas.openxmlformats.org/officeDocument/2006/relationships/hyperlink" Target="http://darion-svet.com/shop/product/4690612020594-led-shar-vc-11vt-230v-e14-4000k-820lm-in-home" TargetMode="External"/><Relationship Id="rId381" Type="http://schemas.openxmlformats.org/officeDocument/2006/relationships/hyperlink" Target="http://darion-svet.com/web/binary/image?model=product.product&amp;id=16575&amp;field=image" TargetMode="External"/><Relationship Id="rId380" Type="http://schemas.openxmlformats.org/officeDocument/2006/relationships/hyperlink" Target="http://darion-svet.com/web/binary/saveas?model=product.product&amp;field=datasheet&amp;filename_field=datasheet_filename&amp;id=16235" TargetMode="External"/><Relationship Id="rId139" Type="http://schemas.openxmlformats.org/officeDocument/2006/relationships/hyperlink" Target="http://darion-svet.com/web/binary/image?model=product.product&amp;id=14082&amp;field=image" TargetMode="External"/><Relationship Id="rId138" Type="http://schemas.openxmlformats.org/officeDocument/2006/relationships/hyperlink" Target="http://darion-svet.com/web/binary/saveas?model=product.product&amp;field=datasheet&amp;filename_field=datasheet_filename&amp;id=12721" TargetMode="External"/><Relationship Id="rId259" Type="http://schemas.openxmlformats.org/officeDocument/2006/relationships/hyperlink" Target="http://darion-svet.com/web/binary/image?model=product.product&amp;id=14071&amp;field=image" TargetMode="External"/><Relationship Id="rId137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8" Type="http://schemas.openxmlformats.org/officeDocument/2006/relationships/hyperlink" Target="http://darion-svet.com/web/binary/saveas?model=product.product&amp;field=datasheet&amp;filename_field=datasheet_filename&amp;id=14070" TargetMode="External"/><Relationship Id="rId379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2" Type="http://schemas.openxmlformats.org/officeDocument/2006/relationships/hyperlink" Target="http://darion-svet.com/shop/product/4690612018737-lampa-sd-led-gx53-std-16vt-230v-4000k-1440lm-asd" TargetMode="External"/><Relationship Id="rId253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74" Type="http://schemas.openxmlformats.org/officeDocument/2006/relationships/hyperlink" Target="http://darion-svet.com/shop/product/4690612030777-led-gx53-vc-6vt-230v-3000k-540lm-in-home" TargetMode="External"/><Relationship Id="rId131" Type="http://schemas.openxmlformats.org/officeDocument/2006/relationships/hyperlink" Target="http://darion-svet.com/web/binary/image?model=product.product&amp;id=15059&amp;field=image" TargetMode="External"/><Relationship Id="rId252" Type="http://schemas.openxmlformats.org/officeDocument/2006/relationships/hyperlink" Target="http://darion-svet.com/shop/product/4690612020570-led-shar-vc-8vt-230v-e27-4000k-600lm-in-home" TargetMode="External"/><Relationship Id="rId373" Type="http://schemas.openxmlformats.org/officeDocument/2006/relationships/hyperlink" Target="http://darion-svet.com/web/binary/image?model=product.product&amp;id=16574&amp;field=image" TargetMode="External"/><Relationship Id="rId130" Type="http://schemas.openxmlformats.org/officeDocument/2006/relationships/hyperlink" Target="http://darion-svet.com/web/binary/saveas?model=product.product&amp;field=datasheet&amp;filename_field=datasheet_filename&amp;id=11425" TargetMode="External"/><Relationship Id="rId251" Type="http://schemas.openxmlformats.org/officeDocument/2006/relationships/hyperlink" Target="http://darion-svet.com/web/binary/image?model=product.product&amp;id=12874&amp;field=image" TargetMode="External"/><Relationship Id="rId372" Type="http://schemas.openxmlformats.org/officeDocument/2006/relationships/hyperlink" Target="http://darion-svet.com/web/binary/saveas?model=product.product&amp;field=datasheet&amp;filename_field=datasheet_filename&amp;id=16584" TargetMode="External"/><Relationship Id="rId250" Type="http://schemas.openxmlformats.org/officeDocument/2006/relationships/hyperlink" Target="http://darion-svet.com/web/binary/saveas?model=product.product&amp;field=datasheet&amp;filename_field=datasheet_filename&amp;id=14080" TargetMode="External"/><Relationship Id="rId371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36" Type="http://schemas.openxmlformats.org/officeDocument/2006/relationships/hyperlink" Target="http://darion-svet.com/shop/product/4690612019161-led-jcdrc-standard-55vt-230v-gu10-6500k-495lm-asd" TargetMode="External"/><Relationship Id="rId257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8" Type="http://schemas.openxmlformats.org/officeDocument/2006/relationships/hyperlink" Target="http://darion-svet.com/shop/product/4690612030791-led-gx53-vc-6vt-230v-4000k-540lm-in-home" TargetMode="External"/><Relationship Id="rId135" Type="http://schemas.openxmlformats.org/officeDocument/2006/relationships/hyperlink" Target="http://darion-svet.com/web/binary/image?model=product.product&amp;id=12721&amp;field=image" TargetMode="External"/><Relationship Id="rId256" Type="http://schemas.openxmlformats.org/officeDocument/2006/relationships/hyperlink" Target="http://darion-svet.com/shop/product/4690612020587-led-shar-vc-11vt-230v-e14-3000k-820lm-in-home" TargetMode="External"/><Relationship Id="rId377" Type="http://schemas.openxmlformats.org/officeDocument/2006/relationships/hyperlink" Target="http://darion-svet.com/web/binary/image?model=product.product&amp;id=16235&amp;field=image" TargetMode="External"/><Relationship Id="rId134" Type="http://schemas.openxmlformats.org/officeDocument/2006/relationships/hyperlink" Target="http://darion-svet.com/web/binary/saveas?model=product.product&amp;field=datasheet&amp;filename_field=datasheet_filename&amp;id=15059" TargetMode="External"/><Relationship Id="rId255" Type="http://schemas.openxmlformats.org/officeDocument/2006/relationships/hyperlink" Target="http://darion-svet.com/web/binary/image?model=product.product&amp;id=14070&amp;field=image" TargetMode="External"/><Relationship Id="rId376" Type="http://schemas.openxmlformats.org/officeDocument/2006/relationships/hyperlink" Target="http://darion-svet.com/web/binary/saveas?model=product.product&amp;field=datasheet&amp;filename_field=datasheet_filename&amp;id=16574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54" Type="http://schemas.openxmlformats.org/officeDocument/2006/relationships/hyperlink" Target="http://darion-svet.com/web/binary/saveas?model=product.product&amp;field=datasheet&amp;filename_field=datasheet_filename&amp;id=12874" TargetMode="External"/><Relationship Id="rId375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72" Type="http://schemas.openxmlformats.org/officeDocument/2006/relationships/hyperlink" Target="http://darion-svet.com/shop/product/4690612020310-led-a60-vc-20vt-230v-e27-6500k-1800lm-in-home" TargetMode="External"/><Relationship Id="rId293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71" Type="http://schemas.openxmlformats.org/officeDocument/2006/relationships/hyperlink" Target="http://darion-svet.com/web/binary/image?model=product.product&amp;id=14058&amp;field=image" TargetMode="External"/><Relationship Id="rId292" Type="http://schemas.openxmlformats.org/officeDocument/2006/relationships/hyperlink" Target="http://darion-svet.com/shop/product/4690612020792-led-gx53-vc-12vt-230v-4000k-960lm-in-home" TargetMode="External"/><Relationship Id="rId170" Type="http://schemas.openxmlformats.org/officeDocument/2006/relationships/hyperlink" Target="http://darion-svet.com/web/binary/saveas?model=product.product&amp;field=datasheet&amp;filename_field=datasheet_filename&amp;id=13036" TargetMode="External"/><Relationship Id="rId291" Type="http://schemas.openxmlformats.org/officeDocument/2006/relationships/hyperlink" Target="http://darion-svet.com/web/binary/image?model=product.product&amp;id=14108&amp;field=image" TargetMode="External"/><Relationship Id="rId290" Type="http://schemas.openxmlformats.org/officeDocument/2006/relationships/hyperlink" Target="http://darion-svet.com/web/binary/saveas?model=product.product&amp;field=datasheet&amp;filename_field=datasheet_filename&amp;id=14107" TargetMode="External"/><Relationship Id="rId165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286" Type="http://schemas.openxmlformats.org/officeDocument/2006/relationships/hyperlink" Target="http://darion-svet.com/web/binary/saveas?model=product.product&amp;field=datasheet&amp;filename_field=datasheet_filename&amp;id=14106" TargetMode="External"/><Relationship Id="rId164" Type="http://schemas.openxmlformats.org/officeDocument/2006/relationships/hyperlink" Target="http://darion-svet.com/shop/product/4690612020297-led-a65-vc-20vt-230v-e27-3000k-1800lm-in-home" TargetMode="External"/><Relationship Id="rId285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63" Type="http://schemas.openxmlformats.org/officeDocument/2006/relationships/hyperlink" Target="http://darion-svet.com/web/binary/image?model=product.product&amp;id=14057&amp;field=image" TargetMode="External"/><Relationship Id="rId284" Type="http://schemas.openxmlformats.org/officeDocument/2006/relationships/hyperlink" Target="http://darion-svet.com/shop/product/4690612020778-led-gx53-vc-10vt-230v-6500k-800lm-in-home" TargetMode="External"/><Relationship Id="rId162" Type="http://schemas.openxmlformats.org/officeDocument/2006/relationships/hyperlink" Target="http://darion-svet.com/web/binary/saveas?model=product.product&amp;field=datasheet&amp;filename_field=datasheet_filename&amp;id=14025" TargetMode="External"/><Relationship Id="rId283" Type="http://schemas.openxmlformats.org/officeDocument/2006/relationships/hyperlink" Target="http://darion-svet.com/web/binary/image?model=product.product&amp;id=14106&amp;field=image" TargetMode="External"/><Relationship Id="rId169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168" Type="http://schemas.openxmlformats.org/officeDocument/2006/relationships/hyperlink" Target="http://darion-svet.com/shop/product/4690612020303-led-a65-vc-20vt-230v-e27-4000k-1800lm-in-home" TargetMode="External"/><Relationship Id="rId289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7" Type="http://schemas.openxmlformats.org/officeDocument/2006/relationships/hyperlink" Target="http://darion-svet.com/web/binary/image?model=product.product&amp;id=13036&amp;field=image" TargetMode="External"/><Relationship Id="rId288" Type="http://schemas.openxmlformats.org/officeDocument/2006/relationships/hyperlink" Target="http://darion-svet.com/shop/product/4690612020785-led-gx53-vc-12vt-230v-3000k-960lm-in-home" TargetMode="External"/><Relationship Id="rId166" Type="http://schemas.openxmlformats.org/officeDocument/2006/relationships/hyperlink" Target="http://darion-svet.com/web/binary/saveas?model=product.product&amp;field=datasheet&amp;filename_field=datasheet_filename&amp;id=14057" TargetMode="External"/><Relationship Id="rId287" Type="http://schemas.openxmlformats.org/officeDocument/2006/relationships/hyperlink" Target="http://darion-svet.com/web/binary/image?model=product.product&amp;id=14107&amp;field=image" TargetMode="External"/><Relationship Id="rId161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82" Type="http://schemas.openxmlformats.org/officeDocument/2006/relationships/hyperlink" Target="http://darion-svet.com/web/binary/saveas?model=product.product&amp;field=datasheet&amp;filename_field=datasheet_filename&amp;id=14104" TargetMode="External"/><Relationship Id="rId160" Type="http://schemas.openxmlformats.org/officeDocument/2006/relationships/hyperlink" Target="http://darion-svet.com/shop/product/4690612020280-led-a60-vc-15vt-230v-e27-6500k-1350lm-in-home" TargetMode="External"/><Relationship Id="rId281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280" Type="http://schemas.openxmlformats.org/officeDocument/2006/relationships/hyperlink" Target="http://darion-svet.com/shop/product/4690612020754-led-gx53-vc-10vt-230v-3000k-800lm-in-home" TargetMode="External"/><Relationship Id="rId159" Type="http://schemas.openxmlformats.org/officeDocument/2006/relationships/hyperlink" Target="http://darion-svet.com/web/binary/image?model=product.product&amp;id=14025&amp;field=image" TargetMode="External"/><Relationship Id="rId154" Type="http://schemas.openxmlformats.org/officeDocument/2006/relationships/hyperlink" Target="http://darion-svet.com/web/binary/saveas?model=product.product&amp;field=datasheet&amp;filename_field=datasheet_filename&amp;id=14051" TargetMode="External"/><Relationship Id="rId275" Type="http://schemas.openxmlformats.org/officeDocument/2006/relationships/hyperlink" Target="http://darion-svet.com/web/binary/image?model=product.product&amp;id=14115&amp;field=image" TargetMode="External"/><Relationship Id="rId396" Type="http://schemas.openxmlformats.org/officeDocument/2006/relationships/hyperlink" Target="http://darion-svet.com/web/binary/saveas?model=product.product&amp;field=datasheet&amp;filename_field=datasheet_filename&amp;id=16627" TargetMode="External"/><Relationship Id="rId153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74" Type="http://schemas.openxmlformats.org/officeDocument/2006/relationships/hyperlink" Target="http://darion-svet.com/web/binary/saveas?model=product.product&amp;field=datasheet&amp;filename_field=datasheet_filename&amp;id=14113" TargetMode="External"/><Relationship Id="rId395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152" Type="http://schemas.openxmlformats.org/officeDocument/2006/relationships/hyperlink" Target="http://darion-svet.com/shop/product/4690612020204-led-a60-vc-10vt-230v-e27-3000k-900lm-in-home" TargetMode="External"/><Relationship Id="rId273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94" Type="http://schemas.openxmlformats.org/officeDocument/2006/relationships/hyperlink" Target="http://darion-svet.com/shop/product/4690612030975-led-t8-m-pro-20vt-230v-g13-4000k-1620lm-1200mm-matovaya-in-home" TargetMode="External"/><Relationship Id="rId151" Type="http://schemas.openxmlformats.org/officeDocument/2006/relationships/hyperlink" Target="http://darion-svet.com/web/binary/image?model=product.product&amp;id=14051&amp;field=image" TargetMode="External"/><Relationship Id="rId272" Type="http://schemas.openxmlformats.org/officeDocument/2006/relationships/hyperlink" Target="http://darion-svet.com/shop/product/4690612020723-led-gx53-vc-8vt-230v-3000k-640lm-in-home" TargetMode="External"/><Relationship Id="rId393" Type="http://schemas.openxmlformats.org/officeDocument/2006/relationships/hyperlink" Target="http://darion-svet.com/web/binary/image?model=product.product&amp;id=16627&amp;field=image" TargetMode="External"/><Relationship Id="rId158" Type="http://schemas.openxmlformats.org/officeDocument/2006/relationships/hyperlink" Target="http://darion-svet.com/web/binary/saveas?model=product.product&amp;field=datasheet&amp;filename_field=datasheet_filename&amp;id=14056" TargetMode="External"/><Relationship Id="rId279" Type="http://schemas.openxmlformats.org/officeDocument/2006/relationships/hyperlink" Target="http://darion-svet.com/web/binary/image?model=product.product&amp;id=14104&amp;field=image" TargetMode="External"/><Relationship Id="rId157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8" Type="http://schemas.openxmlformats.org/officeDocument/2006/relationships/hyperlink" Target="http://darion-svet.com/web/binary/saveas?model=product.product&amp;field=datasheet&amp;filename_field=datasheet_filename&amp;id=14115" TargetMode="External"/><Relationship Id="rId399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6" Type="http://schemas.openxmlformats.org/officeDocument/2006/relationships/hyperlink" Target="http://darion-svet.com/shop/product/4690612020273-led-a60-vc-15vt-230v-e27-4000k-1350lm-in-home" TargetMode="External"/><Relationship Id="rId277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8" Type="http://schemas.openxmlformats.org/officeDocument/2006/relationships/hyperlink" Target="http://darion-svet.com/shop/product/4690612030999-led-t8-m-pro-20vt-230v-g13-6500k-1620lm-1200mm-matovaya-in-home" TargetMode="External"/><Relationship Id="rId155" Type="http://schemas.openxmlformats.org/officeDocument/2006/relationships/hyperlink" Target="http://darion-svet.com/web/binary/image?model=product.product&amp;id=14056&amp;field=image" TargetMode="External"/><Relationship Id="rId276" Type="http://schemas.openxmlformats.org/officeDocument/2006/relationships/hyperlink" Target="http://darion-svet.com/shop/product/4690612020747-led-gx53-vc-8vt-230v-6500k-640lm-in-home" TargetMode="External"/><Relationship Id="rId397" Type="http://schemas.openxmlformats.org/officeDocument/2006/relationships/hyperlink" Target="http://darion-svet.com/web/binary/image?model=product.product&amp;id=16456&amp;field=image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image?model=product.product&amp;id=16631&amp;field=image" TargetMode="External"/><Relationship Id="rId404" Type="http://schemas.openxmlformats.org/officeDocument/2006/relationships/hyperlink" Target="http://darion-svet.com/web/binary/saveas?model=product.product&amp;field=datasheet&amp;filename_field=datasheet_filename&amp;id=16629" TargetMode="External"/><Relationship Id="rId403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2" Type="http://schemas.openxmlformats.org/officeDocument/2006/relationships/hyperlink" Target="http://darion-svet.com/shop/product/4690612031002-led-t8-p-pro-20vt-230v-g13-6500k-1620lm-1200mm-prozrachnaya-in-home" TargetMode="External"/><Relationship Id="rId401" Type="http://schemas.openxmlformats.org/officeDocument/2006/relationships/hyperlink" Target="http://darion-svet.com/web/binary/image?model=product.product&amp;id=16629&amp;field=image" TargetMode="External"/><Relationship Id="rId408" Type="http://schemas.openxmlformats.org/officeDocument/2006/relationships/hyperlink" Target="http://darion-svet.com/web/binary/saveas?model=product.product&amp;field=datasheet&amp;filename_field=datasheet_filename&amp;id=16630" TargetMode="External"/><Relationship Id="rId407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6" Type="http://schemas.openxmlformats.org/officeDocument/2006/relationships/hyperlink" Target="http://darion-svet.com/shop/product/4690612031019-led-t8-m-pro-30vt-230v-g13-4000k-2440lm-1200mm-matovaya-in-home" TargetMode="External"/><Relationship Id="rId405" Type="http://schemas.openxmlformats.org/officeDocument/2006/relationships/hyperlink" Target="http://darion-svet.com/web/binary/image?model=product.product&amp;id=16630&amp;field=image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web/binary/saveas?model=product.product&amp;field=datasheet&amp;filename_field=datasheet_filename&amp;id=16456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1271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1271" TargetMode="External"/><Relationship Id="rId86" Type="http://schemas.openxmlformats.org/officeDocument/2006/relationships/hyperlink" Target="http://darion-svet.com/shop/product/4690612008059-led-a60-deco-7vt-230v-e27-4000k-630lm-prozrachnaya-in-home" TargetMode="External"/><Relationship Id="rId85" Type="http://schemas.openxmlformats.org/officeDocument/2006/relationships/hyperlink" Target="http://darion-svet.com/web/binary/image?model=product.product&amp;id=10023&amp;field=image" TargetMode="External"/><Relationship Id="rId88" Type="http://schemas.openxmlformats.org/officeDocument/2006/relationships/hyperlink" Target="http://darion-svet.com/shop/product/4690612008073-led-a60-deco-9vt-230v-e27-4000k-810lm-prozrachnaya-in-home" TargetMode="External"/><Relationship Id="rId87" Type="http://schemas.openxmlformats.org/officeDocument/2006/relationships/hyperlink" Target="http://darion-svet.com/web/binary/image?model=product.product&amp;id=10935&amp;field=image" TargetMode="External"/><Relationship Id="rId89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0" Type="http://schemas.openxmlformats.org/officeDocument/2006/relationships/hyperlink" Target="http://darion-svet.com/web/binary/saveas?model=product.product&amp;field=datasheet&amp;filename_field=datasheet_filename&amp;id=11261" TargetMode="External"/><Relationship Id="rId82" Type="http://schemas.openxmlformats.org/officeDocument/2006/relationships/hyperlink" Target="http://darion-svet.com/shop/product/4690612007663-led-svecha-na-vetru-deco-7vt-230v-e14-3000k-630lm-prozrachnaya-in-home" TargetMode="External"/><Relationship Id="rId81" Type="http://schemas.openxmlformats.org/officeDocument/2006/relationships/hyperlink" Target="http://darion-svet.com/web/binary/image?model=product.product&amp;id=11271&amp;field=image" TargetMode="External"/><Relationship Id="rId73" Type="http://schemas.openxmlformats.org/officeDocument/2006/relationships/hyperlink" Target="http://darion-svet.com/web/binary/image?model=product.product&amp;id=11260&amp;field=image" TargetMode="External"/><Relationship Id="rId72" Type="http://schemas.openxmlformats.org/officeDocument/2006/relationships/hyperlink" Target="http://darion-svet.com/shop/product/4690612007298-led-jcdr-eco-7vt-230v-gu53-4000k-525lm-5sht-v-upakovke-in-home" TargetMode="External"/><Relationship Id="rId75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4" Type="http://schemas.openxmlformats.org/officeDocument/2006/relationships/hyperlink" Target="http://darion-svet.com/shop/product/4690612007601-led-svecha-deco-7vt-230v-e14-3000k-630lm-prozrachnaya-in-home" TargetMode="External"/><Relationship Id="rId77" Type="http://schemas.openxmlformats.org/officeDocument/2006/relationships/hyperlink" Target="http://darion-svet.com/web/binary/image?model=product.product&amp;id=11261&amp;field=image" TargetMode="External"/><Relationship Id="rId76" Type="http://schemas.openxmlformats.org/officeDocument/2006/relationships/hyperlink" Target="http://darion-svet.com/web/binary/saveas?model=product.product&amp;field=datasheet&amp;filename_field=datasheet_filename&amp;id=11260" TargetMode="External"/><Relationship Id="rId79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8" Type="http://schemas.openxmlformats.org/officeDocument/2006/relationships/hyperlink" Target="http://darion-svet.com/shop/product/4690612007618-led-svecha-deco-7vt-230v-e14-4000k-630lm-prozrachnaya-in-home" TargetMode="External"/><Relationship Id="rId71" Type="http://schemas.openxmlformats.org/officeDocument/2006/relationships/hyperlink" Target="http://darion-svet.com/web/binary/image?model=product.product&amp;id=8379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image?model=product.product&amp;id=11825&amp;field=image" TargetMode="External"/><Relationship Id="rId228" Type="http://schemas.openxmlformats.org/officeDocument/2006/relationships/hyperlink" Target="http://darion-svet.com/shop/product/4690612020501-led-shar-vc-6vt-230v-e14-3000k-480lm-in-home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6" Type="http://schemas.openxmlformats.org/officeDocument/2006/relationships/hyperlink" Target="http://darion-svet.com/web/binary/saveas?model=product.product&amp;field=datasheet&amp;filename_field=datasheet_filename&amp;id=11971" TargetMode="External"/><Relationship Id="rId227" Type="http://schemas.openxmlformats.org/officeDocument/2006/relationships/hyperlink" Target="http://darion-svet.com/web/binary/image?model=product.product&amp;id=14074&amp;field=image" TargetMode="External"/><Relationship Id="rId348" Type="http://schemas.openxmlformats.org/officeDocument/2006/relationships/hyperlink" Target="http://darion-svet.com/shop/product/4690612024165-led-a70-vc-30vt-230v-e27-6500k-2700lm-in-home" TargetMode="External"/><Relationship Id="rId105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226" Type="http://schemas.openxmlformats.org/officeDocument/2006/relationships/hyperlink" Target="http://darion-svet.com/web/binary/saveas?model=product.product&amp;field=datasheet&amp;filename_field=datasheet_filename&amp;id=14062" TargetMode="External"/><Relationship Id="rId347" Type="http://schemas.openxmlformats.org/officeDocument/2006/relationships/hyperlink" Target="http://darion-svet.com/web/binary/image?model=product.product&amp;id=16573&amp;field=image" TargetMode="External"/><Relationship Id="rId104" Type="http://schemas.openxmlformats.org/officeDocument/2006/relationships/hyperlink" Target="http://darion-svet.com/shop/product/4690612015484-led-shar-standard-10vt-230v-e27-4000k-900lm-asd" TargetMode="External"/><Relationship Id="rId225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346" Type="http://schemas.openxmlformats.org/officeDocument/2006/relationships/hyperlink" Target="http://darion-svet.com/web/binary/saveas?model=product.product&amp;field=datasheet&amp;filename_field=datasheet_filename&amp;id=16571" TargetMode="External"/><Relationship Id="rId109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108" Type="http://schemas.openxmlformats.org/officeDocument/2006/relationships/hyperlink" Target="http://darion-svet.com/shop/product/4690612015507-led-svecha-standard-10vt-230v-e14-3000k-900lm-asd" TargetMode="External"/><Relationship Id="rId229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220" Type="http://schemas.openxmlformats.org/officeDocument/2006/relationships/hyperlink" Target="http://darion-svet.com/shop/product/4690612020471-led-svecha-vc-11vt-230v-e14-4000k-820lm-in-home" TargetMode="External"/><Relationship Id="rId341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62" Type="http://schemas.openxmlformats.org/officeDocument/2006/relationships/hyperlink" Target="http://darion-svet.com/shop/product/r100488-rsv-a60-11w-3000k-e27-p" TargetMode="External"/><Relationship Id="rId340" Type="http://schemas.openxmlformats.org/officeDocument/2006/relationships/hyperlink" Target="http://darion-svet.com/shop/product/4690612024080-led-a70-vc-25vt-230v-e27-4000k-2000lm" TargetMode="External"/><Relationship Id="rId461" Type="http://schemas.openxmlformats.org/officeDocument/2006/relationships/hyperlink" Target="http://darion-svet.com/web/binary/image?model=product.product&amp;id=20546&amp;field=image" TargetMode="External"/><Relationship Id="rId460" Type="http://schemas.openxmlformats.org/officeDocument/2006/relationships/hyperlink" Target="http://darion-svet.com/shop/product/r100343-rsv-a65-20w-4000k-e27-p" TargetMode="External"/><Relationship Id="rId103" Type="http://schemas.openxmlformats.org/officeDocument/2006/relationships/hyperlink" Target="http://darion-svet.com/web/binary/image?model=product.product&amp;id=11971&amp;field=image" TargetMode="External"/><Relationship Id="rId224" Type="http://schemas.openxmlformats.org/officeDocument/2006/relationships/hyperlink" Target="http://darion-svet.com/shop/product/4690612020495-led-svecha-vc-11vt-230v-e27-4000k-820lm-in-home" TargetMode="External"/><Relationship Id="rId345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102" Type="http://schemas.openxmlformats.org/officeDocument/2006/relationships/hyperlink" Target="http://darion-svet.com/web/binary/saveas?model=product.product&amp;field=datasheet&amp;filename_field=datasheet_filename&amp;id=11970" TargetMode="External"/><Relationship Id="rId223" Type="http://schemas.openxmlformats.org/officeDocument/2006/relationships/hyperlink" Target="http://darion-svet.com/web/binary/image?model=product.product&amp;id=14062&amp;field=image" TargetMode="External"/><Relationship Id="rId344" Type="http://schemas.openxmlformats.org/officeDocument/2006/relationships/hyperlink" Target="http://darion-svet.com/shop/product/4690612024127-led-a70-vc-30vt-230v-e27-3000k-2700lm-in-home" TargetMode="External"/><Relationship Id="rId101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222" Type="http://schemas.openxmlformats.org/officeDocument/2006/relationships/hyperlink" Target="http://darion-svet.com/web/binary/saveas?model=product.product&amp;field=datasheet&amp;filename_field=datasheet_filename&amp;id=14060" TargetMode="External"/><Relationship Id="rId343" Type="http://schemas.openxmlformats.org/officeDocument/2006/relationships/hyperlink" Target="http://darion-svet.com/web/binary/image?model=product.product&amp;id=16571&amp;field=image" TargetMode="External"/><Relationship Id="rId100" Type="http://schemas.openxmlformats.org/officeDocument/2006/relationships/hyperlink" Target="http://darion-svet.com/shop/product/4690612015477-led-shar-standard-10vt-230v-e27-3000k-900lm-asd" TargetMode="External"/><Relationship Id="rId221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42" Type="http://schemas.openxmlformats.org/officeDocument/2006/relationships/hyperlink" Target="http://darion-svet.com/web/binary/saveas?model=product.product&amp;field=datasheet&amp;filename_field=datasheet_filename&amp;id=15165" TargetMode="External"/><Relationship Id="rId463" Type="http://schemas.openxmlformats.org/officeDocument/2006/relationships/drawing" Target="../drawings/drawing4.xml"/><Relationship Id="rId217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8" Type="http://schemas.openxmlformats.org/officeDocument/2006/relationships/hyperlink" Target="http://darion-svet.com/web/binary/saveas?model=product.product&amp;field=datasheet&amp;filename_field=datasheet_filename&amp;id=17402" TargetMode="External"/><Relationship Id="rId459" Type="http://schemas.openxmlformats.org/officeDocument/2006/relationships/hyperlink" Target="http://darion-svet.com/web/binary/image?model=product.product&amp;id=20545&amp;field=image" TargetMode="External"/><Relationship Id="rId216" Type="http://schemas.openxmlformats.org/officeDocument/2006/relationships/hyperlink" Target="http://darion-svet.com/shop/product/4690612020464-led-svecha-vc-11vt-230v-e14-3000k-820lm-in-home" TargetMode="External"/><Relationship Id="rId337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8" Type="http://schemas.openxmlformats.org/officeDocument/2006/relationships/hyperlink" Target="http://darion-svet.com/shop/product/g33226-elementary-candle-6w-e27-4100k-11050" TargetMode="External"/><Relationship Id="rId215" Type="http://schemas.openxmlformats.org/officeDocument/2006/relationships/hyperlink" Target="http://darion-svet.com/web/binary/image?model=product.product&amp;id=14059&amp;field=image" TargetMode="External"/><Relationship Id="rId336" Type="http://schemas.openxmlformats.org/officeDocument/2006/relationships/hyperlink" Target="http://darion-svet.com/shop/product/4690612024066-lampa-svetodiodnaya-led-a65-vc-25vt-230v-e27-3000k-2250lm-in-hom" TargetMode="External"/><Relationship Id="rId457" Type="http://schemas.openxmlformats.org/officeDocument/2006/relationships/hyperlink" Target="http://darion-svet.com/web/binary/image?model=product.product&amp;id=10847&amp;field=image" TargetMode="External"/><Relationship Id="rId214" Type="http://schemas.openxmlformats.org/officeDocument/2006/relationships/hyperlink" Target="http://darion-svet.com/web/binary/saveas?model=product.product&amp;field=datasheet&amp;filename_field=datasheet_filename&amp;id=14069" TargetMode="External"/><Relationship Id="rId335" Type="http://schemas.openxmlformats.org/officeDocument/2006/relationships/hyperlink" Target="http://darion-svet.com/web/binary/image?model=product.product&amp;id=17402&amp;field=image" TargetMode="External"/><Relationship Id="rId456" Type="http://schemas.openxmlformats.org/officeDocument/2006/relationships/hyperlink" Target="http://darion-svet.com/shop/product/g33127t-elementary-candle-7w-e14-4100k-140-3-lampyi-v-upakovke" TargetMode="External"/><Relationship Id="rId219" Type="http://schemas.openxmlformats.org/officeDocument/2006/relationships/hyperlink" Target="http://darion-svet.com/web/binary/image?model=product.product&amp;id=14060&amp;field=image" TargetMode="External"/><Relationship Id="rId218" Type="http://schemas.openxmlformats.org/officeDocument/2006/relationships/hyperlink" Target="http://darion-svet.com/web/binary/saveas?model=product.product&amp;field=datasheet&amp;filename_field=datasheet_filename&amp;id=14059" TargetMode="External"/><Relationship Id="rId339" Type="http://schemas.openxmlformats.org/officeDocument/2006/relationships/hyperlink" Target="http://darion-svet.com/web/binary/image?model=product.product&amp;id=15165&amp;field=image" TargetMode="External"/><Relationship Id="rId330" Type="http://schemas.openxmlformats.org/officeDocument/2006/relationships/hyperlink" Target="http://darion-svet.com/web/binary/saveas?model=product.product&amp;field=datasheet&amp;filename_field=datasheet_filename&amp;id=16175" TargetMode="External"/><Relationship Id="rId451" Type="http://schemas.openxmlformats.org/officeDocument/2006/relationships/hyperlink" Target="http://darion-svet.com/web/binary/image?model=product.product&amp;id=10955&amp;field=image" TargetMode="External"/><Relationship Id="rId450" Type="http://schemas.openxmlformats.org/officeDocument/2006/relationships/hyperlink" Target="http://darion-svet.com/shop/product/g23214p-elementary-a60-14w-e27-2700k-150-2-lampyi-v-upakovke" TargetMode="External"/><Relationship Id="rId213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34" Type="http://schemas.openxmlformats.org/officeDocument/2006/relationships/hyperlink" Target="http://darion-svet.com/web/binary/saveas?model=product.product&amp;field=datasheet&amp;filename_field=datasheet_filename&amp;id=18691" TargetMode="External"/><Relationship Id="rId455" Type="http://schemas.openxmlformats.org/officeDocument/2006/relationships/hyperlink" Target="http://darion-svet.com/web/binary/image?model=product.product&amp;id=10949&amp;field=image" TargetMode="External"/><Relationship Id="rId212" Type="http://schemas.openxmlformats.org/officeDocument/2006/relationships/hyperlink" Target="http://darion-svet.com/shop/product/4690612020457-led-svecha-vc-8vt-230v-e27-4000k-600lm-in-home" TargetMode="External"/><Relationship Id="rId333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54" Type="http://schemas.openxmlformats.org/officeDocument/2006/relationships/hyperlink" Target="http://darion-svet.com/shop/product/g33117t-elementary-svecha-7w-e14-2700k-140-3-lampyi-v-upakovke" TargetMode="External"/><Relationship Id="rId211" Type="http://schemas.openxmlformats.org/officeDocument/2006/relationships/hyperlink" Target="http://darion-svet.com/web/binary/image?model=product.product&amp;id=14069&amp;field=image" TargetMode="External"/><Relationship Id="rId332" Type="http://schemas.openxmlformats.org/officeDocument/2006/relationships/hyperlink" Target="http://darion-svet.com/shop/product/4690612024042-led-a60-vc-8vt-230v-e27-6500k-720lm-in-home" TargetMode="External"/><Relationship Id="rId453" Type="http://schemas.openxmlformats.org/officeDocument/2006/relationships/hyperlink" Target="http://darion-svet.com/web/binary/image?model=product.product&amp;id=11945&amp;field=image" TargetMode="External"/><Relationship Id="rId210" Type="http://schemas.openxmlformats.org/officeDocument/2006/relationships/hyperlink" Target="http://darion-svet.com/web/binary/saveas?model=product.product&amp;field=datasheet&amp;filename_field=datasheet_filename&amp;id=14068" TargetMode="External"/><Relationship Id="rId331" Type="http://schemas.openxmlformats.org/officeDocument/2006/relationships/hyperlink" Target="http://darion-svet.com/web/binary/image?model=product.product&amp;id=18691&amp;field=image" TargetMode="External"/><Relationship Id="rId452" Type="http://schemas.openxmlformats.org/officeDocument/2006/relationships/hyperlink" Target="http://darion-svet.com/shop/product/g23225-elementary-a60-15w-e27-4100k-11050" TargetMode="External"/><Relationship Id="rId370" Type="http://schemas.openxmlformats.org/officeDocument/2006/relationships/hyperlink" Target="http://darion-svet.com/shop/product/4690612030753-led-jcdrc-vc-6vt-230v-gu10-6500k-525lm-in-home" TargetMode="External"/><Relationship Id="rId129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128" Type="http://schemas.openxmlformats.org/officeDocument/2006/relationships/hyperlink" Target="http://darion-svet.com/shop/product/4690612016399-led-svecha-deco-7vt-230v-e27-4000k-630lm-prozrachnaya-in-home" TargetMode="External"/><Relationship Id="rId249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127" Type="http://schemas.openxmlformats.org/officeDocument/2006/relationships/hyperlink" Target="http://darion-svet.com/web/binary/image?model=product.product&amp;id=11425&amp;field=image" TargetMode="External"/><Relationship Id="rId248" Type="http://schemas.openxmlformats.org/officeDocument/2006/relationships/hyperlink" Target="http://darion-svet.com/shop/product/4690612020563-led-shar-vc-8vt-230v-e27-3000k-600lm-in-home" TargetMode="External"/><Relationship Id="rId369" Type="http://schemas.openxmlformats.org/officeDocument/2006/relationships/hyperlink" Target="http://darion-svet.com/web/binary/image?model=product.product&amp;id=16584&amp;field=image" TargetMode="External"/><Relationship Id="rId126" Type="http://schemas.openxmlformats.org/officeDocument/2006/relationships/hyperlink" Target="http://darion-svet.com/web/binary/saveas?model=product.product&amp;field=datasheet&amp;filename_field=datasheet_filename&amp;id=14050" TargetMode="External"/><Relationship Id="rId247" Type="http://schemas.openxmlformats.org/officeDocument/2006/relationships/hyperlink" Target="http://darion-svet.com/web/binary/image?model=product.product&amp;id=14080&amp;field=image" TargetMode="External"/><Relationship Id="rId368" Type="http://schemas.openxmlformats.org/officeDocument/2006/relationships/hyperlink" Target="http://darion-svet.com/web/binary/saveas?model=product.product&amp;field=datasheet&amp;filename_field=datasheet_filename&amp;id=16564" TargetMode="External"/><Relationship Id="rId121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42" Type="http://schemas.openxmlformats.org/officeDocument/2006/relationships/hyperlink" Target="http://darion-svet.com/web/binary/saveas?model=product.product&amp;field=datasheet&amp;filename_field=datasheet_filename&amp;id=14078" TargetMode="External"/><Relationship Id="rId363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20" Type="http://schemas.openxmlformats.org/officeDocument/2006/relationships/hyperlink" Target="http://darion-svet.com/shop/product/4690612016320-led-shar-deco-7vt-230v-e27-3000k-630lm-prozrachnaya-in-home" TargetMode="External"/><Relationship Id="rId241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62" Type="http://schemas.openxmlformats.org/officeDocument/2006/relationships/hyperlink" Target="http://darion-svet.com/shop/product/4690612026145-led-a60-deco-11vt-230v-e27-4000k-990lm-prozrachnaya-in-home" TargetMode="External"/><Relationship Id="rId240" Type="http://schemas.openxmlformats.org/officeDocument/2006/relationships/hyperlink" Target="http://darion-svet.com/shop/product/4690612020549-led-shar-vc-8vt-230v-e14-3000k-600lm-in-home" TargetMode="External"/><Relationship Id="rId361" Type="http://schemas.openxmlformats.org/officeDocument/2006/relationships/hyperlink" Target="http://darion-svet.com/web/binary/image?model=product.product&amp;id=16563&amp;field=image" TargetMode="External"/><Relationship Id="rId360" Type="http://schemas.openxmlformats.org/officeDocument/2006/relationships/hyperlink" Target="http://darion-svet.com/web/binary/saveas?model=product.product&amp;field=datasheet&amp;filename_field=datasheet_filename&amp;id=16562" TargetMode="External"/><Relationship Id="rId125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246" Type="http://schemas.openxmlformats.org/officeDocument/2006/relationships/hyperlink" Target="http://darion-svet.com/web/binary/saveas?model=product.product&amp;field=datasheet&amp;filename_field=datasheet_filename&amp;id=14079" TargetMode="External"/><Relationship Id="rId367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124" Type="http://schemas.openxmlformats.org/officeDocument/2006/relationships/hyperlink" Target="http://darion-svet.com/shop/product/4690612016337-led-shar-deco-7vt-230v-e27-4000k-630lm-prozrachnaya-in-home" TargetMode="External"/><Relationship Id="rId245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366" Type="http://schemas.openxmlformats.org/officeDocument/2006/relationships/hyperlink" Target="http://darion-svet.com/shop/product/4690612026169-led-a60-deco-11vt-230v-e27-6500k-990lm-prozrachnaya-in-home" TargetMode="External"/><Relationship Id="rId123" Type="http://schemas.openxmlformats.org/officeDocument/2006/relationships/hyperlink" Target="http://darion-svet.com/web/binary/image?model=product.product&amp;id=14050&amp;field=image" TargetMode="External"/><Relationship Id="rId244" Type="http://schemas.openxmlformats.org/officeDocument/2006/relationships/hyperlink" Target="http://darion-svet.com/shop/product/4690612020556-led-shar-vc-8vt-230v-e14-4000k-600lm-in-home" TargetMode="External"/><Relationship Id="rId365" Type="http://schemas.openxmlformats.org/officeDocument/2006/relationships/hyperlink" Target="http://darion-svet.com/web/binary/image?model=product.product&amp;id=16564&amp;field=image" TargetMode="External"/><Relationship Id="rId122" Type="http://schemas.openxmlformats.org/officeDocument/2006/relationships/hyperlink" Target="http://darion-svet.com/web/binary/saveas?model=product.product&amp;field=datasheet&amp;filename_field=datasheet_filename&amp;id=14049" TargetMode="External"/><Relationship Id="rId243" Type="http://schemas.openxmlformats.org/officeDocument/2006/relationships/hyperlink" Target="http://darion-svet.com/web/binary/image?model=product.product&amp;id=14079&amp;field=image" TargetMode="External"/><Relationship Id="rId364" Type="http://schemas.openxmlformats.org/officeDocument/2006/relationships/hyperlink" Target="http://darion-svet.com/web/binary/saveas?model=product.product&amp;field=datasheet&amp;filename_field=datasheet_filename&amp;id=16563" TargetMode="External"/><Relationship Id="rId95" Type="http://schemas.openxmlformats.org/officeDocument/2006/relationships/hyperlink" Target="http://darion-svet.com/web/binary/image?model=product.product&amp;id=11964&amp;field=image" TargetMode="External"/><Relationship Id="rId94" Type="http://schemas.openxmlformats.org/officeDocument/2006/relationships/hyperlink" Target="http://darion-svet.com/web/binary/saveas?model=product.product&amp;field=datasheet&amp;filename_field=datasheet_filename&amp;id=17321" TargetMode="External"/><Relationship Id="rId97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6" Type="http://schemas.openxmlformats.org/officeDocument/2006/relationships/hyperlink" Target="http://darion-svet.com/shop/product/4690612015446-led-shar-standard-10vt-230v-e14-3000k-900lm-asd" TargetMode="External"/><Relationship Id="rId99" Type="http://schemas.openxmlformats.org/officeDocument/2006/relationships/hyperlink" Target="http://darion-svet.com/web/binary/image?model=product.product&amp;id=11970&amp;field=image" TargetMode="External"/><Relationship Id="rId98" Type="http://schemas.openxmlformats.org/officeDocument/2006/relationships/hyperlink" Target="http://darion-svet.com/web/binary/saveas?model=product.product&amp;field=datasheet&amp;filename_field=datasheet_filename&amp;id=11964" TargetMode="External"/><Relationship Id="rId91" Type="http://schemas.openxmlformats.org/officeDocument/2006/relationships/hyperlink" Target="http://darion-svet.com/web/binary/image?model=product.product&amp;id=17321&amp;field=image" TargetMode="External"/><Relationship Id="rId90" Type="http://schemas.openxmlformats.org/officeDocument/2006/relationships/hyperlink" Target="http://darion-svet.com/web/binary/saveas?model=product.product&amp;field=datasheet&amp;filename_field=datasheet_filename&amp;id=10935" TargetMode="External"/><Relationship Id="rId93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92" Type="http://schemas.openxmlformats.org/officeDocument/2006/relationships/hyperlink" Target="http://darion-svet.com/shop/product/4690612012278-led-jcdr-standard-75vt-230v-gu53-6500k-675lm-asd" TargetMode="External"/><Relationship Id="rId118" Type="http://schemas.openxmlformats.org/officeDocument/2006/relationships/hyperlink" Target="http://darion-svet.com/web/binary/saveas?model=product.product&amp;field=datasheet&amp;filename_field=datasheet_filename&amp;id=11959" TargetMode="External"/><Relationship Id="rId239" Type="http://schemas.openxmlformats.org/officeDocument/2006/relationships/hyperlink" Target="http://darion-svet.com/web/binary/image?model=product.product&amp;id=14078&amp;field=image" TargetMode="External"/><Relationship Id="rId117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8" Type="http://schemas.openxmlformats.org/officeDocument/2006/relationships/hyperlink" Target="http://darion-svet.com/web/binary/saveas?model=product.product&amp;field=datasheet&amp;filename_field=datasheet_filename&amp;id=14076" TargetMode="External"/><Relationship Id="rId359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116" Type="http://schemas.openxmlformats.org/officeDocument/2006/relationships/hyperlink" Target="http://darion-svet.com/shop/product/4690612015828-led-jcdr-standard-10vt-230v-gu53-4000k-900lm-asd" TargetMode="External"/><Relationship Id="rId237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8" Type="http://schemas.openxmlformats.org/officeDocument/2006/relationships/hyperlink" Target="http://darion-svet.com/shop/product/4690612026121-led-a60-deco-11vt-230v-e27-3000k-990lm-prozrachnaya-in-home" TargetMode="External"/><Relationship Id="rId115" Type="http://schemas.openxmlformats.org/officeDocument/2006/relationships/hyperlink" Target="http://darion-svet.com/web/binary/image?model=product.product&amp;id=11959&amp;field=image" TargetMode="External"/><Relationship Id="rId236" Type="http://schemas.openxmlformats.org/officeDocument/2006/relationships/hyperlink" Target="http://darion-svet.com/shop/product/4690612020525-led-shar-vc-6vt-230v-e27-3000k-480lm-in-home" TargetMode="External"/><Relationship Id="rId357" Type="http://schemas.openxmlformats.org/officeDocument/2006/relationships/hyperlink" Target="http://darion-svet.com/web/binary/image?model=product.product&amp;id=16562&amp;field=image" TargetMode="External"/><Relationship Id="rId119" Type="http://schemas.openxmlformats.org/officeDocument/2006/relationships/hyperlink" Target="http://darion-svet.com/web/binary/image?model=product.product&amp;id=14049&amp;field=image" TargetMode="External"/><Relationship Id="rId110" Type="http://schemas.openxmlformats.org/officeDocument/2006/relationships/hyperlink" Target="http://darion-svet.com/web/binary/saveas?model=product.product&amp;field=datasheet&amp;filename_field=datasheet_filename&amp;id=11825" TargetMode="External"/><Relationship Id="rId231" Type="http://schemas.openxmlformats.org/officeDocument/2006/relationships/hyperlink" Target="http://darion-svet.com/web/binary/image?model=product.product&amp;id=14075&amp;field=image" TargetMode="External"/><Relationship Id="rId352" Type="http://schemas.openxmlformats.org/officeDocument/2006/relationships/hyperlink" Target="http://darion-svet.com/shop/product/4690612024691-led-hp-pro-40vt-230v-e27-s-adapterom-e40-4000k-3600lm-asd" TargetMode="External"/><Relationship Id="rId230" Type="http://schemas.openxmlformats.org/officeDocument/2006/relationships/hyperlink" Target="http://darion-svet.com/web/binary/saveas?model=product.product&amp;field=datasheet&amp;filename_field=datasheet_filename&amp;id=14074" TargetMode="External"/><Relationship Id="rId351" Type="http://schemas.openxmlformats.org/officeDocument/2006/relationships/hyperlink" Target="http://darion-svet.com/web/binary/image?model=product.product&amp;id=16233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73" TargetMode="External"/><Relationship Id="rId114" Type="http://schemas.openxmlformats.org/officeDocument/2006/relationships/hyperlink" Target="http://darion-svet.com/web/binary/saveas?model=product.product&amp;field=datasheet&amp;filename_field=datasheet_filename&amp;id=11791" TargetMode="External"/><Relationship Id="rId235" Type="http://schemas.openxmlformats.org/officeDocument/2006/relationships/hyperlink" Target="http://darion-svet.com/web/binary/image?model=product.product&amp;id=14076&amp;field=image" TargetMode="External"/><Relationship Id="rId356" Type="http://schemas.openxmlformats.org/officeDocument/2006/relationships/hyperlink" Target="http://darion-svet.com/web/binary/saveas?model=product.product&amp;field=datasheet&amp;filename_field=datasheet_filename&amp;id=16561" TargetMode="External"/><Relationship Id="rId113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34" Type="http://schemas.openxmlformats.org/officeDocument/2006/relationships/hyperlink" Target="http://darion-svet.com/web/binary/saveas?model=product.product&amp;field=datasheet&amp;filename_field=datasheet_filename&amp;id=14075" TargetMode="External"/><Relationship Id="rId355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12" Type="http://schemas.openxmlformats.org/officeDocument/2006/relationships/hyperlink" Target="http://darion-svet.com/shop/product/4690612015576-led-svecha-standard-10vt-230v-e14-4000k-900lm-asd" TargetMode="External"/><Relationship Id="rId233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54" Type="http://schemas.openxmlformats.org/officeDocument/2006/relationships/hyperlink" Target="http://darion-svet.com/shop/product/4690612026107-led-a60-deco-9vt-230v-e27-6500k-810lm-prozrachnaya-in-home" TargetMode="External"/><Relationship Id="rId111" Type="http://schemas.openxmlformats.org/officeDocument/2006/relationships/hyperlink" Target="http://darion-svet.com/web/binary/image?model=product.product&amp;id=11791&amp;field=image" TargetMode="External"/><Relationship Id="rId232" Type="http://schemas.openxmlformats.org/officeDocument/2006/relationships/hyperlink" Target="http://darion-svet.com/shop/product/4690612020518-led-shar-vc-6vt-230v-e14-4000k-480lm-in-home" TargetMode="External"/><Relationship Id="rId353" Type="http://schemas.openxmlformats.org/officeDocument/2006/relationships/hyperlink" Target="http://darion-svet.com/web/binary/image?model=product.product&amp;id=16561&amp;field=image" TargetMode="External"/><Relationship Id="rId305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426" Type="http://schemas.openxmlformats.org/officeDocument/2006/relationships/hyperlink" Target="http://darion-svet.com/shop/product/4690612035659-led-st64-deco-gold-9vt-230v-e27-3000k-810lm-zolotistaya-in-home" TargetMode="External"/><Relationship Id="rId304" Type="http://schemas.openxmlformats.org/officeDocument/2006/relationships/hyperlink" Target="http://darion-svet.com/shop/product/4690612020822-led-gx53-vc15vt-230v-4000k-1200lm-in-home" TargetMode="External"/><Relationship Id="rId425" Type="http://schemas.openxmlformats.org/officeDocument/2006/relationships/hyperlink" Target="http://darion-svet.com/web/binary/image?model=product.product&amp;id=18689&amp;field=image" TargetMode="External"/><Relationship Id="rId303" Type="http://schemas.openxmlformats.org/officeDocument/2006/relationships/hyperlink" Target="http://darion-svet.com/web/binary/image?model=product.product&amp;id=14111&amp;field=image" TargetMode="External"/><Relationship Id="rId424" Type="http://schemas.openxmlformats.org/officeDocument/2006/relationships/hyperlink" Target="http://darion-svet.com/web/binary/saveas?model=product.product&amp;field=datasheet&amp;filename_field=datasheet_filename&amp;id=16640" TargetMode="External"/><Relationship Id="rId302" Type="http://schemas.openxmlformats.org/officeDocument/2006/relationships/hyperlink" Target="http://darion-svet.com/web/binary/saveas?model=product.product&amp;field=datasheet&amp;filename_field=datasheet_filename&amp;id=14110" TargetMode="External"/><Relationship Id="rId423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309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308" Type="http://schemas.openxmlformats.org/officeDocument/2006/relationships/hyperlink" Target="http://darion-svet.com/shop/product/4690612020839-led-gx53-vc-15vt-230v-6500k-1200lm-in-home" TargetMode="External"/><Relationship Id="rId429" Type="http://schemas.openxmlformats.org/officeDocument/2006/relationships/hyperlink" Target="http://darion-svet.com/web/binary/image?model=product.product&amp;id=18690&amp;field=image" TargetMode="External"/><Relationship Id="rId307" Type="http://schemas.openxmlformats.org/officeDocument/2006/relationships/hyperlink" Target="http://darion-svet.com/web/binary/image?model=product.product&amp;id=14112&amp;field=image" TargetMode="External"/><Relationship Id="rId428" Type="http://schemas.openxmlformats.org/officeDocument/2006/relationships/hyperlink" Target="http://darion-svet.com/web/binary/saveas?model=product.product&amp;field=datasheet&amp;filename_field=datasheet_filename&amp;id=18689" TargetMode="External"/><Relationship Id="rId306" Type="http://schemas.openxmlformats.org/officeDocument/2006/relationships/hyperlink" Target="http://darion-svet.com/web/binary/saveas?model=product.product&amp;field=datasheet&amp;filename_field=datasheet_filename&amp;id=14111" TargetMode="External"/><Relationship Id="rId427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301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422" Type="http://schemas.openxmlformats.org/officeDocument/2006/relationships/hyperlink" Target="http://darion-svet.com/shop/product/4690612031118-led-hp-pro-50vt-230v-e27-s-adapterom-e40-4000k-4500lm-in-home" TargetMode="External"/><Relationship Id="rId300" Type="http://schemas.openxmlformats.org/officeDocument/2006/relationships/hyperlink" Target="http://darion-svet.com/shop/product/4690612020815-led-gx53-vc-15vt-230v-3000k-1200lm-in-home" TargetMode="External"/><Relationship Id="rId421" Type="http://schemas.openxmlformats.org/officeDocument/2006/relationships/hyperlink" Target="http://darion-svet.com/web/binary/image?model=product.product&amp;id=16640&amp;field=image" TargetMode="External"/><Relationship Id="rId420" Type="http://schemas.openxmlformats.org/officeDocument/2006/relationships/hyperlink" Target="http://darion-svet.com/web/binary/saveas?model=product.product&amp;field=datasheet&amp;filename_field=datasheet_filename&amp;id=16639" TargetMode="External"/><Relationship Id="rId415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14" Type="http://schemas.openxmlformats.org/officeDocument/2006/relationships/hyperlink" Target="http://darion-svet.com/shop/product/4690612031095-led-hp-pro-40vt-230v-e27-s-adapterom-e40-4000k-3600lm-in-home" TargetMode="External"/><Relationship Id="rId413" Type="http://schemas.openxmlformats.org/officeDocument/2006/relationships/hyperlink" Target="http://darion-svet.com/web/binary/image?model=product.product&amp;id=16638&amp;field=image" TargetMode="External"/><Relationship Id="rId412" Type="http://schemas.openxmlformats.org/officeDocument/2006/relationships/hyperlink" Target="http://darion-svet.com/web/binary/saveas?model=product.product&amp;field=datasheet&amp;filename_field=datasheet_filename&amp;id=16631" TargetMode="External"/><Relationship Id="rId419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8" Type="http://schemas.openxmlformats.org/officeDocument/2006/relationships/hyperlink" Target="http://darion-svet.com/shop/product/4690612031101-led-hp-pro-40vt-230v-e27-s-adapterom-e40-6500k-3600lm-in-home" TargetMode="External"/><Relationship Id="rId417" Type="http://schemas.openxmlformats.org/officeDocument/2006/relationships/hyperlink" Target="http://darion-svet.com/web/binary/image?model=product.product&amp;id=16639&amp;field=image" TargetMode="External"/><Relationship Id="rId416" Type="http://schemas.openxmlformats.org/officeDocument/2006/relationships/hyperlink" Target="http://darion-svet.com/web/binary/saveas?model=product.product&amp;field=datasheet&amp;filename_field=datasheet_filename&amp;id=16638" TargetMode="External"/><Relationship Id="rId411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410" Type="http://schemas.openxmlformats.org/officeDocument/2006/relationships/hyperlink" Target="http://darion-svet.com/shop/product/4690612031026-led-t8-m-pro-30vt-230v-g13-6500k-2440lm-1200mm-matovaya-in-home" TargetMode="External"/><Relationship Id="rId206" Type="http://schemas.openxmlformats.org/officeDocument/2006/relationships/hyperlink" Target="http://darion-svet.com/web/binary/saveas?model=product.product&amp;field=datasheet&amp;filename_field=datasheet_filename&amp;id=14028" TargetMode="External"/><Relationship Id="rId327" Type="http://schemas.openxmlformats.org/officeDocument/2006/relationships/hyperlink" Target="http://darion-svet.com/web/binary/image?model=product.product&amp;id=16175&amp;field=image" TargetMode="External"/><Relationship Id="rId448" Type="http://schemas.openxmlformats.org/officeDocument/2006/relationships/hyperlink" Target="http://darion-svet.com/shop/product/g13629-lampa-gauss-led-elementary-mr16-gu10-9w-660lm-4100k-110100" TargetMode="External"/><Relationship Id="rId205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326" Type="http://schemas.openxmlformats.org/officeDocument/2006/relationships/hyperlink" Target="http://darion-svet.com/web/binary/saveas?model=product.product&amp;field=datasheet&amp;filename_field=datasheet_filename&amp;id=16585" TargetMode="External"/><Relationship Id="rId447" Type="http://schemas.openxmlformats.org/officeDocument/2006/relationships/hyperlink" Target="http://darion-svet.com/web/binary/image?model=product.product&amp;id=16239&amp;field=image" TargetMode="External"/><Relationship Id="rId204" Type="http://schemas.openxmlformats.org/officeDocument/2006/relationships/hyperlink" Target="http://darion-svet.com/shop/product/4690612020433-led-svecha-vc-8vt-230v-e14-4000k-600lm-in-home" TargetMode="External"/><Relationship Id="rId325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446" Type="http://schemas.openxmlformats.org/officeDocument/2006/relationships/hyperlink" Target="http://darion-svet.com/shop/product/g106001204-reflector-r39-e14-4w-4100k-110100" TargetMode="External"/><Relationship Id="rId203" Type="http://schemas.openxmlformats.org/officeDocument/2006/relationships/hyperlink" Target="http://darion-svet.com/web/binary/image?model=product.product&amp;id=14028&amp;field=image" TargetMode="External"/><Relationship Id="rId324" Type="http://schemas.openxmlformats.org/officeDocument/2006/relationships/hyperlink" Target="http://darion-svet.com/shop/product/4690612023427-led-jcdrc-vc-8vt-230v-gu10-3000k-600lm-in-home" TargetMode="External"/><Relationship Id="rId445" Type="http://schemas.openxmlformats.org/officeDocument/2006/relationships/hyperlink" Target="http://darion-svet.com/web/binary/image?model=product.product&amp;id=10872&amp;field=image" TargetMode="External"/><Relationship Id="rId209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208" Type="http://schemas.openxmlformats.org/officeDocument/2006/relationships/hyperlink" Target="http://darion-svet.com/shop/product/4690612020440-led-svecha-vc-8vt-230v-e27-3000k-600lm-in-home" TargetMode="External"/><Relationship Id="rId329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207" Type="http://schemas.openxmlformats.org/officeDocument/2006/relationships/hyperlink" Target="http://darion-svet.com/web/binary/image?model=product.product&amp;id=14068&amp;field=image" TargetMode="External"/><Relationship Id="rId328" Type="http://schemas.openxmlformats.org/officeDocument/2006/relationships/hyperlink" Target="http://darion-svet.com/shop/product/4690612024028-led-a60-vc-8vt-230v-e27-4000k-720lm-in-home" TargetMode="External"/><Relationship Id="rId449" Type="http://schemas.openxmlformats.org/officeDocument/2006/relationships/hyperlink" Target="http://darion-svet.com/web/binary/image?model=product.product&amp;id=10946&amp;field=image" TargetMode="External"/><Relationship Id="rId440" Type="http://schemas.openxmlformats.org/officeDocument/2006/relationships/hyperlink" Target="http://darion-svet.com/shop/product/4690626079649-svetodiodnaya-led-lampa-fito-smartbuy-5-lepestkov-40we27-sbl-5-leaves-40-fito-e2725" TargetMode="External"/><Relationship Id="rId202" Type="http://schemas.openxmlformats.org/officeDocument/2006/relationships/hyperlink" Target="http://darion-svet.com/web/binary/saveas?model=product.product&amp;field=datasheet&amp;filename_field=datasheet_filename&amp;id=14065" TargetMode="External"/><Relationship Id="rId323" Type="http://schemas.openxmlformats.org/officeDocument/2006/relationships/hyperlink" Target="http://darion-svet.com/web/binary/image?model=product.product&amp;id=16585&amp;field=image" TargetMode="External"/><Relationship Id="rId444" Type="http://schemas.openxmlformats.org/officeDocument/2006/relationships/hyperlink" Target="http://darion-svet.com/shop/product/g103101207-candle-e14-65w-4100k-11050" TargetMode="External"/><Relationship Id="rId201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322" Type="http://schemas.openxmlformats.org/officeDocument/2006/relationships/hyperlink" Target="http://darion-svet.com/web/binary/saveas?model=product.product&amp;field=datasheet&amp;filename_field=datasheet_filename&amp;id=16583" TargetMode="External"/><Relationship Id="rId443" Type="http://schemas.openxmlformats.org/officeDocument/2006/relationships/hyperlink" Target="http://darion-svet.com/web/binary/image?model=product.product&amp;id=11005&amp;field=image" TargetMode="External"/><Relationship Id="rId200" Type="http://schemas.openxmlformats.org/officeDocument/2006/relationships/hyperlink" Target="http://darion-svet.com/shop/product/4690612020402-led-svecha-vc-6vt-230v-e27-3000k-480lm-in-home" TargetMode="External"/><Relationship Id="rId321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42" Type="http://schemas.openxmlformats.org/officeDocument/2006/relationships/hyperlink" Target="http://darion-svet.com/shop/product/g103101107-candle-e14-65w-3000k-110100" TargetMode="External"/><Relationship Id="rId320" Type="http://schemas.openxmlformats.org/officeDocument/2006/relationships/hyperlink" Target="http://darion-svet.com/shop/product/4690612023403-led-jcdrc-vc-6vt-230v-gu10-4000k-480lm-in-home" TargetMode="External"/><Relationship Id="rId441" Type="http://schemas.openxmlformats.org/officeDocument/2006/relationships/hyperlink" Target="http://darion-svet.com/web/binary/image?model=product.product&amp;id=11004&amp;field=image" TargetMode="External"/><Relationship Id="rId316" Type="http://schemas.openxmlformats.org/officeDocument/2006/relationships/hyperlink" Target="http://darion-svet.com/shop/product/4690612023380-led-jcdrc-vc-6vt-230v-gu10-3000k-480lm-in-home" TargetMode="External"/><Relationship Id="rId437" Type="http://schemas.openxmlformats.org/officeDocument/2006/relationships/hyperlink" Target="http://darion-svet.com/web/binary/image?model=product.product&amp;id=16001&amp;field=image" TargetMode="External"/><Relationship Id="rId315" Type="http://schemas.openxmlformats.org/officeDocument/2006/relationships/hyperlink" Target="http://darion-svet.com/web/binary/image?model=product.product&amp;id=16582&amp;field=image" TargetMode="External"/><Relationship Id="rId436" Type="http://schemas.openxmlformats.org/officeDocument/2006/relationships/hyperlink" Target="http://darion-svet.com/web/binary/saveas?model=product.product&amp;field=datasheet&amp;filename_field=datasheet_filename&amp;id=20994" TargetMode="External"/><Relationship Id="rId314" Type="http://schemas.openxmlformats.org/officeDocument/2006/relationships/hyperlink" Target="http://darion-svet.com/web/binary/saveas?model=product.product&amp;field=datasheet&amp;filename_field=datasheet_filename&amp;id=14116" TargetMode="External"/><Relationship Id="rId435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13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34" Type="http://schemas.openxmlformats.org/officeDocument/2006/relationships/hyperlink" Target="http://darion-svet.com/shop/product/4690612038032-led-mo-pro-10vt-12-48v-e27-4000k-900lm-in-home" TargetMode="External"/><Relationship Id="rId319" Type="http://schemas.openxmlformats.org/officeDocument/2006/relationships/hyperlink" Target="http://darion-svet.com/web/binary/image?model=product.product&amp;id=16583&amp;field=image" TargetMode="External"/><Relationship Id="rId318" Type="http://schemas.openxmlformats.org/officeDocument/2006/relationships/hyperlink" Target="http://darion-svet.com/web/binary/saveas?model=product.product&amp;field=datasheet&amp;filename_field=datasheet_filename&amp;id=16582" TargetMode="External"/><Relationship Id="rId439" Type="http://schemas.openxmlformats.org/officeDocument/2006/relationships/hyperlink" Target="http://darion-svet.com/web/binary/image?model=product.product&amp;id=20454&amp;field=image" TargetMode="External"/><Relationship Id="rId317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8" Type="http://schemas.openxmlformats.org/officeDocument/2006/relationships/hyperlink" Target="http://darion-svet.com/shop/product/4690626002869-sbl-ufo-18-4k-e27" TargetMode="External"/><Relationship Id="rId312" Type="http://schemas.openxmlformats.org/officeDocument/2006/relationships/hyperlink" Target="http://darion-svet.com/shop/product/4690612021546-led-gx70-vc-16vt-230v-4000k-1280lm-in-home" TargetMode="External"/><Relationship Id="rId433" Type="http://schemas.openxmlformats.org/officeDocument/2006/relationships/hyperlink" Target="http://darion-svet.com/web/binary/image?model=product.product&amp;id=20994&amp;field=image" TargetMode="External"/><Relationship Id="rId311" Type="http://schemas.openxmlformats.org/officeDocument/2006/relationships/hyperlink" Target="http://darion-svet.com/web/binary/image?model=product.product&amp;id=14116&amp;field=image" TargetMode="External"/><Relationship Id="rId432" Type="http://schemas.openxmlformats.org/officeDocument/2006/relationships/hyperlink" Target="http://darion-svet.com/web/binary/saveas?model=product.product&amp;field=datasheet&amp;filename_field=datasheet_filename&amp;id=18690" TargetMode="External"/><Relationship Id="rId310" Type="http://schemas.openxmlformats.org/officeDocument/2006/relationships/hyperlink" Target="http://darion-svet.com/web/binary/saveas?model=product.product&amp;field=datasheet&amp;filename_field=datasheet_filename&amp;id=14112" TargetMode="External"/><Relationship Id="rId431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430" Type="http://schemas.openxmlformats.org/officeDocument/2006/relationships/hyperlink" Target="http://darion-svet.com/shop/product/4690612035673-led-st64-deco-gold-11vt-230v-e27-3000k-990lm-zolotistaya-in-hom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MAX(BL3:BL1000)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32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IFERROR(__xludf.DUMMYFUNCTION("""COMPUTED_VALUE"""),1.5)</f>
        <v>1.5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IFERROR(__xludf.DUMMYFUNCTION("""COMPUTED_VALUE"""),1.5)</f>
        <v>1.5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IFERROR(__xludf.DUMMYFUNCTION("""COMPUTED_VALUE"""),1.5)</f>
        <v>1.5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IFERROR(__xludf.DUMMYFUNCTION("""COMPUTED_VALUE"""),4.690612007298E12)</f>
        <v>4690612007298</v>
      </c>
      <c r="B27" s="2" t="str">
        <f>IFERROR(__xludf.DUMMYFUNCTION("""COMPUTED_VALUE"""),"Лампа светодиодная LED-JCDR-ECO 7Вт 230В GU5.3 4000К 525Лм (5шт в упаковке) IN HOME")</f>
        <v>Лампа светодиодная LED-JCDR-ECO 7Вт 230В GU5.3 4000К 525Лм (5шт в упаковке) IN HOME</v>
      </c>
      <c r="C27" s="2" t="str">
        <f>IFERROR(__xludf.DUMMYFUNCTION("""COMPUTED_VALUE"""),"Лампа светодиодная LED-JCDR-standard")</f>
        <v>Лампа светодиодная LED-JCDR-standard</v>
      </c>
      <c r="D27" s="2"/>
      <c r="E27" s="4" t="str">
        <f>IFERROR(__xludf.DUMMYFUNCTION("""COMPUTED_VALUE"""),"http://darion-svet.com/web/binary/image?model=product.product&amp;id=8379&amp;field=image")</f>
        <v>http://darion-svet.com/web/binary/image?model=product.product&amp;id=8379&amp;field=image</v>
      </c>
      <c r="F27" s="2"/>
      <c r="G27" s="2"/>
      <c r="H27" s="2"/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IFERROR(__xludf.DUMMYFUNCTION("""COMPUTED_VALUE"""),"GU5.3")</f>
        <v>GU5.3</v>
      </c>
      <c r="O27" s="2"/>
      <c r="P27" s="2">
        <f>IFERROR(__xludf.DUMMYFUNCTION("""COMPUTED_VALUE"""),525.0)</f>
        <v>525</v>
      </c>
      <c r="Q27" s="2">
        <f>IFERROR(__xludf.DUMMYFUNCTION("""COMPUTED_VALUE"""),4000.0)</f>
        <v>4000</v>
      </c>
      <c r="R27" s="2"/>
      <c r="S27" s="2"/>
      <c r="T27" s="2"/>
      <c r="U27" s="2">
        <f>IFERROR(__xludf.DUMMYFUNCTION("""COMPUTED_VALUE"""),0.0)</f>
        <v>0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 t="str">
        <f>IFERROR(__xludf.DUMMYFUNCTION("""COMPUTED_VALUE"""),"Да")</f>
        <v>Да</v>
      </c>
      <c r="AU27" s="2">
        <f>IFERROR(__xludf.DUMMYFUNCTION("""COMPUTED_VALUE"""),7.5E-4)</f>
        <v>0.00075</v>
      </c>
      <c r="AV27" s="2">
        <f>IFERROR(__xludf.DUMMYFUNCTION("""COMPUTED_VALUE"""),0.19)</f>
        <v>0.19</v>
      </c>
      <c r="AW27" s="2">
        <f>IFERROR(__xludf.DUMMYFUNCTION("""COMPUTED_VALUE"""),20.0)</f>
        <v>20</v>
      </c>
      <c r="AX27" s="2"/>
      <c r="AY27" s="2"/>
      <c r="AZ27" s="2"/>
      <c r="BA27" s="2">
        <f>IFERROR(__xludf.DUMMYFUNCTION("""COMPUTED_VALUE"""),0.015)</f>
        <v>0.015</v>
      </c>
      <c r="BB27" s="2">
        <f>IFERROR(__xludf.DUMMYFUNCTION("""COMPUTED_VALUE"""),3.8)</f>
        <v>3.8</v>
      </c>
      <c r="BC27" s="2"/>
      <c r="BD27" s="2"/>
      <c r="BE27" s="4" t="str">
        <f>IFERROR(__xludf.DUMMYFUNCTION("""COMPUTED_VALUE"""),"http://darion-svet.com/shop/product/4690612007298-led-jcdr-eco-7vt-230v-gu53-4000k-525lm-5sht-v-upakovke-in-home")</f>
        <v>http://darion-svet.com/shop/product/4690612007298-led-jcdr-eco-7vt-230v-gu53-4000k-525lm-5sht-v-upakovke-in-home</v>
      </c>
      <c r="BF27" s="2"/>
      <c r="BG27" s="2"/>
      <c r="BH27" s="2"/>
      <c r="BI27" s="2">
        <f>IFERROR(__xludf.DUMMYFUNCTION("""COMPUTED_VALUE"""),2.0)</f>
        <v>2</v>
      </c>
      <c r="BJ27" s="2">
        <f>IFERROR(__xludf.DUMMYFUNCTION("""COMPUTED_VALUE"""),1.5)</f>
        <v>1.5</v>
      </c>
      <c r="BK27" s="2">
        <f>IFERROR(__xludf.DUMMYFUNCTION("""COMPUTED_VALUE"""),0.0)</f>
        <v>0</v>
      </c>
      <c r="BL27" s="2">
        <f t="shared" si="1"/>
        <v>17</v>
      </c>
    </row>
    <row r="28">
      <c r="A28" s="2">
        <f>IFERROR(__xludf.DUMMYFUNCTION("""COMPUTED_VALUE"""),4.690612007601E12)</f>
        <v>4690612007601</v>
      </c>
      <c r="B28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IFERROR(__xludf.DUMMYFUNCTION("""COMPUTED_VALUE"""),4.690612007601E12)</f>
        <v>4690612007601</v>
      </c>
      <c r="E28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IFERROR(__xludf.DUMMYFUNCTION("""COMPUTED_VALUE"""),3000.0)</f>
        <v>3000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IFERROR(__xludf.DUMMYFUNCTION("""COMPUTED_VALUE"""),4.690612007601E12)</f>
        <v>4690612007601</v>
      </c>
      <c r="BD28" s="2"/>
      <c r="BE28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8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8" s="2"/>
      <c r="BI28" s="2">
        <f>IFERROR(__xludf.DUMMYFUNCTION("""COMPUTED_VALUE"""),57.0)</f>
        <v>57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IFERROR(__xludf.DUMMYFUNCTION("""COMPUTED_VALUE"""),4.690612007618E12)</f>
        <v>4690612007618</v>
      </c>
      <c r="B29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9" s="2" t="str">
        <f>IFERROR(__xludf.DUMMYFUNCTION("""COMPUTED_VALUE"""),"Лампа светодиодная LED-СВЕЧА-DECO")</f>
        <v>Лампа светодиодная LED-СВЕЧА-DECO</v>
      </c>
      <c r="D29" s="2">
        <f>IFERROR(__xludf.DUMMYFUNCTION("""COMPUTED_VALUE"""),4.690612007618E12)</f>
        <v>4690612007618</v>
      </c>
      <c r="E29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IFERROR(__xludf.DUMMYFUNCTION("""COMPUTED_VALUE"""),"E14")</f>
        <v>E14</v>
      </c>
      <c r="O29" s="2" t="str">
        <f>IFERROR(__xludf.DUMMYFUNCTION("""COMPUTED_VALUE"""),"filament")</f>
        <v>filament</v>
      </c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>
        <f>IFERROR(__xludf.DUMMYFUNCTION("""COMPUTED_VALUE"""),80.0)</f>
        <v>80</v>
      </c>
      <c r="S29" s="2"/>
      <c r="T29" s="2" t="str">
        <f>IFERROR(__xludf.DUMMYFUNCTION("""COMPUTED_VALUE"""),"Д")</f>
        <v>Д</v>
      </c>
      <c r="U29" s="2">
        <f>IFERROR(__xludf.DUMMYFUNCTION("""COMPUTED_VALUE"""),30000.0)</f>
        <v>30000</v>
      </c>
      <c r="V29" s="2">
        <f>IFERROR(__xludf.DUMMYFUNCTION("""COMPUTED_VALUE"""),100.0)</f>
        <v>100</v>
      </c>
      <c r="W29" s="2">
        <f>IFERROR(__xludf.DUMMYFUNCTION("""COMPUTED_VALUE"""),35.0)</f>
        <v>35</v>
      </c>
      <c r="X29" s="2"/>
      <c r="Y29" s="2"/>
      <c r="Z29" s="2"/>
      <c r="AA29" s="2"/>
      <c r="AB29" s="2">
        <f>IFERROR(__xludf.DUMMYFUNCTION("""COMPUTED_VALUE"""),0.025)</f>
        <v>0.025</v>
      </c>
      <c r="AC29" s="2"/>
      <c r="AD29" s="2"/>
      <c r="AE29" s="2" t="str">
        <f>IFERROR(__xludf.DUMMYFUNCTION("""COMPUTED_VALUE"""),"стекло")</f>
        <v>стекло</v>
      </c>
      <c r="AF29" s="2"/>
      <c r="AG29" s="2"/>
      <c r="AH29" s="2"/>
      <c r="AI29" s="2"/>
      <c r="AJ29" s="2" t="str">
        <f>IFERROR(__xludf.DUMMYFUNCTION("""COMPUTED_VALUE"""),"A1")</f>
        <v>A1</v>
      </c>
      <c r="AK29" s="2">
        <f>IFERROR(__xludf.DUMMYFUNCTION("""COMPUTED_VALUE"""),0.85)</f>
        <v>0.85</v>
      </c>
      <c r="AL29" s="2">
        <f>IFERROR(__xludf.DUMMYFUNCTION("""COMPUTED_VALUE"""),5.0)</f>
        <v>5</v>
      </c>
      <c r="AM29" s="2">
        <f>IFERROR(__xludf.DUMMYFUNCTION("""COMPUTED_VALUE"""),0.06)</f>
        <v>0.06</v>
      </c>
      <c r="AN29" s="2">
        <f>IFERROR(__xludf.DUMMYFUNCTION("""COMPUTED_VALUE"""),150.0)</f>
        <v>150</v>
      </c>
      <c r="AO29" s="2">
        <f>IFERROR(__xludf.DUMMYFUNCTION("""COMPUTED_VALUE"""),275.0)</f>
        <v>275</v>
      </c>
      <c r="AP29" s="2">
        <f>IFERROR(__xludf.DUMMYFUNCTION("""COMPUTED_VALUE"""),-10.0)</f>
        <v>-10</v>
      </c>
      <c r="AQ29" s="2">
        <f>IFERROR(__xludf.DUMMYFUNCTION("""COMPUTED_VALUE"""),40.0)</f>
        <v>40</v>
      </c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IFERROR(__xludf.DUMMYFUNCTION("""COMPUTED_VALUE"""),"Нет")</f>
        <v>Нет</v>
      </c>
      <c r="AU29" s="2">
        <f>IFERROR(__xludf.DUMMYFUNCTION("""COMPUTED_VALUE"""),2.0E-4)</f>
        <v>0.0002</v>
      </c>
      <c r="AV29" s="2">
        <f>IFERROR(__xludf.DUMMYFUNCTION("""COMPUTED_VALUE"""),0.025)</f>
        <v>0.025</v>
      </c>
      <c r="AW29" s="2">
        <f>IFERROR(__xludf.DUMMYFUNCTION("""COMPUTED_VALUE"""),50.0)</f>
        <v>50</v>
      </c>
      <c r="AX29" s="2">
        <f>IFERROR(__xludf.DUMMYFUNCTION("""COMPUTED_VALUE"""),36.0)</f>
        <v>36</v>
      </c>
      <c r="AY29" s="2">
        <f>IFERROR(__xludf.DUMMYFUNCTION("""COMPUTED_VALUE"""),36.0)</f>
        <v>36</v>
      </c>
      <c r="AZ29" s="2">
        <f>IFERROR(__xludf.DUMMYFUNCTION("""COMPUTED_VALUE"""),105.0)</f>
        <v>105</v>
      </c>
      <c r="BA29" s="2">
        <f>IFERROR(__xludf.DUMMYFUNCTION("""COMPUTED_VALUE"""),0.01)</f>
        <v>0.01</v>
      </c>
      <c r="BB29" s="2">
        <f>IFERROR(__xludf.DUMMYFUNCTION("""COMPUTED_VALUE"""),1.25)</f>
        <v>1.25</v>
      </c>
      <c r="BC29" s="2">
        <f>IFERROR(__xludf.DUMMYFUNCTION("""COMPUTED_VALUE"""),4.690612007618E12)</f>
        <v>4690612007618</v>
      </c>
      <c r="BD29" s="2"/>
      <c r="BE29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9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9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9" s="2"/>
      <c r="BI29" s="2">
        <f>IFERROR(__xludf.DUMMYFUNCTION("""COMPUTED_VALUE"""),50.0)</f>
        <v>50</v>
      </c>
      <c r="BJ29" s="2">
        <f>IFERROR(__xludf.DUMMYFUNCTION("""COMPUTED_VALUE"""),43.0)</f>
        <v>43</v>
      </c>
      <c r="BK29" s="2">
        <f>IFERROR(__xludf.DUMMYFUNCTION("""COMPUTED_VALUE"""),0.0)</f>
        <v>0</v>
      </c>
      <c r="BL29" s="2">
        <f t="shared" si="1"/>
        <v>43</v>
      </c>
    </row>
    <row r="30">
      <c r="A30" s="2">
        <f>IFERROR(__xludf.DUMMYFUNCTION("""COMPUTED_VALUE"""),4.690612007663E12)</f>
        <v>4690612007663</v>
      </c>
      <c r="B30" s="2" t="str">
        <f>IFERROR(__xludf.DUMMYFUNCTION("""COMPUTED_VALUE"""),"Лампа светодиодная LED-СВЕЧА НА ВЕТРУ-deco 7Вт 230В Е14 3000К 630Лм прозрачная IN HOME")</f>
        <v>Лампа светодиодная LED-СВЕЧА НА ВЕТРУ-deco 7Вт 230В Е14 3000К 630Лм прозрачная IN HOME</v>
      </c>
      <c r="C30" s="2" t="str">
        <f>IFERROR(__xludf.DUMMYFUNCTION("""COMPUTED_VALUE"""),"Лампа светодиодная LED-СВЕЧА НА ВЕТРУ-DECO")</f>
        <v>Лампа светодиодная LED-СВЕЧА НА ВЕТРУ-DECO</v>
      </c>
      <c r="D30" s="2">
        <f>IFERROR(__xludf.DUMMYFUNCTION("""COMPUTED_VALUE"""),4.690612007663E12)</f>
        <v>4690612007663</v>
      </c>
      <c r="E30" s="4" t="str">
        <f>IFERROR(__xludf.DUMMYFUNCTION("""COMPUTED_VALUE"""),"http://darion-svet.com/web/binary/image?model=product.product&amp;id=11271&amp;field=image")</f>
        <v>http://darion-svet.com/web/binary/image?model=product.product&amp;id=11271&amp;field=image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IFERROR(__xludf.DUMMYFUNCTION("""COMPUTED_VALUE"""),7.0)</f>
        <v>7</v>
      </c>
      <c r="N30" s="2" t="str">
        <f>IFERROR(__xludf.DUMMYFUNCTION("""COMPUTED_VALUE"""),"E14")</f>
        <v>E14</v>
      </c>
      <c r="O30" s="2" t="str">
        <f>IFERROR(__xludf.DUMMYFUNCTION("""COMPUTED_VALUE"""),"filament")</f>
        <v>filament</v>
      </c>
      <c r="P30" s="2">
        <f>IFERROR(__xludf.DUMMYFUNCTION("""COMPUTED_VALUE"""),630.0)</f>
        <v>630</v>
      </c>
      <c r="Q30" s="2">
        <f>IFERROR(__xludf.DUMMYFUNCTION("""COMPUTED_VALUE"""),3000.0)</f>
        <v>3000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IFERROR(__xludf.DUMMYFUNCTION("""COMPUTED_VALUE"""),125.0)</f>
        <v>125</v>
      </c>
      <c r="W30" s="2">
        <f>IFERROR(__xludf.DUMMYFUNCTION("""COMPUTED_VALUE"""),35.0)</f>
        <v>35</v>
      </c>
      <c r="X30" s="2"/>
      <c r="Y30" s="2"/>
      <c r="Z30" s="2"/>
      <c r="AA30" s="2"/>
      <c r="AB30" s="2">
        <f>IFERROR(__xludf.DUMMYFUNCTION("""COMPUTED_VALUE"""),0.026)</f>
        <v>0.026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IFERROR(__xludf.DUMMYFUNCTION("""COMPUTED_VALUE"""),0.06)</f>
        <v>0.06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IFERROR(__xludf.DUMMYFUNCTION("""COMPUTED_VALUE"""),2.2E-4)</f>
        <v>0.00022</v>
      </c>
      <c r="AV30" s="2">
        <f>IFERROR(__xludf.DUMMYFUNCTION("""COMPUTED_VALUE"""),0.026)</f>
        <v>0.026</v>
      </c>
      <c r="AW30" s="2">
        <f>IFERROR(__xludf.DUMMYFUNCTION("""COMPUTED_VALUE"""),50.0)</f>
        <v>50</v>
      </c>
      <c r="AX30" s="2">
        <f>IFERROR(__xludf.DUMMYFUNCTION("""COMPUTED_VALUE"""),35.0)</f>
        <v>35</v>
      </c>
      <c r="AY30" s="2">
        <f>IFERROR(__xludf.DUMMYFUNCTION("""COMPUTED_VALUE"""),35.0)</f>
        <v>35</v>
      </c>
      <c r="AZ30" s="2">
        <f>IFERROR(__xludf.DUMMYFUNCTION("""COMPUTED_VALUE"""),130.0)</f>
        <v>130</v>
      </c>
      <c r="BA30" s="2">
        <f>IFERROR(__xludf.DUMMYFUNCTION("""COMPUTED_VALUE"""),0.011)</f>
        <v>0.011</v>
      </c>
      <c r="BB30" s="2">
        <f>IFERROR(__xludf.DUMMYFUNCTION("""COMPUTED_VALUE"""),1.3)</f>
        <v>1.3</v>
      </c>
      <c r="BC30" s="2">
        <f>IFERROR(__xludf.DUMMYFUNCTION("""COMPUTED_VALUE"""),4.690612007663E12)</f>
        <v>4690612007663</v>
      </c>
      <c r="BD30" s="2"/>
      <c r="BE30" s="4" t="str">
        <f>IFERROR(__xludf.DUMMYFUNCTION("""COMPUTED_VALUE"""),"http://darion-svet.com/shop/product/4690612007663-led-svecha-na-vetru-deco-7vt-230v-e14-3000k-630lm-prozrachnaya-in-home")</f>
        <v>http://darion-svet.com/shop/product/4690612007663-led-svecha-na-vetru-deco-7vt-230v-e14-3000k-630lm-prozrachnaya-in-home</v>
      </c>
      <c r="BF30" s="4" t="str">
        <f>IFERROR(__xludf.DUMMYFUNCTION("""COMPUTED_VALUE"""),"http://darion-svet.com/web/binary/saveas?model=product.product&amp;field=conformity_cert&amp;filename_field=conformity_cert_filename&amp;id=11271")</f>
        <v>http://darion-svet.com/web/binary/saveas?model=product.product&amp;field=conformity_cert&amp;filename_field=conformity_cert_filename&amp;id=11271</v>
      </c>
      <c r="BG30" s="4" t="str">
        <f>IFERROR(__xludf.DUMMYFUNCTION("""COMPUTED_VALUE"""),"http://darion-svet.com/web/binary/saveas?model=product.product&amp;field=datasheet&amp;filename_field=datasheet_filename&amp;id=11271")</f>
        <v>http://darion-svet.com/web/binary/saveas?model=product.product&amp;field=datasheet&amp;filename_field=datasheet_filename&amp;id=11271</v>
      </c>
      <c r="BH30" s="2"/>
      <c r="BI30" s="2">
        <f>IFERROR(__xludf.DUMMYFUNCTION("""COMPUTED_VALUE"""),24.0)</f>
        <v>24</v>
      </c>
      <c r="BJ30" s="2">
        <f>IFERROR(__xludf.DUMMYFUNCTION("""COMPUTED_VALUE"""),43.0)</f>
        <v>43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IFERROR(__xludf.DUMMYFUNCTION("""COMPUTED_VALUE"""),4.690612008059E12)</f>
        <v>4690612008059</v>
      </c>
      <c r="B31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31" s="2" t="str">
        <f>IFERROR(__xludf.DUMMYFUNCTION("""COMPUTED_VALUE"""),"Лампа светодиодная LED-A60 DECO")</f>
        <v>Лампа светодиодная LED-A60 DECO</v>
      </c>
      <c r="D31" s="2"/>
      <c r="E31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31" s="2">
        <f>IFERROR(__xludf.DUMMYFUNCTION("""COMPUTED_VALUE"""),2.0)</f>
        <v>2</v>
      </c>
      <c r="G31" s="2" t="str">
        <f>IFERROR(__xludf.DUMMYFUNCTION("""COMPUTED_VALUE"""),"Китай")</f>
        <v>Китай</v>
      </c>
      <c r="H31" s="2" t="str">
        <f>IFERROR(__xludf.DUMMYFUNCTION("""COMPUTED_VALUE"""),"IN HOME")</f>
        <v>IN HOME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IFERROR(__xludf.DUMMYFUNCTION("""COMPUTED_VALUE"""),"E27")</f>
        <v>E27</v>
      </c>
      <c r="O31" s="2"/>
      <c r="P31" s="2">
        <f>IFERROR(__xludf.DUMMYFUNCTION("""COMPUTED_VALUE"""),630.0)</f>
        <v>630</v>
      </c>
      <c r="Q31" s="2">
        <f>IFERROR(__xludf.DUMMYFUNCTION("""COMPUTED_VALUE"""),4000.0)</f>
        <v>4000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f>IFERROR(__xludf.DUMMYFUNCTION("""COMPUTED_VALUE"""),0.088)</f>
        <v>0.088</v>
      </c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IFERROR(__xludf.DUMMYFUNCTION("""COMPUTED_VALUE"""),"Да")</f>
        <v>Да</v>
      </c>
      <c r="AU31" s="2">
        <f>IFERROR(__xludf.DUMMYFUNCTION("""COMPUTED_VALUE"""),7.2E-4)</f>
        <v>0.00072</v>
      </c>
      <c r="AV31" s="2">
        <f>IFERROR(__xludf.DUMMYFUNCTION("""COMPUTED_VALUE"""),0.088)</f>
        <v>0.088</v>
      </c>
      <c r="AW31" s="2">
        <f>IFERROR(__xludf.DUMMYFUNCTION("""COMPUTED_VALUE"""),10.0)</f>
        <v>10</v>
      </c>
      <c r="AX31" s="2"/>
      <c r="AY31" s="2"/>
      <c r="AZ31" s="2"/>
      <c r="BA31" s="2">
        <f>IFERROR(__xludf.DUMMYFUNCTION("""COMPUTED_VALUE"""),0.0072)</f>
        <v>0.0072</v>
      </c>
      <c r="BB31" s="2">
        <f>IFERROR(__xludf.DUMMYFUNCTION("""COMPUTED_VALUE"""),0.88)</f>
        <v>0.88</v>
      </c>
      <c r="BC31" s="2"/>
      <c r="BD31" s="2"/>
      <c r="BE31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31" s="2"/>
      <c r="BG31" s="2"/>
      <c r="BH31" s="2"/>
      <c r="BI31" s="2">
        <f>IFERROR(__xludf.DUMMYFUNCTION("""COMPUTED_VALUE"""),3.0)</f>
        <v>3</v>
      </c>
      <c r="BJ31" s="2">
        <f>IFERROR(__xludf.DUMMYFUNCTION("""COMPUTED_VALUE"""),42.0)</f>
        <v>42</v>
      </c>
      <c r="BK31" s="2">
        <f>IFERROR(__xludf.DUMMYFUNCTION("""COMPUTED_VALUE"""),0.0)</f>
        <v>0</v>
      </c>
      <c r="BL31" s="2">
        <f t="shared" si="1"/>
        <v>21</v>
      </c>
    </row>
    <row r="32">
      <c r="A32" s="2">
        <f>IFERROR(__xludf.DUMMYFUNCTION("""COMPUTED_VALUE"""),4.690612008073E12)</f>
        <v>4690612008073</v>
      </c>
      <c r="B32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2" s="2" t="str">
        <f>IFERROR(__xludf.DUMMYFUNCTION("""COMPUTED_VALUE"""),"Лампа светодиодная LED-A60 DECO")</f>
        <v>Лампа светодиодная LED-A60 DECO</v>
      </c>
      <c r="D32" s="2">
        <f>IFERROR(__xludf.DUMMYFUNCTION("""COMPUTED_VALUE"""),4.690612008073E12)</f>
        <v>4690612008073</v>
      </c>
      <c r="E32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IFERROR(__xludf.DUMMYFUNCTION("""COMPUTED_VALUE"""),"IN HOME")</f>
        <v>IN HOME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IFERROR(__xludf.DUMMYFUNCTION("""COMPUTED_VALUE"""),9.0)</f>
        <v>9</v>
      </c>
      <c r="N32" s="2" t="str">
        <f>IFERROR(__xludf.DUMMYFUNCTION("""COMPUTED_VALUE"""),"E27")</f>
        <v>E27</v>
      </c>
      <c r="O32" s="2" t="str">
        <f>IFERROR(__xludf.DUMMYFUNCTION("""COMPUTED_VALUE"""),"filament")</f>
        <v>filament</v>
      </c>
      <c r="P32" s="2">
        <f>IFERROR(__xludf.DUMMYFUNCTION("""COMPUTED_VALUE"""),810.0)</f>
        <v>810</v>
      </c>
      <c r="Q32" s="2">
        <f>IFERROR(__xludf.DUMMYFUNCTION("""COMPUTED_VALUE"""),4000.0)</f>
        <v>4000</v>
      </c>
      <c r="R32" s="2">
        <f>IFERROR(__xludf.DUMMYFUNCTION("""COMPUTED_VALUE"""),80.0)</f>
        <v>80</v>
      </c>
      <c r="S32" s="2"/>
      <c r="T32" s="2" t="str">
        <f>IFERROR(__xludf.DUMMYFUNCTION("""COMPUTED_VALUE"""),"Д")</f>
        <v>Д</v>
      </c>
      <c r="U32" s="2">
        <f>IFERROR(__xludf.DUMMYFUNCTION("""COMPUTED_VALUE"""),30000.0)</f>
        <v>30000</v>
      </c>
      <c r="V32" s="2">
        <f>IFERROR(__xludf.DUMMYFUNCTION("""COMPUTED_VALUE"""),107.0)</f>
        <v>107</v>
      </c>
      <c r="W32" s="2">
        <f>IFERROR(__xludf.DUMMYFUNCTION("""COMPUTED_VALUE"""),60.0)</f>
        <v>60</v>
      </c>
      <c r="X32" s="2"/>
      <c r="Y32" s="2"/>
      <c r="Z32" s="2"/>
      <c r="AA32" s="2"/>
      <c r="AB32" s="2">
        <f>IFERROR(__xludf.DUMMYFUNCTION("""COMPUTED_VALUE"""),0.045)</f>
        <v>0.045</v>
      </c>
      <c r="AC32" s="2"/>
      <c r="AD32" s="2"/>
      <c r="AE32" s="2" t="str">
        <f>IFERROR(__xludf.DUMMYFUNCTION("""COMPUTED_VALUE"""),"стекло")</f>
        <v>стекло</v>
      </c>
      <c r="AF32" s="2"/>
      <c r="AG32" s="2"/>
      <c r="AH32" s="2"/>
      <c r="AI32" s="2"/>
      <c r="AJ32" s="2" t="str">
        <f>IFERROR(__xludf.DUMMYFUNCTION("""COMPUTED_VALUE"""),"A1")</f>
        <v>A1</v>
      </c>
      <c r="AK32" s="2">
        <f>IFERROR(__xludf.DUMMYFUNCTION("""COMPUTED_VALUE"""),0.85)</f>
        <v>0.85</v>
      </c>
      <c r="AL32" s="2">
        <f>IFERROR(__xludf.DUMMYFUNCTION("""COMPUTED_VALUE"""),5.0)</f>
        <v>5</v>
      </c>
      <c r="AM32" s="2">
        <f>IFERROR(__xludf.DUMMYFUNCTION("""COMPUTED_VALUE"""),0.07)</f>
        <v>0.07</v>
      </c>
      <c r="AN32" s="2">
        <f>IFERROR(__xludf.DUMMYFUNCTION("""COMPUTED_VALUE"""),150.0)</f>
        <v>150</v>
      </c>
      <c r="AO32" s="2">
        <f>IFERROR(__xludf.DUMMYFUNCTION("""COMPUTED_VALUE"""),275.0)</f>
        <v>275</v>
      </c>
      <c r="AP32" s="2">
        <f>IFERROR(__xludf.DUMMYFUNCTION("""COMPUTED_VALUE"""),-10.0)</f>
        <v>-10</v>
      </c>
      <c r="AQ32" s="2">
        <f>IFERROR(__xludf.DUMMYFUNCTION("""COMPUTED_VALUE"""),40.0)</f>
        <v>40</v>
      </c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IFERROR(__xludf.DUMMYFUNCTION("""COMPUTED_VALUE"""),5.6E-4)</f>
        <v>0.00056</v>
      </c>
      <c r="AV32" s="2">
        <f>IFERROR(__xludf.DUMMYFUNCTION("""COMPUTED_VALUE"""),0.044)</f>
        <v>0.044</v>
      </c>
      <c r="AW32" s="2">
        <f>IFERROR(__xludf.DUMMYFUNCTION("""COMPUTED_VALUE"""),50.0)</f>
        <v>50</v>
      </c>
      <c r="AX32" s="2">
        <f>IFERROR(__xludf.DUMMYFUNCTION("""COMPUTED_VALUE"""),62.0)</f>
        <v>62</v>
      </c>
      <c r="AY32" s="2">
        <f>IFERROR(__xludf.DUMMYFUNCTION("""COMPUTED_VALUE"""),62.0)</f>
        <v>62</v>
      </c>
      <c r="AZ32" s="2">
        <f>IFERROR(__xludf.DUMMYFUNCTION("""COMPUTED_VALUE"""),120.0)</f>
        <v>120</v>
      </c>
      <c r="BA32" s="2">
        <f>IFERROR(__xludf.DUMMYFUNCTION("""COMPUTED_VALUE"""),0.028)</f>
        <v>0.028</v>
      </c>
      <c r="BB32" s="2">
        <f>IFERROR(__xludf.DUMMYFUNCTION("""COMPUTED_VALUE"""),2.20001)</f>
        <v>2.20001</v>
      </c>
      <c r="BC32" s="2">
        <f>IFERROR(__xludf.DUMMYFUNCTION("""COMPUTED_VALUE"""),4.690612008073E12)</f>
        <v>4690612008073</v>
      </c>
      <c r="BD32" s="2"/>
      <c r="BE32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2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2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2" s="2"/>
      <c r="BI32" s="2">
        <f>IFERROR(__xludf.DUMMYFUNCTION("""COMPUTED_VALUE"""),6.0)</f>
        <v>6</v>
      </c>
      <c r="BJ32" s="2">
        <f>IFERROR(__xludf.DUMMYFUNCTION("""COMPUTED_VALUE"""),58.0)</f>
        <v>58</v>
      </c>
      <c r="BK32" s="2">
        <f>IFERROR(__xludf.DUMMYFUNCTION("""COMPUTED_VALUE"""),0.0)</f>
        <v>0</v>
      </c>
      <c r="BL32" s="2">
        <f t="shared" si="1"/>
        <v>43</v>
      </c>
    </row>
    <row r="33">
      <c r="A33" s="2">
        <f>IFERROR(__xludf.DUMMYFUNCTION("""COMPUTED_VALUE"""),4.690612012278E12)</f>
        <v>4690612012278</v>
      </c>
      <c r="B33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3" s="2" t="str">
        <f>IFERROR(__xludf.DUMMYFUNCTION("""COMPUTED_VALUE"""),"Лампа светодиодная LED-JCDR-standard")</f>
        <v>Лампа светодиодная LED-JCDR-standard</v>
      </c>
      <c r="D33" s="2"/>
      <c r="E33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3" s="2">
        <f>IFERROR(__xludf.DUMMYFUNCTION("""COMPUTED_VALUE"""),1.0)</f>
        <v>1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IFERROR(__xludf.DUMMYFUNCTION("""COMPUTED_VALUE"""),7.0)</f>
        <v>7</v>
      </c>
      <c r="N33" s="2" t="str">
        <f>IFERROR(__xludf.DUMMYFUNCTION("""COMPUTED_VALUE"""),"GU5.3")</f>
        <v>GU5.3</v>
      </c>
      <c r="O33" s="2"/>
      <c r="P33" s="2">
        <f>IFERROR(__xludf.DUMMYFUNCTION("""COMPUTED_VALUE"""),675.0)</f>
        <v>675</v>
      </c>
      <c r="Q33" s="2">
        <f>IFERROR(__xludf.DUMMYFUNCTION("""COMPUTED_VALUE"""),6500.0)</f>
        <v>6500</v>
      </c>
      <c r="R33" s="2"/>
      <c r="S33" s="2"/>
      <c r="T33" s="2"/>
      <c r="U33" s="2">
        <f>IFERROR(__xludf.DUMMYFUNCTION("""COMPUTED_VALUE"""),30000.0)</f>
        <v>30000</v>
      </c>
      <c r="V33" s="2">
        <f>IFERROR(__xludf.DUMMYFUNCTION("""COMPUTED_VALUE"""),51.0)</f>
        <v>51</v>
      </c>
      <c r="W33" s="2">
        <f>IFERROR(__xludf.DUMMYFUNCTION("""COMPUTED_VALUE"""),50.0)</f>
        <v>50</v>
      </c>
      <c r="X33" s="2">
        <f>IFERROR(__xludf.DUMMYFUNCTION("""COMPUTED_VALUE"""),50.0)</f>
        <v>50</v>
      </c>
      <c r="Y33" s="2"/>
      <c r="Z33" s="2"/>
      <c r="AA33" s="2"/>
      <c r="AB33" s="2">
        <f>IFERROR(__xludf.DUMMYFUNCTION("""COMPUTED_VALUE"""),0.03)</f>
        <v>0.03</v>
      </c>
      <c r="AC33" s="2"/>
      <c r="AD33" s="2"/>
      <c r="AE33" s="2"/>
      <c r="AF33" s="2"/>
      <c r="AG33" s="2"/>
      <c r="AH33" s="2"/>
      <c r="AI33" s="2"/>
      <c r="AJ33" s="2" t="str">
        <f>IFERROR(__xludf.DUMMYFUNCTION("""COMPUTED_VALUE"""),"A")</f>
        <v>A</v>
      </c>
      <c r="AK33" s="2"/>
      <c r="AL33" s="2"/>
      <c r="AM33" s="2"/>
      <c r="AN33" s="2">
        <f>IFERROR(__xludf.DUMMYFUNCTION("""COMPUTED_VALUE"""),220.0)</f>
        <v>220</v>
      </c>
      <c r="AO33" s="2">
        <f>IFERROR(__xludf.DUMMYFUNCTION("""COMPUTED_VALUE"""),220.0)</f>
        <v>220</v>
      </c>
      <c r="AP33" s="2"/>
      <c r="AQ33" s="2"/>
      <c r="AR33" s="2"/>
      <c r="AS33" s="2" t="str">
        <f>IFERROR(__xludf.DUMMYFUNCTION("""COMPUTED_VALUE"""),"Картон")</f>
        <v>Картон</v>
      </c>
      <c r="AT33" s="2" t="str">
        <f>IFERROR(__xludf.DUMMYFUNCTION("""COMPUTED_VALUE"""),"Нет")</f>
        <v>Нет</v>
      </c>
      <c r="AU33" s="2">
        <f>IFERROR(__xludf.DUMMYFUNCTION("""COMPUTED_VALUE"""),2.1E-4)</f>
        <v>0.00021</v>
      </c>
      <c r="AV33" s="2">
        <f>IFERROR(__xludf.DUMMYFUNCTION("""COMPUTED_VALUE"""),0.03)</f>
        <v>0.03</v>
      </c>
      <c r="AW33" s="2">
        <f>IFERROR(__xludf.DUMMYFUNCTION("""COMPUTED_VALUE"""),100.0)</f>
        <v>100</v>
      </c>
      <c r="AX33" s="2"/>
      <c r="AY33" s="2"/>
      <c r="AZ33" s="2"/>
      <c r="BA33" s="2">
        <f>IFERROR(__xludf.DUMMYFUNCTION("""COMPUTED_VALUE"""),0.021)</f>
        <v>0.021</v>
      </c>
      <c r="BB33" s="2">
        <f>IFERROR(__xludf.DUMMYFUNCTION("""COMPUTED_VALUE"""),3.0)</f>
        <v>3</v>
      </c>
      <c r="BC33" s="2"/>
      <c r="BD33" s="2"/>
      <c r="BE33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3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3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3" s="2"/>
      <c r="BI33" s="2">
        <f>IFERROR(__xludf.DUMMYFUNCTION("""COMPUTED_VALUE"""),60.0)</f>
        <v>60</v>
      </c>
      <c r="BJ33" s="2">
        <f>IFERROR(__xludf.DUMMYFUNCTION("""COMPUTED_VALUE"""),21.0)</f>
        <v>21</v>
      </c>
      <c r="BK33" s="2">
        <f>IFERROR(__xludf.DUMMYFUNCTION("""COMPUTED_VALUE"""),0.0)</f>
        <v>0</v>
      </c>
      <c r="BL33" s="2">
        <f t="shared" si="1"/>
        <v>30</v>
      </c>
    </row>
    <row r="34">
      <c r="A34" s="2">
        <f>IFERROR(__xludf.DUMMYFUNCTION("""COMPUTED_VALUE"""),4.690612015446E12)</f>
        <v>4690612015446</v>
      </c>
      <c r="B34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IFERROR(__xludf.DUMMYFUNCTION("""COMPUTED_VALUE"""),"E14")</f>
        <v>E14</v>
      </c>
      <c r="O34" s="2"/>
      <c r="P34" s="2">
        <f>IFERROR(__xludf.DUMMYFUNCTION("""COMPUTED_VALUE"""),900.0)</f>
        <v>900</v>
      </c>
      <c r="Q34" s="2">
        <f>IFERROR(__xludf.DUMMYFUNCTION("""COMPUTED_VALUE"""),3000.0)</f>
        <v>3000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4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4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4" s="2"/>
      <c r="BI34" s="2">
        <f>IFERROR(__xludf.DUMMYFUNCTION("""COMPUTED_VALUE"""),30.0)</f>
        <v>30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IFERROR(__xludf.DUMMYFUNCTION("""COMPUTED_VALUE"""),4.690612015477E12)</f>
        <v>4690612015477</v>
      </c>
      <c r="B35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5" s="2" t="str">
        <f>IFERROR(__xludf.DUMMYFUNCTION("""COMPUTED_VALUE"""),"Лампа светодиодная LED-ШАР-standard")</f>
        <v>Лампа светодиодная LED-ШАР-standard</v>
      </c>
      <c r="D35" s="2"/>
      <c r="E35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 t="str">
        <f>IFERROR(__xludf.DUMMYFUNCTION("""COMPUTED_VALUE"""),"ASD")</f>
        <v>ASD</v>
      </c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IFERROR(__xludf.DUMMYFUNCTION("""COMPUTED_VALUE"""),"E27")</f>
        <v>E27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>
        <f>IFERROR(__xludf.DUMMYFUNCTION("""COMPUTED_VALUE"""),2.4E-4)</f>
        <v>0.00024</v>
      </c>
      <c r="AV35" s="2">
        <f>IFERROR(__xludf.DUMMYFUNCTION("""COMPUTED_VALUE"""),0.0455)</f>
        <v>0.0455</v>
      </c>
      <c r="AW35" s="2">
        <f>IFERROR(__xludf.DUMMYFUNCTION("""COMPUTED_VALUE"""),10.0)</f>
        <v>10</v>
      </c>
      <c r="AX35" s="2">
        <f>IFERROR(__xludf.DUMMYFUNCTION("""COMPUTED_VALUE"""),46.0)</f>
        <v>46</v>
      </c>
      <c r="AY35" s="2">
        <f>IFERROR(__xludf.DUMMYFUNCTION("""COMPUTED_VALUE"""),46.0)</f>
        <v>46</v>
      </c>
      <c r="AZ35" s="2">
        <f>IFERROR(__xludf.DUMMYFUNCTION("""COMPUTED_VALUE"""),85.0)</f>
        <v>85</v>
      </c>
      <c r="BA35" s="2">
        <f>IFERROR(__xludf.DUMMYFUNCTION("""COMPUTED_VALUE"""),0.00239)</f>
        <v>0.00239</v>
      </c>
      <c r="BB35" s="2">
        <f>IFERROR(__xludf.DUMMYFUNCTION("""COMPUTED_VALUE"""),0.455)</f>
        <v>0.455</v>
      </c>
      <c r="BC35" s="2"/>
      <c r="BD35" s="2"/>
      <c r="BE35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5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5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5" s="2"/>
      <c r="BI35" s="2">
        <f>IFERROR(__xludf.DUMMYFUNCTION("""COMPUTED_VALUE"""),9.0)</f>
        <v>9</v>
      </c>
      <c r="BJ35" s="2">
        <f>IFERROR(__xludf.DUMMYFUNCTION("""COMPUTED_VALUE"""),30.0)</f>
        <v>30</v>
      </c>
      <c r="BK35" s="2">
        <f>IFERROR(__xludf.DUMMYFUNCTION("""COMPUTED_VALUE"""),0.0)</f>
        <v>0</v>
      </c>
      <c r="BL35" s="2">
        <f t="shared" si="1"/>
        <v>23</v>
      </c>
    </row>
    <row r="36">
      <c r="A36" s="2">
        <f>IFERROR(__xludf.DUMMYFUNCTION("""COMPUTED_VALUE"""),4.690612015484E12)</f>
        <v>4690612015484</v>
      </c>
      <c r="B36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6" s="2" t="str">
        <f>IFERROR(__xludf.DUMMYFUNCTION("""COMPUTED_VALUE"""),"Лампа светодиодная LED-ШАР-standard")</f>
        <v>Лампа светодиодная LED-ШАР-standard</v>
      </c>
      <c r="D36" s="2"/>
      <c r="E36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IFERROR(__xludf.DUMMYFUNCTION("""COMPUTED_VALUE"""),"E27")</f>
        <v>E27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IFERROR(__xludf.DUMMYFUNCTION("""COMPUTED_VALUE"""),2.3E-4)</f>
        <v>0.00023</v>
      </c>
      <c r="AV36" s="2">
        <f>IFERROR(__xludf.DUMMYFUNCTION("""COMPUTED_VALUE"""),0.036)</f>
        <v>0.036</v>
      </c>
      <c r="AW36" s="2">
        <f>IFERROR(__xludf.DUMMYFUNCTION("""COMPUTED_VALUE"""),100.0)</f>
        <v>100</v>
      </c>
      <c r="AX36" s="2">
        <f>IFERROR(__xludf.DUMMYFUNCTION("""COMPUTED_VALUE"""),46.0)</f>
        <v>46</v>
      </c>
      <c r="AY36" s="2">
        <f>IFERROR(__xludf.DUMMYFUNCTION("""COMPUTED_VALUE"""),46.0)</f>
        <v>46</v>
      </c>
      <c r="AZ36" s="2">
        <f>IFERROR(__xludf.DUMMYFUNCTION("""COMPUTED_VALUE"""),85.0)</f>
        <v>85</v>
      </c>
      <c r="BA36" s="2">
        <f>IFERROR(__xludf.DUMMYFUNCTION("""COMPUTED_VALUE"""),0.023)</f>
        <v>0.023</v>
      </c>
      <c r="BB36" s="2">
        <f>IFERROR(__xludf.DUMMYFUNCTION("""COMPUTED_VALUE"""),3.6)</f>
        <v>3.6</v>
      </c>
      <c r="BC36" s="2"/>
      <c r="BD36" s="2"/>
      <c r="BE36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6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6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6" s="2"/>
      <c r="BI36" s="2">
        <f>IFERROR(__xludf.DUMMYFUNCTION("""COMPUTED_VALUE"""),1.0)</f>
        <v>1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25</v>
      </c>
    </row>
    <row r="37">
      <c r="A37" s="2">
        <f>IFERROR(__xludf.DUMMYFUNCTION("""COMPUTED_VALUE"""),4.690612015507E12)</f>
        <v>4690612015507</v>
      </c>
      <c r="B37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7" s="2" t="str">
        <f>IFERROR(__xludf.DUMMYFUNCTION("""COMPUTED_VALUE"""),"ASD лампы LED")</f>
        <v>ASD лампы LED</v>
      </c>
      <c r="D37" s="2"/>
      <c r="E37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/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IFERROR(__xludf.DUMMYFUNCTION("""COMPUTED_VALUE"""),"E14")</f>
        <v>E14</v>
      </c>
      <c r="O37" s="2"/>
      <c r="P37" s="2">
        <f>IFERROR(__xludf.DUMMYFUNCTION("""COMPUTED_VALUE"""),900.0)</f>
        <v>900</v>
      </c>
      <c r="Q37" s="2">
        <f>IFERROR(__xludf.DUMMYFUNCTION("""COMPUTED_VALUE"""),3000.0)</f>
        <v>3000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IFERROR(__xludf.DUMMYFUNCTION("""COMPUTED_VALUE"""),1.9E-4)</f>
        <v>0.00019</v>
      </c>
      <c r="AV37" s="2">
        <f>IFERROR(__xludf.DUMMYFUNCTION("""COMPUTED_VALUE"""),0.033)</f>
        <v>0.033</v>
      </c>
      <c r="AW37" s="2">
        <f>IFERROR(__xludf.DUMMYFUNCTION("""COMPUTED_VALUE"""),100.0)</f>
        <v>100</v>
      </c>
      <c r="AX37" s="2"/>
      <c r="AY37" s="2"/>
      <c r="AZ37" s="2"/>
      <c r="BA37" s="2">
        <f>IFERROR(__xludf.DUMMYFUNCTION("""COMPUTED_VALUE"""),0.019)</f>
        <v>0.019</v>
      </c>
      <c r="BB37" s="2">
        <f>IFERROR(__xludf.DUMMYFUNCTION("""COMPUTED_VALUE"""),3.3)</f>
        <v>3.3</v>
      </c>
      <c r="BC37" s="2"/>
      <c r="BD37" s="2"/>
      <c r="BE37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7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7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7" s="2"/>
      <c r="BI37" s="2">
        <f>IFERROR(__xludf.DUMMYFUNCTION("""COMPUTED_VALUE"""),6.0)</f>
        <v>6</v>
      </c>
      <c r="BJ37" s="2">
        <f>IFERROR(__xludf.DUMMYFUNCTION("""COMPUTED_VALUE"""),25.0)</f>
        <v>25</v>
      </c>
      <c r="BK37" s="2">
        <f>IFERROR(__xludf.DUMMYFUNCTION("""COMPUTED_VALUE"""),0.0)</f>
        <v>0</v>
      </c>
      <c r="BL37" s="2">
        <f t="shared" si="1"/>
        <v>21</v>
      </c>
    </row>
    <row r="38">
      <c r="A38" s="2">
        <f>IFERROR(__xludf.DUMMYFUNCTION("""COMPUTED_VALUE"""),4.690612015576E12)</f>
        <v>4690612015576</v>
      </c>
      <c r="B38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8" s="2" t="str">
        <f>IFERROR(__xludf.DUMMYFUNCTION("""COMPUTED_VALUE"""),"Лампа светодиодная LED-СВЕЧА-standard")</f>
        <v>Лампа светодиодная LED-СВЕЧА-standard</v>
      </c>
      <c r="D38" s="2"/>
      <c r="E38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IFERROR(__xludf.DUMMYFUNCTION("""COMPUTED_VALUE"""),"ASD")</f>
        <v>ASD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IFERROR(__xludf.DUMMYFUNCTION("""COMPUTED_VALUE"""),10.0)</f>
        <v>10</v>
      </c>
      <c r="N38" s="2" t="str">
        <f>IFERROR(__xludf.DUMMYFUNCTION("""COMPUTED_VALUE"""),"E14")</f>
        <v>E14</v>
      </c>
      <c r="O38" s="2"/>
      <c r="P38" s="2">
        <f>IFERROR(__xludf.DUMMYFUNCTION("""COMPUTED_VALUE"""),900.0)</f>
        <v>900</v>
      </c>
      <c r="Q38" s="2">
        <f>IFERROR(__xludf.DUMMYFUNCTION("""COMPUTED_VALUE"""),4000.0)</f>
        <v>4000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IFERROR(__xludf.DUMMYFUNCTION("""COMPUTED_VALUE"""),1.9E-4)</f>
        <v>0.00019</v>
      </c>
      <c r="AV38" s="2">
        <f>IFERROR(__xludf.DUMMYFUNCTION("""COMPUTED_VALUE"""),0.033)</f>
        <v>0.033</v>
      </c>
      <c r="AW38" s="2">
        <f>IFERROR(__xludf.DUMMYFUNCTION("""COMPUTED_VALUE"""),100.0)</f>
        <v>100</v>
      </c>
      <c r="AX38" s="2"/>
      <c r="AY38" s="2"/>
      <c r="AZ38" s="2"/>
      <c r="BA38" s="2">
        <f>IFERROR(__xludf.DUMMYFUNCTION("""COMPUTED_VALUE"""),0.019)</f>
        <v>0.019</v>
      </c>
      <c r="BB38" s="2">
        <f>IFERROR(__xludf.DUMMYFUNCTION("""COMPUTED_VALUE"""),3.3)</f>
        <v>3.3</v>
      </c>
      <c r="BC38" s="2"/>
      <c r="BD38" s="2"/>
      <c r="BE38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8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8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8" s="2"/>
      <c r="BI38" s="2">
        <f>IFERROR(__xludf.DUMMYFUNCTION("""COMPUTED_VALUE"""),3.0)</f>
        <v>3</v>
      </c>
      <c r="BJ38" s="2">
        <f>IFERROR(__xludf.DUMMYFUNCTION("""COMPUTED_VALUE"""),25.0)</f>
        <v>25</v>
      </c>
      <c r="BK38" s="2">
        <f>IFERROR(__xludf.DUMMYFUNCTION("""COMPUTED_VALUE"""),0.0)</f>
        <v>0</v>
      </c>
      <c r="BL38" s="2">
        <f t="shared" si="1"/>
        <v>22</v>
      </c>
    </row>
    <row r="39">
      <c r="A39" s="2">
        <f>IFERROR(__xludf.DUMMYFUNCTION("""COMPUTED_VALUE"""),4.690612015828E12)</f>
        <v>4690612015828</v>
      </c>
      <c r="B39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9" s="2" t="str">
        <f>IFERROR(__xludf.DUMMYFUNCTION("""COMPUTED_VALUE"""),"Лампа светодиодная LED-JCDR-standard")</f>
        <v>Лампа светодиодная LED-JCDR-standard</v>
      </c>
      <c r="D39" s="2"/>
      <c r="E39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IFERROR(__xludf.DUMMYFUNCTION("""COMPUTED_VALUE"""),"ASD")</f>
        <v>ASD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IFERROR(__xludf.DUMMYFUNCTION("""COMPUTED_VALUE"""),10.0)</f>
        <v>10</v>
      </c>
      <c r="N39" s="2" t="str">
        <f>IFERROR(__xludf.DUMMYFUNCTION("""COMPUTED_VALUE"""),"GU5.3")</f>
        <v>GU5.3</v>
      </c>
      <c r="O39" s="2"/>
      <c r="P39" s="2">
        <f>IFERROR(__xludf.DUMMYFUNCTION("""COMPUTED_VALUE"""),900.0)</f>
        <v>900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/>
      <c r="U39" s="2" t="str">
        <f>IFERROR(__xludf.DUMMYFUNCTION("""COMPUTED_VALUE"""),"30 000 часов")</f>
        <v>30 000 часов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 t="str">
        <f>IFERROR(__xludf.DUMMYFUNCTION("""COMPUTED_VALUE"""),"A")</f>
        <v>A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/>
      <c r="AN39" s="2">
        <f>IFERROR(__xludf.DUMMYFUNCTION("""COMPUTED_VALUE"""),170.0)</f>
        <v>170</v>
      </c>
      <c r="AO39" s="2">
        <f>IFERROR(__xludf.DUMMYFUNCTION("""COMPUTED_VALUE"""),265.0)</f>
        <v>265</v>
      </c>
      <c r="AP39" s="2"/>
      <c r="AQ39" s="2"/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IFERROR(__xludf.DUMMYFUNCTION("""COMPUTED_VALUE"""),2.1E-4)</f>
        <v>0.00021</v>
      </c>
      <c r="AV39" s="2">
        <f>IFERROR(__xludf.DUMMYFUNCTION("""COMPUTED_VALUE"""),0.037)</f>
        <v>0.037</v>
      </c>
      <c r="AW39" s="2">
        <f>IFERROR(__xludf.DUMMYFUNCTION("""COMPUTED_VALUE"""),100.0)</f>
        <v>100</v>
      </c>
      <c r="AX39" s="2">
        <f>IFERROR(__xludf.DUMMYFUNCTION("""COMPUTED_VALUE"""),52.0)</f>
        <v>52</v>
      </c>
      <c r="AY39" s="2">
        <f>IFERROR(__xludf.DUMMYFUNCTION("""COMPUTED_VALUE"""),52.0)</f>
        <v>52</v>
      </c>
      <c r="AZ39" s="2">
        <f>IFERROR(__xludf.DUMMYFUNCTION("""COMPUTED_VALUE"""),50.0)</f>
        <v>50</v>
      </c>
      <c r="BA39" s="2">
        <f>IFERROR(__xludf.DUMMYFUNCTION("""COMPUTED_VALUE"""),0.021)</f>
        <v>0.021</v>
      </c>
      <c r="BB39" s="2">
        <f>IFERROR(__xludf.DUMMYFUNCTION("""COMPUTED_VALUE"""),3.7)</f>
        <v>3.7</v>
      </c>
      <c r="BC39" s="2"/>
      <c r="BD39" s="2"/>
      <c r="BE39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9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9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9" s="2"/>
      <c r="BI39" s="2">
        <f>IFERROR(__xludf.DUMMYFUNCTION("""COMPUTED_VALUE"""),5.0)</f>
        <v>5</v>
      </c>
      <c r="BJ39" s="2">
        <f>IFERROR(__xludf.DUMMYFUNCTION("""COMPUTED_VALUE"""),26.0)</f>
        <v>26</v>
      </c>
      <c r="BK39" s="2">
        <f>IFERROR(__xludf.DUMMYFUNCTION("""COMPUTED_VALUE"""),0.0)</f>
        <v>0</v>
      </c>
      <c r="BL39" s="2">
        <f t="shared" si="1"/>
        <v>32</v>
      </c>
    </row>
    <row r="40">
      <c r="A40" s="2">
        <f>IFERROR(__xludf.DUMMYFUNCTION("""COMPUTED_VALUE"""),4.69061201632E12)</f>
        <v>4690612016320</v>
      </c>
      <c r="B40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40" s="2" t="str">
        <f>IFERROR(__xludf.DUMMYFUNCTION("""COMPUTED_VALUE"""),"Лампа светодиодная LED-ШАР-DECO")</f>
        <v>Лампа светодиодная LED-ШАР-DECO</v>
      </c>
      <c r="D40" s="2">
        <f>IFERROR(__xludf.DUMMYFUNCTION("""COMPUTED_VALUE"""),4.69061201632E12)</f>
        <v>4690612016320</v>
      </c>
      <c r="E40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 t="str">
        <f>IFERROR(__xludf.DUMMYFUNCTION("""COMPUTED_VALUE"""),"IN HOME")</f>
        <v>IN HOME</v>
      </c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 t="str">
        <f>IFERROR(__xludf.DUMMYFUNCTION("""COMPUTED_VALUE"""),"filament")</f>
        <v>filament</v>
      </c>
      <c r="P40" s="2">
        <f>IFERROR(__xludf.DUMMYFUNCTION("""COMPUTED_VALUE"""),630.0)</f>
        <v>630</v>
      </c>
      <c r="Q40" s="2">
        <f>IFERROR(__xludf.DUMMYFUNCTION("""COMPUTED_VALUE"""),3000.0)</f>
        <v>3000</v>
      </c>
      <c r="R40" s="2">
        <f>IFERROR(__xludf.DUMMYFUNCTION("""COMPUTED_VALUE"""),80.0)</f>
        <v>80</v>
      </c>
      <c r="S40" s="2"/>
      <c r="T40" s="2" t="str">
        <f>IFERROR(__xludf.DUMMYFUNCTION("""COMPUTED_VALUE"""),"Д")</f>
        <v>Д</v>
      </c>
      <c r="U40" s="2">
        <f>IFERROR(__xludf.DUMMYFUNCTION("""COMPUTED_VALUE"""),30000.0)</f>
        <v>30000</v>
      </c>
      <c r="V40" s="2">
        <f>IFERROR(__xludf.DUMMYFUNCTION("""COMPUTED_VALUE"""),78.0)</f>
        <v>78</v>
      </c>
      <c r="W40" s="2">
        <f>IFERROR(__xludf.DUMMYFUNCTION("""COMPUTED_VALUE"""),45.0)</f>
        <v>45</v>
      </c>
      <c r="X40" s="2"/>
      <c r="Y40" s="2"/>
      <c r="Z40" s="2"/>
      <c r="AA40" s="2"/>
      <c r="AB40" s="2">
        <f>IFERROR(__xludf.DUMMYFUNCTION("""COMPUTED_VALUE"""),0.0428)</f>
        <v>0.0428</v>
      </c>
      <c r="AC40" s="2"/>
      <c r="AD40" s="2"/>
      <c r="AE40" s="2" t="str">
        <f>IFERROR(__xludf.DUMMYFUNCTION("""COMPUTED_VALUE"""),"стекло")</f>
        <v>стекло</v>
      </c>
      <c r="AF40" s="2"/>
      <c r="AG40" s="2"/>
      <c r="AH40" s="2"/>
      <c r="AI40" s="2"/>
      <c r="AJ40" s="2" t="str">
        <f>IFERROR(__xludf.DUMMYFUNCTION("""COMPUTED_VALUE"""),"A1")</f>
        <v>A1</v>
      </c>
      <c r="AK40" s="2">
        <f>IFERROR(__xludf.DUMMYFUNCTION("""COMPUTED_VALUE"""),0.85)</f>
        <v>0.85</v>
      </c>
      <c r="AL40" s="2">
        <f>IFERROR(__xludf.DUMMYFUNCTION("""COMPUTED_VALUE"""),5.0)</f>
        <v>5</v>
      </c>
      <c r="AM40" s="2">
        <f>IFERROR(__xludf.DUMMYFUNCTION("""COMPUTED_VALUE"""),0.06)</f>
        <v>0.06</v>
      </c>
      <c r="AN40" s="2">
        <f>IFERROR(__xludf.DUMMYFUNCTION("""COMPUTED_VALUE"""),150.0)</f>
        <v>150</v>
      </c>
      <c r="AO40" s="2">
        <f>IFERROR(__xludf.DUMMYFUNCTION("""COMPUTED_VALUE"""),275.0)</f>
        <v>275</v>
      </c>
      <c r="AP40" s="2">
        <f>IFERROR(__xludf.DUMMYFUNCTION("""COMPUTED_VALUE"""),-10.0)</f>
        <v>-10</v>
      </c>
      <c r="AQ40" s="2">
        <f>IFERROR(__xludf.DUMMYFUNCTION("""COMPUTED_VALUE"""),40.0)</f>
        <v>40</v>
      </c>
      <c r="AR40" s="2"/>
      <c r="AS40" s="2" t="str">
        <f>IFERROR(__xludf.DUMMYFUNCTION("""COMPUTED_VALUE"""),"Картон")</f>
        <v>Картон</v>
      </c>
      <c r="AT40" s="2" t="str">
        <f>IFERROR(__xludf.DUMMYFUNCTION("""COMPUTED_VALUE"""),"Нет")</f>
        <v>Нет</v>
      </c>
      <c r="AU40" s="2">
        <f>IFERROR(__xludf.DUMMYFUNCTION("""COMPUTED_VALUE"""),2.4E-4)</f>
        <v>0.00024</v>
      </c>
      <c r="AV40" s="2">
        <f>IFERROR(__xludf.DUMMYFUNCTION("""COMPUTED_VALUE"""),0.043)</f>
        <v>0.043</v>
      </c>
      <c r="AW40" s="2">
        <f>IFERROR(__xludf.DUMMYFUNCTION("""COMPUTED_VALUE"""),50.0)</f>
        <v>50</v>
      </c>
      <c r="AX40" s="2">
        <f>IFERROR(__xludf.DUMMYFUNCTION("""COMPUTED_VALUE"""),46.0)</f>
        <v>46</v>
      </c>
      <c r="AY40" s="2">
        <f>IFERROR(__xludf.DUMMYFUNCTION("""COMPUTED_VALUE"""),46.0)</f>
        <v>46</v>
      </c>
      <c r="AZ40" s="2">
        <f>IFERROR(__xludf.DUMMYFUNCTION("""COMPUTED_VALUE"""),85.0)</f>
        <v>85</v>
      </c>
      <c r="BA40" s="2">
        <f>IFERROR(__xludf.DUMMYFUNCTION("""COMPUTED_VALUE"""),0.012)</f>
        <v>0.012</v>
      </c>
      <c r="BB40" s="2">
        <f>IFERROR(__xludf.DUMMYFUNCTION("""COMPUTED_VALUE"""),2.15)</f>
        <v>2.15</v>
      </c>
      <c r="BC40" s="2">
        <f>IFERROR(__xludf.DUMMYFUNCTION("""COMPUTED_VALUE"""),4.69061201632E12)</f>
        <v>4690612016320</v>
      </c>
      <c r="BD40" s="2"/>
      <c r="BE40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40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40" s="2"/>
      <c r="BI40" s="2">
        <f>IFERROR(__xludf.DUMMYFUNCTION("""COMPUTED_VALUE"""),43.0)</f>
        <v>43</v>
      </c>
      <c r="BJ40" s="2">
        <f>IFERROR(__xludf.DUMMYFUNCTION("""COMPUTED_VALUE"""),51.0)</f>
        <v>51</v>
      </c>
      <c r="BK40" s="2">
        <f>IFERROR(__xludf.DUMMYFUNCTION("""COMPUTED_VALUE"""),0.0)</f>
        <v>0</v>
      </c>
      <c r="BL40" s="2">
        <f t="shared" si="1"/>
        <v>43</v>
      </c>
    </row>
    <row r="41">
      <c r="A41" s="2">
        <f>IFERROR(__xludf.DUMMYFUNCTION("""COMPUTED_VALUE"""),4.690612016337E12)</f>
        <v>4690612016337</v>
      </c>
      <c r="B41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41" s="2" t="str">
        <f>IFERROR(__xludf.DUMMYFUNCTION("""COMPUTED_VALUE"""),"Лампа светодиодная LED-ШАР-DECO")</f>
        <v>Лампа светодиодная LED-ШАР-DECO</v>
      </c>
      <c r="D41" s="2">
        <f>IFERROR(__xludf.DUMMYFUNCTION("""COMPUTED_VALUE"""),4.690612016337E12)</f>
        <v>4690612016337</v>
      </c>
      <c r="E41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IFERROR(__xludf.DUMMYFUNCTION("""COMPUTED_VALUE"""),"IN HOME")</f>
        <v>IN HOME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IFERROR(__xludf.DUMMYFUNCTION("""COMPUTED_VALUE"""),7.0)</f>
        <v>7</v>
      </c>
      <c r="N41" s="2" t="str">
        <f>IFERROR(__xludf.DUMMYFUNCTION("""COMPUTED_VALUE"""),"E27")</f>
        <v>E27</v>
      </c>
      <c r="O41" s="2" t="str">
        <f>IFERROR(__xludf.DUMMYFUNCTION("""COMPUTED_VALUE"""),"filament")</f>
        <v>filament</v>
      </c>
      <c r="P41" s="2">
        <f>IFERROR(__xludf.DUMMYFUNCTION("""COMPUTED_VALUE"""),630.0)</f>
        <v>630</v>
      </c>
      <c r="Q41" s="2">
        <f>IFERROR(__xludf.DUMMYFUNCTION("""COMPUTED_VALUE"""),4000.0)</f>
        <v>4000</v>
      </c>
      <c r="R41" s="2">
        <f>IFERROR(__xludf.DUMMYFUNCTION("""COMPUTED_VALUE"""),80.0)</f>
        <v>80</v>
      </c>
      <c r="S41" s="2"/>
      <c r="T41" s="2" t="str">
        <f>IFERROR(__xludf.DUMMYFUNCTION("""COMPUTED_VALUE"""),"Д")</f>
        <v>Д</v>
      </c>
      <c r="U41" s="2">
        <f>IFERROR(__xludf.DUMMYFUNCTION("""COMPUTED_VALUE"""),30000.0)</f>
        <v>30000</v>
      </c>
      <c r="V41" s="2">
        <f>IFERROR(__xludf.DUMMYFUNCTION("""COMPUTED_VALUE"""),78.0)</f>
        <v>78</v>
      </c>
      <c r="W41" s="2">
        <f>IFERROR(__xludf.DUMMYFUNCTION("""COMPUTED_VALUE"""),45.0)</f>
        <v>45</v>
      </c>
      <c r="X41" s="2"/>
      <c r="Y41" s="2"/>
      <c r="Z41" s="2"/>
      <c r="AA41" s="2"/>
      <c r="AB41" s="2">
        <f>IFERROR(__xludf.DUMMYFUNCTION("""COMPUTED_VALUE"""),0.0428)</f>
        <v>0.0428</v>
      </c>
      <c r="AC41" s="2"/>
      <c r="AD41" s="2"/>
      <c r="AE41" s="2" t="str">
        <f>IFERROR(__xludf.DUMMYFUNCTION("""COMPUTED_VALUE"""),"стекло")</f>
        <v>стекло</v>
      </c>
      <c r="AF41" s="2"/>
      <c r="AG41" s="2"/>
      <c r="AH41" s="2"/>
      <c r="AI41" s="2"/>
      <c r="AJ41" s="2" t="str">
        <f>IFERROR(__xludf.DUMMYFUNCTION("""COMPUTED_VALUE"""),"A1")</f>
        <v>A1</v>
      </c>
      <c r="AK41" s="2">
        <f>IFERROR(__xludf.DUMMYFUNCTION("""COMPUTED_VALUE"""),0.85)</f>
        <v>0.85</v>
      </c>
      <c r="AL41" s="2">
        <f>IFERROR(__xludf.DUMMYFUNCTION("""COMPUTED_VALUE"""),5.0)</f>
        <v>5</v>
      </c>
      <c r="AM41" s="2">
        <f>IFERROR(__xludf.DUMMYFUNCTION("""COMPUTED_VALUE"""),0.06)</f>
        <v>0.06</v>
      </c>
      <c r="AN41" s="2">
        <f>IFERROR(__xludf.DUMMYFUNCTION("""COMPUTED_VALUE"""),150.0)</f>
        <v>150</v>
      </c>
      <c r="AO41" s="2">
        <f>IFERROR(__xludf.DUMMYFUNCTION("""COMPUTED_VALUE"""),275.0)</f>
        <v>275</v>
      </c>
      <c r="AP41" s="2">
        <f>IFERROR(__xludf.DUMMYFUNCTION("""COMPUTED_VALUE"""),-10.0)</f>
        <v>-10</v>
      </c>
      <c r="AQ41" s="2">
        <f>IFERROR(__xludf.DUMMYFUNCTION("""COMPUTED_VALUE"""),40.0)</f>
        <v>40</v>
      </c>
      <c r="AR41" s="2"/>
      <c r="AS41" s="2" t="str">
        <f>IFERROR(__xludf.DUMMYFUNCTION("""COMPUTED_VALUE"""),"Картон")</f>
        <v>Картон</v>
      </c>
      <c r="AT41" s="2" t="str">
        <f>IFERROR(__xludf.DUMMYFUNCTION("""COMPUTED_VALUE"""),"Нет")</f>
        <v>Нет</v>
      </c>
      <c r="AU41" s="2">
        <f>IFERROR(__xludf.DUMMYFUNCTION("""COMPUTED_VALUE"""),2.4E-4)</f>
        <v>0.00024</v>
      </c>
      <c r="AV41" s="2">
        <f>IFERROR(__xludf.DUMMYFUNCTION("""COMPUTED_VALUE"""),0.043)</f>
        <v>0.043</v>
      </c>
      <c r="AW41" s="2">
        <f>IFERROR(__xludf.DUMMYFUNCTION("""COMPUTED_VALUE"""),50.0)</f>
        <v>50</v>
      </c>
      <c r="AX41" s="2">
        <f>IFERROR(__xludf.DUMMYFUNCTION("""COMPUTED_VALUE"""),46.0)</f>
        <v>46</v>
      </c>
      <c r="AY41" s="2">
        <f>IFERROR(__xludf.DUMMYFUNCTION("""COMPUTED_VALUE"""),46.0)</f>
        <v>46</v>
      </c>
      <c r="AZ41" s="2">
        <f>IFERROR(__xludf.DUMMYFUNCTION("""COMPUTED_VALUE"""),85.0)</f>
        <v>85</v>
      </c>
      <c r="BA41" s="2">
        <f>IFERROR(__xludf.DUMMYFUNCTION("""COMPUTED_VALUE"""),0.012)</f>
        <v>0.012</v>
      </c>
      <c r="BB41" s="2">
        <f>IFERROR(__xludf.DUMMYFUNCTION("""COMPUTED_VALUE"""),2.15)</f>
        <v>2.15</v>
      </c>
      <c r="BC41" s="2">
        <f>IFERROR(__xludf.DUMMYFUNCTION("""COMPUTED_VALUE"""),4.690612016337E12)</f>
        <v>4690612016337</v>
      </c>
      <c r="BD41" s="2"/>
      <c r="BE41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41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41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41" s="2"/>
      <c r="BI41" s="2">
        <f>IFERROR(__xludf.DUMMYFUNCTION("""COMPUTED_VALUE"""),53.0)</f>
        <v>53</v>
      </c>
      <c r="BJ41" s="2">
        <f>IFERROR(__xludf.DUMMYFUNCTION("""COMPUTED_VALUE"""),51.0)</f>
        <v>51</v>
      </c>
      <c r="BK41" s="2">
        <f>IFERROR(__xludf.DUMMYFUNCTION("""COMPUTED_VALUE"""),0.0)</f>
        <v>0</v>
      </c>
      <c r="BL41" s="2">
        <f t="shared" si="1"/>
        <v>43</v>
      </c>
    </row>
    <row r="42">
      <c r="A42" s="2">
        <f>IFERROR(__xludf.DUMMYFUNCTION("""COMPUTED_VALUE"""),4.690612016399E12)</f>
        <v>4690612016399</v>
      </c>
      <c r="B42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2" s="2" t="str">
        <f>IFERROR(__xludf.DUMMYFUNCTION("""COMPUTED_VALUE"""),"Лампа светодиодная LED-СВЕЧА-DECO")</f>
        <v>Лампа светодиодная LED-СВЕЧА-DECO</v>
      </c>
      <c r="D42" s="2"/>
      <c r="E42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IFERROR(__xludf.DUMMYFUNCTION("""COMPUTED_VALUE"""),7.0)</f>
        <v>7</v>
      </c>
      <c r="N42" s="2" t="str">
        <f>IFERROR(__xludf.DUMMYFUNCTION("""COMPUTED_VALUE"""),"E27")</f>
        <v>E27</v>
      </c>
      <c r="O42" s="2"/>
      <c r="P42" s="2">
        <f>IFERROR(__xludf.DUMMYFUNCTION("""COMPUTED_VALUE"""),630.0)</f>
        <v>630</v>
      </c>
      <c r="Q42" s="2">
        <f>IFERROR(__xludf.DUMMYFUNCTION("""COMPUTED_VALUE"""),4000.0)</f>
        <v>4000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>
        <f>IFERROR(__xludf.DUMMYFUNCTION("""COMPUTED_VALUE"""),2.6E-4)</f>
        <v>0.00026</v>
      </c>
      <c r="AV42" s="2">
        <f>IFERROR(__xludf.DUMMYFUNCTION("""COMPUTED_VALUE"""),0.025)</f>
        <v>0.025</v>
      </c>
      <c r="AW42" s="2">
        <f>IFERROR(__xludf.DUMMYFUNCTION("""COMPUTED_VALUE"""),50.0)</f>
        <v>50</v>
      </c>
      <c r="AX42" s="2"/>
      <c r="AY42" s="2"/>
      <c r="AZ42" s="2"/>
      <c r="BA42" s="2">
        <f>IFERROR(__xludf.DUMMYFUNCTION("""COMPUTED_VALUE"""),0.013)</f>
        <v>0.013</v>
      </c>
      <c r="BB42" s="2">
        <f>IFERROR(__xludf.DUMMYFUNCTION("""COMPUTED_VALUE"""),1.25)</f>
        <v>1.25</v>
      </c>
      <c r="BC42" s="2"/>
      <c r="BD42" s="2"/>
      <c r="BE42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2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2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2" s="2"/>
      <c r="BI42" s="2">
        <f>IFERROR(__xludf.DUMMYFUNCTION("""COMPUTED_VALUE"""),2.0)</f>
        <v>2</v>
      </c>
      <c r="BJ42" s="2">
        <f>IFERROR(__xludf.DUMMYFUNCTION("""COMPUTED_VALUE"""),40.0)</f>
        <v>40</v>
      </c>
      <c r="BK42" s="2">
        <f>IFERROR(__xludf.DUMMYFUNCTION("""COMPUTED_VALUE"""),0.0)</f>
        <v>0</v>
      </c>
      <c r="BL42" s="2">
        <f t="shared" si="1"/>
        <v>19</v>
      </c>
    </row>
    <row r="43">
      <c r="A43" s="2">
        <f>IFERROR(__xludf.DUMMYFUNCTION("""COMPUTED_VALUE"""),4.690612018737E12)</f>
        <v>4690612018737</v>
      </c>
      <c r="B43" s="2" t="str">
        <f>IFERROR(__xludf.DUMMYFUNCTION("""COMPUTED_VALUE"""),"Лампа сд LED-GX53-std 16Вт 230В 4000К 1440Лм ASD")</f>
        <v>Лампа сд LED-GX53-std 16Вт 230В 4000К 1440Лм ASD</v>
      </c>
      <c r="C43" s="2" t="str">
        <f>IFERROR(__xludf.DUMMYFUNCTION("""COMPUTED_VALUE"""),"Лампа светодиодная LED-GX53-standard")</f>
        <v>Лампа светодиодная LED-GX53-standard</v>
      </c>
      <c r="D43" s="2"/>
      <c r="E43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IFERROR(__xludf.DUMMYFUNCTION("""COMPUTED_VALUE"""),"ASD")</f>
        <v>ASD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IFERROR(__xludf.DUMMYFUNCTION("""COMPUTED_VALUE"""),230.0)</f>
        <v>230</v>
      </c>
      <c r="N43" s="2" t="str">
        <f>IFERROR(__xludf.DUMMYFUNCTION("""COMPUTED_VALUE"""),"GX53")</f>
        <v>GX53</v>
      </c>
      <c r="O43" s="2"/>
      <c r="P43" s="2">
        <f>IFERROR(__xludf.DUMMYFUNCTION("""COMPUTED_VALUE"""),1440.0)</f>
        <v>1440</v>
      </c>
      <c r="Q43" s="2">
        <f>IFERROR(__xludf.DUMMYFUNCTION("""COMPUTED_VALUE"""),4000.0)</f>
        <v>4000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tr">
        <f>IFERROR(__xludf.DUMMYFUNCTION("""COMPUTED_VALUE"""),"A1")</f>
        <v>A1</v>
      </c>
      <c r="AK43" s="2"/>
      <c r="AL43" s="2"/>
      <c r="AM43" s="2"/>
      <c r="AN43" s="2">
        <f>IFERROR(__xludf.DUMMYFUNCTION("""COMPUTED_VALUE"""),200.0)</f>
        <v>200</v>
      </c>
      <c r="AO43" s="2">
        <f>IFERROR(__xludf.DUMMYFUNCTION("""COMPUTED_VALUE"""),240.0)</f>
        <v>240</v>
      </c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3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3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3" s="2"/>
      <c r="BI43" s="2">
        <f>IFERROR(__xludf.DUMMYFUNCTION("""COMPUTED_VALUE"""),5.0)</f>
        <v>5</v>
      </c>
      <c r="BJ43" s="2">
        <f>IFERROR(__xludf.DUMMYFUNCTION("""COMPUTED_VALUE"""),78.0)</f>
        <v>78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IFERROR(__xludf.DUMMYFUNCTION("""COMPUTED_VALUE"""),4.690612019161E12)</f>
        <v>4690612019161</v>
      </c>
      <c r="B44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4" s="2" t="str">
        <f>IFERROR(__xludf.DUMMYFUNCTION("""COMPUTED_VALUE"""),"ASD лампы LED")</f>
        <v>ASD лампы LED</v>
      </c>
      <c r="D44" s="2"/>
      <c r="E44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/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IFERROR(__xludf.DUMMYFUNCTION("""COMPUTED_VALUE"""),6.0)</f>
        <v>6</v>
      </c>
      <c r="N44" s="2" t="str">
        <f>IFERROR(__xludf.DUMMYFUNCTION("""COMPUTED_VALUE"""),"GU10")</f>
        <v>GU10</v>
      </c>
      <c r="O44" s="2"/>
      <c r="P44" s="2">
        <f>IFERROR(__xludf.DUMMYFUNCTION("""COMPUTED_VALUE"""),495.0)</f>
        <v>495</v>
      </c>
      <c r="Q44" s="2">
        <f>IFERROR(__xludf.DUMMYFUNCTION("""COMPUTED_VALUE"""),6500.0)</f>
        <v>6500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IFERROR(__xludf.DUMMYFUNCTION("""COMPUTED_VALUE"""),2.2E-4)</f>
        <v>0.00022</v>
      </c>
      <c r="AV44" s="2">
        <f>IFERROR(__xludf.DUMMYFUNCTION("""COMPUTED_VALUE"""),0.032)</f>
        <v>0.032</v>
      </c>
      <c r="AW44" s="2">
        <f>IFERROR(__xludf.DUMMYFUNCTION("""COMPUTED_VALUE"""),100.0)</f>
        <v>100</v>
      </c>
      <c r="AX44" s="2"/>
      <c r="AY44" s="2"/>
      <c r="AZ44" s="2"/>
      <c r="BA44" s="2">
        <f>IFERROR(__xludf.DUMMYFUNCTION("""COMPUTED_VALUE"""),0.022)</f>
        <v>0.022</v>
      </c>
      <c r="BB44" s="2">
        <f>IFERROR(__xludf.DUMMYFUNCTION("""COMPUTED_VALUE"""),3.2)</f>
        <v>3.2</v>
      </c>
      <c r="BC44" s="2"/>
      <c r="BD44" s="2"/>
      <c r="BE44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4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4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4" s="2"/>
      <c r="BI44" s="2">
        <f>IFERROR(__xludf.DUMMYFUNCTION("""COMPUTED_VALUE"""),30.0)</f>
        <v>30</v>
      </c>
      <c r="BJ44" s="2">
        <f>IFERROR(__xludf.DUMMYFUNCTION("""COMPUTED_VALUE"""),20.0)</f>
        <v>20</v>
      </c>
      <c r="BK44" s="2">
        <f>IFERROR(__xludf.DUMMYFUNCTION("""COMPUTED_VALUE"""),0.0)</f>
        <v>0</v>
      </c>
      <c r="BL44" s="2">
        <f t="shared" si="1"/>
        <v>21</v>
      </c>
    </row>
    <row r="45">
      <c r="A45" s="2">
        <f>IFERROR(__xludf.DUMMYFUNCTION("""COMPUTED_VALUE"""),4.690612019765E12)</f>
        <v>4690612019765</v>
      </c>
      <c r="B45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5" s="2" t="str">
        <f>IFERROR(__xludf.DUMMYFUNCTION("""COMPUTED_VALUE"""),"Лампа светодиодная LED-JC-standard")</f>
        <v>Лампа светодиодная LED-JC-standard</v>
      </c>
      <c r="D45" s="2"/>
      <c r="E45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IFERROR(__xludf.DUMMYFUNCTION("""COMPUTED_VALUE"""),2.0)</f>
        <v>2</v>
      </c>
      <c r="N45" s="2" t="str">
        <f>IFERROR(__xludf.DUMMYFUNCTION("""COMPUTED_VALUE"""),"G4")</f>
        <v>G4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IFERROR(__xludf.DUMMYFUNCTION("""COMPUTED_VALUE"""),3.0E-5)</f>
        <v>0.00003</v>
      </c>
      <c r="AV45" s="2">
        <f>IFERROR(__xludf.DUMMYFUNCTION("""COMPUTED_VALUE"""),0.004)</f>
        <v>0.004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IFERROR(__xludf.DUMMYFUNCTION("""COMPUTED_VALUE"""),5.0E-4)</f>
        <v>0.0005</v>
      </c>
      <c r="BB45" s="2">
        <f>IFERROR(__xludf.DUMMYFUNCTION("""COMPUTED_VALUE"""),0.08)</f>
        <v>0.08</v>
      </c>
      <c r="BC45" s="2"/>
      <c r="BD45" s="2"/>
      <c r="BE45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5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5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5" s="2"/>
      <c r="BI45" s="2">
        <f>IFERROR(__xludf.DUMMYFUNCTION("""COMPUTED_VALUE"""),1.0)</f>
        <v>1</v>
      </c>
      <c r="BJ45" s="2">
        <f>IFERROR(__xludf.DUMMYFUNCTION("""COMPUTED_VALUE"""),28.0)</f>
        <v>28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IFERROR(__xludf.DUMMYFUNCTION("""COMPUTED_VALUE"""),4.690612019857E12)</f>
        <v>4690612019857</v>
      </c>
      <c r="B46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6" s="2" t="str">
        <f>IFERROR(__xludf.DUMMYFUNCTION("""COMPUTED_VALUE"""),"Лампа светодиодная LED-JCD-standard")</f>
        <v>Лампа светодиодная LED-JCD-standard</v>
      </c>
      <c r="D46" s="2"/>
      <c r="E46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IFERROR(__xludf.DUMMYFUNCTION("""COMPUTED_VALUE"""),3.0)</f>
        <v>3</v>
      </c>
      <c r="N46" s="2" t="str">
        <f>IFERROR(__xludf.DUMMYFUNCTION("""COMPUTED_VALUE"""),"G9")</f>
        <v>G9</v>
      </c>
      <c r="O46" s="2"/>
      <c r="P46" s="2">
        <f>IFERROR(__xludf.DUMMYFUNCTION("""COMPUTED_VALUE"""),260.0)</f>
        <v>260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/>
      <c r="U46" s="2">
        <f>IFERROR(__xludf.DUMMYFUNCTION("""COMPUTED_VALUE"""),30000.0)</f>
        <v>30000</v>
      </c>
      <c r="V46" s="2">
        <f>IFERROR(__xludf.DUMMYFUNCTION("""COMPUTED_VALUE"""),48.0)</f>
        <v>48</v>
      </c>
      <c r="W46" s="2">
        <f>IFERROR(__xludf.DUMMYFUNCTION("""COMPUTED_VALUE"""),16.0)</f>
        <v>16</v>
      </c>
      <c r="X46" s="2">
        <f>IFERROR(__xludf.DUMMYFUNCTION("""COMPUTED_VALUE"""),48.0)</f>
        <v>48</v>
      </c>
      <c r="Y46" s="2"/>
      <c r="Z46" s="2"/>
      <c r="AA46" s="2"/>
      <c r="AB46" s="2">
        <f>IFERROR(__xludf.DUMMYFUNCTION("""COMPUTED_VALUE"""),0.015)</f>
        <v>0.015</v>
      </c>
      <c r="AC46" s="2"/>
      <c r="AD46" s="2"/>
      <c r="AE46" s="2"/>
      <c r="AF46" s="2"/>
      <c r="AG46" s="2"/>
      <c r="AH46" s="2"/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/>
      <c r="AN46" s="2">
        <f>IFERROR(__xludf.DUMMYFUNCTION("""COMPUTED_VALUE"""),170.0)</f>
        <v>170</v>
      </c>
      <c r="AO46" s="2">
        <f>IFERROR(__xludf.DUMMYFUNCTION("""COMPUTED_VALUE"""),265.0)</f>
        <v>265</v>
      </c>
      <c r="AP46" s="2"/>
      <c r="AQ46" s="2"/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IFERROR(__xludf.DUMMYFUNCTION("""COMPUTED_VALUE"""),4.0E-5)</f>
        <v>0.00004</v>
      </c>
      <c r="AV46" s="2">
        <f>IFERROR(__xludf.DUMMYFUNCTION("""COMPUTED_VALUE"""),0.015)</f>
        <v>0.015</v>
      </c>
      <c r="AW46" s="2">
        <f>IFERROR(__xludf.DUMMYFUNCTION("""COMPUTED_VALUE"""),200.0)</f>
        <v>200</v>
      </c>
      <c r="AX46" s="2"/>
      <c r="AY46" s="2"/>
      <c r="AZ46" s="2"/>
      <c r="BA46" s="2">
        <f>IFERROR(__xludf.DUMMYFUNCTION("""COMPUTED_VALUE"""),0.007)</f>
        <v>0.007</v>
      </c>
      <c r="BB46" s="2">
        <f>IFERROR(__xludf.DUMMYFUNCTION("""COMPUTED_VALUE"""),3.0)</f>
        <v>3</v>
      </c>
      <c r="BC46" s="2"/>
      <c r="BD46" s="2"/>
      <c r="BE46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6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6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6" s="2"/>
      <c r="BI46" s="2">
        <f>IFERROR(__xludf.DUMMYFUNCTION("""COMPUTED_VALUE"""),13.0)</f>
        <v>13</v>
      </c>
      <c r="BJ46" s="2">
        <f>IFERROR(__xludf.DUMMYFUNCTION("""COMPUTED_VALUE"""),32.0)</f>
        <v>32</v>
      </c>
      <c r="BK46" s="2">
        <f>IFERROR(__xludf.DUMMYFUNCTION("""COMPUTED_VALUE"""),0.0)</f>
        <v>0</v>
      </c>
      <c r="BL46" s="2">
        <f t="shared" si="1"/>
        <v>33</v>
      </c>
    </row>
    <row r="47">
      <c r="A47" s="2">
        <f>IFERROR(__xludf.DUMMYFUNCTION("""COMPUTED_VALUE"""),4.690612019864E12)</f>
        <v>4690612019864</v>
      </c>
      <c r="B47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7" s="2" t="str">
        <f>IFERROR(__xludf.DUMMYFUNCTION("""COMPUTED_VALUE"""),"Лампа светодиодная LED-JCD-standard")</f>
        <v>Лампа светодиодная LED-JCD-standard</v>
      </c>
      <c r="D47" s="2"/>
      <c r="E47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IFERROR(__xludf.DUMMYFUNCTION("""COMPUTED_VALUE"""),3.0)</f>
        <v>3</v>
      </c>
      <c r="N47" s="2" t="str">
        <f>IFERROR(__xludf.DUMMYFUNCTION("""COMPUTED_VALUE"""),"G9")</f>
        <v>G9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>
        <f>IFERROR(__xludf.DUMMYFUNCTION("""COMPUTED_VALUE"""),5.0E-5)</f>
        <v>0.00005</v>
      </c>
      <c r="AV47" s="2">
        <f>IFERROR(__xludf.DUMMYFUNCTION("""COMPUTED_VALUE"""),0.015)</f>
        <v>0.015</v>
      </c>
      <c r="AW47" s="2">
        <f>IFERROR(__xludf.DUMMYFUNCTION("""COMPUTED_VALUE"""),20.0)</f>
        <v>20</v>
      </c>
      <c r="AX47" s="2"/>
      <c r="AY47" s="2"/>
      <c r="AZ47" s="2"/>
      <c r="BA47" s="2">
        <f>IFERROR(__xludf.DUMMYFUNCTION("""COMPUTED_VALUE"""),9.0E-4)</f>
        <v>0.0009</v>
      </c>
      <c r="BB47" s="2">
        <f>IFERROR(__xludf.DUMMYFUNCTION("""COMPUTED_VALUE"""),0.3)</f>
        <v>0.3</v>
      </c>
      <c r="BC47" s="2"/>
      <c r="BD47" s="2"/>
      <c r="BE47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7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7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7" s="2"/>
      <c r="BI47" s="2">
        <f>IFERROR(__xludf.DUMMYFUNCTION("""COMPUTED_VALUE"""),4.0)</f>
        <v>4</v>
      </c>
      <c r="BJ47" s="2">
        <f>IFERROR(__xludf.DUMMYFUNCTION("""COMPUTED_VALUE"""),32.0)</f>
        <v>32</v>
      </c>
      <c r="BK47" s="2">
        <f>IFERROR(__xludf.DUMMYFUNCTION("""COMPUTED_VALUE"""),0.0)</f>
        <v>0</v>
      </c>
      <c r="BL47" s="2">
        <f t="shared" si="1"/>
        <v>18</v>
      </c>
    </row>
    <row r="48">
      <c r="A48" s="2">
        <f>IFERROR(__xludf.DUMMYFUNCTION("""COMPUTED_VALUE"""),4.690612020204E12)</f>
        <v>4690612020204</v>
      </c>
      <c r="B48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IFERROR(__xludf.DUMMYFUNCTION("""COMPUTED_VALUE"""),4.690612020204E12)</f>
        <v>4690612020204</v>
      </c>
      <c r="E48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IFERROR(__xludf.DUMMYFUNCTION("""COMPUTED_VALUE"""),10.0)</f>
        <v>10</v>
      </c>
      <c r="N48" s="2" t="str">
        <f>IFERROR(__xludf.DUMMYFUNCTION("""COMPUTED_VALUE"""),"E27")</f>
        <v>E27</v>
      </c>
      <c r="O48" s="3" t="str">
        <f>IFERROR(__xludf.DUMMYFUNCTION("""COMPUTED_VALUE"""),"SMD")</f>
        <v>SMD</v>
      </c>
      <c r="P48" s="2">
        <f>IFERROR(__xludf.DUMMYFUNCTION("""COMPUTED_VALUE"""),900.0)</f>
        <v>900</v>
      </c>
      <c r="Q48" s="2">
        <f>IFERROR(__xludf.DUMMYFUNCTION("""COMPUTED_VALUE"""),3000.0)</f>
        <v>3000</v>
      </c>
      <c r="R48" s="2">
        <f>IFERROR(__xludf.DUMMYFUNCTION("""COMPUTED_VALUE"""),80.0)</f>
        <v>80</v>
      </c>
      <c r="S48" s="2"/>
      <c r="T48" s="3" t="str">
        <f>IFERROR(__xludf.DUMMYFUNCTION("""COMPUTED_VALUE"""),"Д")</f>
        <v>Д</v>
      </c>
      <c r="U48" s="2">
        <f>IFERROR(__xludf.DUMMYFUNCTION("""COMPUTED_VALUE"""),30000.0)</f>
        <v>30000</v>
      </c>
      <c r="V48" s="3">
        <f>IFERROR(__xludf.DUMMYFUNCTION("""COMPUTED_VALUE"""),110.0)</f>
        <v>110</v>
      </c>
      <c r="W48" s="3">
        <f>IFERROR(__xludf.DUMMYFUNCTION("""COMPUTED_VALUE"""),60.0)</f>
        <v>60</v>
      </c>
      <c r="X48" s="3"/>
      <c r="Y48" s="3">
        <f>IFERROR(__xludf.DUMMYFUNCTION("""COMPUTED_VALUE"""),60.0)</f>
        <v>60</v>
      </c>
      <c r="Z48" s="3">
        <f>IFERROR(__xludf.DUMMYFUNCTION("""COMPUTED_VALUE"""),60.0)</f>
        <v>60</v>
      </c>
      <c r="AA48" s="3"/>
      <c r="AB48" s="2">
        <f>IFERROR(__xludf.DUMMYFUNCTION("""COMPUTED_VALUE"""),0.046)</f>
        <v>0.046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3"/>
      <c r="AG48" s="3"/>
      <c r="AH48" s="2" t="str">
        <f>IFERROR(__xludf.DUMMYFUNCTION("""COMPUTED_VALUE"""),"A60/Грушевидная (тип A)")</f>
        <v>A60/Грушевидная (тип A)</v>
      </c>
      <c r="AI48" s="3"/>
      <c r="AJ48" s="3" t="str">
        <f>IFERROR(__xludf.DUMMYFUNCTION("""COMPUTED_VALUE"""),"A1")</f>
        <v>A1</v>
      </c>
      <c r="AK48" s="3">
        <f>IFERROR(__xludf.DUMMYFUNCTION("""COMPUTED_VALUE"""),0.85)</f>
        <v>0.85</v>
      </c>
      <c r="AL48" s="2">
        <f>IFERROR(__xludf.DUMMYFUNCTION("""COMPUTED_VALUE"""),5.0)</f>
        <v>5</v>
      </c>
      <c r="AM48" s="3">
        <f>IFERROR(__xludf.DUMMYFUNCTION("""COMPUTED_VALUE"""),0.08)</f>
        <v>0.08</v>
      </c>
      <c r="AN48" s="3">
        <f>IFERROR(__xludf.DUMMYFUNCTION("""COMPUTED_VALUE"""),150.0)</f>
        <v>150</v>
      </c>
      <c r="AO48" s="3">
        <f>IFERROR(__xludf.DUMMYFUNCTION("""COMPUTED_VALUE"""),275.0)</f>
        <v>275</v>
      </c>
      <c r="AP48" s="3">
        <f>IFERROR(__xludf.DUMMYFUNCTION("""COMPUTED_VALUE"""),-10.0)</f>
        <v>-10</v>
      </c>
      <c r="AQ48" s="3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IFERROR(__xludf.DUMMYFUNCTION("""COMPUTED_VALUE"""),0.046)</f>
        <v>0.046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IFERROR(__xludf.DUMMYFUNCTION("""COMPUTED_VALUE"""),4.6)</f>
        <v>4.6</v>
      </c>
      <c r="BC48" s="2">
        <f>IFERROR(__xludf.DUMMYFUNCTION("""COMPUTED_VALUE"""),4.690612020204E12)</f>
        <v>4690612020204</v>
      </c>
      <c r="BD48" s="2"/>
      <c r="BE48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8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8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8" s="2"/>
      <c r="BI48" s="2">
        <f>IFERROR(__xludf.DUMMYFUNCTION("""COMPUTED_VALUE"""),1.0)</f>
        <v>1</v>
      </c>
      <c r="BJ48" s="2">
        <f>IFERROR(__xludf.DUMMYFUNCTION("""COMPUTED_VALUE"""),31.0)</f>
        <v>31</v>
      </c>
      <c r="BK48" s="2">
        <f>IFERROR(__xludf.DUMMYFUNCTION("""COMPUTED_VALUE"""),0.0)</f>
        <v>0</v>
      </c>
      <c r="BL48" s="2">
        <f t="shared" si="1"/>
        <v>47</v>
      </c>
    </row>
    <row r="49">
      <c r="A49" s="2">
        <f>IFERROR(__xludf.DUMMYFUNCTION("""COMPUTED_VALUE"""),4.690612020273E12)</f>
        <v>4690612020273</v>
      </c>
      <c r="B49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IFERROR(__xludf.DUMMYFUNCTION("""COMPUTED_VALUE"""),4.690612020273E12)</f>
        <v>4690612020273</v>
      </c>
      <c r="E49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IFERROR(__xludf.DUMMYFUNCTION("""COMPUTED_VALUE"""),15.0)</f>
        <v>15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IFERROR(__xludf.DUMMYFUNCTION("""COMPUTED_VALUE"""),1350.0)</f>
        <v>1350</v>
      </c>
      <c r="Q49" s="2">
        <f>IFERROR(__xludf.DUMMYFUNCTION("""COMPUTED_VALUE"""),4000.0)</f>
        <v>4000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IFERROR(__xludf.DUMMYFUNCTION("""COMPUTED_VALUE"""),110.0)</f>
        <v>110</v>
      </c>
      <c r="W49" s="2">
        <f>IFERROR(__xludf.DUMMYFUNCTION("""COMPUTED_VALUE"""),60.0)</f>
        <v>60</v>
      </c>
      <c r="X49" s="2"/>
      <c r="Y49" s="2"/>
      <c r="Z49" s="2">
        <f>IFERROR(__xludf.DUMMYFUNCTION("""COMPUTED_VALUE"""),60.0)</f>
        <v>60</v>
      </c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 t="str">
        <f>IFERROR(__xludf.DUMMYFUNCTION("""COMPUTED_VALUE"""),"A60/Грушевидная (тип A)")</f>
        <v>A60/Грушевидная (тип A)</v>
      </c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IFERROR(__xludf.DUMMYFUNCTION("""COMPUTED_VALUE"""),0.11)</f>
        <v>0.11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IFERROR(__xludf.DUMMYFUNCTION("""COMPUTED_VALUE"""),110.0)</f>
        <v>110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IFERROR(__xludf.DUMMYFUNCTION("""COMPUTED_VALUE"""),4.690612020273E12)</f>
        <v>4690612020273</v>
      </c>
      <c r="BD49" s="2"/>
      <c r="BE49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9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9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9" s="2"/>
      <c r="BI49" s="2">
        <f>IFERROR(__xludf.DUMMYFUNCTION("""COMPUTED_VALUE"""),9.0)</f>
        <v>9</v>
      </c>
      <c r="BJ49" s="2">
        <f>IFERROR(__xludf.DUMMYFUNCTION("""COMPUTED_VALUE"""),60.0)</f>
        <v>60</v>
      </c>
      <c r="BK49" s="2">
        <f>IFERROR(__xludf.DUMMYFUNCTION("""COMPUTED_VALUE"""),0.0)</f>
        <v>0</v>
      </c>
      <c r="BL49" s="2">
        <f t="shared" si="1"/>
        <v>46</v>
      </c>
    </row>
    <row r="50">
      <c r="A50" s="2">
        <f>IFERROR(__xludf.DUMMYFUNCTION("""COMPUTED_VALUE"""),4.69061202028E12)</f>
        <v>4690612020280</v>
      </c>
      <c r="B50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IFERROR(__xludf.DUMMYFUNCTION("""COMPUTED_VALUE"""),4.69061202028E12)</f>
        <v>4690612020280</v>
      </c>
      <c r="E50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IFERROR(__xludf.DUMMYFUNCTION("""COMPUTED_VALUE"""),15.0)</f>
        <v>15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IFERROR(__xludf.DUMMYFUNCTION("""COMPUTED_VALUE"""),1350.0)</f>
        <v>1350</v>
      </c>
      <c r="Q50" s="2">
        <f>IFERROR(__xludf.DUMMYFUNCTION("""COMPUTED_VALUE"""),6500.0)</f>
        <v>6500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IFERROR(__xludf.DUMMYFUNCTION("""COMPUTED_VALUE"""),110.0)</f>
        <v>110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IFERROR(__xludf.DUMMYFUNCTION("""COMPUTED_VALUE"""),0.11)</f>
        <v>0.11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IFERROR(__xludf.DUMMYFUNCTION("""COMPUTED_VALUE"""),110.0)</f>
        <v>110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IFERROR(__xludf.DUMMYFUNCTION("""COMPUTED_VALUE"""),4.69061202028E12)</f>
        <v>4690612020280</v>
      </c>
      <c r="BD50" s="2"/>
      <c r="BE50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50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50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50" s="2"/>
      <c r="BI50" s="2">
        <f>IFERROR(__xludf.DUMMYFUNCTION("""COMPUTED_VALUE"""),5.0)</f>
        <v>5</v>
      </c>
      <c r="BJ50" s="2">
        <f>IFERROR(__xludf.DUMMYFUNCTION("""COMPUTED_VALUE"""),40.0)</f>
        <v>40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IFERROR(__xludf.DUMMYFUNCTION("""COMPUTED_VALUE"""),4.690612020297E12)</f>
        <v>4690612020297</v>
      </c>
      <c r="B51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IFERROR(__xludf.DUMMYFUNCTION("""COMPUTED_VALUE"""),4.690612020297E12)</f>
        <v>4690612020297</v>
      </c>
      <c r="E51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IFERROR(__xludf.DUMMYFUNCTION("""COMPUTED_VALUE"""),3000.0)</f>
        <v>3000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IFERROR(__xludf.DUMMYFUNCTION("""COMPUTED_VALUE"""),4.690612020297E12)</f>
        <v>4690612020297</v>
      </c>
      <c r="BD51" s="2"/>
      <c r="BE51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51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51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51" s="2"/>
      <c r="BI51" s="2">
        <f>IFERROR(__xludf.DUMMYFUNCTION("""COMPUTED_VALUE"""),13.0)</f>
        <v>13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IFERROR(__xludf.DUMMYFUNCTION("""COMPUTED_VALUE"""),4.690612020303E12)</f>
        <v>4690612020303</v>
      </c>
      <c r="B52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2" s="2" t="str">
        <f>IFERROR(__xludf.DUMMYFUNCTION("""COMPUTED_VALUE"""),"Лампа светодиодная LED-A60-standard")</f>
        <v>Лампа светодиодная LED-A60-standard</v>
      </c>
      <c r="D52" s="2">
        <f>IFERROR(__xludf.DUMMYFUNCTION("""COMPUTED_VALUE"""),4.690612020303E12)</f>
        <v>4690612020303</v>
      </c>
      <c r="E52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IFERROR(__xludf.DUMMYFUNCTION("""COMPUTED_VALUE"""),20.0)</f>
        <v>20</v>
      </c>
      <c r="N52" s="2" t="str">
        <f>IFERROR(__xludf.DUMMYFUNCTION("""COMPUTED_VALUE"""),"E27")</f>
        <v>E27</v>
      </c>
      <c r="O52" s="2" t="str">
        <f>IFERROR(__xludf.DUMMYFUNCTION("""COMPUTED_VALUE"""),"SMD")</f>
        <v>SMD</v>
      </c>
      <c r="P52" s="2">
        <f>IFERROR(__xludf.DUMMYFUNCTION("""COMPUTED_VALUE"""),1800.0)</f>
        <v>1800</v>
      </c>
      <c r="Q52" s="2">
        <f>IFERROR(__xludf.DUMMYFUNCTION("""COMPUTED_VALUE"""),4000.0)</f>
        <v>4000</v>
      </c>
      <c r="R52" s="2">
        <f>IFERROR(__xludf.DUMMYFUNCTION("""COMPUTED_VALUE"""),80.0)</f>
        <v>80</v>
      </c>
      <c r="S52" s="2"/>
      <c r="T52" s="2" t="str">
        <f>IFERROR(__xludf.DUMMYFUNCTION("""COMPUTED_VALUE"""),"Д")</f>
        <v>Д</v>
      </c>
      <c r="U52" s="2">
        <f>IFERROR(__xludf.DUMMYFUNCTION("""COMPUTED_VALUE"""),30000.0)</f>
        <v>30000</v>
      </c>
      <c r="V52" s="2">
        <f>IFERROR(__xludf.DUMMYFUNCTION("""COMPUTED_VALUE"""),112.0)</f>
        <v>112</v>
      </c>
      <c r="W52" s="2">
        <f>IFERROR(__xludf.DUMMYFUNCTION("""COMPUTED_VALUE"""),60.0)</f>
        <v>60</v>
      </c>
      <c r="X52" s="2"/>
      <c r="Y52" s="2"/>
      <c r="Z52" s="2"/>
      <c r="AA52" s="2"/>
      <c r="AB52" s="2">
        <f>IFERROR(__xludf.DUMMYFUNCTION("""COMPUTED_VALUE"""),0.055)</f>
        <v>0.055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IFERROR(__xludf.DUMMYFUNCTION("""COMPUTED_VALUE"""),0.15)</f>
        <v>0.15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IFERROR(__xludf.DUMMYFUNCTION("""COMPUTED_VALUE"""),4.0E-4)</f>
        <v>0.0004</v>
      </c>
      <c r="AV52" s="2">
        <f>IFERROR(__xludf.DUMMYFUNCTION("""COMPUTED_VALUE"""),0.055)</f>
        <v>0.055</v>
      </c>
      <c r="AW52" s="2">
        <f>IFERROR(__xludf.DUMMYFUNCTION("""COMPUTED_VALUE"""),100.0)</f>
        <v>100</v>
      </c>
      <c r="AX52" s="2">
        <f>IFERROR(__xludf.DUMMYFUNCTION("""COMPUTED_VALUE"""),61.0)</f>
        <v>61</v>
      </c>
      <c r="AY52" s="2">
        <f>IFERROR(__xludf.DUMMYFUNCTION("""COMPUTED_VALUE"""),61.0)</f>
        <v>61</v>
      </c>
      <c r="AZ52" s="2">
        <f>IFERROR(__xludf.DUMMYFUNCTION("""COMPUTED_VALUE"""),120.0)</f>
        <v>120</v>
      </c>
      <c r="BA52" s="2">
        <f>IFERROR(__xludf.DUMMYFUNCTION("""COMPUTED_VALUE"""),0.04001)</f>
        <v>0.04001</v>
      </c>
      <c r="BB52" s="2">
        <f>IFERROR(__xludf.DUMMYFUNCTION("""COMPUTED_VALUE"""),5.5)</f>
        <v>5.5</v>
      </c>
      <c r="BC52" s="2">
        <f>IFERROR(__xludf.DUMMYFUNCTION("""COMPUTED_VALUE"""),4.690612020303E12)</f>
        <v>4690612020303</v>
      </c>
      <c r="BD52" s="2"/>
      <c r="BE52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2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2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2" s="2"/>
      <c r="BI52" s="2">
        <f>IFERROR(__xludf.DUMMYFUNCTION("""COMPUTED_VALUE"""),2.0)</f>
        <v>2</v>
      </c>
      <c r="BJ52" s="2">
        <f>IFERROR(__xludf.DUMMYFUNCTION("""COMPUTED_VALUE"""),45.0)</f>
        <v>45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IFERROR(__xludf.DUMMYFUNCTION("""COMPUTED_VALUE"""),4.69061202031E12)</f>
        <v>4690612020310</v>
      </c>
      <c r="B53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3" s="2" t="str">
        <f>IFERROR(__xludf.DUMMYFUNCTION("""COMPUTED_VALUE"""),"Лампа светодиодная LED-A60-standard")</f>
        <v>Лампа светодиодная LED-A60-standard</v>
      </c>
      <c r="D53" s="2">
        <f>IFERROR(__xludf.DUMMYFUNCTION("""COMPUTED_VALUE"""),4.69061202031E12)</f>
        <v>4690612020310</v>
      </c>
      <c r="E53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IFERROR(__xludf.DUMMYFUNCTION("""COMPUTED_VALUE"""),20.0)</f>
        <v>20</v>
      </c>
      <c r="N53" s="2" t="str">
        <f>IFERROR(__xludf.DUMMYFUNCTION("""COMPUTED_VALUE"""),"E27")</f>
        <v>E27</v>
      </c>
      <c r="O53" s="2" t="str">
        <f>IFERROR(__xludf.DUMMYFUNCTION("""COMPUTED_VALUE"""),"SMD")</f>
        <v>SMD</v>
      </c>
      <c r="P53" s="2">
        <f>IFERROR(__xludf.DUMMYFUNCTION("""COMPUTED_VALUE"""),1800.0)</f>
        <v>1800</v>
      </c>
      <c r="Q53" s="2">
        <f>IFERROR(__xludf.DUMMYFUNCTION("""COMPUTED_VALUE"""),6500.0)</f>
        <v>6500</v>
      </c>
      <c r="R53" s="2">
        <f>IFERROR(__xludf.DUMMYFUNCTION("""COMPUTED_VALUE"""),80.0)</f>
        <v>80</v>
      </c>
      <c r="S53" s="2"/>
      <c r="T53" s="2" t="str">
        <f>IFERROR(__xludf.DUMMYFUNCTION("""COMPUTED_VALUE"""),"Д")</f>
        <v>Д</v>
      </c>
      <c r="U53" s="2">
        <f>IFERROR(__xludf.DUMMYFUNCTION("""COMPUTED_VALUE"""),30000.0)</f>
        <v>30000</v>
      </c>
      <c r="V53" s="2">
        <f>IFERROR(__xludf.DUMMYFUNCTION("""COMPUTED_VALUE"""),112.0)</f>
        <v>112</v>
      </c>
      <c r="W53" s="2">
        <f>IFERROR(__xludf.DUMMYFUNCTION("""COMPUTED_VALUE"""),60.0)</f>
        <v>60</v>
      </c>
      <c r="X53" s="2"/>
      <c r="Y53" s="2"/>
      <c r="Z53" s="2"/>
      <c r="AA53" s="2"/>
      <c r="AB53" s="2">
        <f>IFERROR(__xludf.DUMMYFUNCTION("""COMPUTED_VALUE"""),0.055)</f>
        <v>0.055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IFERROR(__xludf.DUMMYFUNCTION("""COMPUTED_VALUE"""),0.15)</f>
        <v>0.15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IFERROR(__xludf.DUMMYFUNCTION("""COMPUTED_VALUE"""),4.0E-4)</f>
        <v>0.0004</v>
      </c>
      <c r="AV53" s="2">
        <f>IFERROR(__xludf.DUMMYFUNCTION("""COMPUTED_VALUE"""),0.055)</f>
        <v>0.055</v>
      </c>
      <c r="AW53" s="2">
        <f>IFERROR(__xludf.DUMMYFUNCTION("""COMPUTED_VALUE"""),100.0)</f>
        <v>100</v>
      </c>
      <c r="AX53" s="2">
        <f>IFERROR(__xludf.DUMMYFUNCTION("""COMPUTED_VALUE"""),61.0)</f>
        <v>61</v>
      </c>
      <c r="AY53" s="2">
        <f>IFERROR(__xludf.DUMMYFUNCTION("""COMPUTED_VALUE"""),61.0)</f>
        <v>61</v>
      </c>
      <c r="AZ53" s="2">
        <f>IFERROR(__xludf.DUMMYFUNCTION("""COMPUTED_VALUE"""),120.0)</f>
        <v>120</v>
      </c>
      <c r="BA53" s="2">
        <f>IFERROR(__xludf.DUMMYFUNCTION("""COMPUTED_VALUE"""),0.04001)</f>
        <v>0.04001</v>
      </c>
      <c r="BB53" s="2">
        <f>IFERROR(__xludf.DUMMYFUNCTION("""COMPUTED_VALUE"""),5.5)</f>
        <v>5.5</v>
      </c>
      <c r="BC53" s="2">
        <f>IFERROR(__xludf.DUMMYFUNCTION("""COMPUTED_VALUE"""),4.69061202031E12)</f>
        <v>4690612020310</v>
      </c>
      <c r="BD53" s="2"/>
      <c r="BE53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3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3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3" s="2"/>
      <c r="BI53" s="2">
        <f>IFERROR(__xludf.DUMMYFUNCTION("""COMPUTED_VALUE"""),3.0)</f>
        <v>3</v>
      </c>
      <c r="BJ53" s="2">
        <f>IFERROR(__xludf.DUMMYFUNCTION("""COMPUTED_VALUE"""),45.0)</f>
        <v>45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IFERROR(__xludf.DUMMYFUNCTION("""COMPUTED_VALUE"""),4.690612020327E12)</f>
        <v>4690612020327</v>
      </c>
      <c r="B54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IFERROR(__xludf.DUMMYFUNCTION("""COMPUTED_VALUE"""),4.690612020327E12)</f>
        <v>4690612020327</v>
      </c>
      <c r="E54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IFERROR(__xludf.DUMMYFUNCTION("""COMPUTED_VALUE"""),8.0)</f>
        <v>8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IFERROR(__xludf.DUMMYFUNCTION("""COMPUTED_VALUE"""),720.0)</f>
        <v>720</v>
      </c>
      <c r="Q54" s="2">
        <f>IFERROR(__xludf.DUMMYFUNCTION("""COMPUTED_VALUE"""),3000.0)</f>
        <v>3000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IFERROR(__xludf.DUMMYFUNCTION("""COMPUTED_VALUE"""),0.03)</f>
        <v>0.03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IFERROR(__xludf.DUMMYFUNCTION("""COMPUTED_VALUE"""),0.06)</f>
        <v>0.06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IFERROR(__xludf.DUMMYFUNCTION("""COMPUTED_VALUE"""),0.03)</f>
        <v>0.03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IFERROR(__xludf.DUMMYFUNCTION("""COMPUTED_VALUE"""),3.0)</f>
        <v>3</v>
      </c>
      <c r="BC54" s="2">
        <f>IFERROR(__xludf.DUMMYFUNCTION("""COMPUTED_VALUE"""),4.690612020327E12)</f>
        <v>4690612020327</v>
      </c>
      <c r="BD54" s="2"/>
      <c r="BE54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4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4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4" s="2"/>
      <c r="BI54" s="2">
        <f>IFERROR(__xludf.DUMMYFUNCTION("""COMPUTED_VALUE"""),64.0)</f>
        <v>64</v>
      </c>
      <c r="BJ54" s="2">
        <f>IFERROR(__xludf.DUMMYFUNCTION("""COMPUTED_VALUE"""),34.0)</f>
        <v>34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IFERROR(__xludf.DUMMYFUNCTION("""COMPUTED_VALUE"""),4.690612020341E12)</f>
        <v>4690612020341</v>
      </c>
      <c r="B55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IFERROR(__xludf.DUMMYFUNCTION("""COMPUTED_VALUE"""),4.690612020341E12)</f>
        <v>4690612020341</v>
      </c>
      <c r="E55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IFERROR(__xludf.DUMMYFUNCTION("""COMPUTED_VALUE"""),11.0)</f>
        <v>11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IFERROR(__xludf.DUMMYFUNCTION("""COMPUTED_VALUE"""),990.0)</f>
        <v>990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IFERROR(__xludf.DUMMYFUNCTION("""COMPUTED_VALUE"""),0.037)</f>
        <v>0.037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IFERROR(__xludf.DUMMYFUNCTION("""COMPUTED_VALUE"""),0.08)</f>
        <v>0.08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IFERROR(__xludf.DUMMYFUNCTION("""COMPUTED_VALUE"""),0.037)</f>
        <v>0.037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IFERROR(__xludf.DUMMYFUNCTION("""COMPUTED_VALUE"""),3.7)</f>
        <v>3.7</v>
      </c>
      <c r="BC55" s="2">
        <f>IFERROR(__xludf.DUMMYFUNCTION("""COMPUTED_VALUE"""),4.690612020341E12)</f>
        <v>4690612020341</v>
      </c>
      <c r="BD55" s="2"/>
      <c r="BE55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5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5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5" s="2"/>
      <c r="BI55" s="2">
        <f>IFERROR(__xludf.DUMMYFUNCTION("""COMPUTED_VALUE"""),4.0)</f>
        <v>4</v>
      </c>
      <c r="BJ55" s="2">
        <f>IFERROR(__xludf.DUMMYFUNCTION("""COMPUTED_VALUE"""),37.0)</f>
        <v>37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IFERROR(__xludf.DUMMYFUNCTION("""COMPUTED_VALUE"""),4.690612020358E12)</f>
        <v>4690612020358</v>
      </c>
      <c r="B56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IFERROR(__xludf.DUMMYFUNCTION("""COMPUTED_VALUE"""),4.690612020358E12)</f>
        <v>4690612020358</v>
      </c>
      <c r="E56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IFERROR(__xludf.DUMMYFUNCTION("""COMPUTED_VALUE"""),11.0)</f>
        <v>11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IFERROR(__xludf.DUMMYFUNCTION("""COMPUTED_VALUE"""),990.0)</f>
        <v>990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IFERROR(__xludf.DUMMYFUNCTION("""COMPUTED_VALUE"""),0.037)</f>
        <v>0.037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IFERROR(__xludf.DUMMYFUNCTION("""COMPUTED_VALUE"""),0.08)</f>
        <v>0.08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IFERROR(__xludf.DUMMYFUNCTION("""COMPUTED_VALUE"""),0.037)</f>
        <v>0.037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IFERROR(__xludf.DUMMYFUNCTION("""COMPUTED_VALUE"""),3.7)</f>
        <v>3.7</v>
      </c>
      <c r="BC56" s="2">
        <f>IFERROR(__xludf.DUMMYFUNCTION("""COMPUTED_VALUE"""),4.690612020358E12)</f>
        <v>4690612020358</v>
      </c>
      <c r="BD56" s="2"/>
      <c r="BE56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6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6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6" s="2"/>
      <c r="BI56" s="2">
        <f>IFERROR(__xludf.DUMMYFUNCTION("""COMPUTED_VALUE"""),15.0)</f>
        <v>15</v>
      </c>
      <c r="BJ56" s="2">
        <f>IFERROR(__xludf.DUMMYFUNCTION("""COMPUTED_VALUE"""),37.0)</f>
        <v>37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IFERROR(__xludf.DUMMYFUNCTION("""COMPUTED_VALUE"""),4.690612020365E12)</f>
        <v>4690612020365</v>
      </c>
      <c r="B57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7" s="2" t="str">
        <f>IFERROR(__xludf.DUMMYFUNCTION("""COMPUTED_VALUE"""),"Лампа светодиодная LED-JCDR-standard")</f>
        <v>Лампа светодиодная LED-JCDR-standard</v>
      </c>
      <c r="D57" s="2">
        <f>IFERROR(__xludf.DUMMYFUNCTION("""COMPUTED_VALUE"""),4.690612020365E12)</f>
        <v>4690612020365</v>
      </c>
      <c r="E57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IFERROR(__xludf.DUMMYFUNCTION("""COMPUTED_VALUE"""),"GU5.3")</f>
        <v>GU5.3</v>
      </c>
      <c r="O57" s="2" t="str">
        <f>IFERROR(__xludf.DUMMYFUNCTION("""COMPUTED_VALUE"""),"SMD")</f>
        <v>SMD</v>
      </c>
      <c r="P57" s="2">
        <f>IFERROR(__xludf.DUMMYFUNCTION("""COMPUTED_VALUE"""),525.0)</f>
        <v>525</v>
      </c>
      <c r="Q57" s="2">
        <f>IFERROR(__xludf.DUMMYFUNCTION("""COMPUTED_VALUE"""),3000.0)</f>
        <v>3000</v>
      </c>
      <c r="R57" s="2">
        <f>IFERROR(__xludf.DUMMYFUNCTION("""COMPUTED_VALUE"""),80.0)</f>
        <v>80</v>
      </c>
      <c r="S57" s="2"/>
      <c r="T57" s="2" t="str">
        <f>IFERROR(__xludf.DUMMYFUNCTION("""COMPUTED_VALUE"""),"Г")</f>
        <v>Г</v>
      </c>
      <c r="U57" s="2">
        <f>IFERROR(__xludf.DUMMYFUNCTION("""COMPUTED_VALUE"""),30000.0)</f>
        <v>30000</v>
      </c>
      <c r="V57" s="2">
        <f>IFERROR(__xludf.DUMMYFUNCTION("""COMPUTED_VALUE"""),51.0)</f>
        <v>51</v>
      </c>
      <c r="W57" s="2">
        <f>IFERROR(__xludf.DUMMYFUNCTION("""COMPUTED_VALUE"""),50.0)</f>
        <v>50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IFERROR(__xludf.DUMMYFUNCTION("""COMPUTED_VALUE"""),2.1E-4)</f>
        <v>0.00021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IFERROR(__xludf.DUMMYFUNCTION("""COMPUTED_VALUE"""),52.0)</f>
        <v>52</v>
      </c>
      <c r="AY57" s="2">
        <f>IFERROR(__xludf.DUMMYFUNCTION("""COMPUTED_VALUE"""),52.0)</f>
        <v>52</v>
      </c>
      <c r="AZ57" s="2">
        <f>IFERROR(__xludf.DUMMYFUNCTION("""COMPUTED_VALUE"""),50.0)</f>
        <v>50</v>
      </c>
      <c r="BA57" s="2">
        <f>IFERROR(__xludf.DUMMYFUNCTION("""COMPUTED_VALUE"""),0.021)</f>
        <v>0.021</v>
      </c>
      <c r="BB57" s="2">
        <f>IFERROR(__xludf.DUMMYFUNCTION("""COMPUTED_VALUE"""),3.0)</f>
        <v>3</v>
      </c>
      <c r="BC57" s="2">
        <f>IFERROR(__xludf.DUMMYFUNCTION("""COMPUTED_VALUE"""),4.690612020365E12)</f>
        <v>4690612020365</v>
      </c>
      <c r="BD57" s="2"/>
      <c r="BE57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7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7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7" s="2"/>
      <c r="BI57" s="2">
        <f>IFERROR(__xludf.DUMMYFUNCTION("""COMPUTED_VALUE"""),23.0)</f>
        <v>23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IFERROR(__xludf.DUMMYFUNCTION("""COMPUTED_VALUE"""),4.690612020372E12)</f>
        <v>4690612020372</v>
      </c>
      <c r="B58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8" s="2" t="str">
        <f>IFERROR(__xludf.DUMMYFUNCTION("""COMPUTED_VALUE"""),"Лампа светодиодная LED-JCDR-standard")</f>
        <v>Лампа светодиодная LED-JCDR-standard</v>
      </c>
      <c r="D58" s="2">
        <f>IFERROR(__xludf.DUMMYFUNCTION("""COMPUTED_VALUE"""),4.690612020372E12)</f>
        <v>4690612020372</v>
      </c>
      <c r="E58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IFERROR(__xludf.DUMMYFUNCTION("""COMPUTED_VALUE"""),"GU5.3")</f>
        <v>GU5.3</v>
      </c>
      <c r="O58" s="2" t="str">
        <f>IFERROR(__xludf.DUMMYFUNCTION("""COMPUTED_VALUE"""),"SMD")</f>
        <v>SMD</v>
      </c>
      <c r="P58" s="2">
        <f>IFERROR(__xludf.DUMMYFUNCTION("""COMPUTED_VALUE"""),525.0)</f>
        <v>525</v>
      </c>
      <c r="Q58" s="2">
        <f>IFERROR(__xludf.DUMMYFUNCTION("""COMPUTED_VALUE"""),4000.0)</f>
        <v>4000</v>
      </c>
      <c r="R58" s="2">
        <f>IFERROR(__xludf.DUMMYFUNCTION("""COMPUTED_VALUE"""),80.0)</f>
        <v>80</v>
      </c>
      <c r="S58" s="2"/>
      <c r="T58" s="2" t="str">
        <f>IFERROR(__xludf.DUMMYFUNCTION("""COMPUTED_VALUE"""),"Г")</f>
        <v>Г</v>
      </c>
      <c r="U58" s="2">
        <f>IFERROR(__xludf.DUMMYFUNCTION("""COMPUTED_VALUE"""),30000.0)</f>
        <v>30000</v>
      </c>
      <c r="V58" s="2">
        <f>IFERROR(__xludf.DUMMYFUNCTION("""COMPUTED_VALUE"""),51.0)</f>
        <v>51</v>
      </c>
      <c r="W58" s="2">
        <f>IFERROR(__xludf.DUMMYFUNCTION("""COMPUTED_VALUE"""),50.0)</f>
        <v>50</v>
      </c>
      <c r="X58" s="2"/>
      <c r="Y58" s="2"/>
      <c r="Z58" s="2"/>
      <c r="AA58" s="2"/>
      <c r="AB58" s="2">
        <f>IFERROR(__xludf.DUMMYFUNCTION("""COMPUTED_VALUE"""),0.03)</f>
        <v>0.03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IFERROR(__xludf.DUMMYFUNCTION("""COMPUTED_VALUE"""),2.1E-4)</f>
        <v>0.00021</v>
      </c>
      <c r="AV58" s="2">
        <f>IFERROR(__xludf.DUMMYFUNCTION("""COMPUTED_VALUE"""),0.03)</f>
        <v>0.03</v>
      </c>
      <c r="AW58" s="2">
        <f>IFERROR(__xludf.DUMMYFUNCTION("""COMPUTED_VALUE"""),100.0)</f>
        <v>100</v>
      </c>
      <c r="AX58" s="2">
        <f>IFERROR(__xludf.DUMMYFUNCTION("""COMPUTED_VALUE"""),52.0)</f>
        <v>52</v>
      </c>
      <c r="AY58" s="2">
        <f>IFERROR(__xludf.DUMMYFUNCTION("""COMPUTED_VALUE"""),52.0)</f>
        <v>52</v>
      </c>
      <c r="AZ58" s="2">
        <f>IFERROR(__xludf.DUMMYFUNCTION("""COMPUTED_VALUE"""),50.0)</f>
        <v>50</v>
      </c>
      <c r="BA58" s="2">
        <f>IFERROR(__xludf.DUMMYFUNCTION("""COMPUTED_VALUE"""),0.021)</f>
        <v>0.021</v>
      </c>
      <c r="BB58" s="2">
        <f>IFERROR(__xludf.DUMMYFUNCTION("""COMPUTED_VALUE"""),3.0)</f>
        <v>3</v>
      </c>
      <c r="BC58" s="2">
        <f>IFERROR(__xludf.DUMMYFUNCTION("""COMPUTED_VALUE"""),4.690612020372E12)</f>
        <v>4690612020372</v>
      </c>
      <c r="BD58" s="2"/>
      <c r="BE58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8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8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8" s="2"/>
      <c r="BI58" s="2">
        <f>IFERROR(__xludf.DUMMYFUNCTION("""COMPUTED_VALUE"""),1.0)</f>
        <v>1</v>
      </c>
      <c r="BJ58" s="2">
        <f>IFERROR(__xludf.DUMMYFUNCTION("""COMPUTED_VALUE"""),33.0)</f>
        <v>33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IFERROR(__xludf.DUMMYFUNCTION("""COMPUTED_VALUE"""),4.690612020396E12)</f>
        <v>4690612020396</v>
      </c>
      <c r="B59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IFERROR(__xludf.DUMMYFUNCTION("""COMPUTED_VALUE"""),4.690612020396E12)</f>
        <v>4690612020396</v>
      </c>
      <c r="E59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IFERROR(__xludf.DUMMYFUNCTION("""COMPUTED_VALUE"""),6.0)</f>
        <v>6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IFERROR(__xludf.DUMMYFUNCTION("""COMPUTED_VALUE"""),540.0)</f>
        <v>540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IFERROR(__xludf.DUMMYFUNCTION("""COMPUTED_VALUE"""),0.03)</f>
        <v>0.03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IFERROR(__xludf.DUMMYFUNCTION("""COMPUTED_VALUE"""),0.05)</f>
        <v>0.05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IFERROR(__xludf.DUMMYFUNCTION("""COMPUTED_VALUE"""),0.03)</f>
        <v>0.03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IFERROR(__xludf.DUMMYFUNCTION("""COMPUTED_VALUE"""),3.0)</f>
        <v>3</v>
      </c>
      <c r="BC59" s="2">
        <f>IFERROR(__xludf.DUMMYFUNCTION("""COMPUTED_VALUE"""),4.690612020396E12)</f>
        <v>4690612020396</v>
      </c>
      <c r="BD59" s="2"/>
      <c r="BE59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9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9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9" s="2"/>
      <c r="BI59" s="2">
        <f>IFERROR(__xludf.DUMMYFUNCTION("""COMPUTED_VALUE"""),2.0)</f>
        <v>2</v>
      </c>
      <c r="BJ59" s="2">
        <f>IFERROR(__xludf.DUMMYFUNCTION("""COMPUTED_VALUE"""),33.0)</f>
        <v>33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IFERROR(__xludf.DUMMYFUNCTION("""COMPUTED_VALUE"""),4.690612020402E12)</f>
        <v>4690612020402</v>
      </c>
      <c r="B60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IFERROR(__xludf.DUMMYFUNCTION("""COMPUTED_VALUE"""),4.690612020402E12)</f>
        <v>4690612020402</v>
      </c>
      <c r="E60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IFERROR(__xludf.DUMMYFUNCTION("""COMPUTED_VALUE"""),6.0)</f>
        <v>6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IFERROR(__xludf.DUMMYFUNCTION("""COMPUTED_VALUE"""),540.0)</f>
        <v>540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IFERROR(__xludf.DUMMYFUNCTION("""COMPUTED_VALUE"""),0.027)</f>
        <v>0.027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IFERROR(__xludf.DUMMYFUNCTION("""COMPUTED_VALUE"""),0.05)</f>
        <v>0.05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IFERROR(__xludf.DUMMYFUNCTION("""COMPUTED_VALUE"""),0.027)</f>
        <v>0.027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IFERROR(__xludf.DUMMYFUNCTION("""COMPUTED_VALUE"""),2.7)</f>
        <v>2.7</v>
      </c>
      <c r="BC60" s="2">
        <f>IFERROR(__xludf.DUMMYFUNCTION("""COMPUTED_VALUE"""),4.690612020402E12)</f>
        <v>4690612020402</v>
      </c>
      <c r="BD60" s="2"/>
      <c r="BE60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60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60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60" s="2"/>
      <c r="BI60" s="2">
        <f>IFERROR(__xludf.DUMMYFUNCTION("""COMPUTED_VALUE"""),7.0)</f>
        <v>7</v>
      </c>
      <c r="BJ60" s="2">
        <f>IFERROR(__xludf.DUMMYFUNCTION("""COMPUTED_VALUE"""),29.0)</f>
        <v>29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IFERROR(__xludf.DUMMYFUNCTION("""COMPUTED_VALUE"""),4.690612020433E12)</f>
        <v>4690612020433</v>
      </c>
      <c r="B61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IFERROR(__xludf.DUMMYFUNCTION("""COMPUTED_VALUE"""),4.690612020433E12)</f>
        <v>4690612020433</v>
      </c>
      <c r="E61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IFERROR(__xludf.DUMMYFUNCTION("""COMPUTED_VALUE"""),"E14")</f>
        <v>E14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IFERROR(__xludf.DUMMYFUNCTION("""COMPUTED_VALUE"""),4.690612020433E12)</f>
        <v>4690612020433</v>
      </c>
      <c r="BD61" s="2"/>
      <c r="BE61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61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61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61" s="2"/>
      <c r="BI61" s="2">
        <f>IFERROR(__xludf.DUMMYFUNCTION("""COMPUTED_VALUE"""),28.0)</f>
        <v>28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IFERROR(__xludf.DUMMYFUNCTION("""COMPUTED_VALUE"""),4.69061202044E12)</f>
        <v>4690612020440</v>
      </c>
      <c r="B62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IFERROR(__xludf.DUMMYFUNCTION("""COMPUTED_VALUE"""),4.69061202044E12)</f>
        <v>4690612020440</v>
      </c>
      <c r="E62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IFERROR(__xludf.DUMMYFUNCTION("""COMPUTED_VALUE"""),8.0)</f>
        <v>8</v>
      </c>
      <c r="N62" s="2" t="str">
        <f>IFERROR(__xludf.DUMMYFUNCTION("""COMPUTED_VALUE"""),"E27")</f>
        <v>E27</v>
      </c>
      <c r="O62" s="2" t="str">
        <f>IFERROR(__xludf.DUMMYFUNCTION("""COMPUTED_VALUE"""),"SMD")</f>
        <v>SMD</v>
      </c>
      <c r="P62" s="2">
        <f>IFERROR(__xludf.DUMMYFUNCTION("""COMPUTED_VALUE"""),720.0)</f>
        <v>720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IFERROR(__xludf.DUMMYFUNCTION("""COMPUTED_VALUE"""),0.028)</f>
        <v>0.028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IFERROR(__xludf.DUMMYFUNCTION("""COMPUTED_VALUE"""),0.06)</f>
        <v>0.06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IFERROR(__xludf.DUMMYFUNCTION("""COMPUTED_VALUE"""),0.028)</f>
        <v>0.028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IFERROR(__xludf.DUMMYFUNCTION("""COMPUTED_VALUE"""),2.8)</f>
        <v>2.8</v>
      </c>
      <c r="BC62" s="2">
        <f>IFERROR(__xludf.DUMMYFUNCTION("""COMPUTED_VALUE"""),4.69061202044E12)</f>
        <v>4690612020440</v>
      </c>
      <c r="BD62" s="2"/>
      <c r="BE62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2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2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2" s="2"/>
      <c r="BI62" s="2">
        <f>IFERROR(__xludf.DUMMYFUNCTION("""COMPUTED_VALUE"""),53.0)</f>
        <v>53</v>
      </c>
      <c r="BJ62" s="2">
        <f>IFERROR(__xludf.DUMMYFUNCTION("""COMPUTED_VALUE"""),34.0)</f>
        <v>34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IFERROR(__xludf.DUMMYFUNCTION("""COMPUTED_VALUE"""),4.690612020457E12)</f>
        <v>4690612020457</v>
      </c>
      <c r="B63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IFERROR(__xludf.DUMMYFUNCTION("""COMPUTED_VALUE"""),4.690612020457E12)</f>
        <v>4690612020457</v>
      </c>
      <c r="E63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IFERROR(__xludf.DUMMYFUNCTION("""COMPUTED_VALUE"""),8.0)</f>
        <v>8</v>
      </c>
      <c r="N63" s="2" t="str">
        <f>IFERROR(__xludf.DUMMYFUNCTION("""COMPUTED_VALUE"""),"E27")</f>
        <v>E27</v>
      </c>
      <c r="O63" s="2" t="str">
        <f>IFERROR(__xludf.DUMMYFUNCTION("""COMPUTED_VALUE"""),"SMD")</f>
        <v>SMD</v>
      </c>
      <c r="P63" s="2">
        <f>IFERROR(__xludf.DUMMYFUNCTION("""COMPUTED_VALUE"""),720.0)</f>
        <v>720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IFERROR(__xludf.DUMMYFUNCTION("""COMPUTED_VALUE"""),0.028)</f>
        <v>0.028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IFERROR(__xludf.DUMMYFUNCTION("""COMPUTED_VALUE"""),0.06)</f>
        <v>0.06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IFERROR(__xludf.DUMMYFUNCTION("""COMPUTED_VALUE"""),0.028)</f>
        <v>0.028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IFERROR(__xludf.DUMMYFUNCTION("""COMPUTED_VALUE"""),2.8)</f>
        <v>2.8</v>
      </c>
      <c r="BC63" s="2">
        <f>IFERROR(__xludf.DUMMYFUNCTION("""COMPUTED_VALUE"""),4.690612020457E12)</f>
        <v>4690612020457</v>
      </c>
      <c r="BD63" s="2"/>
      <c r="BE63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3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3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3" s="2"/>
      <c r="BI63" s="2">
        <f>IFERROR(__xludf.DUMMYFUNCTION("""COMPUTED_VALUE"""),12.0)</f>
        <v>12</v>
      </c>
      <c r="BJ63" s="2">
        <f>IFERROR(__xludf.DUMMYFUNCTION("""COMPUTED_VALUE"""),34.0)</f>
        <v>34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IFERROR(__xludf.DUMMYFUNCTION("""COMPUTED_VALUE"""),4.690612020464E12)</f>
        <v>4690612020464</v>
      </c>
      <c r="B64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IFERROR(__xludf.DUMMYFUNCTION("""COMPUTED_VALUE"""),4.690612020464E12)</f>
        <v>4690612020464</v>
      </c>
      <c r="E64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IFERROR(__xludf.DUMMYFUNCTION("""COMPUTED_VALUE"""),"E14")</f>
        <v>E14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IFERROR(__xludf.DUMMYFUNCTION("""COMPUTED_VALUE"""),3000.0)</f>
        <v>3000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IFERROR(__xludf.DUMMYFUNCTION("""COMPUTED_VALUE"""),0.035)</f>
        <v>0.035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IFERROR(__xludf.DUMMYFUNCTION("""COMPUTED_VALUE"""),0.035)</f>
        <v>0.035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IFERROR(__xludf.DUMMYFUNCTION("""COMPUTED_VALUE"""),3.5)</f>
        <v>3.5</v>
      </c>
      <c r="BC64" s="2">
        <f>IFERROR(__xludf.DUMMYFUNCTION("""COMPUTED_VALUE"""),4.690612020464E12)</f>
        <v>4690612020464</v>
      </c>
      <c r="BD64" s="2"/>
      <c r="BE64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4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4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4" s="2"/>
      <c r="BI64" s="2">
        <f>IFERROR(__xludf.DUMMYFUNCTION("""COMPUTED_VALUE"""),36.0)</f>
        <v>36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IFERROR(__xludf.DUMMYFUNCTION("""COMPUTED_VALUE"""),4.690612020471E12)</f>
        <v>4690612020471</v>
      </c>
      <c r="B65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5" s="2" t="str">
        <f>IFERROR(__xludf.DUMMYFUNCTION("""COMPUTED_VALUE"""),"Лампа светодиодная LED-СВЕЧА-standard")</f>
        <v>Лампа светодиодная LED-СВЕЧА-standard</v>
      </c>
      <c r="D65" s="2">
        <f>IFERROR(__xludf.DUMMYFUNCTION("""COMPUTED_VALUE"""),4.690612020471E12)</f>
        <v>4690612020471</v>
      </c>
      <c r="E65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IFERROR(__xludf.DUMMYFUNCTION("""COMPUTED_VALUE"""),11.0)</f>
        <v>11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IFERROR(__xludf.DUMMYFUNCTION("""COMPUTED_VALUE"""),990.0)</f>
        <v>990</v>
      </c>
      <c r="Q65" s="2">
        <f>IFERROR(__xludf.DUMMYFUNCTION("""COMPUTED_VALUE"""),4000.0)</f>
        <v>4000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IFERROR(__xludf.DUMMYFUNCTION("""COMPUTED_VALUE"""),107.0)</f>
        <v>107</v>
      </c>
      <c r="W65" s="2">
        <f>IFERROR(__xludf.DUMMYFUNCTION("""COMPUTED_VALUE"""),37.0)</f>
        <v>37</v>
      </c>
      <c r="X65" s="2"/>
      <c r="Y65" s="2"/>
      <c r="Z65" s="2"/>
      <c r="AA65" s="2"/>
      <c r="AB65" s="2">
        <f>IFERROR(__xludf.DUMMYFUNCTION("""COMPUTED_VALUE"""),0.035)</f>
        <v>0.035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IFERROR(__xludf.DUMMYFUNCTION("""COMPUTED_VALUE"""),0.08)</f>
        <v>0.08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IFERROR(__xludf.DUMMYFUNCTION("""COMPUTED_VALUE"""),1.9E-4)</f>
        <v>0.00019</v>
      </c>
      <c r="AV65" s="2">
        <f>IFERROR(__xludf.DUMMYFUNCTION("""COMPUTED_VALUE"""),0.035)</f>
        <v>0.035</v>
      </c>
      <c r="AW65" s="2">
        <f>IFERROR(__xludf.DUMMYFUNCTION("""COMPUTED_VALUE"""),100.0)</f>
        <v>100</v>
      </c>
      <c r="AX65" s="2">
        <f>IFERROR(__xludf.DUMMYFUNCTION("""COMPUTED_VALUE"""),38.0)</f>
        <v>38</v>
      </c>
      <c r="AY65" s="2">
        <f>IFERROR(__xludf.DUMMYFUNCTION("""COMPUTED_VALUE"""),38.0)</f>
        <v>38</v>
      </c>
      <c r="AZ65" s="2">
        <f>IFERROR(__xludf.DUMMYFUNCTION("""COMPUTED_VALUE"""),107.0)</f>
        <v>107</v>
      </c>
      <c r="BA65" s="2">
        <f>IFERROR(__xludf.DUMMYFUNCTION("""COMPUTED_VALUE"""),0.019)</f>
        <v>0.019</v>
      </c>
      <c r="BB65" s="2">
        <f>IFERROR(__xludf.DUMMYFUNCTION("""COMPUTED_VALUE"""),3.5)</f>
        <v>3.5</v>
      </c>
      <c r="BC65" s="2">
        <f>IFERROR(__xludf.DUMMYFUNCTION("""COMPUTED_VALUE"""),4.690612020471E12)</f>
        <v>4690612020471</v>
      </c>
      <c r="BD65" s="2"/>
      <c r="BE65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5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5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5" s="2"/>
      <c r="BI65" s="2">
        <f>IFERROR(__xludf.DUMMYFUNCTION("""COMPUTED_VALUE"""),32.0)</f>
        <v>32</v>
      </c>
      <c r="BJ65" s="2">
        <f>IFERROR(__xludf.DUMMYFUNCTION("""COMPUTED_VALUE"""),35.0)</f>
        <v>35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IFERROR(__xludf.DUMMYFUNCTION("""COMPUTED_VALUE"""),4.690612020495E12)</f>
        <v>4690612020495</v>
      </c>
      <c r="B66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6" s="2" t="str">
        <f>IFERROR(__xludf.DUMMYFUNCTION("""COMPUTED_VALUE"""),"Лампа светодиодная LED-СВЕЧА-standard")</f>
        <v>Лампа светодиодная LED-СВЕЧА-standard</v>
      </c>
      <c r="D66" s="2">
        <f>IFERROR(__xludf.DUMMYFUNCTION("""COMPUTED_VALUE"""),4.690612020495E12)</f>
        <v>4690612020495</v>
      </c>
      <c r="E66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IFERROR(__xludf.DUMMYFUNCTION("""COMPUTED_VALUE"""),11.0)</f>
        <v>11</v>
      </c>
      <c r="N66" s="2" t="str">
        <f>IFERROR(__xludf.DUMMYFUNCTION("""COMPUTED_VALUE"""),"E27")</f>
        <v>E27</v>
      </c>
      <c r="O66" s="2" t="str">
        <f>IFERROR(__xludf.DUMMYFUNCTION("""COMPUTED_VALUE"""),"SMD")</f>
        <v>SMD</v>
      </c>
      <c r="P66" s="2">
        <f>IFERROR(__xludf.DUMMYFUNCTION("""COMPUTED_VALUE"""),990.0)</f>
        <v>990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IFERROR(__xludf.DUMMYFUNCTION("""COMPUTED_VALUE"""),107.0)</f>
        <v>107</v>
      </c>
      <c r="W66" s="2">
        <f>IFERROR(__xludf.DUMMYFUNCTION("""COMPUTED_VALUE"""),37.0)</f>
        <v>37</v>
      </c>
      <c r="X66" s="2"/>
      <c r="Y66" s="2"/>
      <c r="Z66" s="2"/>
      <c r="AA66" s="2"/>
      <c r="AB66" s="2">
        <f>IFERROR(__xludf.DUMMYFUNCTION("""COMPUTED_VALUE"""),0.036)</f>
        <v>0.036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IFERROR(__xludf.DUMMYFUNCTION("""COMPUTED_VALUE"""),0.08)</f>
        <v>0.08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IFERROR(__xludf.DUMMYFUNCTION("""COMPUTED_VALUE"""),1.9E-4)</f>
        <v>0.00019</v>
      </c>
      <c r="AV66" s="2">
        <f>IFERROR(__xludf.DUMMYFUNCTION("""COMPUTED_VALUE"""),0.036)</f>
        <v>0.036</v>
      </c>
      <c r="AW66" s="2">
        <f>IFERROR(__xludf.DUMMYFUNCTION("""COMPUTED_VALUE"""),100.0)</f>
        <v>100</v>
      </c>
      <c r="AX66" s="2">
        <f>IFERROR(__xludf.DUMMYFUNCTION("""COMPUTED_VALUE"""),38.0)</f>
        <v>38</v>
      </c>
      <c r="AY66" s="2">
        <f>IFERROR(__xludf.DUMMYFUNCTION("""COMPUTED_VALUE"""),38.0)</f>
        <v>38</v>
      </c>
      <c r="AZ66" s="2">
        <f>IFERROR(__xludf.DUMMYFUNCTION("""COMPUTED_VALUE"""),107.0)</f>
        <v>107</v>
      </c>
      <c r="BA66" s="2">
        <f>IFERROR(__xludf.DUMMYFUNCTION("""COMPUTED_VALUE"""),0.019)</f>
        <v>0.019</v>
      </c>
      <c r="BB66" s="2">
        <f>IFERROR(__xludf.DUMMYFUNCTION("""COMPUTED_VALUE"""),3.6)</f>
        <v>3.6</v>
      </c>
      <c r="BC66" s="2">
        <f>IFERROR(__xludf.DUMMYFUNCTION("""COMPUTED_VALUE"""),4.690612020495E12)</f>
        <v>4690612020495</v>
      </c>
      <c r="BD66" s="2"/>
      <c r="BE66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6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6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6" s="2"/>
      <c r="BI66" s="2">
        <f>IFERROR(__xludf.DUMMYFUNCTION("""COMPUTED_VALUE"""),12.0)</f>
        <v>12</v>
      </c>
      <c r="BJ66" s="2">
        <f>IFERROR(__xludf.DUMMYFUNCTION("""COMPUTED_VALUE"""),35.0)</f>
        <v>35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IFERROR(__xludf.DUMMYFUNCTION("""COMPUTED_VALUE"""),4.690612020501E12)</f>
        <v>4690612020501</v>
      </c>
      <c r="B67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IFERROR(__xludf.DUMMYFUNCTION("""COMPUTED_VALUE"""),4.690612020501E12)</f>
        <v>4690612020501</v>
      </c>
      <c r="E67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IFERROR(__xludf.DUMMYFUNCTION("""COMPUTED_VALUE"""),"E14")</f>
        <v>E14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IFERROR(__xludf.DUMMYFUNCTION("""COMPUTED_VALUE"""),4.690612020501E12)</f>
        <v>4690612020501</v>
      </c>
      <c r="BD67" s="2"/>
      <c r="BE67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7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7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7" s="2"/>
      <c r="BI67" s="2">
        <f>IFERROR(__xludf.DUMMYFUNCTION("""COMPUTED_VALUE"""),13.0)</f>
        <v>13</v>
      </c>
      <c r="BJ67" s="2">
        <f>IFERROR(__xludf.DUMMYFUNCTION("""COMPUTED_VALUE"""),26.0)</f>
        <v>26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IFERROR(__xludf.DUMMYFUNCTION("""COMPUTED_VALUE"""),4.690612020518E12)</f>
        <v>4690612020518</v>
      </c>
      <c r="B68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IFERROR(__xludf.DUMMYFUNCTION("""COMPUTED_VALUE"""),4.690612020518E12)</f>
        <v>4690612020518</v>
      </c>
      <c r="E68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IFERROR(__xludf.DUMMYFUNCTION("""COMPUTED_VALUE"""),6.0)</f>
        <v>6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IFERROR(__xludf.DUMMYFUNCTION("""COMPUTED_VALUE"""),540.0)</f>
        <v>540</v>
      </c>
      <c r="Q68" s="2">
        <f>IFERROR(__xludf.DUMMYFUNCTION("""COMPUTED_VALUE"""),4000.0)</f>
        <v>4000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IFERROR(__xludf.DUMMYFUNCTION("""COMPUTED_VALUE"""),0.031)</f>
        <v>0.031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IFERROR(__xludf.DUMMYFUNCTION("""COMPUTED_VALUE"""),0.05)</f>
        <v>0.05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IFERROR(__xludf.DUMMYFUNCTION("""COMPUTED_VALUE"""),0.031)</f>
        <v>0.031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IFERROR(__xludf.DUMMYFUNCTION("""COMPUTED_VALUE"""),3.1)</f>
        <v>3.1</v>
      </c>
      <c r="BC68" s="2">
        <f>IFERROR(__xludf.DUMMYFUNCTION("""COMPUTED_VALUE"""),4.690612020518E12)</f>
        <v>4690612020518</v>
      </c>
      <c r="BD68" s="2"/>
      <c r="BE68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8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8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8" s="2"/>
      <c r="BI68" s="2">
        <f>IFERROR(__xludf.DUMMYFUNCTION("""COMPUTED_VALUE"""),30.0)</f>
        <v>30</v>
      </c>
      <c r="BJ68" s="2">
        <f>IFERROR(__xludf.DUMMYFUNCTION("""COMPUTED_VALUE"""),33.0)</f>
        <v>33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IFERROR(__xludf.DUMMYFUNCTION("""COMPUTED_VALUE"""),4.690612020525E12)</f>
        <v>4690612020525</v>
      </c>
      <c r="B69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IFERROR(__xludf.DUMMYFUNCTION("""COMPUTED_VALUE"""),4.690612020525E12)</f>
        <v>4690612020525</v>
      </c>
      <c r="E69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IFERROR(__xludf.DUMMYFUNCTION("""COMPUTED_VALUE"""),6.0)</f>
        <v>6</v>
      </c>
      <c r="N69" s="2" t="str">
        <f>IFERROR(__xludf.DUMMYFUNCTION("""COMPUTED_VALUE"""),"E27")</f>
        <v>E27</v>
      </c>
      <c r="O69" s="2" t="str">
        <f>IFERROR(__xludf.DUMMYFUNCTION("""COMPUTED_VALUE"""),"SMD")</f>
        <v>SMD</v>
      </c>
      <c r="P69" s="2">
        <f>IFERROR(__xludf.DUMMYFUNCTION("""COMPUTED_VALUE"""),540.0)</f>
        <v>540</v>
      </c>
      <c r="Q69" s="2">
        <f>IFERROR(__xludf.DUMMYFUNCTION("""COMPUTED_VALUE"""),3000.0)</f>
        <v>3000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IFERROR(__xludf.DUMMYFUNCTION("""COMPUTED_VALUE"""),0.05)</f>
        <v>0.05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IFERROR(__xludf.DUMMYFUNCTION("""COMPUTED_VALUE"""),4.690612020525E12)</f>
        <v>4690612020525</v>
      </c>
      <c r="BD69" s="2"/>
      <c r="BE69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9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9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9" s="2"/>
      <c r="BI69" s="2">
        <f>IFERROR(__xludf.DUMMYFUNCTION("""COMPUTED_VALUE"""),7.0)</f>
        <v>7</v>
      </c>
      <c r="BJ69" s="2">
        <f>IFERROR(__xludf.DUMMYFUNCTION("""COMPUTED_VALUE"""),33.0)</f>
        <v>33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IFERROR(__xludf.DUMMYFUNCTION("""COMPUTED_VALUE"""),4.690612020549E12)</f>
        <v>4690612020549</v>
      </c>
      <c r="B70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IFERROR(__xludf.DUMMYFUNCTION("""COMPUTED_VALUE"""),4.690612020549E12)</f>
        <v>4690612020549</v>
      </c>
      <c r="E70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IFERROR(__xludf.DUMMYFUNCTION("""COMPUTED_VALUE"""),"E14")</f>
        <v>E14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IFERROR(__xludf.DUMMYFUNCTION("""COMPUTED_VALUE"""),0.032)</f>
        <v>0.032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IFERROR(__xludf.DUMMYFUNCTION("""COMPUTED_VALUE"""),0.032)</f>
        <v>0.032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IFERROR(__xludf.DUMMYFUNCTION("""COMPUTED_VALUE"""),3.2)</f>
        <v>3.2</v>
      </c>
      <c r="BC70" s="2">
        <f>IFERROR(__xludf.DUMMYFUNCTION("""COMPUTED_VALUE"""),4.690612020549E12)</f>
        <v>4690612020549</v>
      </c>
      <c r="BD70" s="2"/>
      <c r="BE70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70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70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70" s="2"/>
      <c r="BI70" s="2">
        <f>IFERROR(__xludf.DUMMYFUNCTION("""COMPUTED_VALUE"""),5.0)</f>
        <v>5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IFERROR(__xludf.DUMMYFUNCTION("""COMPUTED_VALUE"""),4.690612020556E12)</f>
        <v>4690612020556</v>
      </c>
      <c r="B71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IFERROR(__xludf.DUMMYFUNCTION("""COMPUTED_VALUE"""),4.690612020556E12)</f>
        <v>4690612020556</v>
      </c>
      <c r="E71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IFERROR(__xludf.DUMMYFUNCTION("""COMPUTED_VALUE"""),"E14")</f>
        <v>E14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IFERROR(__xludf.DUMMYFUNCTION("""COMPUTED_VALUE"""),4.690612020556E12)</f>
        <v>4690612020556</v>
      </c>
      <c r="BD71" s="2"/>
      <c r="BE71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71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71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71" s="2"/>
      <c r="BI71" s="2">
        <f>IFERROR(__xludf.DUMMYFUNCTION("""COMPUTED_VALUE"""),1.0)</f>
        <v>1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IFERROR(__xludf.DUMMYFUNCTION("""COMPUTED_VALUE"""),4.690612020563E12)</f>
        <v>4690612020563</v>
      </c>
      <c r="B72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IFERROR(__xludf.DUMMYFUNCTION("""COMPUTED_VALUE"""),4.690612020563E12)</f>
        <v>4690612020563</v>
      </c>
      <c r="E72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IFERROR(__xludf.DUMMYFUNCTION("""COMPUTED_VALUE"""),8.0)</f>
        <v>8</v>
      </c>
      <c r="N72" s="2" t="str">
        <f>IFERROR(__xludf.DUMMYFUNCTION("""COMPUTED_VALUE"""),"E27")</f>
        <v>E27</v>
      </c>
      <c r="O72" s="2" t="str">
        <f>IFERROR(__xludf.DUMMYFUNCTION("""COMPUTED_VALUE"""),"SMD")</f>
        <v>SMD</v>
      </c>
      <c r="P72" s="2">
        <f>IFERROR(__xludf.DUMMYFUNCTION("""COMPUTED_VALUE"""),720.0)</f>
        <v>720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IFERROR(__xludf.DUMMYFUNCTION("""COMPUTED_VALUE"""),83.0)</f>
        <v>83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IFERROR(__xludf.DUMMYFUNCTION("""COMPUTED_VALUE"""),0.031)</f>
        <v>0.031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IFERROR(__xludf.DUMMYFUNCTION("""COMPUTED_VALUE"""),0.06)</f>
        <v>0.06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IFERROR(__xludf.DUMMYFUNCTION("""COMPUTED_VALUE"""),2.3E-4)</f>
        <v>0.00023</v>
      </c>
      <c r="AV72" s="2">
        <f>IFERROR(__xludf.DUMMYFUNCTION("""COMPUTED_VALUE"""),0.031)</f>
        <v>0.031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IFERROR(__xludf.DUMMYFUNCTION("""COMPUTED_VALUE"""),85.0)</f>
        <v>85</v>
      </c>
      <c r="BA72" s="2">
        <f>IFERROR(__xludf.DUMMYFUNCTION("""COMPUTED_VALUE"""),0.023)</f>
        <v>0.023</v>
      </c>
      <c r="BB72" s="2">
        <f>IFERROR(__xludf.DUMMYFUNCTION("""COMPUTED_VALUE"""),3.1)</f>
        <v>3.1</v>
      </c>
      <c r="BC72" s="2">
        <f>IFERROR(__xludf.DUMMYFUNCTION("""COMPUTED_VALUE"""),4.690612020563E12)</f>
        <v>4690612020563</v>
      </c>
      <c r="BD72" s="2"/>
      <c r="BE72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2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2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2" s="2"/>
      <c r="BI72" s="2">
        <f>IFERROR(__xludf.DUMMYFUNCTION("""COMPUTED_VALUE"""),27.0)</f>
        <v>27</v>
      </c>
      <c r="BJ72" s="2">
        <f>IFERROR(__xludf.DUMMYFUNCTION("""COMPUTED_VALUE"""),34.0)</f>
        <v>34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IFERROR(__xludf.DUMMYFUNCTION("""COMPUTED_VALUE"""),4.69061202057E12)</f>
        <v>4690612020570</v>
      </c>
      <c r="B73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IFERROR(__xludf.DUMMYFUNCTION("""COMPUTED_VALUE"""),4.69061202057E12)</f>
        <v>4690612020570</v>
      </c>
      <c r="E73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IFERROR(__xludf.DUMMYFUNCTION("""COMPUTED_VALUE"""),8.0)</f>
        <v>8</v>
      </c>
      <c r="N73" s="2" t="str">
        <f>IFERROR(__xludf.DUMMYFUNCTION("""COMPUTED_VALUE"""),"E27")</f>
        <v>E27</v>
      </c>
      <c r="O73" s="2" t="str">
        <f>IFERROR(__xludf.DUMMYFUNCTION("""COMPUTED_VALUE"""),"SMD")</f>
        <v>SMD</v>
      </c>
      <c r="P73" s="2">
        <f>IFERROR(__xludf.DUMMYFUNCTION("""COMPUTED_VALUE"""),720.0)</f>
        <v>720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IFERROR(__xludf.DUMMYFUNCTION("""COMPUTED_VALUE"""),83.0)</f>
        <v>83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IFERROR(__xludf.DUMMYFUNCTION("""COMPUTED_VALUE"""),0.031)</f>
        <v>0.031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IFERROR(__xludf.DUMMYFUNCTION("""COMPUTED_VALUE"""),0.06)</f>
        <v>0.06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IFERROR(__xludf.DUMMYFUNCTION("""COMPUTED_VALUE"""),2.3E-4)</f>
        <v>0.00023</v>
      </c>
      <c r="AV73" s="2">
        <f>IFERROR(__xludf.DUMMYFUNCTION("""COMPUTED_VALUE"""),0.031)</f>
        <v>0.031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IFERROR(__xludf.DUMMYFUNCTION("""COMPUTED_VALUE"""),85.0)</f>
        <v>85</v>
      </c>
      <c r="BA73" s="2">
        <f>IFERROR(__xludf.DUMMYFUNCTION("""COMPUTED_VALUE"""),0.023)</f>
        <v>0.023</v>
      </c>
      <c r="BB73" s="2">
        <f>IFERROR(__xludf.DUMMYFUNCTION("""COMPUTED_VALUE"""),3.1)</f>
        <v>3.1</v>
      </c>
      <c r="BC73" s="2">
        <f>IFERROR(__xludf.DUMMYFUNCTION("""COMPUTED_VALUE"""),4.69061202057E12)</f>
        <v>4690612020570</v>
      </c>
      <c r="BD73" s="2"/>
      <c r="BE73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3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3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3" s="2"/>
      <c r="BI73" s="2">
        <f>IFERROR(__xludf.DUMMYFUNCTION("""COMPUTED_VALUE"""),2.0)</f>
        <v>2</v>
      </c>
      <c r="BJ73" s="2">
        <f>IFERROR(__xludf.DUMMYFUNCTION("""COMPUTED_VALUE"""),34.0)</f>
        <v>34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IFERROR(__xludf.DUMMYFUNCTION("""COMPUTED_VALUE"""),4.690612020587E12)</f>
        <v>4690612020587</v>
      </c>
      <c r="B74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IFERROR(__xludf.DUMMYFUNCTION("""COMPUTED_VALUE"""),4.690612020587E12)</f>
        <v>4690612020587</v>
      </c>
      <c r="E74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IFERROR(__xludf.DUMMYFUNCTION("""COMPUTED_VALUE"""),"E14")</f>
        <v>E14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IFERROR(__xludf.DUMMYFUNCTION("""COMPUTED_VALUE"""),4.690612020587E12)</f>
        <v>4690612020587</v>
      </c>
      <c r="BD74" s="2"/>
      <c r="BE74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4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4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4" s="2"/>
      <c r="BI74" s="2">
        <f>IFERROR(__xludf.DUMMYFUNCTION("""COMPUTED_VALUE"""),61.0)</f>
        <v>61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IFERROR(__xludf.DUMMYFUNCTION("""COMPUTED_VALUE"""),4.690612020594E12)</f>
        <v>4690612020594</v>
      </c>
      <c r="B75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IFERROR(__xludf.DUMMYFUNCTION("""COMPUTED_VALUE"""),4.690612020594E12)</f>
        <v>4690612020594</v>
      </c>
      <c r="E75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IFERROR(__xludf.DUMMYFUNCTION("""COMPUTED_VALUE"""),"E14")</f>
        <v>E14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IFERROR(__xludf.DUMMYFUNCTION("""COMPUTED_VALUE"""),4.690612020594E12)</f>
        <v>4690612020594</v>
      </c>
      <c r="BD75" s="2"/>
      <c r="BE75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5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5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5" s="2"/>
      <c r="BI75" s="2">
        <f>IFERROR(__xludf.DUMMYFUNCTION("""COMPUTED_VALUE"""),89.0)</f>
        <v>89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IFERROR(__xludf.DUMMYFUNCTION("""COMPUTED_VALUE"""),4.6906120206E12)</f>
        <v>4690612020600</v>
      </c>
      <c r="B76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6" s="2" t="str">
        <f>IFERROR(__xludf.DUMMYFUNCTION("""COMPUTED_VALUE"""),"Лампа светодиодная LED-ШАР-standard")</f>
        <v>Лампа светодиодная LED-ШАР-standard</v>
      </c>
      <c r="D76" s="2">
        <f>IFERROR(__xludf.DUMMYFUNCTION("""COMPUTED_VALUE"""),4.6906120206E12)</f>
        <v>4690612020600</v>
      </c>
      <c r="E76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IFERROR(__xludf.DUMMYFUNCTION("""COMPUTED_VALUE"""),11.0)</f>
        <v>11</v>
      </c>
      <c r="N76" s="2" t="str">
        <f>IFERROR(__xludf.DUMMYFUNCTION("""COMPUTED_VALUE"""),"E27")</f>
        <v>E27</v>
      </c>
      <c r="O76" s="2" t="str">
        <f>IFERROR(__xludf.DUMMYFUNCTION("""COMPUTED_VALUE"""),"SMD")</f>
        <v>SMD</v>
      </c>
      <c r="P76" s="2">
        <f>IFERROR(__xludf.DUMMYFUNCTION("""COMPUTED_VALUE"""),990.0)</f>
        <v>990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IFERROR(__xludf.DUMMYFUNCTION("""COMPUTED_VALUE"""),89.0)</f>
        <v>89</v>
      </c>
      <c r="W76" s="2">
        <f>IFERROR(__xludf.DUMMYFUNCTION("""COMPUTED_VALUE"""),45.0)</f>
        <v>45</v>
      </c>
      <c r="X76" s="2"/>
      <c r="Y76" s="2"/>
      <c r="Z76" s="2"/>
      <c r="AA76" s="2"/>
      <c r="AB76" s="2">
        <f>IFERROR(__xludf.DUMMYFUNCTION("""COMPUTED_VALUE"""),0.036)</f>
        <v>0.036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IFERROR(__xludf.DUMMYFUNCTION("""COMPUTED_VALUE"""),0.08)</f>
        <v>0.08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IFERROR(__xludf.DUMMYFUNCTION("""COMPUTED_VALUE"""),2.4E-4)</f>
        <v>0.00024</v>
      </c>
      <c r="AV76" s="2">
        <f>IFERROR(__xludf.DUMMYFUNCTION("""COMPUTED_VALUE"""),0.036)</f>
        <v>0.036</v>
      </c>
      <c r="AW76" s="2">
        <f>IFERROR(__xludf.DUMMYFUNCTION("""COMPUTED_VALUE"""),100.0)</f>
        <v>100</v>
      </c>
      <c r="AX76" s="2">
        <f>IFERROR(__xludf.DUMMYFUNCTION("""COMPUTED_VALUE"""),46.0)</f>
        <v>46</v>
      </c>
      <c r="AY76" s="2">
        <f>IFERROR(__xludf.DUMMYFUNCTION("""COMPUTED_VALUE"""),46.0)</f>
        <v>46</v>
      </c>
      <c r="AZ76" s="2">
        <f>IFERROR(__xludf.DUMMYFUNCTION("""COMPUTED_VALUE"""),89.0)</f>
        <v>89</v>
      </c>
      <c r="BA76" s="2">
        <f>IFERROR(__xludf.DUMMYFUNCTION("""COMPUTED_VALUE"""),0.024)</f>
        <v>0.024</v>
      </c>
      <c r="BB76" s="2">
        <f>IFERROR(__xludf.DUMMYFUNCTION("""COMPUTED_VALUE"""),3.6)</f>
        <v>3.6</v>
      </c>
      <c r="BC76" s="2">
        <f>IFERROR(__xludf.DUMMYFUNCTION("""COMPUTED_VALUE"""),4.6906120206E12)</f>
        <v>4690612020600</v>
      </c>
      <c r="BD76" s="2"/>
      <c r="BE76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6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6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6" s="2"/>
      <c r="BI76" s="2">
        <f>IFERROR(__xludf.DUMMYFUNCTION("""COMPUTED_VALUE"""),80.0)</f>
        <v>80</v>
      </c>
      <c r="BJ76" s="2">
        <f>IFERROR(__xludf.DUMMYFUNCTION("""COMPUTED_VALUE"""),35.0)</f>
        <v>35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IFERROR(__xludf.DUMMYFUNCTION("""COMPUTED_VALUE"""),4.690612020617E12)</f>
        <v>4690612020617</v>
      </c>
      <c r="B77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7" s="2" t="str">
        <f>IFERROR(__xludf.DUMMYFUNCTION("""COMPUTED_VALUE"""),"Лампа светодиодная LED-ШАР-standard")</f>
        <v>Лампа светодиодная LED-ШАР-standard</v>
      </c>
      <c r="D77" s="2">
        <f>IFERROR(__xludf.DUMMYFUNCTION("""COMPUTED_VALUE"""),4.690612020617E12)</f>
        <v>4690612020617</v>
      </c>
      <c r="E77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IFERROR(__xludf.DUMMYFUNCTION("""COMPUTED_VALUE"""),11.0)</f>
        <v>11</v>
      </c>
      <c r="N77" s="2" t="str">
        <f>IFERROR(__xludf.DUMMYFUNCTION("""COMPUTED_VALUE"""),"E27")</f>
        <v>E27</v>
      </c>
      <c r="O77" s="2" t="str">
        <f>IFERROR(__xludf.DUMMYFUNCTION("""COMPUTED_VALUE"""),"SMD")</f>
        <v>SMD</v>
      </c>
      <c r="P77" s="2">
        <f>IFERROR(__xludf.DUMMYFUNCTION("""COMPUTED_VALUE"""),990.0)</f>
        <v>990</v>
      </c>
      <c r="Q77" s="2">
        <f>IFERROR(__xludf.DUMMYFUNCTION("""COMPUTED_VALUE"""),4000.0)</f>
        <v>4000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IFERROR(__xludf.DUMMYFUNCTION("""COMPUTED_VALUE"""),89.0)</f>
        <v>89</v>
      </c>
      <c r="W77" s="2">
        <f>IFERROR(__xludf.DUMMYFUNCTION("""COMPUTED_VALUE"""),45.0)</f>
        <v>45</v>
      </c>
      <c r="X77" s="2"/>
      <c r="Y77" s="2"/>
      <c r="Z77" s="2"/>
      <c r="AA77" s="2"/>
      <c r="AB77" s="2">
        <f>IFERROR(__xludf.DUMMYFUNCTION("""COMPUTED_VALUE"""),0.036)</f>
        <v>0.036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IFERROR(__xludf.DUMMYFUNCTION("""COMPUTED_VALUE"""),0.08)</f>
        <v>0.08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IFERROR(__xludf.DUMMYFUNCTION("""COMPUTED_VALUE"""),2.4E-4)</f>
        <v>0.00024</v>
      </c>
      <c r="AV77" s="2">
        <f>IFERROR(__xludf.DUMMYFUNCTION("""COMPUTED_VALUE"""),0.036)</f>
        <v>0.036</v>
      </c>
      <c r="AW77" s="2">
        <f>IFERROR(__xludf.DUMMYFUNCTION("""COMPUTED_VALUE"""),100.0)</f>
        <v>100</v>
      </c>
      <c r="AX77" s="2">
        <f>IFERROR(__xludf.DUMMYFUNCTION("""COMPUTED_VALUE"""),46.0)</f>
        <v>46</v>
      </c>
      <c r="AY77" s="2">
        <f>IFERROR(__xludf.DUMMYFUNCTION("""COMPUTED_VALUE"""),46.0)</f>
        <v>46</v>
      </c>
      <c r="AZ77" s="2">
        <f>IFERROR(__xludf.DUMMYFUNCTION("""COMPUTED_VALUE"""),89.0)</f>
        <v>89</v>
      </c>
      <c r="BA77" s="2">
        <f>IFERROR(__xludf.DUMMYFUNCTION("""COMPUTED_VALUE"""),0.024)</f>
        <v>0.024</v>
      </c>
      <c r="BB77" s="2">
        <f>IFERROR(__xludf.DUMMYFUNCTION("""COMPUTED_VALUE"""),3.6)</f>
        <v>3.6</v>
      </c>
      <c r="BC77" s="2">
        <f>IFERROR(__xludf.DUMMYFUNCTION("""COMPUTED_VALUE"""),4.690612020617E12)</f>
        <v>4690612020617</v>
      </c>
      <c r="BD77" s="2"/>
      <c r="BE77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7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7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7" s="2"/>
      <c r="BI77" s="2">
        <f>IFERROR(__xludf.DUMMYFUNCTION("""COMPUTED_VALUE"""),21.0)</f>
        <v>21</v>
      </c>
      <c r="BJ77" s="2">
        <f>IFERROR(__xludf.DUMMYFUNCTION("""COMPUTED_VALUE"""),35.0)</f>
        <v>35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IFERROR(__xludf.DUMMYFUNCTION("""COMPUTED_VALUE"""),4.690612020723E12)</f>
        <v>4690612020723</v>
      </c>
      <c r="B78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IFERROR(__xludf.DUMMYFUNCTION("""COMPUTED_VALUE"""),4.690612020723E12)</f>
        <v>4690612020723</v>
      </c>
      <c r="E78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IFERROR(__xludf.DUMMYFUNCTION("""COMPUTED_VALUE"""),8.0)</f>
        <v>8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IFERROR(__xludf.DUMMYFUNCTION("""COMPUTED_VALUE"""),720.0)</f>
        <v>720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IFERROR(__xludf.DUMMYFUNCTION("""COMPUTED_VALUE"""),0.035)</f>
        <v>0.035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IFERROR(__xludf.DUMMYFUNCTION("""COMPUTED_VALUE"""),0.06)</f>
        <v>0.06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IFERROR(__xludf.DUMMYFUNCTION("""COMPUTED_VALUE"""),0.035)</f>
        <v>0.035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IFERROR(__xludf.DUMMYFUNCTION("""COMPUTED_VALUE"""),3.5)</f>
        <v>3.5</v>
      </c>
      <c r="BC78" s="2">
        <f>IFERROR(__xludf.DUMMYFUNCTION("""COMPUTED_VALUE"""),4.690612020723E12)</f>
        <v>4690612020723</v>
      </c>
      <c r="BD78" s="2"/>
      <c r="BE78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8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8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8" s="2"/>
      <c r="BI78" s="2">
        <f>IFERROR(__xludf.DUMMYFUNCTION("""COMPUTED_VALUE"""),41.0)</f>
        <v>41</v>
      </c>
      <c r="BJ78" s="2">
        <f>IFERROR(__xludf.DUMMYFUNCTION("""COMPUTED_VALUE"""),33.0)</f>
        <v>33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IFERROR(__xludf.DUMMYFUNCTION("""COMPUTED_VALUE"""),4.690612020747E12)</f>
        <v>4690612020747</v>
      </c>
      <c r="B79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IFERROR(__xludf.DUMMYFUNCTION("""COMPUTED_VALUE"""),4.690612020747E12)</f>
        <v>4690612020747</v>
      </c>
      <c r="E79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IFERROR(__xludf.DUMMYFUNCTION("""COMPUTED_VALUE"""),8.0)</f>
        <v>8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IFERROR(__xludf.DUMMYFUNCTION("""COMPUTED_VALUE"""),720.0)</f>
        <v>720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IFERROR(__xludf.DUMMYFUNCTION("""COMPUTED_VALUE"""),0.035)</f>
        <v>0.035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IFERROR(__xludf.DUMMYFUNCTION("""COMPUTED_VALUE"""),0.06)</f>
        <v>0.06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IFERROR(__xludf.DUMMYFUNCTION("""COMPUTED_VALUE"""),0.035)</f>
        <v>0.035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IFERROR(__xludf.DUMMYFUNCTION("""COMPUTED_VALUE"""),3.5)</f>
        <v>3.5</v>
      </c>
      <c r="BC79" s="2">
        <f>IFERROR(__xludf.DUMMYFUNCTION("""COMPUTED_VALUE"""),4.690612020747E12)</f>
        <v>4690612020747</v>
      </c>
      <c r="BD79" s="2"/>
      <c r="BE79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9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9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9" s="2"/>
      <c r="BI79" s="2">
        <f>IFERROR(__xludf.DUMMYFUNCTION("""COMPUTED_VALUE"""),3.0)</f>
        <v>3</v>
      </c>
      <c r="BJ79" s="2">
        <f>IFERROR(__xludf.DUMMYFUNCTION("""COMPUTED_VALUE"""),33.0)</f>
        <v>33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IFERROR(__xludf.DUMMYFUNCTION("""COMPUTED_VALUE"""),4.690612020754E12)</f>
        <v>4690612020754</v>
      </c>
      <c r="B80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IFERROR(__xludf.DUMMYFUNCTION("""COMPUTED_VALUE"""),4.690612020754E12)</f>
        <v>4690612020754</v>
      </c>
      <c r="E80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IFERROR(__xludf.DUMMYFUNCTION("""COMPUTED_VALUE"""),10.0)</f>
        <v>10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IFERROR(__xludf.DUMMYFUNCTION("""COMPUTED_VALUE"""),900.0)</f>
        <v>900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IFERROR(__xludf.DUMMYFUNCTION("""COMPUTED_VALUE"""),0.037)</f>
        <v>0.037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IFERROR(__xludf.DUMMYFUNCTION("""COMPUTED_VALUE"""),0.08)</f>
        <v>0.08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IFERROR(__xludf.DUMMYFUNCTION("""COMPUTED_VALUE"""),0.037)</f>
        <v>0.037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IFERROR(__xludf.DUMMYFUNCTION("""COMPUTED_VALUE"""),3.7)</f>
        <v>3.7</v>
      </c>
      <c r="BC80" s="2">
        <f>IFERROR(__xludf.DUMMYFUNCTION("""COMPUTED_VALUE"""),4.690612020754E12)</f>
        <v>4690612020754</v>
      </c>
      <c r="BD80" s="2"/>
      <c r="BE80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80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80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80" s="2"/>
      <c r="BI80" s="2">
        <f>IFERROR(__xludf.DUMMYFUNCTION("""COMPUTED_VALUE"""),93.0)</f>
        <v>93</v>
      </c>
      <c r="BJ80" s="2">
        <f>IFERROR(__xludf.DUMMYFUNCTION("""COMPUTED_VALUE"""),34.0)</f>
        <v>34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IFERROR(__xludf.DUMMYFUNCTION("""COMPUTED_VALUE"""),4.690612020778E12)</f>
        <v>4690612020778</v>
      </c>
      <c r="B81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IFERROR(__xludf.DUMMYFUNCTION("""COMPUTED_VALUE"""),4.690612020778E12)</f>
        <v>4690612020778</v>
      </c>
      <c r="E81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IFERROR(__xludf.DUMMYFUNCTION("""COMPUTED_VALUE"""),10.0)</f>
        <v>10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IFERROR(__xludf.DUMMYFUNCTION("""COMPUTED_VALUE"""),900.0)</f>
        <v>900</v>
      </c>
      <c r="Q81" s="2">
        <f>IFERROR(__xludf.DUMMYFUNCTION("""COMPUTED_VALUE"""),6500.0)</f>
        <v>6500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IFERROR(__xludf.DUMMYFUNCTION("""COMPUTED_VALUE"""),0.037)</f>
        <v>0.037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IFERROR(__xludf.DUMMYFUNCTION("""COMPUTED_VALUE"""),0.08)</f>
        <v>0.08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IFERROR(__xludf.DUMMYFUNCTION("""COMPUTED_VALUE"""),0.037)</f>
        <v>0.037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IFERROR(__xludf.DUMMYFUNCTION("""COMPUTED_VALUE"""),3.7)</f>
        <v>3.7</v>
      </c>
      <c r="BC81" s="2">
        <f>IFERROR(__xludf.DUMMYFUNCTION("""COMPUTED_VALUE"""),4.690612020778E12)</f>
        <v>4690612020778</v>
      </c>
      <c r="BD81" s="2"/>
      <c r="BE81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81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81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81" s="2"/>
      <c r="BI81" s="2">
        <f>IFERROR(__xludf.DUMMYFUNCTION("""COMPUTED_VALUE"""),65.0)</f>
        <v>65</v>
      </c>
      <c r="BJ81" s="2">
        <f>IFERROR(__xludf.DUMMYFUNCTION("""COMPUTED_VALUE"""),34.0)</f>
        <v>34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IFERROR(__xludf.DUMMYFUNCTION("""COMPUTED_VALUE"""),4.690612020785E12)</f>
        <v>4690612020785</v>
      </c>
      <c r="B82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IFERROR(__xludf.DUMMYFUNCTION("""COMPUTED_VALUE"""),4.690612020785E12)</f>
        <v>4690612020785</v>
      </c>
      <c r="E82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IFERROR(__xludf.DUMMYFUNCTION("""COMPUTED_VALUE"""),3000.0)</f>
        <v>3000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IFERROR(__xludf.DUMMYFUNCTION("""COMPUTED_VALUE"""),4.690612020785E12)</f>
        <v>4690612020785</v>
      </c>
      <c r="BD82" s="2"/>
      <c r="BE82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2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2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2" s="2"/>
      <c r="BI82" s="2">
        <f>IFERROR(__xludf.DUMMYFUNCTION("""COMPUTED_VALUE"""),68.0)</f>
        <v>68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IFERROR(__xludf.DUMMYFUNCTION("""COMPUTED_VALUE"""),4.690612020792E12)</f>
        <v>4690612020792</v>
      </c>
      <c r="B83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IFERROR(__xludf.DUMMYFUNCTION("""COMPUTED_VALUE"""),4.690612020792E12)</f>
        <v>4690612020792</v>
      </c>
      <c r="E83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IFERROR(__xludf.DUMMYFUNCTION("""COMPUTED_VALUE"""),12.0)</f>
        <v>12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IFERROR(__xludf.DUMMYFUNCTION("""COMPUTED_VALUE"""),1080.0)</f>
        <v>1080</v>
      </c>
      <c r="Q83" s="2">
        <f>IFERROR(__xludf.DUMMYFUNCTION("""COMPUTED_VALUE"""),4000.0)</f>
        <v>4000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IFERROR(__xludf.DUMMYFUNCTION("""COMPUTED_VALUE"""),0.038)</f>
        <v>0.038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IFERROR(__xludf.DUMMYFUNCTION("""COMPUTED_VALUE"""),0.09)</f>
        <v>0.09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IFERROR(__xludf.DUMMYFUNCTION("""COMPUTED_VALUE"""),0.038)</f>
        <v>0.038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IFERROR(__xludf.DUMMYFUNCTION("""COMPUTED_VALUE"""),3.8)</f>
        <v>3.8</v>
      </c>
      <c r="BC83" s="2">
        <f>IFERROR(__xludf.DUMMYFUNCTION("""COMPUTED_VALUE"""),4.690612020792E12)</f>
        <v>4690612020792</v>
      </c>
      <c r="BD83" s="2"/>
      <c r="BE83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3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3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3" s="2"/>
      <c r="BI83" s="2">
        <f>IFERROR(__xludf.DUMMYFUNCTION("""COMPUTED_VALUE"""),1.0)</f>
        <v>1</v>
      </c>
      <c r="BJ83" s="2">
        <f>IFERROR(__xludf.DUMMYFUNCTION("""COMPUTED_VALUE"""),36.0)</f>
        <v>36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IFERROR(__xludf.DUMMYFUNCTION("""COMPUTED_VALUE"""),4.690612020808E12)</f>
        <v>4690612020808</v>
      </c>
      <c r="B84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IFERROR(__xludf.DUMMYFUNCTION("""COMPUTED_VALUE"""),4.690612020808E12)</f>
        <v>4690612020808</v>
      </c>
      <c r="E84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IFERROR(__xludf.DUMMYFUNCTION("""COMPUTED_VALUE"""),12.0)</f>
        <v>12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IFERROR(__xludf.DUMMYFUNCTION("""COMPUTED_VALUE"""),1080.0)</f>
        <v>1080</v>
      </c>
      <c r="Q84" s="2">
        <f>IFERROR(__xludf.DUMMYFUNCTION("""COMPUTED_VALUE"""),6500.0)</f>
        <v>6500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IFERROR(__xludf.DUMMYFUNCTION("""COMPUTED_VALUE"""),0.038)</f>
        <v>0.038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IFERROR(__xludf.DUMMYFUNCTION("""COMPUTED_VALUE"""),0.09)</f>
        <v>0.09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IFERROR(__xludf.DUMMYFUNCTION("""COMPUTED_VALUE"""),0.038)</f>
        <v>0.038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IFERROR(__xludf.DUMMYFUNCTION("""COMPUTED_VALUE"""),3.8)</f>
        <v>3.8</v>
      </c>
      <c r="BC84" s="2">
        <f>IFERROR(__xludf.DUMMYFUNCTION("""COMPUTED_VALUE"""),4.690612020808E12)</f>
        <v>4690612020808</v>
      </c>
      <c r="BD84" s="2"/>
      <c r="BE84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4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4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4" s="2"/>
      <c r="BI84" s="2">
        <f>IFERROR(__xludf.DUMMYFUNCTION("""COMPUTED_VALUE"""),40.0)</f>
        <v>40</v>
      </c>
      <c r="BJ84" s="2">
        <f>IFERROR(__xludf.DUMMYFUNCTION("""COMPUTED_VALUE"""),36.0)</f>
        <v>36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IFERROR(__xludf.DUMMYFUNCTION("""COMPUTED_VALUE"""),4.690612020815E12)</f>
        <v>4690612020815</v>
      </c>
      <c r="B85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IFERROR(__xludf.DUMMYFUNCTION("""COMPUTED_VALUE"""),4.690612020815E12)</f>
        <v>4690612020815</v>
      </c>
      <c r="E85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IFERROR(__xludf.DUMMYFUNCTION("""COMPUTED_VALUE"""),3000.0)</f>
        <v>3000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IFERROR(__xludf.DUMMYFUNCTION("""COMPUTED_VALUE"""),4.690612020815E12)</f>
        <v>4690612020815</v>
      </c>
      <c r="BD85" s="2"/>
      <c r="BE85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5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5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5" s="2"/>
      <c r="BI85" s="2">
        <f>IFERROR(__xludf.DUMMYFUNCTION("""COMPUTED_VALUE"""),9.0)</f>
        <v>9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IFERROR(__xludf.DUMMYFUNCTION("""COMPUTED_VALUE"""),4.690612020822E12)</f>
        <v>4690612020822</v>
      </c>
      <c r="B86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6" s="2" t="str">
        <f>IFERROR(__xludf.DUMMYFUNCTION("""COMPUTED_VALUE"""),"Лампа светодиодная LED-GX53-standard")</f>
        <v>Лампа светодиодная LED-GX53-standard</v>
      </c>
      <c r="D86" s="2">
        <f>IFERROR(__xludf.DUMMYFUNCTION("""COMPUTED_VALUE"""),4.690612020822E12)</f>
        <v>4690612020822</v>
      </c>
      <c r="E86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IFERROR(__xludf.DUMMYFUNCTION("""COMPUTED_VALUE"""),15.0)</f>
        <v>15</v>
      </c>
      <c r="N86" s="2" t="str">
        <f>IFERROR(__xludf.DUMMYFUNCTION("""COMPUTED_VALUE"""),"GX53")</f>
        <v>GX53</v>
      </c>
      <c r="O86" s="2" t="str">
        <f>IFERROR(__xludf.DUMMYFUNCTION("""COMPUTED_VALUE"""),"SMD")</f>
        <v>SMD</v>
      </c>
      <c r="P86" s="2">
        <f>IFERROR(__xludf.DUMMYFUNCTION("""COMPUTED_VALUE"""),1350.0)</f>
        <v>1350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IFERROR(__xludf.DUMMYFUNCTION("""COMPUTED_VALUE"""),27.0)</f>
        <v>27</v>
      </c>
      <c r="W86" s="2">
        <f>IFERROR(__xludf.DUMMYFUNCTION("""COMPUTED_VALUE"""),74.0)</f>
        <v>74</v>
      </c>
      <c r="X86" s="2"/>
      <c r="Y86" s="2"/>
      <c r="Z86" s="2"/>
      <c r="AA86" s="2"/>
      <c r="AB86" s="2">
        <f>IFERROR(__xludf.DUMMYFUNCTION("""COMPUTED_VALUE"""),0.051)</f>
        <v>0.051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IFERROR(__xludf.DUMMYFUNCTION("""COMPUTED_VALUE"""),0.11)</f>
        <v>0.11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IFERROR(__xludf.DUMMYFUNCTION("""COMPUTED_VALUE"""),2.1E-4)</f>
        <v>0.00021</v>
      </c>
      <c r="AV86" s="2">
        <f>IFERROR(__xludf.DUMMYFUNCTION("""COMPUTED_VALUE"""),0.051)</f>
        <v>0.051</v>
      </c>
      <c r="AW86" s="2">
        <f>IFERROR(__xludf.DUMMYFUNCTION("""COMPUTED_VALUE"""),100.0)</f>
        <v>100</v>
      </c>
      <c r="AX86" s="2">
        <f>IFERROR(__xludf.DUMMYFUNCTION("""COMPUTED_VALUE"""),75.0)</f>
        <v>75</v>
      </c>
      <c r="AY86" s="2">
        <f>IFERROR(__xludf.DUMMYFUNCTION("""COMPUTED_VALUE"""),28.0)</f>
        <v>28</v>
      </c>
      <c r="AZ86" s="2">
        <f>IFERROR(__xludf.DUMMYFUNCTION("""COMPUTED_VALUE"""),75.0)</f>
        <v>75</v>
      </c>
      <c r="BA86" s="2">
        <f>IFERROR(__xludf.DUMMYFUNCTION("""COMPUTED_VALUE"""),0.021)</f>
        <v>0.021</v>
      </c>
      <c r="BB86" s="2">
        <f>IFERROR(__xludf.DUMMYFUNCTION("""COMPUTED_VALUE"""),5.1)</f>
        <v>5.1</v>
      </c>
      <c r="BC86" s="2">
        <f>IFERROR(__xludf.DUMMYFUNCTION("""COMPUTED_VALUE"""),4.690612020822E12)</f>
        <v>4690612020822</v>
      </c>
      <c r="BD86" s="2"/>
      <c r="BE86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6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6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6" s="2"/>
      <c r="BI86" s="2">
        <f>IFERROR(__xludf.DUMMYFUNCTION("""COMPUTED_VALUE"""),5.0)</f>
        <v>5</v>
      </c>
      <c r="BJ86" s="2">
        <f>IFERROR(__xludf.DUMMYFUNCTION("""COMPUTED_VALUE"""),43.0)</f>
        <v>43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IFERROR(__xludf.DUMMYFUNCTION("""COMPUTED_VALUE"""),4.690612020839E12)</f>
        <v>4690612020839</v>
      </c>
      <c r="B87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7" s="2" t="str">
        <f>IFERROR(__xludf.DUMMYFUNCTION("""COMPUTED_VALUE"""),"Лампа светодиодная LED-GX53-standard")</f>
        <v>Лампа светодиодная LED-GX53-standard</v>
      </c>
      <c r="D87" s="2">
        <f>IFERROR(__xludf.DUMMYFUNCTION("""COMPUTED_VALUE"""),4.690612020839E12)</f>
        <v>4690612020839</v>
      </c>
      <c r="E87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IFERROR(__xludf.DUMMYFUNCTION("""COMPUTED_VALUE"""),15.0)</f>
        <v>15</v>
      </c>
      <c r="N87" s="2" t="str">
        <f>IFERROR(__xludf.DUMMYFUNCTION("""COMPUTED_VALUE"""),"GX53")</f>
        <v>GX53</v>
      </c>
      <c r="O87" s="2" t="str">
        <f>IFERROR(__xludf.DUMMYFUNCTION("""COMPUTED_VALUE"""),"SMD")</f>
        <v>SMD</v>
      </c>
      <c r="P87" s="2">
        <f>IFERROR(__xludf.DUMMYFUNCTION("""COMPUTED_VALUE"""),1350.0)</f>
        <v>1350</v>
      </c>
      <c r="Q87" s="2">
        <f>IFERROR(__xludf.DUMMYFUNCTION("""COMPUTED_VALUE"""),6500.0)</f>
        <v>6500</v>
      </c>
      <c r="R87" s="2">
        <f>IFERROR(__xludf.DUMMYFUNCTION("""COMPUTED_VALUE"""),80.0)</f>
        <v>80</v>
      </c>
      <c r="S87" s="2"/>
      <c r="T87" s="2" t="str">
        <f>IFERROR(__xludf.DUMMYFUNCTION("""COMPUTED_VALUE"""),"Д")</f>
        <v>Д</v>
      </c>
      <c r="U87" s="2">
        <f>IFERROR(__xludf.DUMMYFUNCTION("""COMPUTED_VALUE"""),30000.0)</f>
        <v>30000</v>
      </c>
      <c r="V87" s="2">
        <f>IFERROR(__xludf.DUMMYFUNCTION("""COMPUTED_VALUE"""),27.0)</f>
        <v>27</v>
      </c>
      <c r="W87" s="2">
        <f>IFERROR(__xludf.DUMMYFUNCTION("""COMPUTED_VALUE"""),74.0)</f>
        <v>74</v>
      </c>
      <c r="X87" s="2"/>
      <c r="Y87" s="2"/>
      <c r="Z87" s="2"/>
      <c r="AA87" s="2"/>
      <c r="AB87" s="2">
        <f>IFERROR(__xludf.DUMMYFUNCTION("""COMPUTED_VALUE"""),0.051)</f>
        <v>0.051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IFERROR(__xludf.DUMMYFUNCTION("""COMPUTED_VALUE"""),0.11)</f>
        <v>0.11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IFERROR(__xludf.DUMMYFUNCTION("""COMPUTED_VALUE"""),0.051)</f>
        <v>0.051</v>
      </c>
      <c r="AW87" s="2">
        <f>IFERROR(__xludf.DUMMYFUNCTION("""COMPUTED_VALUE"""),100.0)</f>
        <v>100</v>
      </c>
      <c r="AX87" s="2">
        <f>IFERROR(__xludf.DUMMYFUNCTION("""COMPUTED_VALUE"""),75.0)</f>
        <v>75</v>
      </c>
      <c r="AY87" s="2">
        <f>IFERROR(__xludf.DUMMYFUNCTION("""COMPUTED_VALUE"""),28.0)</f>
        <v>28</v>
      </c>
      <c r="AZ87" s="2">
        <f>IFERROR(__xludf.DUMMYFUNCTION("""COMPUTED_VALUE"""),75.0)</f>
        <v>75</v>
      </c>
      <c r="BA87" s="2">
        <f>IFERROR(__xludf.DUMMYFUNCTION("""COMPUTED_VALUE"""),0.021)</f>
        <v>0.021</v>
      </c>
      <c r="BB87" s="2">
        <f>IFERROR(__xludf.DUMMYFUNCTION("""COMPUTED_VALUE"""),5.1)</f>
        <v>5.1</v>
      </c>
      <c r="BC87" s="2">
        <f>IFERROR(__xludf.DUMMYFUNCTION("""COMPUTED_VALUE"""),4.690612020839E12)</f>
        <v>4690612020839</v>
      </c>
      <c r="BD87" s="2"/>
      <c r="BE87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7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7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7" s="2"/>
      <c r="BI87" s="2">
        <f>IFERROR(__xludf.DUMMYFUNCTION("""COMPUTED_VALUE"""),71.0)</f>
        <v>71</v>
      </c>
      <c r="BJ87" s="2">
        <f>IFERROR(__xludf.DUMMYFUNCTION("""COMPUTED_VALUE"""),43.0)</f>
        <v>43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IFERROR(__xludf.DUMMYFUNCTION("""COMPUTED_VALUE"""),4.690612021546E12)</f>
        <v>4690612021546</v>
      </c>
      <c r="B88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8" s="2" t="str">
        <f>IFERROR(__xludf.DUMMYFUNCTION("""COMPUTED_VALUE"""),"ASD лампы LED")</f>
        <v>ASD лампы LED</v>
      </c>
      <c r="D88" s="2">
        <f>IFERROR(__xludf.DUMMYFUNCTION("""COMPUTED_VALUE"""),4.690612021546E12)</f>
        <v>4690612021546</v>
      </c>
      <c r="E88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IFERROR(__xludf.DUMMYFUNCTION("""COMPUTED_VALUE"""),16.0)</f>
        <v>16</v>
      </c>
      <c r="N88" s="2" t="str">
        <f>IFERROR(__xludf.DUMMYFUNCTION("""COMPUTED_VALUE"""),"GX70")</f>
        <v>GX70</v>
      </c>
      <c r="O88" s="2" t="str">
        <f>IFERROR(__xludf.DUMMYFUNCTION("""COMPUTED_VALUE"""),"SMD")</f>
        <v>SMD</v>
      </c>
      <c r="P88" s="2">
        <f>IFERROR(__xludf.DUMMYFUNCTION("""COMPUTED_VALUE"""),1280.0)</f>
        <v>1280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IFERROR(__xludf.DUMMYFUNCTION("""COMPUTED_VALUE"""),"Д")</f>
        <v>Д</v>
      </c>
      <c r="U88" s="2">
        <f>IFERROR(__xludf.DUMMYFUNCTION("""COMPUTED_VALUE"""),30000.0)</f>
        <v>30000</v>
      </c>
      <c r="V88" s="2">
        <f>IFERROR(__xludf.DUMMYFUNCTION("""COMPUTED_VALUE"""),43.0)</f>
        <v>43</v>
      </c>
      <c r="W88" s="2">
        <f>IFERROR(__xludf.DUMMYFUNCTION("""COMPUTED_VALUE"""),111.0)</f>
        <v>111</v>
      </c>
      <c r="X88" s="2"/>
      <c r="Y88" s="2"/>
      <c r="Z88" s="2"/>
      <c r="AA88" s="2"/>
      <c r="AB88" s="2">
        <f>IFERROR(__xludf.DUMMYFUNCTION("""COMPUTED_VALUE"""),0.15)</f>
        <v>0.15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IFERROR(__xludf.DUMMYFUNCTION("""COMPUTED_VALUE"""),0.12)</f>
        <v>0.12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IFERROR(__xludf.DUMMYFUNCTION("""COMPUTED_VALUE"""),7.0E-4)</f>
        <v>0.0007</v>
      </c>
      <c r="AV88" s="2">
        <f>IFERROR(__xludf.DUMMYFUNCTION("""COMPUTED_VALUE"""),0.15)</f>
        <v>0.15</v>
      </c>
      <c r="AW88" s="2">
        <f>IFERROR(__xludf.DUMMYFUNCTION("""COMPUTED_VALUE"""),50.0)</f>
        <v>50</v>
      </c>
      <c r="AX88" s="2">
        <f>IFERROR(__xludf.DUMMYFUNCTION("""COMPUTED_VALUE"""),115.0)</f>
        <v>115</v>
      </c>
      <c r="AY88" s="2">
        <f>IFERROR(__xludf.DUMMYFUNCTION("""COMPUTED_VALUE"""),115.0)</f>
        <v>115</v>
      </c>
      <c r="AZ88" s="2">
        <f>IFERROR(__xludf.DUMMYFUNCTION("""COMPUTED_VALUE"""),55.0)</f>
        <v>55</v>
      </c>
      <c r="BA88" s="2">
        <f>IFERROR(__xludf.DUMMYFUNCTION("""COMPUTED_VALUE"""),0.035)</f>
        <v>0.035</v>
      </c>
      <c r="BB88" s="2">
        <f>IFERROR(__xludf.DUMMYFUNCTION("""COMPUTED_VALUE"""),7.5)</f>
        <v>7.5</v>
      </c>
      <c r="BC88" s="2">
        <f>IFERROR(__xludf.DUMMYFUNCTION("""COMPUTED_VALUE"""),4.690612021546E12)</f>
        <v>4690612021546</v>
      </c>
      <c r="BD88" s="2"/>
      <c r="BE88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8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8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8" s="2"/>
      <c r="BI88" s="2">
        <f>IFERROR(__xludf.DUMMYFUNCTION("""COMPUTED_VALUE"""),4.0)</f>
        <v>4</v>
      </c>
      <c r="BJ88" s="2">
        <f>IFERROR(__xludf.DUMMYFUNCTION("""COMPUTED_VALUE"""),111.0)</f>
        <v>111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IFERROR(__xludf.DUMMYFUNCTION("""COMPUTED_VALUE"""),4.69061202338E12)</f>
        <v>4690612023380</v>
      </c>
      <c r="B89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IFERROR(__xludf.DUMMYFUNCTION("""COMPUTED_VALUE"""),4.69061202338E12)</f>
        <v>4690612023380</v>
      </c>
      <c r="E89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IFERROR(__xludf.DUMMYFUNCTION("""COMPUTED_VALUE"""),6.0)</f>
        <v>6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IFERROR(__xludf.DUMMYFUNCTION("""COMPUTED_VALUE"""),525.0)</f>
        <v>525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IFERROR(__xludf.DUMMYFUNCTION("""COMPUTED_VALUE"""),0.05)</f>
        <v>0.05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IFERROR(__xludf.DUMMYFUNCTION("""COMPUTED_VALUE"""),4.69061202338E12)</f>
        <v>4690612023380</v>
      </c>
      <c r="BD89" s="2"/>
      <c r="BE89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9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9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9" s="2"/>
      <c r="BI89" s="2">
        <f>IFERROR(__xludf.DUMMYFUNCTION("""COMPUTED_VALUE"""),39.0)</f>
        <v>39</v>
      </c>
      <c r="BJ89" s="2">
        <f>IFERROR(__xludf.DUMMYFUNCTION("""COMPUTED_VALUE"""),27.0)</f>
        <v>27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IFERROR(__xludf.DUMMYFUNCTION("""COMPUTED_VALUE"""),4.690612023403E12)</f>
        <v>4690612023403</v>
      </c>
      <c r="B90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90" s="2" t="str">
        <f>IFERROR(__xludf.DUMMYFUNCTION("""COMPUTED_VALUE"""),"Лампа светодиодная LED-JCDR-standard")</f>
        <v>Лампа светодиодная LED-JCDR-standard</v>
      </c>
      <c r="D90" s="2">
        <f>IFERROR(__xludf.DUMMYFUNCTION("""COMPUTED_VALUE"""),4.690612023403E12)</f>
        <v>4690612023403</v>
      </c>
      <c r="E90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IFERROR(__xludf.DUMMYFUNCTION("""COMPUTED_VALUE"""),6.0)</f>
        <v>6</v>
      </c>
      <c r="N90" s="2" t="str">
        <f>IFERROR(__xludf.DUMMYFUNCTION("""COMPUTED_VALUE"""),"GU10")</f>
        <v>GU10</v>
      </c>
      <c r="O90" s="2" t="str">
        <f>IFERROR(__xludf.DUMMYFUNCTION("""COMPUTED_VALUE"""),"SMD")</f>
        <v>SMD</v>
      </c>
      <c r="P90" s="2">
        <f>IFERROR(__xludf.DUMMYFUNCTION("""COMPUTED_VALUE"""),525.0)</f>
        <v>525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IFERROR(__xludf.DUMMYFUNCTION("""COMPUTED_VALUE"""),"Г")</f>
        <v>Г</v>
      </c>
      <c r="U90" s="2">
        <f>IFERROR(__xludf.DUMMYFUNCTION("""COMPUTED_VALUE"""),30000.0)</f>
        <v>30000</v>
      </c>
      <c r="V90" s="2">
        <f>IFERROR(__xludf.DUMMYFUNCTION("""COMPUTED_VALUE"""),55.0)</f>
        <v>55</v>
      </c>
      <c r="W90" s="2">
        <f>IFERROR(__xludf.DUMMYFUNCTION("""COMPUTED_VALUE"""),50.0)</f>
        <v>50</v>
      </c>
      <c r="X90" s="2"/>
      <c r="Y90" s="2"/>
      <c r="Z90" s="2"/>
      <c r="AA90" s="2"/>
      <c r="AB90" s="2">
        <f>IFERROR(__xludf.DUMMYFUNCTION("""COMPUTED_VALUE"""),0.035)</f>
        <v>0.035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IFERROR(__xludf.DUMMYFUNCTION("""COMPUTED_VALUE"""),0.05)</f>
        <v>0.05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IFERROR(__xludf.DUMMYFUNCTION("""COMPUTED_VALUE"""),2.1E-4)</f>
        <v>0.00021</v>
      </c>
      <c r="AV90" s="2">
        <f>IFERROR(__xludf.DUMMYFUNCTION("""COMPUTED_VALUE"""),0.035)</f>
        <v>0.035</v>
      </c>
      <c r="AW90" s="2">
        <f>IFERROR(__xludf.DUMMYFUNCTION("""COMPUTED_VALUE"""),100.0)</f>
        <v>100</v>
      </c>
      <c r="AX90" s="2">
        <f>IFERROR(__xludf.DUMMYFUNCTION("""COMPUTED_VALUE"""),52.0)</f>
        <v>52</v>
      </c>
      <c r="AY90" s="2">
        <f>IFERROR(__xludf.DUMMYFUNCTION("""COMPUTED_VALUE"""),52.0)</f>
        <v>52</v>
      </c>
      <c r="AZ90" s="2">
        <f>IFERROR(__xludf.DUMMYFUNCTION("""COMPUTED_VALUE"""),55.0)</f>
        <v>55</v>
      </c>
      <c r="BA90" s="2">
        <f>IFERROR(__xludf.DUMMYFUNCTION("""COMPUTED_VALUE"""),0.021)</f>
        <v>0.021</v>
      </c>
      <c r="BB90" s="2">
        <f>IFERROR(__xludf.DUMMYFUNCTION("""COMPUTED_VALUE"""),3.5)</f>
        <v>3.5</v>
      </c>
      <c r="BC90" s="2">
        <f>IFERROR(__xludf.DUMMYFUNCTION("""COMPUTED_VALUE"""),4.690612023403E12)</f>
        <v>4690612023403</v>
      </c>
      <c r="BD90" s="2"/>
      <c r="BE90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90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90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90" s="2"/>
      <c r="BI90" s="2">
        <f>IFERROR(__xludf.DUMMYFUNCTION("""COMPUTED_VALUE"""),60.0)</f>
        <v>60</v>
      </c>
      <c r="BJ90" s="2">
        <f>IFERROR(__xludf.DUMMYFUNCTION("""COMPUTED_VALUE"""),27.0)</f>
        <v>27</v>
      </c>
      <c r="BK90" s="2">
        <f>IFERROR(__xludf.DUMMYFUNCTION("""COMPUTED_VALUE"""),0.0)</f>
        <v>0</v>
      </c>
      <c r="BL90" s="2">
        <f t="shared" si="1"/>
        <v>44</v>
      </c>
    </row>
    <row r="91">
      <c r="A91" s="2">
        <f>IFERROR(__xludf.DUMMYFUNCTION("""COMPUTED_VALUE"""),4.690612023427E12)</f>
        <v>4690612023427</v>
      </c>
      <c r="B91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91" s="2" t="str">
        <f>IFERROR(__xludf.DUMMYFUNCTION("""COMPUTED_VALUE"""),"Лампа светодиодная LED-JCDR-standard")</f>
        <v>Лампа светодиодная LED-JCDR-standard</v>
      </c>
      <c r="D91" s="2">
        <f>IFERROR(__xludf.DUMMYFUNCTION("""COMPUTED_VALUE"""),4.690612023427E12)</f>
        <v>4690612023427</v>
      </c>
      <c r="E91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IFERROR(__xludf.DUMMYFUNCTION("""COMPUTED_VALUE"""),"GU10")</f>
        <v>GU10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IFERROR(__xludf.DUMMYFUNCTION("""COMPUTED_VALUE"""),3000.0)</f>
        <v>3000</v>
      </c>
      <c r="R91" s="2">
        <f>IFERROR(__xludf.DUMMYFUNCTION("""COMPUTED_VALUE"""),80.0)</f>
        <v>80</v>
      </c>
      <c r="S91" s="2"/>
      <c r="T91" s="2" t="str">
        <f>IFERROR(__xludf.DUMMYFUNCTION("""COMPUTED_VALUE"""),"Г")</f>
        <v>Г</v>
      </c>
      <c r="U91" s="2">
        <f>IFERROR(__xludf.DUMMYFUNCTION("""COMPUTED_VALUE"""),30000.0)</f>
        <v>30000</v>
      </c>
      <c r="V91" s="2">
        <f>IFERROR(__xludf.DUMMYFUNCTION("""COMPUTED_VALUE"""),55.0)</f>
        <v>55</v>
      </c>
      <c r="W91" s="2">
        <f>IFERROR(__xludf.DUMMYFUNCTION("""COMPUTED_VALUE"""),50.0)</f>
        <v>50</v>
      </c>
      <c r="X91" s="2"/>
      <c r="Y91" s="2"/>
      <c r="Z91" s="2"/>
      <c r="AA91" s="2"/>
      <c r="AB91" s="2">
        <f>IFERROR(__xludf.DUMMYFUNCTION("""COMPUTED_VALUE"""),0.035)</f>
        <v>0.035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IFERROR(__xludf.DUMMYFUNCTION("""COMPUTED_VALUE"""),2.1E-4)</f>
        <v>0.00021</v>
      </c>
      <c r="AV91" s="2">
        <f>IFERROR(__xludf.DUMMYFUNCTION("""COMPUTED_VALUE"""),0.035)</f>
        <v>0.035</v>
      </c>
      <c r="AW91" s="2">
        <f>IFERROR(__xludf.DUMMYFUNCTION("""COMPUTED_VALUE"""),100.0)</f>
        <v>100</v>
      </c>
      <c r="AX91" s="2">
        <f>IFERROR(__xludf.DUMMYFUNCTION("""COMPUTED_VALUE"""),52.0)</f>
        <v>52</v>
      </c>
      <c r="AY91" s="2">
        <f>IFERROR(__xludf.DUMMYFUNCTION("""COMPUTED_VALUE"""),52.0)</f>
        <v>52</v>
      </c>
      <c r="AZ91" s="2">
        <f>IFERROR(__xludf.DUMMYFUNCTION("""COMPUTED_VALUE"""),55.0)</f>
        <v>55</v>
      </c>
      <c r="BA91" s="2">
        <f>IFERROR(__xludf.DUMMYFUNCTION("""COMPUTED_VALUE"""),0.021)</f>
        <v>0.021</v>
      </c>
      <c r="BB91" s="2">
        <f>IFERROR(__xludf.DUMMYFUNCTION("""COMPUTED_VALUE"""),3.5)</f>
        <v>3.5</v>
      </c>
      <c r="BC91" s="2">
        <f>IFERROR(__xludf.DUMMYFUNCTION("""COMPUTED_VALUE"""),4.690612023427E12)</f>
        <v>4690612023427</v>
      </c>
      <c r="BD91" s="2"/>
      <c r="BE91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91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91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91" s="2"/>
      <c r="BI91" s="2">
        <f>IFERROR(__xludf.DUMMYFUNCTION("""COMPUTED_VALUE"""),14.0)</f>
        <v>14</v>
      </c>
      <c r="BJ91" s="2">
        <f>IFERROR(__xludf.DUMMYFUNCTION("""COMPUTED_VALUE"""),34.0)</f>
        <v>34</v>
      </c>
      <c r="BK91" s="2">
        <f>IFERROR(__xludf.DUMMYFUNCTION("""COMPUTED_VALUE"""),0.0)</f>
        <v>0</v>
      </c>
      <c r="BL91" s="2">
        <f t="shared" si="1"/>
        <v>44</v>
      </c>
    </row>
    <row r="92">
      <c r="A92" s="2">
        <f>IFERROR(__xludf.DUMMYFUNCTION("""COMPUTED_VALUE"""),4.690612024028E12)</f>
        <v>4690612024028</v>
      </c>
      <c r="B92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IFERROR(__xludf.DUMMYFUNCTION("""COMPUTED_VALUE"""),4.690612024028E12)</f>
        <v>4690612024028</v>
      </c>
      <c r="E92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IFERROR(__xludf.DUMMYFUNCTION("""COMPUTED_VALUE"""),8.0)</f>
        <v>8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IFERROR(__xludf.DUMMYFUNCTION("""COMPUTED_VALUE"""),720.0)</f>
        <v>720</v>
      </c>
      <c r="Q92" s="2">
        <f>IFERROR(__xludf.DUMMYFUNCTION("""COMPUTED_VALUE"""),4000.0)</f>
        <v>4000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IFERROR(__xludf.DUMMYFUNCTION("""COMPUTED_VALUE"""),110.0)</f>
        <v>110</v>
      </c>
      <c r="W92" s="2">
        <f>IFERROR(__xludf.DUMMYFUNCTION("""COMPUTED_VALUE"""),60.0)</f>
        <v>60</v>
      </c>
      <c r="X92" s="2"/>
      <c r="Y92" s="2">
        <f>IFERROR(__xludf.DUMMYFUNCTION("""COMPUTED_VALUE"""),60.0)</f>
        <v>60</v>
      </c>
      <c r="Z92" s="2"/>
      <c r="AA92" s="2"/>
      <c r="AB92" s="2">
        <f>IFERROR(__xludf.DUMMYFUNCTION("""COMPUTED_VALUE"""),0.055)</f>
        <v>0.055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/>
      <c r="AI92" s="2"/>
      <c r="AJ92" s="2" t="str">
        <f>IFERROR(__xludf.DUMMYFUNCTION("""COMPUTED_VALUE"""),"A1")</f>
        <v>A1</v>
      </c>
      <c r="AK92" s="2">
        <f>IFERROR(__xludf.DUMMYFUNCTION("""COMPUTED_VALUE"""),0.85)</f>
        <v>0.85</v>
      </c>
      <c r="AL92" s="2">
        <f>IFERROR(__xludf.DUMMYFUNCTION("""COMPUTED_VALUE"""),5.0)</f>
        <v>5</v>
      </c>
      <c r="AM92" s="2">
        <f>IFERROR(__xludf.DUMMYFUNCTION("""COMPUTED_VALUE"""),0.06)</f>
        <v>0.06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IFERROR(__xludf.DUMMYFUNCTION("""COMPUTED_VALUE"""),4.0E-4)</f>
        <v>0.0004</v>
      </c>
      <c r="AV92" s="2">
        <f>IFERROR(__xludf.DUMMYFUNCTION("""COMPUTED_VALUE"""),0.055)</f>
        <v>0.055</v>
      </c>
      <c r="AW92" s="2">
        <f>IFERROR(__xludf.DUMMYFUNCTION("""COMPUTED_VALUE"""),100.0)</f>
        <v>100</v>
      </c>
      <c r="AX92" s="2">
        <f>IFERROR(__xludf.DUMMYFUNCTION("""COMPUTED_VALUE"""),61.0)</f>
        <v>61</v>
      </c>
      <c r="AY92" s="2">
        <f>IFERROR(__xludf.DUMMYFUNCTION("""COMPUTED_VALUE"""),61.0)</f>
        <v>61</v>
      </c>
      <c r="AZ92" s="2">
        <f>IFERROR(__xludf.DUMMYFUNCTION("""COMPUTED_VALUE"""),110.0)</f>
        <v>110</v>
      </c>
      <c r="BA92" s="2">
        <f>IFERROR(__xludf.DUMMYFUNCTION("""COMPUTED_VALUE"""),0.04001)</f>
        <v>0.04001</v>
      </c>
      <c r="BB92" s="2">
        <f>IFERROR(__xludf.DUMMYFUNCTION("""COMPUTED_VALUE"""),5.5)</f>
        <v>5.5</v>
      </c>
      <c r="BC92" s="2">
        <f>IFERROR(__xludf.DUMMYFUNCTION("""COMPUTED_VALUE"""),4.690612024028E12)</f>
        <v>4690612024028</v>
      </c>
      <c r="BD92" s="2"/>
      <c r="BE92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2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2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2" s="2"/>
      <c r="BI92" s="2">
        <f>IFERROR(__xludf.DUMMYFUNCTION("""COMPUTED_VALUE"""),4.0)</f>
        <v>4</v>
      </c>
      <c r="BJ92" s="2">
        <f>IFERROR(__xludf.DUMMYFUNCTION("""COMPUTED_VALUE"""),29.0)</f>
        <v>29</v>
      </c>
      <c r="BK92" s="2">
        <f>IFERROR(__xludf.DUMMYFUNCTION("""COMPUTED_VALUE"""),0.0)</f>
        <v>0</v>
      </c>
      <c r="BL92" s="2">
        <f t="shared" si="1"/>
        <v>45</v>
      </c>
    </row>
    <row r="93">
      <c r="A93" s="2">
        <f>IFERROR(__xludf.DUMMYFUNCTION("""COMPUTED_VALUE"""),4.690612024042E12)</f>
        <v>4690612024042</v>
      </c>
      <c r="B93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IFERROR(__xludf.DUMMYFUNCTION("""COMPUTED_VALUE"""),4.690612024042E12)</f>
        <v>4690612024042</v>
      </c>
      <c r="E93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IFERROR(__xludf.DUMMYFUNCTION("""COMPUTED_VALUE"""),8.0)</f>
        <v>8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IFERROR(__xludf.DUMMYFUNCTION("""COMPUTED_VALUE"""),720.0)</f>
        <v>720</v>
      </c>
      <c r="Q93" s="2">
        <f>IFERROR(__xludf.DUMMYFUNCTION("""COMPUTED_VALUE"""),6500.0)</f>
        <v>6500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IFERROR(__xludf.DUMMYFUNCTION("""COMPUTED_VALUE"""),110.0)</f>
        <v>110</v>
      </c>
      <c r="W93" s="2">
        <f>IFERROR(__xludf.DUMMYFUNCTION("""COMPUTED_VALUE"""),60.0)</f>
        <v>60</v>
      </c>
      <c r="X93" s="2"/>
      <c r="Y93" s="2">
        <f>IFERROR(__xludf.DUMMYFUNCTION("""COMPUTED_VALUE"""),60.0)</f>
        <v>60</v>
      </c>
      <c r="Z93" s="2"/>
      <c r="AA93" s="2"/>
      <c r="AB93" s="2">
        <f>IFERROR(__xludf.DUMMYFUNCTION("""COMPUTED_VALUE"""),0.055)</f>
        <v>0.055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IFERROR(__xludf.DUMMYFUNCTION("""COMPUTED_VALUE"""),0.85)</f>
        <v>0.85</v>
      </c>
      <c r="AL93" s="2">
        <f>IFERROR(__xludf.DUMMYFUNCTION("""COMPUTED_VALUE"""),5.0)</f>
        <v>5</v>
      </c>
      <c r="AM93" s="2">
        <f>IFERROR(__xludf.DUMMYFUNCTION("""COMPUTED_VALUE"""),0.06)</f>
        <v>0.06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IFERROR(__xludf.DUMMYFUNCTION("""COMPUTED_VALUE"""),4.0E-4)</f>
        <v>0.0004</v>
      </c>
      <c r="AV93" s="2">
        <f>IFERROR(__xludf.DUMMYFUNCTION("""COMPUTED_VALUE"""),0.055)</f>
        <v>0.055</v>
      </c>
      <c r="AW93" s="2">
        <f>IFERROR(__xludf.DUMMYFUNCTION("""COMPUTED_VALUE"""),100.0)</f>
        <v>100</v>
      </c>
      <c r="AX93" s="2">
        <f>IFERROR(__xludf.DUMMYFUNCTION("""COMPUTED_VALUE"""),61.0)</f>
        <v>61</v>
      </c>
      <c r="AY93" s="2">
        <f>IFERROR(__xludf.DUMMYFUNCTION("""COMPUTED_VALUE"""),61.0)</f>
        <v>61</v>
      </c>
      <c r="AZ93" s="2">
        <f>IFERROR(__xludf.DUMMYFUNCTION("""COMPUTED_VALUE"""),110.0)</f>
        <v>110</v>
      </c>
      <c r="BA93" s="2">
        <f>IFERROR(__xludf.DUMMYFUNCTION("""COMPUTED_VALUE"""),0.04001)</f>
        <v>0.04001</v>
      </c>
      <c r="BB93" s="2">
        <f>IFERROR(__xludf.DUMMYFUNCTION("""COMPUTED_VALUE"""),5.5)</f>
        <v>5.5</v>
      </c>
      <c r="BC93" s="2">
        <f>IFERROR(__xludf.DUMMYFUNCTION("""COMPUTED_VALUE"""),4.690612024042E12)</f>
        <v>4690612024042</v>
      </c>
      <c r="BD93" s="2"/>
      <c r="BE93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3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3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3" s="2"/>
      <c r="BI93" s="2">
        <f>IFERROR(__xludf.DUMMYFUNCTION("""COMPUTED_VALUE"""),8.0)</f>
        <v>8</v>
      </c>
      <c r="BJ93" s="2">
        <f>IFERROR(__xludf.DUMMYFUNCTION("""COMPUTED_VALUE"""),32.0)</f>
        <v>32</v>
      </c>
      <c r="BK93" s="2">
        <f>IFERROR(__xludf.DUMMYFUNCTION("""COMPUTED_VALUE"""),0.0)</f>
        <v>0</v>
      </c>
      <c r="BL93" s="2">
        <f t="shared" si="1"/>
        <v>45</v>
      </c>
    </row>
    <row r="94">
      <c r="A94" s="2">
        <f>IFERROR(__xludf.DUMMYFUNCTION("""COMPUTED_VALUE"""),4.690612024066E12)</f>
        <v>4690612024066</v>
      </c>
      <c r="B94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4" s="2" t="str">
        <f>IFERROR(__xludf.DUMMYFUNCTION("""COMPUTED_VALUE"""),"Лампа светодиодная LED-A60-standard")</f>
        <v>Лампа светодиодная LED-A60-standard</v>
      </c>
      <c r="D94" s="2">
        <f>IFERROR(__xludf.DUMMYFUNCTION("""COMPUTED_VALUE"""),4.690612024066E12)</f>
        <v>4690612024066</v>
      </c>
      <c r="E94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IFERROR(__xludf.DUMMYFUNCTION("""COMPUTED_VALUE"""),25.0)</f>
        <v>25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IFERROR(__xludf.DUMMYFUNCTION("""COMPUTED_VALUE"""),2250.0)</f>
        <v>2250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IFERROR(__xludf.DUMMYFUNCTION("""COMPUTED_VALUE"""),65.0)</f>
        <v>65</v>
      </c>
      <c r="X94" s="2"/>
      <c r="Y94" s="2"/>
      <c r="Z94" s="2">
        <f>IFERROR(__xludf.DUMMYFUNCTION("""COMPUTED_VALUE"""),60.0)</f>
        <v>60</v>
      </c>
      <c r="AA94" s="2"/>
      <c r="AB94" s="2">
        <f>IFERROR(__xludf.DUMMYFUNCTION("""COMPUTED_VALUE"""),0.08)</f>
        <v>0.08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 t="str">
        <f>IFERROR(__xludf.DUMMYFUNCTION("""COMPUTED_VALUE"""),"A60/Грушевидная (тип A)")</f>
        <v>A60/Грушевидная (тип A)</v>
      </c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IFERROR(__xludf.DUMMYFUNCTION("""COMPUTED_VALUE"""),0.17)</f>
        <v>0.17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IFERROR(__xludf.DUMMYFUNCTION("""COMPUTED_VALUE"""),6.0E-4)</f>
        <v>0.0006</v>
      </c>
      <c r="AV94" s="2">
        <f>IFERROR(__xludf.DUMMYFUNCTION("""COMPUTED_VALUE"""),0.08)</f>
        <v>0.08</v>
      </c>
      <c r="AW94" s="2">
        <f>IFERROR(__xludf.DUMMYFUNCTION("""COMPUTED_VALUE"""),100.0)</f>
        <v>100</v>
      </c>
      <c r="AX94" s="2">
        <f>IFERROR(__xludf.DUMMYFUNCTION("""COMPUTED_VALUE"""),67.0)</f>
        <v>67</v>
      </c>
      <c r="AY94" s="2">
        <f>IFERROR(__xludf.DUMMYFUNCTION("""COMPUTED_VALUE"""),67.0)</f>
        <v>67</v>
      </c>
      <c r="AZ94" s="2">
        <f>IFERROR(__xludf.DUMMYFUNCTION("""COMPUTED_VALUE"""),137.0)</f>
        <v>137</v>
      </c>
      <c r="BA94" s="2">
        <f>IFERROR(__xludf.DUMMYFUNCTION("""COMPUTED_VALUE"""),0.06001)</f>
        <v>0.06001</v>
      </c>
      <c r="BB94" s="2">
        <f>IFERROR(__xludf.DUMMYFUNCTION("""COMPUTED_VALUE"""),8.0)</f>
        <v>8</v>
      </c>
      <c r="BC94" s="2">
        <f>IFERROR(__xludf.DUMMYFUNCTION("""COMPUTED_VALUE"""),4.690612024066E12)</f>
        <v>4690612024066</v>
      </c>
      <c r="BD94" s="2"/>
      <c r="BE94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4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4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4" s="2"/>
      <c r="BI94" s="2">
        <f>IFERROR(__xludf.DUMMYFUNCTION("""COMPUTED_VALUE"""),2.0)</f>
        <v>2</v>
      </c>
      <c r="BJ94" s="2">
        <f>IFERROR(__xludf.DUMMYFUNCTION("""COMPUTED_VALUE"""),53.0)</f>
        <v>53</v>
      </c>
      <c r="BK94" s="2">
        <f>IFERROR(__xludf.DUMMYFUNCTION("""COMPUTED_VALUE"""),0.0)</f>
        <v>0</v>
      </c>
      <c r="BL94" s="2">
        <f t="shared" si="1"/>
        <v>46</v>
      </c>
    </row>
    <row r="95">
      <c r="A95" s="2">
        <f>IFERROR(__xludf.DUMMYFUNCTION("""COMPUTED_VALUE"""),4.69061202408E12)</f>
        <v>4690612024080</v>
      </c>
      <c r="B95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5" s="2" t="str">
        <f>IFERROR(__xludf.DUMMYFUNCTION("""COMPUTED_VALUE"""),"Лампа светодиодная LED-A60-standard")</f>
        <v>Лампа светодиодная LED-A60-standard</v>
      </c>
      <c r="D95" s="2">
        <f>IFERROR(__xludf.DUMMYFUNCTION("""COMPUTED_VALUE"""),4.69061202408E12)</f>
        <v>4690612024080</v>
      </c>
      <c r="E95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IFERROR(__xludf.DUMMYFUNCTION("""COMPUTED_VALUE"""),25.0)</f>
        <v>25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IFERROR(__xludf.DUMMYFUNCTION("""COMPUTED_VALUE"""),2250.0)</f>
        <v>2250</v>
      </c>
      <c r="Q95" s="2">
        <f>IFERROR(__xludf.DUMMYFUNCTION("""COMPUTED_VALUE"""),4000.0)</f>
        <v>4000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IFERROR(__xludf.DUMMYFUNCTION("""COMPUTED_VALUE"""),65.0)</f>
        <v>65</v>
      </c>
      <c r="X95" s="2"/>
      <c r="Y95" s="2"/>
      <c r="Z95" s="2"/>
      <c r="AA95" s="2"/>
      <c r="AB95" s="2">
        <f>IFERROR(__xludf.DUMMYFUNCTION("""COMPUTED_VALUE"""),0.08)</f>
        <v>0.08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IFERROR(__xludf.DUMMYFUNCTION("""COMPUTED_VALUE"""),0.17)</f>
        <v>0.17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IFERROR(__xludf.DUMMYFUNCTION("""COMPUTED_VALUE"""),6.0E-4)</f>
        <v>0.0006</v>
      </c>
      <c r="AV95" s="2">
        <f>IFERROR(__xludf.DUMMYFUNCTION("""COMPUTED_VALUE"""),0.08)</f>
        <v>0.08</v>
      </c>
      <c r="AW95" s="2">
        <f>IFERROR(__xludf.DUMMYFUNCTION("""COMPUTED_VALUE"""),100.0)</f>
        <v>100</v>
      </c>
      <c r="AX95" s="2">
        <f>IFERROR(__xludf.DUMMYFUNCTION("""COMPUTED_VALUE"""),67.0)</f>
        <v>67</v>
      </c>
      <c r="AY95" s="2">
        <f>IFERROR(__xludf.DUMMYFUNCTION("""COMPUTED_VALUE"""),67.0)</f>
        <v>67</v>
      </c>
      <c r="AZ95" s="2">
        <f>IFERROR(__xludf.DUMMYFUNCTION("""COMPUTED_VALUE"""),137.0)</f>
        <v>137</v>
      </c>
      <c r="BA95" s="2">
        <f>IFERROR(__xludf.DUMMYFUNCTION("""COMPUTED_VALUE"""),0.06001)</f>
        <v>0.06001</v>
      </c>
      <c r="BB95" s="2">
        <f>IFERROR(__xludf.DUMMYFUNCTION("""COMPUTED_VALUE"""),8.0)</f>
        <v>8</v>
      </c>
      <c r="BC95" s="2">
        <f>IFERROR(__xludf.DUMMYFUNCTION("""COMPUTED_VALUE"""),4.69061202408E12)</f>
        <v>4690612024080</v>
      </c>
      <c r="BD95" s="2"/>
      <c r="BE95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5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5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5" s="2"/>
      <c r="BI95" s="2">
        <f>IFERROR(__xludf.DUMMYFUNCTION("""COMPUTED_VALUE"""),9.0)</f>
        <v>9</v>
      </c>
      <c r="BJ95" s="2">
        <f>IFERROR(__xludf.DUMMYFUNCTION("""COMPUTED_VALUE"""),53.0)</f>
        <v>53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IFERROR(__xludf.DUMMYFUNCTION("""COMPUTED_VALUE"""),4.690612024127E12)</f>
        <v>4690612024127</v>
      </c>
      <c r="B96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6" s="2" t="str">
        <f>IFERROR(__xludf.DUMMYFUNCTION("""COMPUTED_VALUE"""),"ASD лампы LED")</f>
        <v>ASD лампы LED</v>
      </c>
      <c r="D96" s="2">
        <f>IFERROR(__xludf.DUMMYFUNCTION("""COMPUTED_VALUE"""),4.690612024127E12)</f>
        <v>4690612024127</v>
      </c>
      <c r="E96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6" s="2">
        <f>IFERROR(__xludf.DUMMYFUNCTION("""COMPUTED_VALUE"""),2.0)</f>
        <v>2</v>
      </c>
      <c r="G96" s="2" t="str">
        <f>IFERROR(__xludf.DUMMYFUNCTION("""COMPUTED_VALUE"""),"Китай")</f>
        <v>Китай</v>
      </c>
      <c r="H96" s="2" t="str">
        <f>IFERROR(__xludf.DUMMYFUNCTION("""COMPUTED_VALUE"""),"IN HOME")</f>
        <v>IN HOME</v>
      </c>
      <c r="I96" s="2"/>
      <c r="J96" s="2"/>
      <c r="K96" s="2" t="str">
        <f>IFERROR(__xludf.DUMMYFUNCTION("""COMPUTED_VALUE"""),"LED")</f>
        <v>LED</v>
      </c>
      <c r="L96" s="2"/>
      <c r="M96" s="2">
        <f>IFERROR(__xludf.DUMMYFUNCTION("""COMPUTED_VALUE"""),30.0)</f>
        <v>30</v>
      </c>
      <c r="N96" s="2" t="str">
        <f>IFERROR(__xludf.DUMMYFUNCTION("""COMPUTED_VALUE"""),"E27")</f>
        <v>E27</v>
      </c>
      <c r="O96" s="2" t="str">
        <f>IFERROR(__xludf.DUMMYFUNCTION("""COMPUTED_VALUE"""),"SMD")</f>
        <v>SMD</v>
      </c>
      <c r="P96" s="2">
        <f>IFERROR(__xludf.DUMMYFUNCTION("""COMPUTED_VALUE"""),2700.0)</f>
        <v>2700</v>
      </c>
      <c r="Q96" s="2">
        <f>IFERROR(__xludf.DUMMYFUNCTION("""COMPUTED_VALUE"""),3000.0)</f>
        <v>3000</v>
      </c>
      <c r="R96" s="2">
        <f>IFERROR(__xludf.DUMMYFUNCTION("""COMPUTED_VALUE"""),80.0)</f>
        <v>80</v>
      </c>
      <c r="S96" s="2"/>
      <c r="T96" s="2" t="str">
        <f>IFERROR(__xludf.DUMMYFUNCTION("""COMPUTED_VALUE"""),"Д")</f>
        <v>Д</v>
      </c>
      <c r="U96" s="2">
        <f>IFERROR(__xludf.DUMMYFUNCTION("""COMPUTED_VALUE"""),30000.0)</f>
        <v>30000</v>
      </c>
      <c r="V96" s="2">
        <f>IFERROR(__xludf.DUMMYFUNCTION("""COMPUTED_VALUE"""),135.0)</f>
        <v>135</v>
      </c>
      <c r="W96" s="2">
        <f>IFERROR(__xludf.DUMMYFUNCTION("""COMPUTED_VALUE"""),70.0)</f>
        <v>70</v>
      </c>
      <c r="X96" s="2"/>
      <c r="Y96" s="2"/>
      <c r="Z96" s="2"/>
      <c r="AA96" s="2"/>
      <c r="AB96" s="2">
        <f>IFERROR(__xludf.DUMMYFUNCTION("""COMPUTED_VALUE"""),0.085)</f>
        <v>0.085</v>
      </c>
      <c r="AC96" s="2"/>
      <c r="AD96" s="2" t="str">
        <f>IFERROR(__xludf.DUMMYFUNCTION("""COMPUTED_VALUE"""),"полимерный материал")</f>
        <v>полимерный материал</v>
      </c>
      <c r="AE96" s="2" t="str">
        <f>IFERROR(__xludf.DUMMYFUNCTION("""COMPUTED_VALUE"""),"ABS пластик")</f>
        <v>ABS пластик</v>
      </c>
      <c r="AF96" s="2"/>
      <c r="AG96" s="2"/>
      <c r="AH96" s="2"/>
      <c r="AI96" s="2"/>
      <c r="AJ96" s="2" t="str">
        <f>IFERROR(__xludf.DUMMYFUNCTION("""COMPUTED_VALUE"""),"A1")</f>
        <v>A1</v>
      </c>
      <c r="AK96" s="2">
        <f>IFERROR(__xludf.DUMMYFUNCTION("""COMPUTED_VALUE"""),0.9)</f>
        <v>0.9</v>
      </c>
      <c r="AL96" s="2">
        <f>IFERROR(__xludf.DUMMYFUNCTION("""COMPUTED_VALUE"""),5.0)</f>
        <v>5</v>
      </c>
      <c r="AM96" s="2">
        <f>IFERROR(__xludf.DUMMYFUNCTION("""COMPUTED_VALUE"""),0.21)</f>
        <v>0.21</v>
      </c>
      <c r="AN96" s="2">
        <f>IFERROR(__xludf.DUMMYFUNCTION("""COMPUTED_VALUE"""),150.0)</f>
        <v>150</v>
      </c>
      <c r="AO96" s="2">
        <f>IFERROR(__xludf.DUMMYFUNCTION("""COMPUTED_VALUE"""),275.0)</f>
        <v>275</v>
      </c>
      <c r="AP96" s="2">
        <f>IFERROR(__xludf.DUMMYFUNCTION("""COMPUTED_VALUE"""),-10.0)</f>
        <v>-10</v>
      </c>
      <c r="AQ96" s="2">
        <f>IFERROR(__xludf.DUMMYFUNCTION("""COMPUTED_VALUE"""),40.0)</f>
        <v>40</v>
      </c>
      <c r="AR96" s="2"/>
      <c r="AS96" s="2" t="str">
        <f>IFERROR(__xludf.DUMMYFUNCTION("""COMPUTED_VALUE"""),"Картон")</f>
        <v>Картон</v>
      </c>
      <c r="AT96" s="2" t="str">
        <f>IFERROR(__xludf.DUMMYFUNCTION("""COMPUTED_VALUE"""),"Нет")</f>
        <v>Нет</v>
      </c>
      <c r="AU96" s="2">
        <f>IFERROR(__xludf.DUMMYFUNCTION("""COMPUTED_VALUE"""),8.0E-4)</f>
        <v>0.0008</v>
      </c>
      <c r="AV96" s="2">
        <f>IFERROR(__xludf.DUMMYFUNCTION("""COMPUTED_VALUE"""),0.084)</f>
        <v>0.084</v>
      </c>
      <c r="AW96" s="2">
        <f>IFERROR(__xludf.DUMMYFUNCTION("""COMPUTED_VALUE"""),50.0)</f>
        <v>50</v>
      </c>
      <c r="AX96" s="2">
        <f>IFERROR(__xludf.DUMMYFUNCTION("""COMPUTED_VALUE"""),70.0)</f>
        <v>70</v>
      </c>
      <c r="AY96" s="2">
        <f>IFERROR(__xludf.DUMMYFUNCTION("""COMPUTED_VALUE"""),70.0)</f>
        <v>70</v>
      </c>
      <c r="AZ96" s="2">
        <f>IFERROR(__xludf.DUMMYFUNCTION("""COMPUTED_VALUE"""),133.0)</f>
        <v>133</v>
      </c>
      <c r="BA96" s="2">
        <f>IFERROR(__xludf.DUMMYFUNCTION("""COMPUTED_VALUE"""),0.04)</f>
        <v>0.04</v>
      </c>
      <c r="BB96" s="2">
        <f>IFERROR(__xludf.DUMMYFUNCTION("""COMPUTED_VALUE"""),4.20001)</f>
        <v>4.20001</v>
      </c>
      <c r="BC96" s="2">
        <f>IFERROR(__xludf.DUMMYFUNCTION("""COMPUTED_VALUE"""),4.690612024127E12)</f>
        <v>4690612024127</v>
      </c>
      <c r="BD96" s="2"/>
      <c r="BE96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6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6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6" s="2"/>
      <c r="BI96" s="2">
        <f>IFERROR(__xludf.DUMMYFUNCTION("""COMPUTED_VALUE"""),18.0)</f>
        <v>18</v>
      </c>
      <c r="BJ96" s="2">
        <f>IFERROR(__xludf.DUMMYFUNCTION("""COMPUTED_VALUE"""),76.0)</f>
        <v>76</v>
      </c>
      <c r="BK96" s="2">
        <f>IFERROR(__xludf.DUMMYFUNCTION("""COMPUTED_VALUE"""),0.0)</f>
        <v>0</v>
      </c>
      <c r="BL96" s="2">
        <f t="shared" si="1"/>
        <v>44</v>
      </c>
    </row>
    <row r="97">
      <c r="A97" s="2">
        <f>IFERROR(__xludf.DUMMYFUNCTION("""COMPUTED_VALUE"""),4.690612024165E12)</f>
        <v>4690612024165</v>
      </c>
      <c r="B97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7" s="2" t="str">
        <f>IFERROR(__xludf.DUMMYFUNCTION("""COMPUTED_VALUE"""),"ASD лампы LED")</f>
        <v>ASD лампы LED</v>
      </c>
      <c r="D97" s="2">
        <f>IFERROR(__xludf.DUMMYFUNCTION("""COMPUTED_VALUE"""),4.690612024165E12)</f>
        <v>4690612024165</v>
      </c>
      <c r="E97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IFERROR(__xludf.DUMMYFUNCTION("""COMPUTED_VALUE"""),30.0)</f>
        <v>30</v>
      </c>
      <c r="N97" s="2" t="str">
        <f>IFERROR(__xludf.DUMMYFUNCTION("""COMPUTED_VALUE"""),"E27")</f>
        <v>E27</v>
      </c>
      <c r="O97" s="2" t="str">
        <f>IFERROR(__xludf.DUMMYFUNCTION("""COMPUTED_VALUE"""),"SMD")</f>
        <v>SMD</v>
      </c>
      <c r="P97" s="2">
        <f>IFERROR(__xludf.DUMMYFUNCTION("""COMPUTED_VALUE"""),2700.0)</f>
        <v>2700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IFERROR(__xludf.DUMMYFUNCTION("""COMPUTED_VALUE"""),135.0)</f>
        <v>135</v>
      </c>
      <c r="W97" s="2">
        <f>IFERROR(__xludf.DUMMYFUNCTION("""COMPUTED_VALUE"""),70.0)</f>
        <v>70</v>
      </c>
      <c r="X97" s="2"/>
      <c r="Y97" s="2"/>
      <c r="Z97" s="2"/>
      <c r="AA97" s="2"/>
      <c r="AB97" s="2">
        <f>IFERROR(__xludf.DUMMYFUNCTION("""COMPUTED_VALUE"""),0.085)</f>
        <v>0.085</v>
      </c>
      <c r="AC97" s="2"/>
      <c r="AD97" s="2" t="str">
        <f>IFERROR(__xludf.DUMMYFUNCTION("""COMPUTED_VALUE"""),"полимерный материал")</f>
        <v>полимерный материал</v>
      </c>
      <c r="AE97" s="2" t="str">
        <f>IFERROR(__xludf.DUMMYFUNCTION("""COMPUTED_VALUE"""),"ABS пластик")</f>
        <v>ABS пластик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IFERROR(__xludf.DUMMYFUNCTION("""COMPUTED_VALUE"""),0.9)</f>
        <v>0.9</v>
      </c>
      <c r="AL97" s="2">
        <f>IFERROR(__xludf.DUMMYFUNCTION("""COMPUTED_VALUE"""),5.0)</f>
        <v>5</v>
      </c>
      <c r="AM97" s="2">
        <f>IFERROR(__xludf.DUMMYFUNCTION("""COMPUTED_VALUE"""),0.21)</f>
        <v>0.21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IFERROR(__xludf.DUMMYFUNCTION("""COMPUTED_VALUE"""),8.0E-4)</f>
        <v>0.0008</v>
      </c>
      <c r="AV97" s="2">
        <f>IFERROR(__xludf.DUMMYFUNCTION("""COMPUTED_VALUE"""),0.084)</f>
        <v>0.084</v>
      </c>
      <c r="AW97" s="2">
        <f>IFERROR(__xludf.DUMMYFUNCTION("""COMPUTED_VALUE"""),50.0)</f>
        <v>50</v>
      </c>
      <c r="AX97" s="2">
        <f>IFERROR(__xludf.DUMMYFUNCTION("""COMPUTED_VALUE"""),70.0)</f>
        <v>70</v>
      </c>
      <c r="AY97" s="2">
        <f>IFERROR(__xludf.DUMMYFUNCTION("""COMPUTED_VALUE"""),70.0)</f>
        <v>70</v>
      </c>
      <c r="AZ97" s="2">
        <f>IFERROR(__xludf.DUMMYFUNCTION("""COMPUTED_VALUE"""),133.0)</f>
        <v>133</v>
      </c>
      <c r="BA97" s="2">
        <f>IFERROR(__xludf.DUMMYFUNCTION("""COMPUTED_VALUE"""),0.04)</f>
        <v>0.04</v>
      </c>
      <c r="BB97" s="2">
        <f>IFERROR(__xludf.DUMMYFUNCTION("""COMPUTED_VALUE"""),4.20001)</f>
        <v>4.20001</v>
      </c>
      <c r="BC97" s="2">
        <f>IFERROR(__xludf.DUMMYFUNCTION("""COMPUTED_VALUE"""),4.690612024165E12)</f>
        <v>4690612024165</v>
      </c>
      <c r="BD97" s="2"/>
      <c r="BE97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7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7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7" s="2"/>
      <c r="BI97" s="2">
        <f>IFERROR(__xludf.DUMMYFUNCTION("""COMPUTED_VALUE"""),20.0)</f>
        <v>20</v>
      </c>
      <c r="BJ97" s="2">
        <f>IFERROR(__xludf.DUMMYFUNCTION("""COMPUTED_VALUE"""),62.0)</f>
        <v>62</v>
      </c>
      <c r="BK97" s="2">
        <f>IFERROR(__xludf.DUMMYFUNCTION("""COMPUTED_VALUE"""),0.0)</f>
        <v>0</v>
      </c>
      <c r="BL97" s="2">
        <f t="shared" si="1"/>
        <v>44</v>
      </c>
    </row>
    <row r="98">
      <c r="A98" s="2">
        <f>IFERROR(__xludf.DUMMYFUNCTION("""COMPUTED_VALUE"""),4.690612024691E12)</f>
        <v>4690612024691</v>
      </c>
      <c r="B98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8" s="2" t="str">
        <f>IFERROR(__xludf.DUMMYFUNCTION("""COMPUTED_VALUE"""),"Лампа светодиодная HP PRO")</f>
        <v>Лампа светодиодная HP PRO</v>
      </c>
      <c r="D98" s="2"/>
      <c r="E98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>
        <f>IFERROR(__xludf.DUMMYFUNCTION("""COMPUTED_VALUE"""),0.00395)</f>
        <v>0.00395</v>
      </c>
      <c r="AV98" s="2">
        <f>IFERROR(__xludf.DUMMYFUNCTION("""COMPUTED_VALUE"""),0.31)</f>
        <v>0.31</v>
      </c>
      <c r="AW98" s="2">
        <f>IFERROR(__xludf.DUMMYFUNCTION("""COMPUTED_VALUE"""),20.0)</f>
        <v>20</v>
      </c>
      <c r="AX98" s="2"/>
      <c r="AY98" s="2"/>
      <c r="AZ98" s="2"/>
      <c r="BA98" s="2">
        <f>IFERROR(__xludf.DUMMYFUNCTION("""COMPUTED_VALUE"""),0.079)</f>
        <v>0.079</v>
      </c>
      <c r="BB98" s="2">
        <f>IFERROR(__xludf.DUMMYFUNCTION("""COMPUTED_VALUE"""),6.2)</f>
        <v>6.2</v>
      </c>
      <c r="BC98" s="2"/>
      <c r="BD98" s="2"/>
      <c r="BE98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8" s="2"/>
      <c r="BG98" s="2"/>
      <c r="BH98" s="2"/>
      <c r="BI98" s="2">
        <f>IFERROR(__xludf.DUMMYFUNCTION("""COMPUTED_VALUE"""),1.0)</f>
        <v>1</v>
      </c>
      <c r="BJ98" s="2">
        <f>IFERROR(__xludf.DUMMYFUNCTION("""COMPUTED_VALUE"""),130.0)</f>
        <v>130</v>
      </c>
      <c r="BK98" s="2">
        <f>IFERROR(__xludf.DUMMYFUNCTION("""COMPUTED_VALUE"""),0.0)</f>
        <v>0</v>
      </c>
      <c r="BL98" s="2">
        <f t="shared" si="1"/>
        <v>10</v>
      </c>
    </row>
    <row r="99">
      <c r="A99" s="2">
        <f>IFERROR(__xludf.DUMMYFUNCTION("""COMPUTED_VALUE"""),4.690612026107E12)</f>
        <v>4690612026107</v>
      </c>
      <c r="B99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IFERROR(__xludf.DUMMYFUNCTION("""COMPUTED_VALUE"""),4.690612026107E12)</f>
        <v>4690612026107</v>
      </c>
      <c r="E99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IFERROR(__xludf.DUMMYFUNCTION("""COMPUTED_VALUE"""),9.0)</f>
        <v>9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IFERROR(__xludf.DUMMYFUNCTION("""COMPUTED_VALUE"""),810.0)</f>
        <v>810</v>
      </c>
      <c r="Q99" s="2">
        <f>IFERROR(__xludf.DUMMYFUNCTION("""COMPUTED_VALUE"""),6500.0)</f>
        <v>6500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IFERROR(__xludf.DUMMYFUNCTION("""COMPUTED_VALUE"""),0.07)</f>
        <v>0.07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IFERROR(__xludf.DUMMYFUNCTION("""COMPUTED_VALUE"""),4.690612026107E12)</f>
        <v>4690612026107</v>
      </c>
      <c r="BD99" s="2"/>
      <c r="BE99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9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9" s="2"/>
      <c r="BI99" s="2">
        <f>IFERROR(__xludf.DUMMYFUNCTION("""COMPUTED_VALUE"""),40.0)</f>
        <v>40</v>
      </c>
      <c r="BJ99" s="2">
        <f>IFERROR(__xludf.DUMMYFUNCTION("""COMPUTED_VALUE"""),52.0)</f>
        <v>52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IFERROR(__xludf.DUMMYFUNCTION("""COMPUTED_VALUE"""),4.690612026121E12)</f>
        <v>4690612026121</v>
      </c>
      <c r="B100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IFERROR(__xludf.DUMMYFUNCTION("""COMPUTED_VALUE"""),4.690612026121E12)</f>
        <v>4690612026121</v>
      </c>
      <c r="E100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IFERROR(__xludf.DUMMYFUNCTION("""COMPUTED_VALUE"""),3000.0)</f>
        <v>3000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>
        <f>IFERROR(__xludf.DUMMYFUNCTION("""COMPUTED_VALUE"""),60.0)</f>
        <v>60</v>
      </c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IFERROR(__xludf.DUMMYFUNCTION("""COMPUTED_VALUE"""),4.690612026121E12)</f>
        <v>4690612026121</v>
      </c>
      <c r="BD100" s="2"/>
      <c r="BE100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100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100" s="2"/>
      <c r="BI100" s="2">
        <f>IFERROR(__xludf.DUMMYFUNCTION("""COMPUTED_VALUE"""),26.0)</f>
        <v>26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44</v>
      </c>
    </row>
    <row r="101">
      <c r="A101" s="2">
        <f>IFERROR(__xludf.DUMMYFUNCTION("""COMPUTED_VALUE"""),4.690612026145E12)</f>
        <v>4690612026145</v>
      </c>
      <c r="B101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101" s="2" t="str">
        <f>IFERROR(__xludf.DUMMYFUNCTION("""COMPUTED_VALUE"""),"Лампа светодиодная LED-A60 DECO")</f>
        <v>Лампа светодиодная LED-A60 DECO</v>
      </c>
      <c r="D101" s="2">
        <f>IFERROR(__xludf.DUMMYFUNCTION("""COMPUTED_VALUE"""),4.690612026145E12)</f>
        <v>4690612026145</v>
      </c>
      <c r="E101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IFERROR(__xludf.DUMMYFUNCTION("""COMPUTED_VALUE"""),11.0)</f>
        <v>11</v>
      </c>
      <c r="N101" s="2" t="str">
        <f>IFERROR(__xludf.DUMMYFUNCTION("""COMPUTED_VALUE"""),"E27")</f>
        <v>E27</v>
      </c>
      <c r="O101" s="2" t="str">
        <f>IFERROR(__xludf.DUMMYFUNCTION("""COMPUTED_VALUE"""),"filament")</f>
        <v>filament</v>
      </c>
      <c r="P101" s="2">
        <f>IFERROR(__xludf.DUMMYFUNCTION("""COMPUTED_VALUE"""),990.0)</f>
        <v>990</v>
      </c>
      <c r="Q101" s="2">
        <f>IFERROR(__xludf.DUMMYFUNCTION("""COMPUTED_VALUE"""),4000.0)</f>
        <v>4000</v>
      </c>
      <c r="R101" s="2">
        <f>IFERROR(__xludf.DUMMYFUNCTION("""COMPUTED_VALUE"""),80.0)</f>
        <v>80</v>
      </c>
      <c r="S101" s="2"/>
      <c r="T101" s="2" t="str">
        <f>IFERROR(__xludf.DUMMYFUNCTION("""COMPUTED_VALUE"""),"Д")</f>
        <v>Д</v>
      </c>
      <c r="U101" s="2">
        <f>IFERROR(__xludf.DUMMYFUNCTION("""COMPUTED_VALUE"""),30000.0)</f>
        <v>30000</v>
      </c>
      <c r="V101" s="2">
        <f>IFERROR(__xludf.DUMMYFUNCTION("""COMPUTED_VALUE"""),107.0)</f>
        <v>107</v>
      </c>
      <c r="W101" s="2">
        <f>IFERROR(__xludf.DUMMYFUNCTION("""COMPUTED_VALUE"""),60.0)</f>
        <v>60</v>
      </c>
      <c r="X101" s="2"/>
      <c r="Y101" s="2"/>
      <c r="Z101" s="2"/>
      <c r="AA101" s="2"/>
      <c r="AB101" s="2">
        <f>IFERROR(__xludf.DUMMYFUNCTION("""COMPUTED_VALUE"""),0.045)</f>
        <v>0.045</v>
      </c>
      <c r="AC101" s="2"/>
      <c r="AD101" s="2"/>
      <c r="AE101" s="2" t="str">
        <f>IFERROR(__xludf.DUMMYFUNCTION("""COMPUTED_VALUE"""),"стекло")</f>
        <v>стекло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IFERROR(__xludf.DUMMYFUNCTION("""COMPUTED_VALUE"""),0.08)</f>
        <v>0.08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IFERROR(__xludf.DUMMYFUNCTION("""COMPUTED_VALUE"""),5.6E-4)</f>
        <v>0.00056</v>
      </c>
      <c r="AV101" s="2">
        <f>IFERROR(__xludf.DUMMYFUNCTION("""COMPUTED_VALUE"""),0.044)</f>
        <v>0.044</v>
      </c>
      <c r="AW101" s="2">
        <f>IFERROR(__xludf.DUMMYFUNCTION("""COMPUTED_VALUE"""),50.0)</f>
        <v>50</v>
      </c>
      <c r="AX101" s="2">
        <f>IFERROR(__xludf.DUMMYFUNCTION("""COMPUTED_VALUE"""),62.0)</f>
        <v>62</v>
      </c>
      <c r="AY101" s="2">
        <f>IFERROR(__xludf.DUMMYFUNCTION("""COMPUTED_VALUE"""),62.0)</f>
        <v>62</v>
      </c>
      <c r="AZ101" s="2">
        <f>IFERROR(__xludf.DUMMYFUNCTION("""COMPUTED_VALUE"""),120.0)</f>
        <v>120</v>
      </c>
      <c r="BA101" s="2">
        <f>IFERROR(__xludf.DUMMYFUNCTION("""COMPUTED_VALUE"""),0.028)</f>
        <v>0.028</v>
      </c>
      <c r="BB101" s="2">
        <f>IFERROR(__xludf.DUMMYFUNCTION("""COMPUTED_VALUE"""),2.20001)</f>
        <v>2.20001</v>
      </c>
      <c r="BC101" s="2">
        <f>IFERROR(__xludf.DUMMYFUNCTION("""COMPUTED_VALUE"""),4.690612026145E12)</f>
        <v>4690612026145</v>
      </c>
      <c r="BD101" s="2"/>
      <c r="BE101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101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101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101" s="2"/>
      <c r="BI101" s="2">
        <f>IFERROR(__xludf.DUMMYFUNCTION("""COMPUTED_VALUE"""),4.0)</f>
        <v>4</v>
      </c>
      <c r="BJ101" s="2">
        <f>IFERROR(__xludf.DUMMYFUNCTION("""COMPUTED_VALUE"""),74.0)</f>
        <v>74</v>
      </c>
      <c r="BK101" s="2">
        <f>IFERROR(__xludf.DUMMYFUNCTION("""COMPUTED_VALUE"""),0.0)</f>
        <v>0</v>
      </c>
      <c r="BL101" s="2">
        <f t="shared" si="1"/>
        <v>43</v>
      </c>
    </row>
    <row r="102">
      <c r="A102" s="2">
        <f>IFERROR(__xludf.DUMMYFUNCTION("""COMPUTED_VALUE"""),4.690612026169E12)</f>
        <v>4690612026169</v>
      </c>
      <c r="B102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2" s="2" t="str">
        <f>IFERROR(__xludf.DUMMYFUNCTION("""COMPUTED_VALUE"""),"Лампа светодиодная LED-A60 DECO")</f>
        <v>Лампа светодиодная LED-A60 DECO</v>
      </c>
      <c r="D102" s="2">
        <f>IFERROR(__xludf.DUMMYFUNCTION("""COMPUTED_VALUE"""),4.690612026169E12)</f>
        <v>4690612026169</v>
      </c>
      <c r="E102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IFERROR(__xludf.DUMMYFUNCTION("""COMPUTED_VALUE"""),11.0)</f>
        <v>11</v>
      </c>
      <c r="N102" s="2" t="str">
        <f>IFERROR(__xludf.DUMMYFUNCTION("""COMPUTED_VALUE"""),"E27")</f>
        <v>E27</v>
      </c>
      <c r="O102" s="2" t="str">
        <f>IFERROR(__xludf.DUMMYFUNCTION("""COMPUTED_VALUE"""),"filament")</f>
        <v>filament</v>
      </c>
      <c r="P102" s="2">
        <f>IFERROR(__xludf.DUMMYFUNCTION("""COMPUTED_VALUE"""),990.0)</f>
        <v>990</v>
      </c>
      <c r="Q102" s="2">
        <f>IFERROR(__xludf.DUMMYFUNCTION("""COMPUTED_VALUE"""),6500.0)</f>
        <v>6500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IFERROR(__xludf.DUMMYFUNCTION("""COMPUTED_VALUE"""),107.0)</f>
        <v>107</v>
      </c>
      <c r="W102" s="2">
        <f>IFERROR(__xludf.DUMMYFUNCTION("""COMPUTED_VALUE"""),60.0)</f>
        <v>60</v>
      </c>
      <c r="X102" s="2"/>
      <c r="Y102" s="2"/>
      <c r="Z102" s="2"/>
      <c r="AA102" s="2"/>
      <c r="AB102" s="2">
        <f>IFERROR(__xludf.DUMMYFUNCTION("""COMPUTED_VALUE"""),0.045)</f>
        <v>0.045</v>
      </c>
      <c r="AC102" s="2"/>
      <c r="AD102" s="2"/>
      <c r="AE102" s="2" t="str">
        <f>IFERROR(__xludf.DUMMYFUNCTION("""COMPUTED_VALUE"""),"стекло")</f>
        <v>стекло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IFERROR(__xludf.DUMMYFUNCTION("""COMPUTED_VALUE"""),0.08)</f>
        <v>0.08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IFERROR(__xludf.DUMMYFUNCTION("""COMPUTED_VALUE"""),5.6E-4)</f>
        <v>0.00056</v>
      </c>
      <c r="AV102" s="2">
        <f>IFERROR(__xludf.DUMMYFUNCTION("""COMPUTED_VALUE"""),0.044)</f>
        <v>0.044</v>
      </c>
      <c r="AW102" s="2">
        <f>IFERROR(__xludf.DUMMYFUNCTION("""COMPUTED_VALUE"""),50.0)</f>
        <v>50</v>
      </c>
      <c r="AX102" s="2">
        <f>IFERROR(__xludf.DUMMYFUNCTION("""COMPUTED_VALUE"""),62.0)</f>
        <v>62</v>
      </c>
      <c r="AY102" s="2">
        <f>IFERROR(__xludf.DUMMYFUNCTION("""COMPUTED_VALUE"""),62.0)</f>
        <v>62</v>
      </c>
      <c r="AZ102" s="2">
        <f>IFERROR(__xludf.DUMMYFUNCTION("""COMPUTED_VALUE"""),120.0)</f>
        <v>120</v>
      </c>
      <c r="BA102" s="2">
        <f>IFERROR(__xludf.DUMMYFUNCTION("""COMPUTED_VALUE"""),0.028)</f>
        <v>0.028</v>
      </c>
      <c r="BB102" s="2">
        <f>IFERROR(__xludf.DUMMYFUNCTION("""COMPUTED_VALUE"""),2.20001)</f>
        <v>2.20001</v>
      </c>
      <c r="BC102" s="2">
        <f>IFERROR(__xludf.DUMMYFUNCTION("""COMPUTED_VALUE"""),4.690612026169E12)</f>
        <v>4690612026169</v>
      </c>
      <c r="BD102" s="2"/>
      <c r="BE102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2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2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2" s="2"/>
      <c r="BI102" s="2">
        <f>IFERROR(__xludf.DUMMYFUNCTION("""COMPUTED_VALUE"""),49.0)</f>
        <v>49</v>
      </c>
      <c r="BJ102" s="2">
        <f>IFERROR(__xludf.DUMMYFUNCTION("""COMPUTED_VALUE"""),74.0)</f>
        <v>74</v>
      </c>
      <c r="BK102" s="2">
        <f>IFERROR(__xludf.DUMMYFUNCTION("""COMPUTED_VALUE"""),0.0)</f>
        <v>0</v>
      </c>
      <c r="BL102" s="2">
        <f t="shared" si="1"/>
        <v>43</v>
      </c>
    </row>
    <row r="103">
      <c r="A103" s="2">
        <f>IFERROR(__xludf.DUMMYFUNCTION("""COMPUTED_VALUE"""),4.690612030753E12)</f>
        <v>4690612030753</v>
      </c>
      <c r="B103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3" s="2" t="str">
        <f>IFERROR(__xludf.DUMMYFUNCTION("""COMPUTED_VALUE"""),"Лампа светодиодная LED-JCDR-standard")</f>
        <v>Лампа светодиодная LED-JCDR-standard</v>
      </c>
      <c r="D103" s="2">
        <f>IFERROR(__xludf.DUMMYFUNCTION("""COMPUTED_VALUE"""),4.690612030753E12)</f>
        <v>4690612030753</v>
      </c>
      <c r="E103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IFERROR(__xludf.DUMMYFUNCTION("""COMPUTED_VALUE"""),"GU10")</f>
        <v>GU10</v>
      </c>
      <c r="O103" s="2" t="str">
        <f>IFERROR(__xludf.DUMMYFUNCTION("""COMPUTED_VALUE"""),"SMD")</f>
        <v>SMD</v>
      </c>
      <c r="P103" s="2">
        <f>IFERROR(__xludf.DUMMYFUNCTION("""COMPUTED_VALUE"""),525.0)</f>
        <v>525</v>
      </c>
      <c r="Q103" s="2">
        <f>IFERROR(__xludf.DUMMYFUNCTION("""COMPUTED_VALUE"""),6500.0)</f>
        <v>6500</v>
      </c>
      <c r="R103" s="2">
        <f>IFERROR(__xludf.DUMMYFUNCTION("""COMPUTED_VALUE"""),80.0)</f>
        <v>80</v>
      </c>
      <c r="S103" s="2"/>
      <c r="T103" s="2" t="str">
        <f>IFERROR(__xludf.DUMMYFUNCTION("""COMPUTED_VALUE"""),"Г")</f>
        <v>Г</v>
      </c>
      <c r="U103" s="2">
        <f>IFERROR(__xludf.DUMMYFUNCTION("""COMPUTED_VALUE"""),30000.0)</f>
        <v>30000</v>
      </c>
      <c r="V103" s="2">
        <f>IFERROR(__xludf.DUMMYFUNCTION("""COMPUTED_VALUE"""),55.0)</f>
        <v>55</v>
      </c>
      <c r="W103" s="2">
        <f>IFERROR(__xludf.DUMMYFUNCTION("""COMPUTED_VALUE"""),50.0)</f>
        <v>50</v>
      </c>
      <c r="X103" s="2"/>
      <c r="Y103" s="2"/>
      <c r="Z103" s="2"/>
      <c r="AA103" s="2"/>
      <c r="AB103" s="2">
        <f>IFERROR(__xludf.DUMMYFUNCTION("""COMPUTED_VALUE"""),0.035)</f>
        <v>0.035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IFERROR(__xludf.DUMMYFUNCTION("""COMPUTED_VALUE"""),0.035)</f>
        <v>0.035</v>
      </c>
      <c r="AW103" s="2">
        <f>IFERROR(__xludf.DUMMYFUNCTION("""COMPUTED_VALUE"""),100.0)</f>
        <v>100</v>
      </c>
      <c r="AX103" s="2">
        <f>IFERROR(__xludf.DUMMYFUNCTION("""COMPUTED_VALUE"""),52.0)</f>
        <v>52</v>
      </c>
      <c r="AY103" s="2">
        <f>IFERROR(__xludf.DUMMYFUNCTION("""COMPUTED_VALUE"""),52.0)</f>
        <v>52</v>
      </c>
      <c r="AZ103" s="2">
        <f>IFERROR(__xludf.DUMMYFUNCTION("""COMPUTED_VALUE"""),55.0)</f>
        <v>55</v>
      </c>
      <c r="BA103" s="2">
        <f>IFERROR(__xludf.DUMMYFUNCTION("""COMPUTED_VALUE"""),0.021)</f>
        <v>0.021</v>
      </c>
      <c r="BB103" s="2">
        <f>IFERROR(__xludf.DUMMYFUNCTION("""COMPUTED_VALUE"""),3.5)</f>
        <v>3.5</v>
      </c>
      <c r="BC103" s="2">
        <f>IFERROR(__xludf.DUMMYFUNCTION("""COMPUTED_VALUE"""),4.690612030753E12)</f>
        <v>4690612030753</v>
      </c>
      <c r="BD103" s="2"/>
      <c r="BE103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3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3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3" s="2"/>
      <c r="BI103" s="2">
        <f>IFERROR(__xludf.DUMMYFUNCTION("""COMPUTED_VALUE"""),69.0)</f>
        <v>69</v>
      </c>
      <c r="BJ103" s="2">
        <f>IFERROR(__xludf.DUMMYFUNCTION("""COMPUTED_VALUE"""),27.0)</f>
        <v>27</v>
      </c>
      <c r="BK103" s="2">
        <f>IFERROR(__xludf.DUMMYFUNCTION("""COMPUTED_VALUE"""),0.0)</f>
        <v>0</v>
      </c>
      <c r="BL103" s="2">
        <f t="shared" si="1"/>
        <v>44</v>
      </c>
    </row>
    <row r="104">
      <c r="A104" s="2">
        <f>IFERROR(__xludf.DUMMYFUNCTION("""COMPUTED_VALUE"""),4.690612030777E12)</f>
        <v>4690612030777</v>
      </c>
      <c r="B104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IFERROR(__xludf.DUMMYFUNCTION("""COMPUTED_VALUE"""),4.690612030777E12)</f>
        <v>4690612030777</v>
      </c>
      <c r="E104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IFERROR(__xludf.DUMMYFUNCTION("""COMPUTED_VALUE"""),3000.0)</f>
        <v>3000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>
        <f>IFERROR(__xludf.DUMMYFUNCTION("""COMPUTED_VALUE"""),74.0)</f>
        <v>74</v>
      </c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IFERROR(__xludf.DUMMYFUNCTION("""COMPUTED_VALUE"""),4.690612030777E12)</f>
        <v>4690612030777</v>
      </c>
      <c r="BD104" s="2"/>
      <c r="BE104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4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4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4" s="2"/>
      <c r="BI104" s="2">
        <f>IFERROR(__xludf.DUMMYFUNCTION("""COMPUTED_VALUE"""),9.0)</f>
        <v>9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45</v>
      </c>
    </row>
    <row r="105">
      <c r="A105" s="2">
        <f>IFERROR(__xludf.DUMMYFUNCTION("""COMPUTED_VALUE"""),4.690612030791E12)</f>
        <v>4690612030791</v>
      </c>
      <c r="B105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5" s="2" t="str">
        <f>IFERROR(__xludf.DUMMYFUNCTION("""COMPUTED_VALUE"""),"Лампа светодиодная LED-GX53-standard")</f>
        <v>Лампа светодиодная LED-GX53-standard</v>
      </c>
      <c r="D105" s="2">
        <f>IFERROR(__xludf.DUMMYFUNCTION("""COMPUTED_VALUE"""),4.690612030791E12)</f>
        <v>4690612030791</v>
      </c>
      <c r="E105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IFERROR(__xludf.DUMMYFUNCTION("""COMPUTED_VALUE"""),6.0)</f>
        <v>6</v>
      </c>
      <c r="N105" s="2" t="str">
        <f>IFERROR(__xludf.DUMMYFUNCTION("""COMPUTED_VALUE"""),"GX53")</f>
        <v>GX53</v>
      </c>
      <c r="O105" s="2" t="str">
        <f>IFERROR(__xludf.DUMMYFUNCTION("""COMPUTED_VALUE"""),"SMD")</f>
        <v>SMD</v>
      </c>
      <c r="P105" s="2">
        <f>IFERROR(__xludf.DUMMYFUNCTION("""COMPUTED_VALUE"""),540.0)</f>
        <v>540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IFERROR(__xludf.DUMMYFUNCTION("""COMPUTED_VALUE"""),27.0)</f>
        <v>27</v>
      </c>
      <c r="W105" s="2">
        <f>IFERROR(__xludf.DUMMYFUNCTION("""COMPUTED_VALUE"""),74.0)</f>
        <v>74</v>
      </c>
      <c r="X105" s="2"/>
      <c r="Y105" s="2">
        <f>IFERROR(__xludf.DUMMYFUNCTION("""COMPUTED_VALUE"""),74.0)</f>
        <v>74</v>
      </c>
      <c r="Z105" s="2"/>
      <c r="AA105" s="2"/>
      <c r="AB105" s="2">
        <f>IFERROR(__xludf.DUMMYFUNCTION("""COMPUTED_VALUE"""),0.033)</f>
        <v>0.033</v>
      </c>
      <c r="AC105" s="2"/>
      <c r="AD105" s="2" t="str">
        <f>IFERROR(__xludf.DUMMYFUNCTION("""COMPUTED_VALUE"""),"полимерный материал")</f>
        <v>полимерный материал</v>
      </c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IFERROR(__xludf.DUMMYFUNCTION("""COMPUTED_VALUE"""),0.85)</f>
        <v>0.85</v>
      </c>
      <c r="AL105" s="2">
        <f>IFERROR(__xludf.DUMMYFUNCTION("""COMPUTED_VALUE"""),5.0)</f>
        <v>5</v>
      </c>
      <c r="AM105" s="2">
        <f>IFERROR(__xludf.DUMMYFUNCTION("""COMPUTED_VALUE"""),0.05)</f>
        <v>0.05</v>
      </c>
      <c r="AN105" s="2">
        <f>IFERROR(__xludf.DUMMYFUNCTION("""COMPUTED_VALUE"""),150.0)</f>
        <v>150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IFERROR(__xludf.DUMMYFUNCTION("""COMPUTED_VALUE"""),2.1E-4)</f>
        <v>0.00021</v>
      </c>
      <c r="AV105" s="2">
        <f>IFERROR(__xludf.DUMMYFUNCTION("""COMPUTED_VALUE"""),0.033)</f>
        <v>0.033</v>
      </c>
      <c r="AW105" s="2">
        <f>IFERROR(__xludf.DUMMYFUNCTION("""COMPUTED_VALUE"""),100.0)</f>
        <v>100</v>
      </c>
      <c r="AX105" s="2">
        <f>IFERROR(__xludf.DUMMYFUNCTION("""COMPUTED_VALUE"""),75.0)</f>
        <v>75</v>
      </c>
      <c r="AY105" s="2">
        <f>IFERROR(__xludf.DUMMYFUNCTION("""COMPUTED_VALUE"""),28.0)</f>
        <v>28</v>
      </c>
      <c r="AZ105" s="2">
        <f>IFERROR(__xludf.DUMMYFUNCTION("""COMPUTED_VALUE"""),75.0)</f>
        <v>75</v>
      </c>
      <c r="BA105" s="2">
        <f>IFERROR(__xludf.DUMMYFUNCTION("""COMPUTED_VALUE"""),0.021)</f>
        <v>0.021</v>
      </c>
      <c r="BB105" s="2">
        <f>IFERROR(__xludf.DUMMYFUNCTION("""COMPUTED_VALUE"""),3.3)</f>
        <v>3.3</v>
      </c>
      <c r="BC105" s="2">
        <f>IFERROR(__xludf.DUMMYFUNCTION("""COMPUTED_VALUE"""),4.690612030791E12)</f>
        <v>4690612030791</v>
      </c>
      <c r="BD105" s="2"/>
      <c r="BE105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5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5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5" s="2"/>
      <c r="BI105" s="2">
        <f>IFERROR(__xludf.DUMMYFUNCTION("""COMPUTED_VALUE"""),118.0)</f>
        <v>118</v>
      </c>
      <c r="BJ105" s="2">
        <f>IFERROR(__xludf.DUMMYFUNCTION("""COMPUTED_VALUE"""),23.0)</f>
        <v>23</v>
      </c>
      <c r="BK105" s="2">
        <f>IFERROR(__xludf.DUMMYFUNCTION("""COMPUTED_VALUE"""),0.0)</f>
        <v>0</v>
      </c>
      <c r="BL105" s="2">
        <f t="shared" si="1"/>
        <v>45</v>
      </c>
    </row>
    <row r="106">
      <c r="A106" s="2">
        <f>IFERROR(__xludf.DUMMYFUNCTION("""COMPUTED_VALUE"""),4.690612030814E12)</f>
        <v>4690612030814</v>
      </c>
      <c r="B106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6" s="2" t="str">
        <f>IFERROR(__xludf.DUMMYFUNCTION("""COMPUTED_VALUE"""),"Лампа светодиодная LED-GX53-standard")</f>
        <v>Лампа светодиодная LED-GX53-standard</v>
      </c>
      <c r="D106" s="2">
        <f>IFERROR(__xludf.DUMMYFUNCTION("""COMPUTED_VALUE"""),4.690612030814E12)</f>
        <v>4690612030814</v>
      </c>
      <c r="E106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IFERROR(__xludf.DUMMYFUNCTION("""COMPUTED_VALUE"""),6.0)</f>
        <v>6</v>
      </c>
      <c r="N106" s="2" t="str">
        <f>IFERROR(__xludf.DUMMYFUNCTION("""COMPUTED_VALUE"""),"GX53")</f>
        <v>GX53</v>
      </c>
      <c r="O106" s="2" t="str">
        <f>IFERROR(__xludf.DUMMYFUNCTION("""COMPUTED_VALUE"""),"SMD")</f>
        <v>SMD</v>
      </c>
      <c r="P106" s="2">
        <f>IFERROR(__xludf.DUMMYFUNCTION("""COMPUTED_VALUE"""),540.0)</f>
        <v>540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IFERROR(__xludf.DUMMYFUNCTION("""COMPUTED_VALUE"""),27.0)</f>
        <v>27</v>
      </c>
      <c r="W106" s="2">
        <f>IFERROR(__xludf.DUMMYFUNCTION("""COMPUTED_VALUE"""),74.0)</f>
        <v>74</v>
      </c>
      <c r="X106" s="2"/>
      <c r="Y106" s="2"/>
      <c r="Z106" s="2"/>
      <c r="AA106" s="2"/>
      <c r="AB106" s="2">
        <f>IFERROR(__xludf.DUMMYFUNCTION("""COMPUTED_VALUE"""),0.033)</f>
        <v>0.033</v>
      </c>
      <c r="AC106" s="2"/>
      <c r="AD106" s="2" t="str">
        <f>IFERROR(__xludf.DUMMYFUNCTION("""COMPUTED_VALUE"""),"полимерный материал")</f>
        <v>полимерный материал</v>
      </c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IFERROR(__xludf.DUMMYFUNCTION("""COMPUTED_VALUE"""),0.85)</f>
        <v>0.85</v>
      </c>
      <c r="AL106" s="2">
        <f>IFERROR(__xludf.DUMMYFUNCTION("""COMPUTED_VALUE"""),5.0)</f>
        <v>5</v>
      </c>
      <c r="AM106" s="2">
        <f>IFERROR(__xludf.DUMMYFUNCTION("""COMPUTED_VALUE"""),0.05)</f>
        <v>0.05</v>
      </c>
      <c r="AN106" s="2">
        <f>IFERROR(__xludf.DUMMYFUNCTION("""COMPUTED_VALUE"""),150.0)</f>
        <v>150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IFERROR(__xludf.DUMMYFUNCTION("""COMPUTED_VALUE"""),2.1E-4)</f>
        <v>0.00021</v>
      </c>
      <c r="AV106" s="2">
        <f>IFERROR(__xludf.DUMMYFUNCTION("""COMPUTED_VALUE"""),0.033)</f>
        <v>0.033</v>
      </c>
      <c r="AW106" s="2">
        <f>IFERROR(__xludf.DUMMYFUNCTION("""COMPUTED_VALUE"""),100.0)</f>
        <v>100</v>
      </c>
      <c r="AX106" s="2">
        <f>IFERROR(__xludf.DUMMYFUNCTION("""COMPUTED_VALUE"""),75.0)</f>
        <v>75</v>
      </c>
      <c r="AY106" s="2">
        <f>IFERROR(__xludf.DUMMYFUNCTION("""COMPUTED_VALUE"""),28.0)</f>
        <v>28</v>
      </c>
      <c r="AZ106" s="2">
        <f>IFERROR(__xludf.DUMMYFUNCTION("""COMPUTED_VALUE"""),75.0)</f>
        <v>75</v>
      </c>
      <c r="BA106" s="2">
        <f>IFERROR(__xludf.DUMMYFUNCTION("""COMPUTED_VALUE"""),0.021)</f>
        <v>0.021</v>
      </c>
      <c r="BB106" s="2">
        <f>IFERROR(__xludf.DUMMYFUNCTION("""COMPUTED_VALUE"""),3.3)</f>
        <v>3.3</v>
      </c>
      <c r="BC106" s="2">
        <f>IFERROR(__xludf.DUMMYFUNCTION("""COMPUTED_VALUE"""),4.690612030814E12)</f>
        <v>4690612030814</v>
      </c>
      <c r="BD106" s="2"/>
      <c r="BE106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6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6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6" s="2"/>
      <c r="BI106" s="2">
        <f>IFERROR(__xludf.DUMMYFUNCTION("""COMPUTED_VALUE"""),63.0)</f>
        <v>63</v>
      </c>
      <c r="BJ106" s="2">
        <f>IFERROR(__xludf.DUMMYFUNCTION("""COMPUTED_VALUE"""),27.0)</f>
        <v>27</v>
      </c>
      <c r="BK106" s="2">
        <f>IFERROR(__xludf.DUMMYFUNCTION("""COMPUTED_VALUE"""),0.0)</f>
        <v>0</v>
      </c>
      <c r="BL106" s="2">
        <f t="shared" si="1"/>
        <v>44</v>
      </c>
    </row>
    <row r="107">
      <c r="A107" s="2">
        <f>IFERROR(__xludf.DUMMYFUNCTION("""COMPUTED_VALUE"""),4.69061203089E12)</f>
        <v>4690612030890</v>
      </c>
      <c r="B107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IFERROR(__xludf.DUMMYFUNCTION("""COMPUTED_VALUE"""),4.69061203089E12)</f>
        <v>4690612030890</v>
      </c>
      <c r="E107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IFERROR(__xludf.DUMMYFUNCTION("""COMPUTED_VALUE"""),10.0)</f>
        <v>10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IFERROR(__xludf.DUMMYFUNCTION("""COMPUTED_VALUE"""),800.0)</f>
        <v>800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IFERROR(__xludf.DUMMYFUNCTION("""COMPUTED_VALUE"""),600.0)</f>
        <v>600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IFERROR(__xludf.DUMMYFUNCTION("""COMPUTED_VALUE"""),0.108)</f>
        <v>0.108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IFERROR(__xludf.DUMMYFUNCTION("""COMPUTED_VALUE"""),0.07)</f>
        <v>0.07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IFERROR(__xludf.DUMMYFUNCTION("""COMPUTED_VALUE"""),7.2E-4)</f>
        <v>0.00072</v>
      </c>
      <c r="AV107" s="2">
        <f>IFERROR(__xludf.DUMMYFUNCTION("""COMPUTED_VALUE"""),0.108)</f>
        <v>0.108</v>
      </c>
      <c r="AW107" s="2">
        <f>IFERROR(__xludf.DUMMYFUNCTION("""COMPUTED_VALUE"""),25.0)</f>
        <v>25</v>
      </c>
      <c r="AX107" s="2">
        <f>IFERROR(__xludf.DUMMYFUNCTION("""COMPUTED_VALUE"""),605.0)</f>
        <v>605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IFERROR(__xludf.DUMMYFUNCTION("""COMPUTED_VALUE"""),0.018)</f>
        <v>0.018</v>
      </c>
      <c r="BB107" s="2">
        <f>IFERROR(__xludf.DUMMYFUNCTION("""COMPUTED_VALUE"""),2.7)</f>
        <v>2.7</v>
      </c>
      <c r="BC107" s="2">
        <f>IFERROR(__xludf.DUMMYFUNCTION("""COMPUTED_VALUE"""),4.69061203089E12)</f>
        <v>4690612030890</v>
      </c>
      <c r="BD107" s="2"/>
      <c r="BE107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7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7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7" s="2"/>
      <c r="BI107" s="2">
        <f>IFERROR(__xludf.DUMMYFUNCTION("""COMPUTED_VALUE"""),20.0)</f>
        <v>20</v>
      </c>
      <c r="BJ107" s="2">
        <f>IFERROR(__xludf.DUMMYFUNCTION("""COMPUTED_VALUE"""),60.0)</f>
        <v>60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IFERROR(__xludf.DUMMYFUNCTION("""COMPUTED_VALUE"""),4.69061203092E12)</f>
        <v>4690612030920</v>
      </c>
      <c r="B108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IFERROR(__xludf.DUMMYFUNCTION("""COMPUTED_VALUE"""),4.69061203092E12)</f>
        <v>4690612030920</v>
      </c>
      <c r="E108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IFERROR(__xludf.DUMMYFUNCTION("""COMPUTED_VALUE"""),10.0)</f>
        <v>10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IFERROR(__xludf.DUMMYFUNCTION("""COMPUTED_VALUE"""),800.0)</f>
        <v>800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IFERROR(__xludf.DUMMYFUNCTION("""COMPUTED_VALUE"""),600.0)</f>
        <v>600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IFERROR(__xludf.DUMMYFUNCTION("""COMPUTED_VALUE"""),0.108)</f>
        <v>0.108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IFERROR(__xludf.DUMMYFUNCTION("""COMPUTED_VALUE"""),0.07)</f>
        <v>0.07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IFERROR(__xludf.DUMMYFUNCTION("""COMPUTED_VALUE"""),7.2E-4)</f>
        <v>0.00072</v>
      </c>
      <c r="AV108" s="2">
        <f>IFERROR(__xludf.DUMMYFUNCTION("""COMPUTED_VALUE"""),0.108)</f>
        <v>0.108</v>
      </c>
      <c r="AW108" s="2">
        <f>IFERROR(__xludf.DUMMYFUNCTION("""COMPUTED_VALUE"""),25.0)</f>
        <v>25</v>
      </c>
      <c r="AX108" s="2">
        <f>IFERROR(__xludf.DUMMYFUNCTION("""COMPUTED_VALUE"""),605.0)</f>
        <v>605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IFERROR(__xludf.DUMMYFUNCTION("""COMPUTED_VALUE"""),0.018)</f>
        <v>0.018</v>
      </c>
      <c r="BB108" s="2">
        <f>IFERROR(__xludf.DUMMYFUNCTION("""COMPUTED_VALUE"""),2.7)</f>
        <v>2.7</v>
      </c>
      <c r="BC108" s="2">
        <f>IFERROR(__xludf.DUMMYFUNCTION("""COMPUTED_VALUE"""),4.69061203092E12)</f>
        <v>4690612030920</v>
      </c>
      <c r="BD108" s="2"/>
      <c r="BE108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8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8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8" s="2"/>
      <c r="BI108" s="2">
        <f>IFERROR(__xludf.DUMMYFUNCTION("""COMPUTED_VALUE"""),15.0)</f>
        <v>15</v>
      </c>
      <c r="BJ108" s="2">
        <f>IFERROR(__xludf.DUMMYFUNCTION("""COMPUTED_VALUE"""),135.8)</f>
        <v>135.8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IFERROR(__xludf.DUMMYFUNCTION("""COMPUTED_VALUE"""),4.690612030975E12)</f>
        <v>4690612030975</v>
      </c>
      <c r="B109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IFERROR(__xludf.DUMMYFUNCTION("""COMPUTED_VALUE"""),4.690612030975E12)</f>
        <v>4690612030975</v>
      </c>
      <c r="E109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IFERROR(__xludf.DUMMYFUNCTION("""COMPUTED_VALUE"""),4000.0)</f>
        <v>4000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IFERROR(__xludf.DUMMYFUNCTION("""COMPUTED_VALUE"""),4.690612030975E12)</f>
        <v>4690612030975</v>
      </c>
      <c r="BD109" s="2"/>
      <c r="BE109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9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9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9" s="2"/>
      <c r="BI109" s="2">
        <f>IFERROR(__xludf.DUMMYFUNCTION("""COMPUTED_VALUE"""),10.0)</f>
        <v>10</v>
      </c>
      <c r="BJ109" s="2">
        <f>IFERROR(__xludf.DUMMYFUNCTION("""COMPUTED_VALUE"""),83.0)</f>
        <v>83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IFERROR(__xludf.DUMMYFUNCTION("""COMPUTED_VALUE"""),4.690612030999E12)</f>
        <v>4690612030999</v>
      </c>
      <c r="B110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IFERROR(__xludf.DUMMYFUNCTION("""COMPUTED_VALUE"""),4.690612030999E12)</f>
        <v>4690612030999</v>
      </c>
      <c r="E110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IFERROR(__xludf.DUMMYFUNCTION("""COMPUTED_VALUE"""),20.0)</f>
        <v>20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IFERROR(__xludf.DUMMYFUNCTION("""COMPUTED_VALUE"""),1620.0)</f>
        <v>1620</v>
      </c>
      <c r="Q110" s="2">
        <f>IFERROR(__xludf.DUMMYFUNCTION("""COMPUTED_VALUE"""),6500.0)</f>
        <v>6500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IFERROR(__xludf.DUMMYFUNCTION("""COMPUTED_VALUE"""),0.19)</f>
        <v>0.19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IFERROR(__xludf.DUMMYFUNCTION("""COMPUTED_VALUE"""),0.14)</f>
        <v>0.14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IFERROR(__xludf.DUMMYFUNCTION("""COMPUTED_VALUE"""),0.188)</f>
        <v>0.188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IFERROR(__xludf.DUMMYFUNCTION("""COMPUTED_VALUE"""),4.70001)</f>
        <v>4.70001</v>
      </c>
      <c r="BC110" s="2">
        <f>IFERROR(__xludf.DUMMYFUNCTION("""COMPUTED_VALUE"""),4.690612030999E12)</f>
        <v>4690612030999</v>
      </c>
      <c r="BD110" s="2"/>
      <c r="BE110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10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10" s="2"/>
      <c r="BI110" s="2">
        <f>IFERROR(__xludf.DUMMYFUNCTION("""COMPUTED_VALUE"""),10.0)</f>
        <v>10</v>
      </c>
      <c r="BJ110" s="2">
        <f>IFERROR(__xludf.DUMMYFUNCTION("""COMPUTED_VALUE"""),83.0)</f>
        <v>83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IFERROR(__xludf.DUMMYFUNCTION("""COMPUTED_VALUE"""),4.690612031002E12)</f>
        <v>4690612031002</v>
      </c>
      <c r="B111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IFERROR(__xludf.DUMMYFUNCTION("""COMPUTED_VALUE"""),4.690612031002E12)</f>
        <v>4690612031002</v>
      </c>
      <c r="E111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IFERROR(__xludf.DUMMYFUNCTION("""COMPUTED_VALUE"""),20.0)</f>
        <v>20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IFERROR(__xludf.DUMMYFUNCTION("""COMPUTED_VALUE"""),1620.0)</f>
        <v>1620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IFERROR(__xludf.DUMMYFUNCTION("""COMPUTED_VALUE"""),0.19)</f>
        <v>0.19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IFERROR(__xludf.DUMMYFUNCTION("""COMPUTED_VALUE"""),0.14)</f>
        <v>0.14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IFERROR(__xludf.DUMMYFUNCTION("""COMPUTED_VALUE"""),0.188)</f>
        <v>0.188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IFERROR(__xludf.DUMMYFUNCTION("""COMPUTED_VALUE"""),4.70001)</f>
        <v>4.70001</v>
      </c>
      <c r="BC111" s="2">
        <f>IFERROR(__xludf.DUMMYFUNCTION("""COMPUTED_VALUE"""),4.690612031002E12)</f>
        <v>4690612031002</v>
      </c>
      <c r="BD111" s="2"/>
      <c r="BE111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11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11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11" s="2"/>
      <c r="BI111" s="2">
        <f>IFERROR(__xludf.DUMMYFUNCTION("""COMPUTED_VALUE"""),25.0)</f>
        <v>25</v>
      </c>
      <c r="BJ111" s="2">
        <f>IFERROR(__xludf.DUMMYFUNCTION("""COMPUTED_VALUE"""),82.0)</f>
        <v>82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IFERROR(__xludf.DUMMYFUNCTION("""COMPUTED_VALUE"""),4.690612031019E12)</f>
        <v>4690612031019</v>
      </c>
      <c r="B112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2" s="2" t="str">
        <f>IFERROR(__xludf.DUMMYFUNCTION("""COMPUTED_VALUE"""),"Лампа светодиодная LED-T8")</f>
        <v>Лампа светодиодная LED-T8</v>
      </c>
      <c r="D112" s="2">
        <f>IFERROR(__xludf.DUMMYFUNCTION("""COMPUTED_VALUE"""),4.690612031019E12)</f>
        <v>4690612031019</v>
      </c>
      <c r="E112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IFERROR(__xludf.DUMMYFUNCTION("""COMPUTED_VALUE"""),30.0)</f>
        <v>30</v>
      </c>
      <c r="N112" s="2" t="str">
        <f>IFERROR(__xludf.DUMMYFUNCTION("""COMPUTED_VALUE"""),"G13")</f>
        <v>G13</v>
      </c>
      <c r="O112" s="2" t="str">
        <f>IFERROR(__xludf.DUMMYFUNCTION("""COMPUTED_VALUE"""),"SMD")</f>
        <v>SMD</v>
      </c>
      <c r="P112" s="2">
        <f>IFERROR(__xludf.DUMMYFUNCTION("""COMPUTED_VALUE"""),2440.0)</f>
        <v>2440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IFERROR(__xludf.DUMMYFUNCTION("""COMPUTED_VALUE"""),1200.0)</f>
        <v>1200</v>
      </c>
      <c r="W112" s="2">
        <f>IFERROR(__xludf.DUMMYFUNCTION("""COMPUTED_VALUE"""),25.0)</f>
        <v>25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/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IFERROR(__xludf.DUMMYFUNCTION("""COMPUTED_VALUE"""),0.21)</f>
        <v>0.21</v>
      </c>
      <c r="AN112" s="2">
        <f>IFERROR(__xludf.DUMMYFUNCTION("""COMPUTED_VALUE"""),180.0)</f>
        <v>180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IFERROR(__xludf.DUMMYFUNCTION("""COMPUTED_VALUE"""),0.00144)</f>
        <v>0.00144</v>
      </c>
      <c r="AV112" s="2">
        <f>IFERROR(__xludf.DUMMYFUNCTION("""COMPUTED_VALUE"""),0.2)</f>
        <v>0.2</v>
      </c>
      <c r="AW112" s="2">
        <f>IFERROR(__xludf.DUMMYFUNCTION("""COMPUTED_VALUE"""),25.0)</f>
        <v>25</v>
      </c>
      <c r="AX112" s="2">
        <f>IFERROR(__xludf.DUMMYFUNCTION("""COMPUTED_VALUE"""),1215.0)</f>
        <v>1215</v>
      </c>
      <c r="AY112" s="2">
        <f>IFERROR(__xludf.DUMMYFUNCTION("""COMPUTED_VALUE"""),28.0)</f>
        <v>28</v>
      </c>
      <c r="AZ112" s="2">
        <f>IFERROR(__xludf.DUMMYFUNCTION("""COMPUTED_VALUE"""),28.0)</f>
        <v>28</v>
      </c>
      <c r="BA112" s="2">
        <f>IFERROR(__xludf.DUMMYFUNCTION("""COMPUTED_VALUE"""),0.036)</f>
        <v>0.036</v>
      </c>
      <c r="BB112" s="2">
        <f>IFERROR(__xludf.DUMMYFUNCTION("""COMPUTED_VALUE"""),5.0)</f>
        <v>5</v>
      </c>
      <c r="BC112" s="2">
        <f>IFERROR(__xludf.DUMMYFUNCTION("""COMPUTED_VALUE"""),4.690612031019E12)</f>
        <v>4690612031019</v>
      </c>
      <c r="BD112" s="2"/>
      <c r="BE112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2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2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2" s="2"/>
      <c r="BI112" s="2">
        <f>IFERROR(__xludf.DUMMYFUNCTION("""COMPUTED_VALUE"""),21.0)</f>
        <v>21</v>
      </c>
      <c r="BJ112" s="2">
        <f>IFERROR(__xludf.DUMMYFUNCTION("""COMPUTED_VALUE"""),99.0)</f>
        <v>99</v>
      </c>
      <c r="BK112" s="2">
        <f>IFERROR(__xludf.DUMMYFUNCTION("""COMPUTED_VALUE"""),0.0)</f>
        <v>0</v>
      </c>
      <c r="BL112" s="2">
        <f t="shared" si="1"/>
        <v>43</v>
      </c>
    </row>
    <row r="113">
      <c r="A113" s="2">
        <f>IFERROR(__xludf.DUMMYFUNCTION("""COMPUTED_VALUE"""),4.690612031026E12)</f>
        <v>4690612031026</v>
      </c>
      <c r="B113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3" s="2" t="str">
        <f>IFERROR(__xludf.DUMMYFUNCTION("""COMPUTED_VALUE"""),"Лампа светодиодная LED-T8")</f>
        <v>Лампа светодиодная LED-T8</v>
      </c>
      <c r="D113" s="2">
        <f>IFERROR(__xludf.DUMMYFUNCTION("""COMPUTED_VALUE"""),4.690612031026E12)</f>
        <v>4690612031026</v>
      </c>
      <c r="E113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IFERROR(__xludf.DUMMYFUNCTION("""COMPUTED_VALUE"""),30.0)</f>
        <v>30</v>
      </c>
      <c r="N113" s="2" t="str">
        <f>IFERROR(__xludf.DUMMYFUNCTION("""COMPUTED_VALUE"""),"G13")</f>
        <v>G13</v>
      </c>
      <c r="O113" s="2" t="str">
        <f>IFERROR(__xludf.DUMMYFUNCTION("""COMPUTED_VALUE"""),"SMD")</f>
        <v>SMD</v>
      </c>
      <c r="P113" s="2">
        <f>IFERROR(__xludf.DUMMYFUNCTION("""COMPUTED_VALUE"""),2440.0)</f>
        <v>2440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IFERROR(__xludf.DUMMYFUNCTION("""COMPUTED_VALUE"""),1200.0)</f>
        <v>1200</v>
      </c>
      <c r="W113" s="2">
        <f>IFERROR(__xludf.DUMMYFUNCTION("""COMPUTED_VALUE"""),25.0)</f>
        <v>25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/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IFERROR(__xludf.DUMMYFUNCTION("""COMPUTED_VALUE"""),0.21)</f>
        <v>0.21</v>
      </c>
      <c r="AN113" s="2">
        <f>IFERROR(__xludf.DUMMYFUNCTION("""COMPUTED_VALUE"""),180.0)</f>
        <v>180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IFERROR(__xludf.DUMMYFUNCTION("""COMPUTED_VALUE"""),0.00144)</f>
        <v>0.00144</v>
      </c>
      <c r="AV113" s="2">
        <f>IFERROR(__xludf.DUMMYFUNCTION("""COMPUTED_VALUE"""),0.2)</f>
        <v>0.2</v>
      </c>
      <c r="AW113" s="2">
        <f>IFERROR(__xludf.DUMMYFUNCTION("""COMPUTED_VALUE"""),25.0)</f>
        <v>25</v>
      </c>
      <c r="AX113" s="2">
        <f>IFERROR(__xludf.DUMMYFUNCTION("""COMPUTED_VALUE"""),1215.0)</f>
        <v>1215</v>
      </c>
      <c r="AY113" s="2">
        <f>IFERROR(__xludf.DUMMYFUNCTION("""COMPUTED_VALUE"""),28.0)</f>
        <v>28</v>
      </c>
      <c r="AZ113" s="2">
        <f>IFERROR(__xludf.DUMMYFUNCTION("""COMPUTED_VALUE"""),28.0)</f>
        <v>28</v>
      </c>
      <c r="BA113" s="2">
        <f>IFERROR(__xludf.DUMMYFUNCTION("""COMPUTED_VALUE"""),0.036)</f>
        <v>0.036</v>
      </c>
      <c r="BB113" s="2">
        <f>IFERROR(__xludf.DUMMYFUNCTION("""COMPUTED_VALUE"""),5.0)</f>
        <v>5</v>
      </c>
      <c r="BC113" s="2">
        <f>IFERROR(__xludf.DUMMYFUNCTION("""COMPUTED_VALUE"""),4.690612031026E12)</f>
        <v>4690612031026</v>
      </c>
      <c r="BD113" s="2"/>
      <c r="BE113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3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3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3" s="2"/>
      <c r="BI113" s="2">
        <f>IFERROR(__xludf.DUMMYFUNCTION("""COMPUTED_VALUE"""),13.0)</f>
        <v>13</v>
      </c>
      <c r="BJ113" s="2">
        <f>IFERROR(__xludf.DUMMYFUNCTION("""COMPUTED_VALUE"""),99.0)</f>
        <v>99</v>
      </c>
      <c r="BK113" s="2">
        <f>IFERROR(__xludf.DUMMYFUNCTION("""COMPUTED_VALUE"""),0.0)</f>
        <v>0</v>
      </c>
      <c r="BL113" s="2">
        <f t="shared" si="1"/>
        <v>43</v>
      </c>
    </row>
    <row r="114">
      <c r="A114" s="2">
        <f>IFERROR(__xludf.DUMMYFUNCTION("""COMPUTED_VALUE"""),4.690612031095E12)</f>
        <v>4690612031095</v>
      </c>
      <c r="B114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IFERROR(__xludf.DUMMYFUNCTION("""COMPUTED_VALUE"""),4.690612031095E12)</f>
        <v>4690612031095</v>
      </c>
      <c r="E114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IFERROR(__xludf.DUMMYFUNCTION("""COMPUTED_VALUE"""),40.0)</f>
        <v>40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IFERROR(__xludf.DUMMYFUNCTION("""COMPUTED_VALUE"""),3600.0)</f>
        <v>3600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IFERROR(__xludf.DUMMYFUNCTION("""COMPUTED_VALUE"""),202.0)</f>
        <v>202</v>
      </c>
      <c r="W114" s="2">
        <f>IFERROR(__xludf.DUMMYFUNCTION("""COMPUTED_VALUE"""),115.0)</f>
        <v>115</v>
      </c>
      <c r="X114" s="2"/>
      <c r="Y114" s="2"/>
      <c r="Z114" s="2"/>
      <c r="AA114" s="2"/>
      <c r="AB114" s="2">
        <f>IFERROR(__xludf.DUMMYFUNCTION("""COMPUTED_VALUE"""),0.2)</f>
        <v>0.2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IFERROR(__xludf.DUMMYFUNCTION("""COMPUTED_VALUE"""),0.28)</f>
        <v>0.28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IFERROR(__xludf.DUMMYFUNCTION("""COMPUTED_VALUE"""),0.003)</f>
        <v>0.003</v>
      </c>
      <c r="AV114" s="2">
        <f>IFERROR(__xludf.DUMMYFUNCTION("""COMPUTED_VALUE"""),0.2)</f>
        <v>0.2</v>
      </c>
      <c r="AW114" s="2">
        <f>IFERROR(__xludf.DUMMYFUNCTION("""COMPUTED_VALUE"""),50.0)</f>
        <v>50</v>
      </c>
      <c r="AX114" s="2">
        <f>IFERROR(__xludf.DUMMYFUNCTION("""COMPUTED_VALUE"""),118.0)</f>
        <v>118</v>
      </c>
      <c r="AY114" s="2">
        <f>IFERROR(__xludf.DUMMYFUNCTION("""COMPUTED_VALUE"""),118.0)</f>
        <v>118</v>
      </c>
      <c r="AZ114" s="2">
        <f>IFERROR(__xludf.DUMMYFUNCTION("""COMPUTED_VALUE"""),204.0)</f>
        <v>204</v>
      </c>
      <c r="BA114" s="2">
        <f>IFERROR(__xludf.DUMMYFUNCTION("""COMPUTED_VALUE"""),0.15001)</f>
        <v>0.15001</v>
      </c>
      <c r="BB114" s="2">
        <f>IFERROR(__xludf.DUMMYFUNCTION("""COMPUTED_VALUE"""),10.0)</f>
        <v>10</v>
      </c>
      <c r="BC114" s="2">
        <f>IFERROR(__xludf.DUMMYFUNCTION("""COMPUTED_VALUE"""),4.690612031095E12)</f>
        <v>4690612031095</v>
      </c>
      <c r="BD114" s="2"/>
      <c r="BE114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4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4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4" s="2"/>
      <c r="BI114" s="2">
        <f>IFERROR(__xludf.DUMMYFUNCTION("""COMPUTED_VALUE"""),19.0)</f>
        <v>19</v>
      </c>
      <c r="BJ114" s="2">
        <f>IFERROR(__xludf.DUMMYFUNCTION("""COMPUTED_VALUE"""),137.0)</f>
        <v>137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IFERROR(__xludf.DUMMYFUNCTION("""COMPUTED_VALUE"""),4.690612031101E12)</f>
        <v>4690612031101</v>
      </c>
      <c r="B115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5" s="2" t="str">
        <f>IFERROR(__xludf.DUMMYFUNCTION("""COMPUTED_VALUE"""),"Лампа светодиодная HP PRO")</f>
        <v>Лампа светодиодная HP PRO</v>
      </c>
      <c r="D115" s="2">
        <f>IFERROR(__xludf.DUMMYFUNCTION("""COMPUTED_VALUE"""),4.690612031101E12)</f>
        <v>4690612031101</v>
      </c>
      <c r="E115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IFERROR(__xludf.DUMMYFUNCTION("""COMPUTED_VALUE"""),40.0)</f>
        <v>40</v>
      </c>
      <c r="N115" s="2" t="str">
        <f>IFERROR(__xludf.DUMMYFUNCTION("""COMPUTED_VALUE"""),"E27")</f>
        <v>E27</v>
      </c>
      <c r="O115" s="2" t="str">
        <f>IFERROR(__xludf.DUMMYFUNCTION("""COMPUTED_VALUE"""),"SMD")</f>
        <v>SMD</v>
      </c>
      <c r="P115" s="2">
        <f>IFERROR(__xludf.DUMMYFUNCTION("""COMPUTED_VALUE"""),3600.0)</f>
        <v>3600</v>
      </c>
      <c r="Q115" s="2">
        <f>IFERROR(__xludf.DUMMYFUNCTION("""COMPUTED_VALUE"""),6500.0)</f>
        <v>6500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IFERROR(__xludf.DUMMYFUNCTION("""COMPUTED_VALUE"""),202.0)</f>
        <v>202</v>
      </c>
      <c r="W115" s="2">
        <f>IFERROR(__xludf.DUMMYFUNCTION("""COMPUTED_VALUE"""),115.0)</f>
        <v>115</v>
      </c>
      <c r="X115" s="2"/>
      <c r="Y115" s="2"/>
      <c r="Z115" s="2"/>
      <c r="AA115" s="2"/>
      <c r="AB115" s="2">
        <f>IFERROR(__xludf.DUMMYFUNCTION("""COMPUTED_VALUE"""),0.2)</f>
        <v>0.2</v>
      </c>
      <c r="AC115" s="2"/>
      <c r="AD115" s="2" t="str">
        <f>IFERROR(__xludf.DUMMYFUNCTION("""COMPUTED_VALUE"""),"полимерный материал")</f>
        <v>полимерный материал</v>
      </c>
      <c r="AE115" s="2" t="str">
        <f>IFERROR(__xludf.DUMMYFUNCTION("""COMPUTED_VALUE"""),"ABS пластик")</f>
        <v>ABS пластик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IFERROR(__xludf.DUMMYFUNCTION("""COMPUTED_VALUE"""),0.9)</f>
        <v>0.9</v>
      </c>
      <c r="AL115" s="2">
        <f>IFERROR(__xludf.DUMMYFUNCTION("""COMPUTED_VALUE"""),5.0)</f>
        <v>5</v>
      </c>
      <c r="AM115" s="2">
        <f>IFERROR(__xludf.DUMMYFUNCTION("""COMPUTED_VALUE"""),0.28)</f>
        <v>0.28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IFERROR(__xludf.DUMMYFUNCTION("""COMPUTED_VALUE"""),0.003)</f>
        <v>0.003</v>
      </c>
      <c r="AV115" s="2">
        <f>IFERROR(__xludf.DUMMYFUNCTION("""COMPUTED_VALUE"""),0.2)</f>
        <v>0.2</v>
      </c>
      <c r="AW115" s="2">
        <f>IFERROR(__xludf.DUMMYFUNCTION("""COMPUTED_VALUE"""),50.0)</f>
        <v>50</v>
      </c>
      <c r="AX115" s="2">
        <f>IFERROR(__xludf.DUMMYFUNCTION("""COMPUTED_VALUE"""),118.0)</f>
        <v>118</v>
      </c>
      <c r="AY115" s="2">
        <f>IFERROR(__xludf.DUMMYFUNCTION("""COMPUTED_VALUE"""),118.0)</f>
        <v>118</v>
      </c>
      <c r="AZ115" s="2">
        <f>IFERROR(__xludf.DUMMYFUNCTION("""COMPUTED_VALUE"""),204.0)</f>
        <v>204</v>
      </c>
      <c r="BA115" s="2">
        <f>IFERROR(__xludf.DUMMYFUNCTION("""COMPUTED_VALUE"""),0.15001)</f>
        <v>0.15001</v>
      </c>
      <c r="BB115" s="2">
        <f>IFERROR(__xludf.DUMMYFUNCTION("""COMPUTED_VALUE"""),10.0)</f>
        <v>10</v>
      </c>
      <c r="BC115" s="2">
        <f>IFERROR(__xludf.DUMMYFUNCTION("""COMPUTED_VALUE"""),4.690612031101E12)</f>
        <v>4690612031101</v>
      </c>
      <c r="BD115" s="2"/>
      <c r="BE115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5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5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5" s="2"/>
      <c r="BI115" s="2">
        <f>IFERROR(__xludf.DUMMYFUNCTION("""COMPUTED_VALUE"""),17.0)</f>
        <v>17</v>
      </c>
      <c r="BJ115" s="2">
        <f>IFERROR(__xludf.DUMMYFUNCTION("""COMPUTED_VALUE"""),137.0)</f>
        <v>137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IFERROR(__xludf.DUMMYFUNCTION("""COMPUTED_VALUE"""),4.690612031118E12)</f>
        <v>4690612031118</v>
      </c>
      <c r="B116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6" s="2" t="str">
        <f>IFERROR(__xludf.DUMMYFUNCTION("""COMPUTED_VALUE"""),"Лампа светодиодная HP PRO")</f>
        <v>Лампа светодиодная HP PRO</v>
      </c>
      <c r="D116" s="2">
        <f>IFERROR(__xludf.DUMMYFUNCTION("""COMPUTED_VALUE"""),4.690612031118E12)</f>
        <v>4690612031118</v>
      </c>
      <c r="E116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IFERROR(__xludf.DUMMYFUNCTION("""COMPUTED_VALUE"""),50.0)</f>
        <v>50</v>
      </c>
      <c r="N116" s="2" t="str">
        <f>IFERROR(__xludf.DUMMYFUNCTION("""COMPUTED_VALUE"""),"E27")</f>
        <v>E27</v>
      </c>
      <c r="O116" s="2" t="str">
        <f>IFERROR(__xludf.DUMMYFUNCTION("""COMPUTED_VALUE"""),"SMD")</f>
        <v>SMD</v>
      </c>
      <c r="P116" s="2">
        <f>IFERROR(__xludf.DUMMYFUNCTION("""COMPUTED_VALUE"""),4500.0)</f>
        <v>4500</v>
      </c>
      <c r="Q116" s="2">
        <f>IFERROR(__xludf.DUMMYFUNCTION("""COMPUTED_VALUE"""),4000.0)</f>
        <v>4000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IFERROR(__xludf.DUMMYFUNCTION("""COMPUTED_VALUE"""),213.0)</f>
        <v>213</v>
      </c>
      <c r="W116" s="2">
        <f>IFERROR(__xludf.DUMMYFUNCTION("""COMPUTED_VALUE"""),125.0)</f>
        <v>125</v>
      </c>
      <c r="X116" s="2"/>
      <c r="Y116" s="2"/>
      <c r="Z116" s="2"/>
      <c r="AA116" s="2"/>
      <c r="AB116" s="2">
        <f>IFERROR(__xludf.DUMMYFUNCTION("""COMPUTED_VALUE"""),0.24)</f>
        <v>0.24</v>
      </c>
      <c r="AC116" s="2"/>
      <c r="AD116" s="2" t="str">
        <f>IFERROR(__xludf.DUMMYFUNCTION("""COMPUTED_VALUE"""),"полимерный материал")</f>
        <v>полимерный материал</v>
      </c>
      <c r="AE116" s="2" t="str">
        <f>IFERROR(__xludf.DUMMYFUNCTION("""COMPUTED_VALUE"""),"ABS пластик")</f>
        <v>ABS пластик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IFERROR(__xludf.DUMMYFUNCTION("""COMPUTED_VALUE"""),0.9)</f>
        <v>0.9</v>
      </c>
      <c r="AL116" s="2">
        <f>IFERROR(__xludf.DUMMYFUNCTION("""COMPUTED_VALUE"""),5.0)</f>
        <v>5</v>
      </c>
      <c r="AM116" s="2">
        <f>IFERROR(__xludf.DUMMYFUNCTION("""COMPUTED_VALUE"""),0.34)</f>
        <v>0.34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IFERROR(__xludf.DUMMYFUNCTION("""COMPUTED_VALUE"""),0.0038)</f>
        <v>0.0038</v>
      </c>
      <c r="AV116" s="2">
        <f>IFERROR(__xludf.DUMMYFUNCTION("""COMPUTED_VALUE"""),0.24)</f>
        <v>0.24</v>
      </c>
      <c r="AW116" s="2">
        <f>IFERROR(__xludf.DUMMYFUNCTION("""COMPUTED_VALUE"""),50.0)</f>
        <v>50</v>
      </c>
      <c r="AX116" s="2">
        <f>IFERROR(__xludf.DUMMYFUNCTION("""COMPUTED_VALUE"""),128.0)</f>
        <v>128</v>
      </c>
      <c r="AY116" s="2">
        <f>IFERROR(__xludf.DUMMYFUNCTION("""COMPUTED_VALUE"""),128.0)</f>
        <v>128</v>
      </c>
      <c r="AZ116" s="2">
        <f>IFERROR(__xludf.DUMMYFUNCTION("""COMPUTED_VALUE"""),220.0)</f>
        <v>220</v>
      </c>
      <c r="BA116" s="2">
        <f>IFERROR(__xludf.DUMMYFUNCTION("""COMPUTED_VALUE"""),0.19001)</f>
        <v>0.19001</v>
      </c>
      <c r="BB116" s="2">
        <f>IFERROR(__xludf.DUMMYFUNCTION("""COMPUTED_VALUE"""),12.0)</f>
        <v>12</v>
      </c>
      <c r="BC116" s="2">
        <f>IFERROR(__xludf.DUMMYFUNCTION("""COMPUTED_VALUE"""),4.690612031118E12)</f>
        <v>4690612031118</v>
      </c>
      <c r="BD116" s="2"/>
      <c r="BE116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6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6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6" s="2"/>
      <c r="BI116" s="2">
        <f>IFERROR(__xludf.DUMMYFUNCTION("""COMPUTED_VALUE"""),5.0)</f>
        <v>5</v>
      </c>
      <c r="BJ116" s="2">
        <f>IFERROR(__xludf.DUMMYFUNCTION("""COMPUTED_VALUE"""),192.0)</f>
        <v>192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IFERROR(__xludf.DUMMYFUNCTION("""COMPUTED_VALUE"""),4.690612035659E12)</f>
        <v>4690612035659</v>
      </c>
      <c r="B117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7" s="2" t="str">
        <f>IFERROR(__xludf.DUMMYFUNCTION("""COMPUTED_VALUE"""),"Лампа светодиодная LED-ST64-DECO золотистая")</f>
        <v>Лампа светодиодная LED-ST64-DECO золотистая</v>
      </c>
      <c r="D117" s="2">
        <f>IFERROR(__xludf.DUMMYFUNCTION("""COMPUTED_VALUE"""),4.690612035659E12)</f>
        <v>4690612035659</v>
      </c>
      <c r="E117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IFERROR(__xludf.DUMMYFUNCTION("""COMPUTED_VALUE"""),9.0)</f>
        <v>9</v>
      </c>
      <c r="N117" s="2" t="str">
        <f>IFERROR(__xludf.DUMMYFUNCTION("""COMPUTED_VALUE"""),"E27")</f>
        <v>E27</v>
      </c>
      <c r="O117" s="2" t="str">
        <f>IFERROR(__xludf.DUMMYFUNCTION("""COMPUTED_VALUE"""),"filament")</f>
        <v>filament</v>
      </c>
      <c r="P117" s="2">
        <f>IFERROR(__xludf.DUMMYFUNCTION("""COMPUTED_VALUE"""),810.0)</f>
        <v>810</v>
      </c>
      <c r="Q117" s="2">
        <f>IFERROR(__xludf.DUMMYFUNCTION("""COMPUTED_VALUE"""),3000.0)</f>
        <v>3000</v>
      </c>
      <c r="R117" s="2">
        <f>IFERROR(__xludf.DUMMYFUNCTION("""COMPUTED_VALUE"""),80.0)</f>
        <v>80</v>
      </c>
      <c r="S117" s="2"/>
      <c r="T117" s="2" t="str">
        <f>IFERROR(__xludf.DUMMYFUNCTION("""COMPUTED_VALUE"""),"Д")</f>
        <v>Д</v>
      </c>
      <c r="U117" s="2">
        <f>IFERROR(__xludf.DUMMYFUNCTION("""COMPUTED_VALUE"""),30000.0)</f>
        <v>30000</v>
      </c>
      <c r="V117" s="2">
        <f>IFERROR(__xludf.DUMMYFUNCTION("""COMPUTED_VALUE"""),145.0)</f>
        <v>145</v>
      </c>
      <c r="W117" s="2">
        <f>IFERROR(__xludf.DUMMYFUNCTION("""COMPUTED_VALUE"""),64.0)</f>
        <v>64</v>
      </c>
      <c r="X117" s="2"/>
      <c r="Y117" s="2">
        <f>IFERROR(__xludf.DUMMYFUNCTION("""COMPUTED_VALUE"""),64.0)</f>
        <v>64</v>
      </c>
      <c r="Z117" s="2"/>
      <c r="AA117" s="2"/>
      <c r="AB117" s="2">
        <f>IFERROR(__xludf.DUMMYFUNCTION("""COMPUTED_VALUE"""),0.044)</f>
        <v>0.044</v>
      </c>
      <c r="AC117" s="2"/>
      <c r="AD117" s="2"/>
      <c r="AE117" s="2" t="str">
        <f>IFERROR(__xludf.DUMMYFUNCTION("""COMPUTED_VALUE"""),"стекло")</f>
        <v>стекло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IFERROR(__xludf.DUMMYFUNCTION("""COMPUTED_VALUE"""),5.0)</f>
        <v>5</v>
      </c>
      <c r="AM117" s="2">
        <f>IFERROR(__xludf.DUMMYFUNCTION("""COMPUTED_VALUE"""),0.07)</f>
        <v>0.07</v>
      </c>
      <c r="AN117" s="2">
        <f>IFERROR(__xludf.DUMMYFUNCTION("""COMPUTED_VALUE"""),150.0)</f>
        <v>150</v>
      </c>
      <c r="AO117" s="2">
        <f>IFERROR(__xludf.DUMMYFUNCTION("""COMPUTED_VALUE"""),275.0)</f>
        <v>275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IFERROR(__xludf.DUMMYFUNCTION("""COMPUTED_VALUE"""),8.0E-4)</f>
        <v>0.0008</v>
      </c>
      <c r="AV117" s="2">
        <f>IFERROR(__xludf.DUMMYFUNCTION("""COMPUTED_VALUE"""),0.044)</f>
        <v>0.044</v>
      </c>
      <c r="AW117" s="2">
        <f>IFERROR(__xludf.DUMMYFUNCTION("""COMPUTED_VALUE"""),50.0)</f>
        <v>50</v>
      </c>
      <c r="AX117" s="2">
        <f>IFERROR(__xludf.DUMMYFUNCTION("""COMPUTED_VALUE"""),66.0)</f>
        <v>66</v>
      </c>
      <c r="AY117" s="2">
        <f>IFERROR(__xludf.DUMMYFUNCTION("""COMPUTED_VALUE"""),66.0)</f>
        <v>66</v>
      </c>
      <c r="AZ117" s="2">
        <f>IFERROR(__xludf.DUMMYFUNCTION("""COMPUTED_VALUE"""),150.0)</f>
        <v>150</v>
      </c>
      <c r="BA117" s="2">
        <f>IFERROR(__xludf.DUMMYFUNCTION("""COMPUTED_VALUE"""),0.04)</f>
        <v>0.04</v>
      </c>
      <c r="BB117" s="2">
        <f>IFERROR(__xludf.DUMMYFUNCTION("""COMPUTED_VALUE"""),2.2)</f>
        <v>2.2</v>
      </c>
      <c r="BC117" s="2">
        <f>IFERROR(__xludf.DUMMYFUNCTION("""COMPUTED_VALUE"""),4.690612035659E12)</f>
        <v>4690612035659</v>
      </c>
      <c r="BD117" s="2"/>
      <c r="BE117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7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7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7" s="2"/>
      <c r="BI117" s="2">
        <f>IFERROR(__xludf.DUMMYFUNCTION("""COMPUTED_VALUE"""),6.0)</f>
        <v>6</v>
      </c>
      <c r="BJ117" s="2">
        <f>IFERROR(__xludf.DUMMYFUNCTION("""COMPUTED_VALUE"""),114.0)</f>
        <v>114</v>
      </c>
      <c r="BK117" s="2">
        <f>IFERROR(__xludf.DUMMYFUNCTION("""COMPUTED_VALUE"""),0.0)</f>
        <v>0</v>
      </c>
      <c r="BL117" s="2">
        <f t="shared" si="1"/>
        <v>44</v>
      </c>
    </row>
    <row r="118">
      <c r="A118" s="2">
        <f>IFERROR(__xludf.DUMMYFUNCTION("""COMPUTED_VALUE"""),4.690612035673E12)</f>
        <v>4690612035673</v>
      </c>
      <c r="B118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8" s="2" t="str">
        <f>IFERROR(__xludf.DUMMYFUNCTION("""COMPUTED_VALUE"""),"Лампа светодиодная LED-ST64-DECO золотистая")</f>
        <v>Лампа светодиодная LED-ST64-DECO золотистая</v>
      </c>
      <c r="D118" s="2">
        <f>IFERROR(__xludf.DUMMYFUNCTION("""COMPUTED_VALUE"""),4.690612035673E12)</f>
        <v>4690612035673</v>
      </c>
      <c r="E118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8" s="2">
        <f>IFERROR(__xludf.DUMMYFUNCTION("""COMPUTED_VALUE"""),2.0)</f>
        <v>2</v>
      </c>
      <c r="G118" s="2" t="str">
        <f>IFERROR(__xludf.DUMMYFUNCTION("""COMPUTED_VALUE"""),"Китай")</f>
        <v>Китай</v>
      </c>
      <c r="H118" s="2" t="str">
        <f>IFERROR(__xludf.DUMMYFUNCTION("""COMPUTED_VALUE"""),"IN HOME")</f>
        <v>IN HOME</v>
      </c>
      <c r="I118" s="2"/>
      <c r="J118" s="2"/>
      <c r="K118" s="2" t="str">
        <f>IFERROR(__xludf.DUMMYFUNCTION("""COMPUTED_VALUE"""),"LED")</f>
        <v>LED</v>
      </c>
      <c r="L118" s="2"/>
      <c r="M118" s="2">
        <f>IFERROR(__xludf.DUMMYFUNCTION("""COMPUTED_VALUE"""),11.0)</f>
        <v>11</v>
      </c>
      <c r="N118" s="2" t="str">
        <f>IFERROR(__xludf.DUMMYFUNCTION("""COMPUTED_VALUE"""),"E27")</f>
        <v>E27</v>
      </c>
      <c r="O118" s="2" t="str">
        <f>IFERROR(__xludf.DUMMYFUNCTION("""COMPUTED_VALUE"""),"filament")</f>
        <v>filament</v>
      </c>
      <c r="P118" s="2">
        <f>IFERROR(__xludf.DUMMYFUNCTION("""COMPUTED_VALUE"""),990.0)</f>
        <v>990</v>
      </c>
      <c r="Q118" s="2">
        <f>IFERROR(__xludf.DUMMYFUNCTION("""COMPUTED_VALUE"""),3000.0)</f>
        <v>3000</v>
      </c>
      <c r="R118" s="2">
        <f>IFERROR(__xludf.DUMMYFUNCTION("""COMPUTED_VALUE"""),80.0)</f>
        <v>80</v>
      </c>
      <c r="S118" s="2"/>
      <c r="T118" s="2" t="str">
        <f>IFERROR(__xludf.DUMMYFUNCTION("""COMPUTED_VALUE"""),"Д")</f>
        <v>Д</v>
      </c>
      <c r="U118" s="2">
        <f>IFERROR(__xludf.DUMMYFUNCTION("""COMPUTED_VALUE"""),30000.0)</f>
        <v>30000</v>
      </c>
      <c r="V118" s="2">
        <f>IFERROR(__xludf.DUMMYFUNCTION("""COMPUTED_VALUE"""),145.0)</f>
        <v>145</v>
      </c>
      <c r="W118" s="2">
        <f>IFERROR(__xludf.DUMMYFUNCTION("""COMPUTED_VALUE"""),64.0)</f>
        <v>64</v>
      </c>
      <c r="X118" s="2"/>
      <c r="Y118" s="2">
        <f>IFERROR(__xludf.DUMMYFUNCTION("""COMPUTED_VALUE"""),64.0)</f>
        <v>64</v>
      </c>
      <c r="Z118" s="2"/>
      <c r="AA118" s="2"/>
      <c r="AB118" s="2">
        <f>IFERROR(__xludf.DUMMYFUNCTION("""COMPUTED_VALUE"""),0.044)</f>
        <v>0.044</v>
      </c>
      <c r="AC118" s="2"/>
      <c r="AD118" s="2"/>
      <c r="AE118" s="2" t="str">
        <f>IFERROR(__xludf.DUMMYFUNCTION("""COMPUTED_VALUE"""),"стекло")</f>
        <v>стекло</v>
      </c>
      <c r="AF118" s="2"/>
      <c r="AG118" s="2"/>
      <c r="AH118" s="2"/>
      <c r="AI118" s="2"/>
      <c r="AJ118" s="2" t="str">
        <f>IFERROR(__xludf.DUMMYFUNCTION("""COMPUTED_VALUE"""),"A1")</f>
        <v>A1</v>
      </c>
      <c r="AK118" s="2">
        <f>IFERROR(__xludf.DUMMYFUNCTION("""COMPUTED_VALUE"""),0.85)</f>
        <v>0.85</v>
      </c>
      <c r="AL118" s="2">
        <f>IFERROR(__xludf.DUMMYFUNCTION("""COMPUTED_VALUE"""),5.0)</f>
        <v>5</v>
      </c>
      <c r="AM118" s="2">
        <f>IFERROR(__xludf.DUMMYFUNCTION("""COMPUTED_VALUE"""),0.08)</f>
        <v>0.08</v>
      </c>
      <c r="AN118" s="2">
        <f>IFERROR(__xludf.DUMMYFUNCTION("""COMPUTED_VALUE"""),150.0)</f>
        <v>150</v>
      </c>
      <c r="AO118" s="2">
        <f>IFERROR(__xludf.DUMMYFUNCTION("""COMPUTED_VALUE"""),275.0)</f>
        <v>275</v>
      </c>
      <c r="AP118" s="2">
        <f>IFERROR(__xludf.DUMMYFUNCTION("""COMPUTED_VALUE"""),-10.0)</f>
        <v>-10</v>
      </c>
      <c r="AQ118" s="2">
        <f>IFERROR(__xludf.DUMMYFUNCTION("""COMPUTED_VALUE"""),40.0)</f>
        <v>40</v>
      </c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IFERROR(__xludf.DUMMYFUNCTION("""COMPUTED_VALUE"""),"Нет")</f>
        <v>Нет</v>
      </c>
      <c r="AU118" s="2">
        <f>IFERROR(__xludf.DUMMYFUNCTION("""COMPUTED_VALUE"""),8.0E-4)</f>
        <v>0.0008</v>
      </c>
      <c r="AV118" s="2">
        <f>IFERROR(__xludf.DUMMYFUNCTION("""COMPUTED_VALUE"""),0.044)</f>
        <v>0.044</v>
      </c>
      <c r="AW118" s="2">
        <f>IFERROR(__xludf.DUMMYFUNCTION("""COMPUTED_VALUE"""),50.0)</f>
        <v>50</v>
      </c>
      <c r="AX118" s="2">
        <f>IFERROR(__xludf.DUMMYFUNCTION("""COMPUTED_VALUE"""),66.0)</f>
        <v>66</v>
      </c>
      <c r="AY118" s="2">
        <f>IFERROR(__xludf.DUMMYFUNCTION("""COMPUTED_VALUE"""),66.0)</f>
        <v>66</v>
      </c>
      <c r="AZ118" s="2">
        <f>IFERROR(__xludf.DUMMYFUNCTION("""COMPUTED_VALUE"""),150.0)</f>
        <v>150</v>
      </c>
      <c r="BA118" s="2">
        <f>IFERROR(__xludf.DUMMYFUNCTION("""COMPUTED_VALUE"""),0.04)</f>
        <v>0.04</v>
      </c>
      <c r="BB118" s="2">
        <f>IFERROR(__xludf.DUMMYFUNCTION("""COMPUTED_VALUE"""),2.2)</f>
        <v>2.2</v>
      </c>
      <c r="BC118" s="2">
        <f>IFERROR(__xludf.DUMMYFUNCTION("""COMPUTED_VALUE"""),4.690612035673E12)</f>
        <v>4690612035673</v>
      </c>
      <c r="BD118" s="2"/>
      <c r="BE118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8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8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8" s="2"/>
      <c r="BI118" s="2">
        <f>IFERROR(__xludf.DUMMYFUNCTION("""COMPUTED_VALUE"""),8.0)</f>
        <v>8</v>
      </c>
      <c r="BJ118" s="2">
        <f>IFERROR(__xludf.DUMMYFUNCTION("""COMPUTED_VALUE"""),119.0)</f>
        <v>119</v>
      </c>
      <c r="BK118" s="2">
        <f>IFERROR(__xludf.DUMMYFUNCTION("""COMPUTED_VALUE"""),0.0)</f>
        <v>0</v>
      </c>
      <c r="BL118" s="2">
        <f t="shared" si="1"/>
        <v>44</v>
      </c>
    </row>
    <row r="119">
      <c r="A119" s="2">
        <f>IFERROR(__xludf.DUMMYFUNCTION("""COMPUTED_VALUE"""),4.690612038032E12)</f>
        <v>4690612038032</v>
      </c>
      <c r="B119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9" s="2" t="str">
        <f>IFERROR(__xludf.DUMMYFUNCTION("""COMPUTED_VALUE"""),"Лампа светодиодная HP MO")</f>
        <v>Лампа светодиодная HP MO</v>
      </c>
      <c r="D119" s="2">
        <f>IFERROR(__xludf.DUMMYFUNCTION("""COMPUTED_VALUE"""),4.690612038032E12)</f>
        <v>4690612038032</v>
      </c>
      <c r="E119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9" s="2">
        <f>IFERROR(__xludf.DUMMYFUNCTION("""COMPUTED_VALUE"""),2.0)</f>
        <v>2</v>
      </c>
      <c r="G119" s="2" t="str">
        <f>IFERROR(__xludf.DUMMYFUNCTION("""COMPUTED_VALUE"""),"Китай")</f>
        <v>Китай</v>
      </c>
      <c r="H119" s="2" t="str">
        <f>IFERROR(__xludf.DUMMYFUNCTION("""COMPUTED_VALUE"""),"IN HOME")</f>
        <v>IN HOME</v>
      </c>
      <c r="I119" s="2"/>
      <c r="J119" s="2"/>
      <c r="K119" s="2" t="str">
        <f>IFERROR(__xludf.DUMMYFUNCTION("""COMPUTED_VALUE"""),"LED")</f>
        <v>LED</v>
      </c>
      <c r="L119" s="2"/>
      <c r="M119" s="2">
        <f>IFERROR(__xludf.DUMMYFUNCTION("""COMPUTED_VALUE"""),10.0)</f>
        <v>10</v>
      </c>
      <c r="N119" s="2" t="str">
        <f>IFERROR(__xludf.DUMMYFUNCTION("""COMPUTED_VALUE"""),"E27")</f>
        <v>E27</v>
      </c>
      <c r="O119" s="2" t="str">
        <f>IFERROR(__xludf.DUMMYFUNCTION("""COMPUTED_VALUE"""),"SMD")</f>
        <v>SMD</v>
      </c>
      <c r="P119" s="2"/>
      <c r="Q119" s="2">
        <f>IFERROR(__xludf.DUMMYFUNCTION("""COMPUTED_VALUE"""),4000.0)</f>
        <v>4000</v>
      </c>
      <c r="R119" s="2">
        <f>IFERROR(__xludf.DUMMYFUNCTION("""COMPUTED_VALUE"""),80.0)</f>
        <v>80</v>
      </c>
      <c r="S119" s="2"/>
      <c r="T119" s="2"/>
      <c r="U119" s="2">
        <f>IFERROR(__xludf.DUMMYFUNCTION("""COMPUTED_VALUE"""),30000.0)</f>
        <v>30000</v>
      </c>
      <c r="V119" s="2">
        <f>IFERROR(__xludf.DUMMYFUNCTION("""COMPUTED_VALUE"""),112.0)</f>
        <v>112</v>
      </c>
      <c r="W119" s="2">
        <f>IFERROR(__xludf.DUMMYFUNCTION("""COMPUTED_VALUE"""),60.0)</f>
        <v>60</v>
      </c>
      <c r="X119" s="2"/>
      <c r="Y119" s="2"/>
      <c r="Z119" s="2"/>
      <c r="AA119" s="2"/>
      <c r="AB119" s="2">
        <f>IFERROR(__xludf.DUMMYFUNCTION("""COMPUTED_VALUE"""),0.036)</f>
        <v>0.036</v>
      </c>
      <c r="AC119" s="2"/>
      <c r="AD119" s="2" t="str">
        <f>IFERROR(__xludf.DUMMYFUNCTION("""COMPUTED_VALUE"""),"полимерный материал")</f>
        <v>полимерный материал</v>
      </c>
      <c r="AE119" s="2" t="str">
        <f>IFERROR(__xludf.DUMMYFUNCTION("""COMPUTED_VALUE"""),"ABS пластик")</f>
        <v>ABS пластик</v>
      </c>
      <c r="AF119" s="2"/>
      <c r="AG119" s="2"/>
      <c r="AH119" s="2"/>
      <c r="AI119" s="2"/>
      <c r="AJ119" s="2" t="str">
        <f>IFERROR(__xludf.DUMMYFUNCTION("""COMPUTED_VALUE"""),"A1")</f>
        <v>A1</v>
      </c>
      <c r="AK119" s="2">
        <f>IFERROR(__xludf.DUMMYFUNCTION("""COMPUTED_VALUE"""),0.85)</f>
        <v>0.85</v>
      </c>
      <c r="AL119" s="2">
        <f>IFERROR(__xludf.DUMMYFUNCTION("""COMPUTED_VALUE"""),10.0)</f>
        <v>10</v>
      </c>
      <c r="AM119" s="2">
        <f>IFERROR(__xludf.DUMMYFUNCTION("""COMPUTED_VALUE"""),0.25)</f>
        <v>0.25</v>
      </c>
      <c r="AN119" s="2">
        <f>IFERROR(__xludf.DUMMYFUNCTION("""COMPUTED_VALUE"""),12.0)</f>
        <v>12</v>
      </c>
      <c r="AO119" s="2">
        <f>IFERROR(__xludf.DUMMYFUNCTION("""COMPUTED_VALUE"""),12.0)</f>
        <v>12</v>
      </c>
      <c r="AP119" s="2">
        <f>IFERROR(__xludf.DUMMYFUNCTION("""COMPUTED_VALUE"""),-10.0)</f>
        <v>-10</v>
      </c>
      <c r="AQ119" s="2">
        <f>IFERROR(__xludf.DUMMYFUNCTION("""COMPUTED_VALUE"""),40.0)</f>
        <v>40</v>
      </c>
      <c r="AR119" s="2"/>
      <c r="AS119" s="2" t="str">
        <f>IFERROR(__xludf.DUMMYFUNCTION("""COMPUTED_VALUE"""),"Картон")</f>
        <v>Картон</v>
      </c>
      <c r="AT119" s="2" t="str">
        <f>IFERROR(__xludf.DUMMYFUNCTION("""COMPUTED_VALUE"""),"Нет")</f>
        <v>Нет</v>
      </c>
      <c r="AU119" s="2">
        <f>IFERROR(__xludf.DUMMYFUNCTION("""COMPUTED_VALUE"""),4.0E-4)</f>
        <v>0.0004</v>
      </c>
      <c r="AV119" s="2">
        <f>IFERROR(__xludf.DUMMYFUNCTION("""COMPUTED_VALUE"""),0.036)</f>
        <v>0.036</v>
      </c>
      <c r="AW119" s="2">
        <f>IFERROR(__xludf.DUMMYFUNCTION("""COMPUTED_VALUE"""),100.0)</f>
        <v>100</v>
      </c>
      <c r="AX119" s="2">
        <f>IFERROR(__xludf.DUMMYFUNCTION("""COMPUTED_VALUE"""),61.0)</f>
        <v>61</v>
      </c>
      <c r="AY119" s="2">
        <f>IFERROR(__xludf.DUMMYFUNCTION("""COMPUTED_VALUE"""),61.0)</f>
        <v>61</v>
      </c>
      <c r="AZ119" s="2">
        <f>IFERROR(__xludf.DUMMYFUNCTION("""COMPUTED_VALUE"""),115.0)</f>
        <v>115</v>
      </c>
      <c r="BA119" s="2">
        <f>IFERROR(__xludf.DUMMYFUNCTION("""COMPUTED_VALUE"""),0.04001)</f>
        <v>0.04001</v>
      </c>
      <c r="BB119" s="2">
        <f>IFERROR(__xludf.DUMMYFUNCTION("""COMPUTED_VALUE"""),3.6)</f>
        <v>3.6</v>
      </c>
      <c r="BC119" s="2">
        <f>IFERROR(__xludf.DUMMYFUNCTION("""COMPUTED_VALUE"""),4.690612038032E12)</f>
        <v>4690612038032</v>
      </c>
      <c r="BD119" s="2"/>
      <c r="BE119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9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9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9" s="2"/>
      <c r="BI119" s="2">
        <f>IFERROR(__xludf.DUMMYFUNCTION("""COMPUTED_VALUE"""),7.0)</f>
        <v>7</v>
      </c>
      <c r="BJ119" s="2">
        <f>IFERROR(__xludf.DUMMYFUNCTION("""COMPUTED_VALUE"""),96.0)</f>
        <v>96</v>
      </c>
      <c r="BK119" s="2">
        <f>IFERROR(__xludf.DUMMYFUNCTION("""COMPUTED_VALUE"""),0.0)</f>
        <v>0</v>
      </c>
      <c r="BL119" s="2">
        <f t="shared" si="1"/>
        <v>42</v>
      </c>
    </row>
    <row r="120">
      <c r="A120" s="2">
        <f>IFERROR(__xludf.DUMMYFUNCTION("""COMPUTED_VALUE"""),4.690626002869E12)</f>
        <v>4690626002869</v>
      </c>
      <c r="B120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20" s="2" t="str">
        <f>IFERROR(__xludf.DUMMYFUNCTION("""COMPUTED_VALUE"""),"Smartbuy лампы LED")</f>
        <v>Smartbuy лампы LED</v>
      </c>
      <c r="D120" s="2"/>
      <c r="E120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20" s="2"/>
      <c r="G120" s="2" t="str">
        <f>IFERROR(__xludf.DUMMYFUNCTION("""COMPUTED_VALUE"""),"Китай")</f>
        <v>Китай</v>
      </c>
      <c r="H120" s="2" t="str">
        <f>IFERROR(__xludf.DUMMYFUNCTION("""COMPUTED_VALUE"""),"Smartbuy")</f>
        <v>Smartbuy</v>
      </c>
      <c r="I120" s="2"/>
      <c r="J120" s="2"/>
      <c r="K120" s="2"/>
      <c r="L120" s="2"/>
      <c r="M120" s="2">
        <f>IFERROR(__xludf.DUMMYFUNCTION("""COMPUTED_VALUE"""),18.0)</f>
        <v>18</v>
      </c>
      <c r="N120" s="2" t="str">
        <f>IFERROR(__xludf.DUMMYFUNCTION("""COMPUTED_VALUE"""),"E27")</f>
        <v>E27</v>
      </c>
      <c r="O120" s="2"/>
      <c r="P120" s="2"/>
      <c r="Q120" s="2">
        <f>IFERROR(__xludf.DUMMYFUNCTION("""COMPUTED_VALUE"""),4000.0)</f>
        <v>4000</v>
      </c>
      <c r="R120" s="2"/>
      <c r="S120" s="2"/>
      <c r="T120" s="2"/>
      <c r="U120" s="2" t="str">
        <f>IFERROR(__xludf.DUMMYFUNCTION("""COMPUTED_VALUE"""),"30 000 ч")</f>
        <v>30 000 ч</v>
      </c>
      <c r="V120" s="2"/>
      <c r="W120" s="2"/>
      <c r="X120" s="2"/>
      <c r="Y120" s="2"/>
      <c r="Z120" s="2"/>
      <c r="AA120" s="2"/>
      <c r="AB120" s="2">
        <f>IFERROR(__xludf.DUMMYFUNCTION("""COMPUTED_VALUE"""),0.2)</f>
        <v>0.2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 t="str">
        <f>IFERROR(__xludf.DUMMYFUNCTION("""COMPUTED_VALUE"""),"Картон")</f>
        <v>Картон</v>
      </c>
      <c r="AT120" s="2" t="str">
        <f>IFERROR(__xludf.DUMMYFUNCTION("""COMPUTED_VALUE"""),"Да")</f>
        <v>Да</v>
      </c>
      <c r="AU120" s="2">
        <f>IFERROR(__xludf.DUMMYFUNCTION("""COMPUTED_VALUE"""),0.00211)</f>
        <v>0.00211</v>
      </c>
      <c r="AV120" s="2">
        <f>IFERROR(__xludf.DUMMYFUNCTION("""COMPUTED_VALUE"""),0.2)</f>
        <v>0.2</v>
      </c>
      <c r="AW120" s="2">
        <f>IFERROR(__xludf.DUMMYFUNCTION("""COMPUTED_VALUE"""),16.0)</f>
        <v>16</v>
      </c>
      <c r="AX120" s="2"/>
      <c r="AY120" s="2"/>
      <c r="AZ120" s="2"/>
      <c r="BA120" s="2">
        <f>IFERROR(__xludf.DUMMYFUNCTION("""COMPUTED_VALUE"""),0.03376)</f>
        <v>0.03376</v>
      </c>
      <c r="BB120" s="2">
        <f>IFERROR(__xludf.DUMMYFUNCTION("""COMPUTED_VALUE"""),3.2)</f>
        <v>3.2</v>
      </c>
      <c r="BC120" s="2"/>
      <c r="BD120" s="2"/>
      <c r="BE120" s="4" t="str">
        <f>IFERROR(__xludf.DUMMYFUNCTION("""COMPUTED_VALUE"""),"http://darion-svet.com/shop/product/4690626002869-sbl-ufo-18-4k-e27")</f>
        <v>http://darion-svet.com/shop/product/4690626002869-sbl-ufo-18-4k-e27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IFERROR(__xludf.DUMMYFUNCTION("""COMPUTED_VALUE"""),137.0)</f>
        <v>137</v>
      </c>
      <c r="BK120" s="2">
        <f>IFERROR(__xludf.DUMMYFUNCTION("""COMPUTED_VALUE"""),0.0)</f>
        <v>0</v>
      </c>
      <c r="BL120" s="2">
        <f t="shared" si="1"/>
        <v>19</v>
      </c>
    </row>
    <row r="121">
      <c r="A121" s="2">
        <f>IFERROR(__xludf.DUMMYFUNCTION("""COMPUTED_VALUE"""),4.690626079649E12)</f>
        <v>4690626079649</v>
      </c>
      <c r="B121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21" s="2" t="str">
        <f>IFERROR(__xludf.DUMMYFUNCTION("""COMPUTED_VALUE"""),"Smartbuy лампы LED")</f>
        <v>Smartbuy лампы LED</v>
      </c>
      <c r="D121" s="2"/>
      <c r="E121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21" s="2"/>
      <c r="BG121" s="2"/>
      <c r="BH121" s="2"/>
      <c r="BI121" s="2">
        <f>IFERROR(__xludf.DUMMYFUNCTION("""COMPUTED_VALUE"""),2.0)</f>
        <v>2</v>
      </c>
      <c r="BJ121" s="2">
        <f>IFERROR(__xludf.DUMMYFUNCTION("""COMPUTED_VALUE"""),847.0)</f>
        <v>847</v>
      </c>
      <c r="BK121" s="2">
        <f>IFERROR(__xludf.DUMMYFUNCTION("""COMPUTED_VALUE"""),0.0)</f>
        <v>0</v>
      </c>
      <c r="BL121" s="2">
        <f t="shared" si="1"/>
        <v>5</v>
      </c>
    </row>
    <row r="122">
      <c r="A122" s="2" t="str">
        <f>IFERROR(__xludf.DUMMYFUNCTION("""COMPUTED_VALUE"""),"G103101107")</f>
        <v>G103101107</v>
      </c>
      <c r="B122" s="2" t="str">
        <f>IFERROR(__xludf.DUMMYFUNCTION("""COMPUTED_VALUE"""),"Лампа Gauss LED Candle E14 6.5W 3000К 1/10/100")</f>
        <v>Лампа Gauss LED Candle E14 6.5W 3000К 1/10/100</v>
      </c>
      <c r="C122" s="2" t="str">
        <f>IFERROR(__xludf.DUMMYFUNCTION("""COMPUTED_VALUE"""),"Свечи")</f>
        <v>Свечи</v>
      </c>
      <c r="D122" s="2"/>
      <c r="E122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2" s="2">
        <f>IFERROR(__xludf.DUMMYFUNCTION("""COMPUTED_VALUE"""),2.0)</f>
        <v>2</v>
      </c>
      <c r="G122" s="2" t="str">
        <f>IFERROR(__xludf.DUMMYFUNCTION("""COMPUTED_VALUE"""),"Китай")</f>
        <v>Китай</v>
      </c>
      <c r="H122" s="2" t="str">
        <f>IFERROR(__xludf.DUMMYFUNCTION("""COMPUTED_VALUE"""),"Gauss")</f>
        <v>Gauss</v>
      </c>
      <c r="I122" s="2"/>
      <c r="J122" s="2"/>
      <c r="K122" s="2" t="str">
        <f>IFERROR(__xludf.DUMMYFUNCTION("""COMPUTED_VALUE"""),"LED")</f>
        <v>LED</v>
      </c>
      <c r="L122" s="2"/>
      <c r="M122" s="2">
        <f>IFERROR(__xludf.DUMMYFUNCTION("""COMPUTED_VALUE"""),6.0)</f>
        <v>6</v>
      </c>
      <c r="N122" s="2" t="str">
        <f>IFERROR(__xludf.DUMMYFUNCTION("""COMPUTED_VALUE"""),"E14")</f>
        <v>E14</v>
      </c>
      <c r="O122" s="2"/>
      <c r="P122" s="2">
        <f>IFERROR(__xludf.DUMMYFUNCTION("""COMPUTED_VALUE"""),550.0)</f>
        <v>550</v>
      </c>
      <c r="Q122" s="2">
        <f>IFERROR(__xludf.DUMMYFUNCTION("""COMPUTED_VALUE"""),3000.0)</f>
        <v>3000</v>
      </c>
      <c r="R122" s="2"/>
      <c r="S122" s="2"/>
      <c r="T122" s="2"/>
      <c r="U122" s="2"/>
      <c r="V122" s="2">
        <f>IFERROR(__xludf.DUMMYFUNCTION("""COMPUTED_VALUE"""),35.0)</f>
        <v>35</v>
      </c>
      <c r="W122" s="2">
        <f>IFERROR(__xludf.DUMMYFUNCTION("""COMPUTED_VALUE"""),35.0)</f>
        <v>35</v>
      </c>
      <c r="X122" s="2">
        <f>IFERROR(__xludf.DUMMYFUNCTION("""COMPUTED_VALUE"""),105.0)</f>
        <v>105</v>
      </c>
      <c r="Y122" s="2"/>
      <c r="Z122" s="2"/>
      <c r="AA122" s="2"/>
      <c r="AB122" s="2">
        <f>IFERROR(__xludf.DUMMYFUNCTION("""COMPUTED_VALUE"""),0.04)</f>
        <v>0.04</v>
      </c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>
        <f>IFERROR(__xludf.DUMMYFUNCTION("""COMPUTED_VALUE"""),35.0)</f>
        <v>35</v>
      </c>
      <c r="AY122" s="2">
        <f>IFERROR(__xludf.DUMMYFUNCTION("""COMPUTED_VALUE"""),35.0)</f>
        <v>35</v>
      </c>
      <c r="AZ122" s="2">
        <f>IFERROR(__xludf.DUMMYFUNCTION("""COMPUTED_VALUE"""),114.0)</f>
        <v>114</v>
      </c>
      <c r="BA122" s="2"/>
      <c r="BB122" s="2">
        <f>IFERROR(__xludf.DUMMYFUNCTION("""COMPUTED_VALUE"""),0.4)</f>
        <v>0.4</v>
      </c>
      <c r="BC122" s="2"/>
      <c r="BD122" s="2"/>
      <c r="BE122" s="4" t="str">
        <f>IFERROR(__xludf.DUMMYFUNCTION("""COMPUTED_VALUE"""),"http://darion-svet.com/shop/product/g103101107-candle-e14-65w-3000k-110100")</f>
        <v>http://darion-svet.com/shop/product/g103101107-candle-e14-65w-3000k-110100</v>
      </c>
      <c r="BF122" s="2"/>
      <c r="BG122" s="2"/>
      <c r="BH122" s="2"/>
      <c r="BI122" s="2">
        <f>IFERROR(__xludf.DUMMYFUNCTION("""COMPUTED_VALUE"""),7.0)</f>
        <v>7</v>
      </c>
      <c r="BJ122" s="2">
        <f>IFERROR(__xludf.DUMMYFUNCTION("""COMPUTED_VALUE"""),67.0)</f>
        <v>67</v>
      </c>
      <c r="BK122" s="2">
        <f>IFERROR(__xludf.DUMMYFUNCTION("""COMPUTED_VALUE"""),0.0)</f>
        <v>0</v>
      </c>
      <c r="BL122" s="2">
        <f t="shared" si="1"/>
        <v>21</v>
      </c>
    </row>
    <row r="123">
      <c r="A123" s="2" t="str">
        <f>IFERROR(__xludf.DUMMYFUNCTION("""COMPUTED_VALUE"""),"G103101207")</f>
        <v>G103101207</v>
      </c>
      <c r="B123" s="2" t="str">
        <f>IFERROR(__xludf.DUMMYFUNCTION("""COMPUTED_VALUE"""),"Лампа Gauss LED Candle E14 6.5W 4100К 1/10/50")</f>
        <v>Лампа Gauss LED Candle E14 6.5W 4100К 1/10/50</v>
      </c>
      <c r="C123" s="2" t="str">
        <f>IFERROR(__xludf.DUMMYFUNCTION("""COMPUTED_VALUE"""),"Свечи")</f>
        <v>Свечи</v>
      </c>
      <c r="D123" s="2"/>
      <c r="E123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3" s="2">
        <f>IFERROR(__xludf.DUMMYFUNCTION("""COMPUTED_VALUE"""),2.0)</f>
        <v>2</v>
      </c>
      <c r="G123" s="2" t="str">
        <f>IFERROR(__xludf.DUMMYFUNCTION("""COMPUTED_VALUE"""),"Китай")</f>
        <v>Китай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IFERROR(__xludf.DUMMYFUNCTION("""COMPUTED_VALUE"""),6.0)</f>
        <v>6</v>
      </c>
      <c r="N123" s="2" t="str">
        <f>IFERROR(__xludf.DUMMYFUNCTION("""COMPUTED_VALUE"""),"E14")</f>
        <v>E14</v>
      </c>
      <c r="O123" s="2"/>
      <c r="P123" s="2">
        <f>IFERROR(__xludf.DUMMYFUNCTION("""COMPUTED_VALUE"""),550.0)</f>
        <v>550</v>
      </c>
      <c r="Q123" s="2">
        <f>IFERROR(__xludf.DUMMYFUNCTION("""COMPUTED_VALUE"""),4000.0)</f>
        <v>4000</v>
      </c>
      <c r="R123" s="2"/>
      <c r="S123" s="2"/>
      <c r="T123" s="2"/>
      <c r="U123" s="2" t="str">
        <f>IFERROR(__xludf.DUMMYFUNCTION("""COMPUTED_VALUE"""),"35 000ч")</f>
        <v>35 000ч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IFERROR(__xludf.DUMMYFUNCTION("""COMPUTED_VALUE"""),"http://darion-svet.com/shop/product/g103101207-candle-e14-65w-4100k-11050")</f>
        <v>http://darion-svet.com/shop/product/g103101207-candle-e14-65w-4100k-11050</v>
      </c>
      <c r="BF123" s="2"/>
      <c r="BG123" s="2"/>
      <c r="BH123" s="2"/>
      <c r="BI123" s="2">
        <f>IFERROR(__xludf.DUMMYFUNCTION("""COMPUTED_VALUE"""),1.0)</f>
        <v>1</v>
      </c>
      <c r="BJ123" s="2">
        <f>IFERROR(__xludf.DUMMYFUNCTION("""COMPUTED_VALUE"""),67.0)</f>
        <v>67</v>
      </c>
      <c r="BK123" s="2">
        <f>IFERROR(__xludf.DUMMYFUNCTION("""COMPUTED_VALUE"""),0.0)</f>
        <v>0</v>
      </c>
      <c r="BL123" s="2">
        <f t="shared" si="1"/>
        <v>14</v>
      </c>
    </row>
    <row r="124">
      <c r="A124" s="2" t="str">
        <f>IFERROR(__xludf.DUMMYFUNCTION("""COMPUTED_VALUE"""),"G106001204")</f>
        <v>G106001204</v>
      </c>
      <c r="B124" s="2" t="str">
        <f>IFERROR(__xludf.DUMMYFUNCTION("""COMPUTED_VALUE"""),"Лампа Gauss LED Reflector R39 E14 4W 4100K 1/10/100")</f>
        <v>Лампа Gauss LED Reflector R39 E14 4W 4100K 1/10/100</v>
      </c>
      <c r="C124" s="2" t="str">
        <f>IFERROR(__xludf.DUMMYFUNCTION("""COMPUTED_VALUE"""),"Зеркальные Лампы")</f>
        <v>Зеркальные Лампы</v>
      </c>
      <c r="D124" s="2"/>
      <c r="E124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4" s="2"/>
      <c r="G124" s="2"/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4" s="2"/>
      <c r="BG124" s="2"/>
      <c r="BH124" s="2"/>
      <c r="BI124" s="2">
        <f>IFERROR(__xludf.DUMMYFUNCTION("""COMPUTED_VALUE"""),2.0)</f>
        <v>2</v>
      </c>
      <c r="BJ124" s="2">
        <f>IFERROR(__xludf.DUMMYFUNCTION("""COMPUTED_VALUE"""),108.0)</f>
        <v>108</v>
      </c>
      <c r="BK124" s="2">
        <f>IFERROR(__xludf.DUMMYFUNCTION("""COMPUTED_VALUE"""),0.0)</f>
        <v>0</v>
      </c>
      <c r="BL124" s="2">
        <f t="shared" si="1"/>
        <v>6</v>
      </c>
    </row>
    <row r="125">
      <c r="A125" s="2" t="str">
        <f>IFERROR(__xludf.DUMMYFUNCTION("""COMPUTED_VALUE"""),"G13629")</f>
        <v>G13629</v>
      </c>
      <c r="B125" s="2" t="str">
        <f>IFERROR(__xludf.DUMMYFUNCTION("""COMPUTED_VALUE"""),"Лампа Gauss LED Elementary MR16 GU10 9W 660lm 4100К 1/10/100")</f>
        <v>Лампа Gauss LED Elementary MR16 GU10 9W 660lm 4100К 1/10/100</v>
      </c>
      <c r="C125" s="2" t="str">
        <f>IFERROR(__xludf.DUMMYFUNCTION("""COMPUTED_VALUE"""),"GAUSS лампы LED")</f>
        <v>GAUSS лампы LED</v>
      </c>
      <c r="D125" s="2"/>
      <c r="E125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5" s="2">
        <f>IFERROR(__xludf.DUMMYFUNCTION("""COMPUTED_VALUE"""),2.0)</f>
        <v>2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IFERROR(__xludf.DUMMYFUNCTION("""COMPUTED_VALUE"""),9.0)</f>
        <v>9</v>
      </c>
      <c r="N125" s="2" t="str">
        <f>IFERROR(__xludf.DUMMYFUNCTION("""COMPUTED_VALUE"""),"GU10")</f>
        <v>GU10</v>
      </c>
      <c r="O125" s="2"/>
      <c r="P125" s="2">
        <f>IFERROR(__xludf.DUMMYFUNCTION("""COMPUTED_VALUE"""),660.0)</f>
        <v>660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>
        <f>IFERROR(__xludf.DUMMYFUNCTION("""COMPUTED_VALUE"""),180.0)</f>
        <v>180</v>
      </c>
      <c r="AO125" s="2">
        <f>IFERROR(__xludf.DUMMYFUNCTION("""COMPUTED_VALUE"""),240.0)</f>
        <v>240</v>
      </c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5" s="2"/>
      <c r="BG125" s="2"/>
      <c r="BH125" s="2"/>
      <c r="BI125" s="2">
        <f>IFERROR(__xludf.DUMMYFUNCTION("""COMPUTED_VALUE"""),17.0)</f>
        <v>17</v>
      </c>
      <c r="BJ125" s="2">
        <f>IFERROR(__xludf.DUMMYFUNCTION("""COMPUTED_VALUE"""),117.0)</f>
        <v>117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IFERROR(__xludf.DUMMYFUNCTION("""COMPUTED_VALUE"""),"G23214P")</f>
        <v>G23214P</v>
      </c>
      <c r="B126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6" s="2"/>
      <c r="BG126" s="2"/>
      <c r="BH126" s="2"/>
      <c r="BI126" s="2">
        <f>IFERROR(__xludf.DUMMYFUNCTION("""COMPUTED_VALUE"""),40.0)</f>
        <v>40</v>
      </c>
      <c r="BJ126" s="2">
        <f>IFERROR(__xludf.DUMMYFUNCTION("""COMPUTED_VALUE"""),128.0)</f>
        <v>128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IFERROR(__xludf.DUMMYFUNCTION("""COMPUTED_VALUE"""),"G23225")</f>
        <v>G23225</v>
      </c>
      <c r="B127" s="2" t="str">
        <f>IFERROR(__xludf.DUMMYFUNCTION("""COMPUTED_VALUE"""),"Лампа Gauss LED Elementary A60 15W E27 4100K 1/10/50")</f>
        <v>Лампа Gauss LED Elementary A60 15W E27 4100K 1/10/50</v>
      </c>
      <c r="C127" s="2" t="str">
        <f>IFERROR(__xludf.DUMMYFUNCTION("""COMPUTED_VALUE"""),"ЛОН")</f>
        <v>ЛОН</v>
      </c>
      <c r="D127" s="2"/>
      <c r="E127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7" s="2">
        <f>IFERROR(__xludf.DUMMYFUNCTION("""COMPUTED_VALUE"""),1.0)</f>
        <v>1</v>
      </c>
      <c r="G127" s="2" t="str">
        <f>IFERROR(__xludf.DUMMYFUNCTION("""COMPUTED_VALUE"""),"Российская Федерация")</f>
        <v>Российская Федерация</v>
      </c>
      <c r="H127" s="2" t="str">
        <f>IFERROR(__xludf.DUMMYFUNCTION("""COMPUTED_VALUE"""),"Gauss")</f>
        <v>Gauss</v>
      </c>
      <c r="I127" s="2"/>
      <c r="J127" s="2"/>
      <c r="K127" s="2" t="str">
        <f>IFERROR(__xludf.DUMMYFUNCTION("""COMPUTED_VALUE"""),"LED")</f>
        <v>LED</v>
      </c>
      <c r="L127" s="2"/>
      <c r="M127" s="2">
        <f>IFERROR(__xludf.DUMMYFUNCTION("""COMPUTED_VALUE"""),15.0)</f>
        <v>15</v>
      </c>
      <c r="N127" s="2" t="str">
        <f>IFERROR(__xludf.DUMMYFUNCTION("""COMPUTED_VALUE"""),"E27")</f>
        <v>E27</v>
      </c>
      <c r="O127" s="2"/>
      <c r="P127" s="2">
        <f>IFERROR(__xludf.DUMMYFUNCTION("""COMPUTED_VALUE"""),1450.0)</f>
        <v>1450</v>
      </c>
      <c r="Q127" s="2">
        <f>IFERROR(__xludf.DUMMYFUNCTION("""COMPUTED_VALUE"""),4200.0)</f>
        <v>4200</v>
      </c>
      <c r="R127" s="2">
        <f>IFERROR(__xludf.DUMMYFUNCTION("""COMPUTED_VALUE"""),80.0)</f>
        <v>80</v>
      </c>
      <c r="S127" s="2"/>
      <c r="T127" s="2"/>
      <c r="U127" s="2" t="str">
        <f>IFERROR(__xludf.DUMMYFUNCTION("""COMPUTED_VALUE"""),"25 000")</f>
        <v>25 000</v>
      </c>
      <c r="V127" s="2">
        <f>IFERROR(__xludf.DUMMYFUNCTION("""COMPUTED_VALUE"""),110.0)</f>
        <v>110</v>
      </c>
      <c r="W127" s="2">
        <f>IFERROR(__xludf.DUMMYFUNCTION("""COMPUTED_VALUE"""),60.0)</f>
        <v>60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7" s="2"/>
      <c r="BG127" s="2"/>
      <c r="BH127" s="2"/>
      <c r="BI127" s="2">
        <f>IFERROR(__xludf.DUMMYFUNCTION("""COMPUTED_VALUE"""),10.0)</f>
        <v>10</v>
      </c>
      <c r="BJ127" s="2">
        <f>IFERROR(__xludf.DUMMYFUNCTION("""COMPUTED_VALUE"""),103.0)</f>
        <v>103</v>
      </c>
      <c r="BK127" s="2">
        <f>IFERROR(__xludf.DUMMYFUNCTION("""COMPUTED_VALUE"""),0.0)</f>
        <v>0</v>
      </c>
      <c r="BL127" s="2">
        <f t="shared" si="1"/>
        <v>17</v>
      </c>
    </row>
    <row r="128">
      <c r="A128" s="2" t="str">
        <f>IFERROR(__xludf.DUMMYFUNCTION("""COMPUTED_VALUE"""),"G33117T")</f>
        <v>G33117T</v>
      </c>
      <c r="B128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8" s="2" t="str">
        <f>IFERROR(__xludf.DUMMYFUNCTION("""COMPUTED_VALUE"""),"Комплекты Gauss Elementary (x2, x3)")</f>
        <v>Комплекты Gauss Elementary (x2, x3)</v>
      </c>
      <c r="D128" s="2"/>
      <c r="E128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8" s="2"/>
      <c r="G128" s="2" t="str">
        <f>IFERROR(__xludf.DUMMYFUNCTION("""COMPUTED_VALUE"""),"Китай")</f>
        <v>Китай</v>
      </c>
      <c r="H128" s="2" t="str">
        <f>IFERROR(__xludf.DUMMYFUNCTION("""COMPUTED_VALUE"""),"Gauss")</f>
        <v>Gauss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8" s="2"/>
      <c r="BG128" s="2"/>
      <c r="BH128" s="2"/>
      <c r="BI128" s="2">
        <f>IFERROR(__xludf.DUMMYFUNCTION("""COMPUTED_VALUE"""),10.0)</f>
        <v>10</v>
      </c>
      <c r="BJ128" s="2">
        <f>IFERROR(__xludf.DUMMYFUNCTION("""COMPUTED_VALUE"""),105.0)</f>
        <v>105</v>
      </c>
      <c r="BK128" s="2">
        <f>IFERROR(__xludf.DUMMYFUNCTION("""COMPUTED_VALUE"""),0.0)</f>
        <v>0</v>
      </c>
      <c r="BL128" s="2">
        <f t="shared" si="1"/>
        <v>7</v>
      </c>
    </row>
    <row r="129">
      <c r="A129" s="2" t="str">
        <f>IFERROR(__xludf.DUMMYFUNCTION("""COMPUTED_VALUE"""),"G33127T")</f>
        <v>G33127T</v>
      </c>
      <c r="B129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9" s="2" t="str">
        <f>IFERROR(__xludf.DUMMYFUNCTION("""COMPUTED_VALUE"""),"Комплекты Gauss Elementary (x2, x3)")</f>
        <v>Комплекты Gauss Elementary (x2, x3)</v>
      </c>
      <c r="D129" s="2"/>
      <c r="E129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9" s="2"/>
      <c r="G129" s="2" t="str">
        <f>IFERROR(__xludf.DUMMYFUNCTION("""COMPUTED_VALUE"""),"Китай")</f>
        <v>Китай</v>
      </c>
      <c r="H129" s="2" t="str">
        <f>IFERROR(__xludf.DUMMYFUNCTION("""COMPUTED_VALUE"""),"Gauss")</f>
        <v>Gauss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9" s="2"/>
      <c r="BG129" s="2"/>
      <c r="BH129" s="2"/>
      <c r="BI129" s="2">
        <f>IFERROR(__xludf.DUMMYFUNCTION("""COMPUTED_VALUE"""),18.0)</f>
        <v>18</v>
      </c>
      <c r="BJ129" s="2">
        <f>IFERROR(__xludf.DUMMYFUNCTION("""COMPUTED_VALUE"""),105.0)</f>
        <v>105</v>
      </c>
      <c r="BK129" s="2">
        <f>IFERROR(__xludf.DUMMYFUNCTION("""COMPUTED_VALUE"""),0.0)</f>
        <v>0</v>
      </c>
      <c r="BL129" s="2">
        <f t="shared" si="1"/>
        <v>7</v>
      </c>
    </row>
    <row r="130">
      <c r="A130" s="2" t="str">
        <f>IFERROR(__xludf.DUMMYFUNCTION("""COMPUTED_VALUE"""),"G33226")</f>
        <v>G33226</v>
      </c>
      <c r="B130" s="2" t="str">
        <f>IFERROR(__xludf.DUMMYFUNCTION("""COMPUTED_VALUE"""),"Лампа Gauss LED Elementary Candle 6W E27 4100K 1/10/50")</f>
        <v>Лампа Gauss LED Elementary Candle 6W E27 4100K 1/10/50</v>
      </c>
      <c r="C130" s="2" t="str">
        <f>IFERROR(__xludf.DUMMYFUNCTION("""COMPUTED_VALUE"""),"Свечи")</f>
        <v>Свечи</v>
      </c>
      <c r="D130" s="2"/>
      <c r="E130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30" s="2">
        <f>IFERROR(__xludf.DUMMYFUNCTION("""COMPUTED_VALUE"""),2.0)</f>
        <v>2</v>
      </c>
      <c r="G130" s="2" t="str">
        <f>IFERROR(__xludf.DUMMYFUNCTION("""COMPUTED_VALUE"""),"Российская Федерация")</f>
        <v>Российская Федерация</v>
      </c>
      <c r="H130" s="2" t="str">
        <f>IFERROR(__xludf.DUMMYFUNCTION("""COMPUTED_VALUE"""),"Gauss")</f>
        <v>Gauss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IFERROR(__xludf.DUMMYFUNCTION("""COMPUTED_VALUE"""),6.0)</f>
        <v>6</v>
      </c>
      <c r="N130" s="2" t="str">
        <f>IFERROR(__xludf.DUMMYFUNCTION("""COMPUTED_VALUE"""),"E27")</f>
        <v>E27</v>
      </c>
      <c r="O130" s="2"/>
      <c r="P130" s="2">
        <f>IFERROR(__xludf.DUMMYFUNCTION("""COMPUTED_VALUE"""),450.0)</f>
        <v>450</v>
      </c>
      <c r="Q130" s="2">
        <f>IFERROR(__xludf.DUMMYFUNCTION("""COMPUTED_VALUE"""),4000.0)</f>
        <v>4000</v>
      </c>
      <c r="R130" s="2">
        <f>IFERROR(__xludf.DUMMYFUNCTION("""COMPUTED_VALUE"""),80.0)</f>
        <v>80</v>
      </c>
      <c r="S130" s="2"/>
      <c r="T130" s="2"/>
      <c r="U130" s="2" t="str">
        <f>IFERROR(__xludf.DUMMYFUNCTION("""COMPUTED_VALUE"""),"25 000")</f>
        <v>25 000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30" s="2"/>
      <c r="BG130" s="2"/>
      <c r="BH130" s="2"/>
      <c r="BI130" s="2">
        <f>IFERROR(__xludf.DUMMYFUNCTION("""COMPUTED_VALUE"""),12.0)</f>
        <v>12</v>
      </c>
      <c r="BJ130" s="2">
        <f>IFERROR(__xludf.DUMMYFUNCTION("""COMPUTED_VALUE"""),47.0)</f>
        <v>47</v>
      </c>
      <c r="BK130" s="2">
        <f>IFERROR(__xludf.DUMMYFUNCTION("""COMPUTED_VALUE"""),0.0)</f>
        <v>0</v>
      </c>
      <c r="BL130" s="2">
        <f t="shared" si="1"/>
        <v>15</v>
      </c>
    </row>
    <row r="131">
      <c r="A131" s="2" t="str">
        <f>IFERROR(__xludf.DUMMYFUNCTION("""COMPUTED_VALUE"""),"R100343")</f>
        <v>R100343</v>
      </c>
      <c r="B131" s="2" t="str">
        <f>IFERROR(__xludf.DUMMYFUNCTION("""COMPUTED_VALUE"""),"Светодиодная лампа RSV-A65-20W-4000K-E27 P")</f>
        <v>Светодиодная лампа RSV-A65-20W-4000K-E27 P</v>
      </c>
      <c r="C131" s="2" t="str">
        <f>IFERROR(__xludf.DUMMYFUNCTION("""COMPUTED_VALUE"""),"Светодиодные лампы A60")</f>
        <v>Светодиодные лампы A60</v>
      </c>
      <c r="D131" s="2">
        <f>IFERROR(__xludf.DUMMYFUNCTION("""COMPUTED_VALUE"""),4.680046808349E12)</f>
        <v>4680046808349</v>
      </c>
      <c r="E131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31" s="2">
        <f>IFERROR(__xludf.DUMMYFUNCTION("""COMPUTED_VALUE"""),1.0)</f>
        <v>1</v>
      </c>
      <c r="G131" s="2" t="str">
        <f>IFERROR(__xludf.DUMMYFUNCTION("""COMPUTED_VALUE"""),"Китай")</f>
        <v>Китай</v>
      </c>
      <c r="H131" s="2" t="str">
        <f>IFERROR(__xludf.DUMMYFUNCTION("""COMPUTED_VALUE"""),"RSV")</f>
        <v>RSV</v>
      </c>
      <c r="I131" s="2"/>
      <c r="J131" s="2"/>
      <c r="K131" s="2" t="str">
        <f>IFERROR(__xludf.DUMMYFUNCTION("""COMPUTED_VALUE"""),"LED")</f>
        <v>LED</v>
      </c>
      <c r="L131" s="2"/>
      <c r="M131" s="2">
        <f>IFERROR(__xludf.DUMMYFUNCTION("""COMPUTED_VALUE"""),20.0)</f>
        <v>20</v>
      </c>
      <c r="N131" s="2" t="str">
        <f>IFERROR(__xludf.DUMMYFUNCTION("""COMPUTED_VALUE"""),"E27")</f>
        <v>E27</v>
      </c>
      <c r="O131" s="2" t="str">
        <f>IFERROR(__xludf.DUMMYFUNCTION("""COMPUTED_VALUE"""),"SMD")</f>
        <v>SMD</v>
      </c>
      <c r="P131" s="2">
        <f>IFERROR(__xludf.DUMMYFUNCTION("""COMPUTED_VALUE"""),1800.0)</f>
        <v>1800</v>
      </c>
      <c r="Q131" s="2">
        <f>IFERROR(__xludf.DUMMYFUNCTION("""COMPUTED_VALUE"""),4000.0)</f>
        <v>4000</v>
      </c>
      <c r="R131" s="2">
        <f>IFERROR(__xludf.DUMMYFUNCTION("""COMPUTED_VALUE"""),80.0)</f>
        <v>80</v>
      </c>
      <c r="S131" s="2">
        <f>IFERROR(__xludf.DUMMYFUNCTION("""COMPUTED_VALUE"""),20.0)</f>
        <v>20</v>
      </c>
      <c r="T131" s="2" t="str">
        <f>IFERROR(__xludf.DUMMYFUNCTION("""COMPUTED_VALUE"""),"Д")</f>
        <v>Д</v>
      </c>
      <c r="U131" s="2" t="str">
        <f>IFERROR(__xludf.DUMMYFUNCTION("""COMPUTED_VALUE"""),"30000 ч.")</f>
        <v>30000 ч.</v>
      </c>
      <c r="V131" s="2"/>
      <c r="W131" s="2"/>
      <c r="X131" s="2"/>
      <c r="Y131" s="2"/>
      <c r="Z131" s="2"/>
      <c r="AA131" s="2"/>
      <c r="AB131" s="2"/>
      <c r="AC131" s="2"/>
      <c r="AD131" s="2" t="str">
        <f>IFERROR(__xludf.DUMMYFUNCTION("""COMPUTED_VALUE"""),"поликарбонат")</f>
        <v>поликарбонат</v>
      </c>
      <c r="AE131" s="2" t="str">
        <f>IFERROR(__xludf.DUMMYFUNCTION("""COMPUTED_VALUE"""),"поликарбонат")</f>
        <v>поликарбонат</v>
      </c>
      <c r="AF131" s="2"/>
      <c r="AG131" s="2" t="str">
        <f>IFERROR(__xludf.DUMMYFUNCTION("""COMPUTED_VALUE"""),"матовый рассеиватель")</f>
        <v>матовый рассеиватель</v>
      </c>
      <c r="AH131" s="2"/>
      <c r="AI131" s="2" t="str">
        <f>IFERROR(__xludf.DUMMYFUNCTION("""COMPUTED_VALUE"""),"LED-driver")</f>
        <v>LED-driver</v>
      </c>
      <c r="AJ131" s="2" t="str">
        <f>IFERROR(__xludf.DUMMYFUNCTION("""COMPUTED_VALUE"""),"A")</f>
        <v>A</v>
      </c>
      <c r="AK131" s="2">
        <f>IFERROR(__xludf.DUMMYFUNCTION("""COMPUTED_VALUE"""),0.9)</f>
        <v>0.9</v>
      </c>
      <c r="AL131" s="2">
        <f>IFERROR(__xludf.DUMMYFUNCTION("""COMPUTED_VALUE"""),1.0)</f>
        <v>1</v>
      </c>
      <c r="AM131" s="2"/>
      <c r="AN131" s="2">
        <f>IFERROR(__xludf.DUMMYFUNCTION("""COMPUTED_VALUE"""),175.0)</f>
        <v>175</v>
      </c>
      <c r="AO131" s="2">
        <f>IFERROR(__xludf.DUMMYFUNCTION("""COMPUTED_VALUE"""),265.0)</f>
        <v>265</v>
      </c>
      <c r="AP131" s="2">
        <f>IFERROR(__xludf.DUMMYFUNCTION("""COMPUTED_VALUE"""),-35.0)</f>
        <v>-35</v>
      </c>
      <c r="AQ131" s="2">
        <f>IFERROR(__xludf.DUMMYFUNCTION("""COMPUTED_VALUE"""),50.0)</f>
        <v>50</v>
      </c>
      <c r="AR131" s="2" t="str">
        <f>IFERROR(__xludf.DUMMYFUNCTION("""COMPUTED_VALUE"""),"УХЛ2")</f>
        <v>УХЛ2</v>
      </c>
      <c r="AS131" s="2" t="str">
        <f>IFERROR(__xludf.DUMMYFUNCTION("""COMPUTED_VALUE"""),"Картон")</f>
        <v>Картон</v>
      </c>
      <c r="AT131" s="2"/>
      <c r="AU131" s="2">
        <f>IFERROR(__xludf.DUMMYFUNCTION("""COMPUTED_VALUE"""),7.5E-4)</f>
        <v>0.00075</v>
      </c>
      <c r="AV131" s="2">
        <f>IFERROR(__xludf.DUMMYFUNCTION("""COMPUTED_VALUE"""),0.0727)</f>
        <v>0.0727</v>
      </c>
      <c r="AW131" s="2">
        <f>IFERROR(__xludf.DUMMYFUNCTION("""COMPUTED_VALUE"""),100.0)</f>
        <v>100</v>
      </c>
      <c r="AX131" s="2">
        <f>IFERROR(__xludf.DUMMYFUNCTION("""COMPUTED_VALUE"""),60.0)</f>
        <v>60</v>
      </c>
      <c r="AY131" s="2">
        <f>IFERROR(__xludf.DUMMYFUNCTION("""COMPUTED_VALUE"""),60.0)</f>
        <v>60</v>
      </c>
      <c r="AZ131" s="2">
        <f>IFERROR(__xludf.DUMMYFUNCTION("""COMPUTED_VALUE"""),108.0)</f>
        <v>108</v>
      </c>
      <c r="BA131" s="2">
        <f>IFERROR(__xludf.DUMMYFUNCTION("""COMPUTED_VALUE"""),0.0748)</f>
        <v>0.0748</v>
      </c>
      <c r="BB131" s="2">
        <f>IFERROR(__xludf.DUMMYFUNCTION("""COMPUTED_VALUE"""),7.27)</f>
        <v>7.27</v>
      </c>
      <c r="BC131" s="2">
        <f>IFERROR(__xludf.DUMMYFUNCTION("""COMPUTED_VALUE"""),1.4680046808346E13)</f>
        <v>14680046808346</v>
      </c>
      <c r="BD131" s="2"/>
      <c r="BE131" s="4" t="str">
        <f>IFERROR(__xludf.DUMMYFUNCTION("""COMPUTED_VALUE"""),"http://darion-svet.com/shop/product/r100343-rsv-a65-20w-4000k-e27-p")</f>
        <v>http://darion-svet.com/shop/product/r100343-rsv-a65-20w-4000k-e27-p</v>
      </c>
      <c r="BF131" s="2"/>
      <c r="BG131" s="2"/>
      <c r="BH131" s="2"/>
      <c r="BI131" s="2">
        <f>IFERROR(__xludf.DUMMYFUNCTION("""COMPUTED_VALUE"""),20.0)</f>
        <v>20</v>
      </c>
      <c r="BJ131" s="2">
        <f>IFERROR(__xludf.DUMMYFUNCTION("""COMPUTED_VALUE"""),72.0)</f>
        <v>72</v>
      </c>
      <c r="BK131" s="2">
        <f>IFERROR(__xludf.DUMMYFUNCTION("""COMPUTED_VALUE"""),0.0)</f>
        <v>0</v>
      </c>
      <c r="BL131" s="2">
        <f t="shared" si="1"/>
        <v>41</v>
      </c>
    </row>
    <row r="132">
      <c r="A132" s="2" t="str">
        <f>IFERROR(__xludf.DUMMYFUNCTION("""COMPUTED_VALUE"""),"R100488")</f>
        <v>R100488</v>
      </c>
      <c r="B132" s="2" t="str">
        <f>IFERROR(__xludf.DUMMYFUNCTION("""COMPUTED_VALUE"""),"Светодиодная лампа RSV-A60-11W-3000K-E27 P")</f>
        <v>Светодиодная лампа RSV-A60-11W-3000K-E27 P</v>
      </c>
      <c r="C132" s="2" t="str">
        <f>IFERROR(__xludf.DUMMYFUNCTION("""COMPUTED_VALUE"""),"Светодиодные лампы A60")</f>
        <v>Светодиодные лампы A60</v>
      </c>
      <c r="D132" s="2">
        <f>IFERROR(__xludf.DUMMYFUNCTION("""COMPUTED_VALUE"""),4.660054487217E12)</f>
        <v>4660054487217</v>
      </c>
      <c r="E132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2" s="2">
        <f>IFERROR(__xludf.DUMMYFUNCTION("""COMPUTED_VALUE"""),1.0)</f>
        <v>1</v>
      </c>
      <c r="G132" s="2" t="str">
        <f>IFERROR(__xludf.DUMMYFUNCTION("""COMPUTED_VALUE"""),"Китай")</f>
        <v>Китай</v>
      </c>
      <c r="H132" s="2" t="str">
        <f>IFERROR(__xludf.DUMMYFUNCTION("""COMPUTED_VALUE"""),"RSV")</f>
        <v>RSV</v>
      </c>
      <c r="I132" s="2"/>
      <c r="J132" s="2"/>
      <c r="K132" s="2" t="str">
        <f>IFERROR(__xludf.DUMMYFUNCTION("""COMPUTED_VALUE"""),"LED")</f>
        <v>LED</v>
      </c>
      <c r="L132" s="2"/>
      <c r="M132" s="2">
        <f>IFERROR(__xludf.DUMMYFUNCTION("""COMPUTED_VALUE"""),11.0)</f>
        <v>11</v>
      </c>
      <c r="N132" s="2" t="str">
        <f>IFERROR(__xludf.DUMMYFUNCTION("""COMPUTED_VALUE"""),"E27")</f>
        <v>E27</v>
      </c>
      <c r="O132" s="2" t="str">
        <f>IFERROR(__xludf.DUMMYFUNCTION("""COMPUTED_VALUE"""),"SMD")</f>
        <v>SMD</v>
      </c>
      <c r="P132" s="2">
        <f>IFERROR(__xludf.DUMMYFUNCTION("""COMPUTED_VALUE"""),990.0)</f>
        <v>990</v>
      </c>
      <c r="Q132" s="2">
        <f>IFERROR(__xludf.DUMMYFUNCTION("""COMPUTED_VALUE"""),3000.0)</f>
        <v>3000</v>
      </c>
      <c r="R132" s="2">
        <f>IFERROR(__xludf.DUMMYFUNCTION("""COMPUTED_VALUE"""),80.0)</f>
        <v>80</v>
      </c>
      <c r="S132" s="2">
        <f>IFERROR(__xludf.DUMMYFUNCTION("""COMPUTED_VALUE"""),20.0)</f>
        <v>20</v>
      </c>
      <c r="T132" s="2" t="str">
        <f>IFERROR(__xludf.DUMMYFUNCTION("""COMPUTED_VALUE"""),"Д")</f>
        <v>Д</v>
      </c>
      <c r="U132" s="2" t="str">
        <f>IFERROR(__xludf.DUMMYFUNCTION("""COMPUTED_VALUE"""),"30000 ч.")</f>
        <v>30000 ч.</v>
      </c>
      <c r="V132" s="2">
        <f>IFERROR(__xludf.DUMMYFUNCTION("""COMPUTED_VALUE"""),60.0)</f>
        <v>60</v>
      </c>
      <c r="W132" s="2">
        <f>IFERROR(__xludf.DUMMYFUNCTION("""COMPUTED_VALUE"""),60.0)</f>
        <v>60</v>
      </c>
      <c r="X132" s="2">
        <f>IFERROR(__xludf.DUMMYFUNCTION("""COMPUTED_VALUE"""),108.0)</f>
        <v>108</v>
      </c>
      <c r="Y132" s="2"/>
      <c r="Z132" s="2"/>
      <c r="AA132" s="2"/>
      <c r="AB132" s="2">
        <f>IFERROR(__xludf.DUMMYFUNCTION("""COMPUTED_VALUE"""),0.05)</f>
        <v>0.05</v>
      </c>
      <c r="AC132" s="2"/>
      <c r="AD132" s="2" t="str">
        <f>IFERROR(__xludf.DUMMYFUNCTION("""COMPUTED_VALUE"""),"поликарбонат")</f>
        <v>поликарбонат</v>
      </c>
      <c r="AE132" s="2" t="str">
        <f>IFERROR(__xludf.DUMMYFUNCTION("""COMPUTED_VALUE"""),"поликарбонат")</f>
        <v>поликарбонат</v>
      </c>
      <c r="AF132" s="2"/>
      <c r="AG132" s="2" t="str">
        <f>IFERROR(__xludf.DUMMYFUNCTION("""COMPUTED_VALUE"""),"матовый рассеиватель")</f>
        <v>матовый рассеиватель</v>
      </c>
      <c r="AH132" s="2"/>
      <c r="AI132" s="2" t="str">
        <f>IFERROR(__xludf.DUMMYFUNCTION("""COMPUTED_VALUE"""),"LED-driver")</f>
        <v>LED-driver</v>
      </c>
      <c r="AJ132" s="2" t="str">
        <f>IFERROR(__xludf.DUMMYFUNCTION("""COMPUTED_VALUE"""),"A")</f>
        <v>A</v>
      </c>
      <c r="AK132" s="2">
        <f>IFERROR(__xludf.DUMMYFUNCTION("""COMPUTED_VALUE"""),0.9)</f>
        <v>0.9</v>
      </c>
      <c r="AL132" s="2">
        <f>IFERROR(__xludf.DUMMYFUNCTION("""COMPUTED_VALUE"""),1.0)</f>
        <v>1</v>
      </c>
      <c r="AM132" s="2"/>
      <c r="AN132" s="2">
        <f>IFERROR(__xludf.DUMMYFUNCTION("""COMPUTED_VALUE"""),175.0)</f>
        <v>175</v>
      </c>
      <c r="AO132" s="2">
        <f>IFERROR(__xludf.DUMMYFUNCTION("""COMPUTED_VALUE"""),265.0)</f>
        <v>265</v>
      </c>
      <c r="AP132" s="2">
        <f>IFERROR(__xludf.DUMMYFUNCTION("""COMPUTED_VALUE"""),-35.0)</f>
        <v>-35</v>
      </c>
      <c r="AQ132" s="2">
        <f>IFERROR(__xludf.DUMMYFUNCTION("""COMPUTED_VALUE"""),50.0)</f>
        <v>50</v>
      </c>
      <c r="AR132" s="2" t="str">
        <f>IFERROR(__xludf.DUMMYFUNCTION("""COMPUTED_VALUE"""),"УХЛ2")</f>
        <v>УХЛ2</v>
      </c>
      <c r="AS132" s="2" t="str">
        <f>IFERROR(__xludf.DUMMYFUNCTION("""COMPUTED_VALUE"""),"Картон")</f>
        <v>Картон</v>
      </c>
      <c r="AT132" s="2"/>
      <c r="AU132" s="2">
        <f>IFERROR(__xludf.DUMMYFUNCTION("""COMPUTED_VALUE"""),5.0E-4)</f>
        <v>0.0005</v>
      </c>
      <c r="AV132" s="2">
        <f>IFERROR(__xludf.DUMMYFUNCTION("""COMPUTED_VALUE"""),0.0535)</f>
        <v>0.0535</v>
      </c>
      <c r="AW132" s="2">
        <f>IFERROR(__xludf.DUMMYFUNCTION("""COMPUTED_VALUE"""),100.0)</f>
        <v>100</v>
      </c>
      <c r="AX132" s="2">
        <f>IFERROR(__xludf.DUMMYFUNCTION("""COMPUTED_VALUE"""),60.0)</f>
        <v>60</v>
      </c>
      <c r="AY132" s="2">
        <f>IFERROR(__xludf.DUMMYFUNCTION("""COMPUTED_VALUE"""),60.0)</f>
        <v>60</v>
      </c>
      <c r="AZ132" s="2">
        <f>IFERROR(__xludf.DUMMYFUNCTION("""COMPUTED_VALUE"""),108.0)</f>
        <v>108</v>
      </c>
      <c r="BA132" s="2">
        <f>IFERROR(__xludf.DUMMYFUNCTION("""COMPUTED_VALUE"""),0.05)</f>
        <v>0.05</v>
      </c>
      <c r="BB132" s="2">
        <f>IFERROR(__xludf.DUMMYFUNCTION("""COMPUTED_VALUE"""),5.35)</f>
        <v>5.35</v>
      </c>
      <c r="BC132" s="2">
        <f>IFERROR(__xludf.DUMMYFUNCTION("""COMPUTED_VALUE"""),1.4660054487214E13)</f>
        <v>14660054487214</v>
      </c>
      <c r="BD132" s="2"/>
      <c r="BE132" s="4" t="str">
        <f>IFERROR(__xludf.DUMMYFUNCTION("""COMPUTED_VALUE"""),"http://darion-svet.com/shop/product/r100488-rsv-a60-11w-3000k-e27-p")</f>
        <v>http://darion-svet.com/shop/product/r100488-rsv-a60-11w-3000k-e27-p</v>
      </c>
      <c r="BF132" s="2"/>
      <c r="BG132" s="2"/>
      <c r="BH132" s="2"/>
      <c r="BI132" s="2">
        <f>IFERROR(__xludf.DUMMYFUNCTION("""COMPUTED_VALUE"""),3.0)</f>
        <v>3</v>
      </c>
      <c r="BJ132" s="2">
        <f>IFERROR(__xludf.DUMMYFUNCTION("""COMPUTED_VALUE"""),44.0)</f>
        <v>44</v>
      </c>
      <c r="BK132" s="2">
        <f>IFERROR(__xludf.DUMMYFUNCTION("""COMPUTED_VALUE"""),0.0)</f>
        <v>0</v>
      </c>
      <c r="BL132" s="2">
        <f t="shared" si="1"/>
        <v>45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E28"/>
    <hyperlink r:id="rId74" ref="BE28"/>
    <hyperlink r:id="rId75" ref="BF28"/>
    <hyperlink r:id="rId76" ref="BG28"/>
    <hyperlink r:id="rId77" ref="E29"/>
    <hyperlink r:id="rId78" ref="BE29"/>
    <hyperlink r:id="rId79" ref="BF29"/>
    <hyperlink r:id="rId80" ref="BG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E32"/>
    <hyperlink r:id="rId88" ref="BE32"/>
    <hyperlink r:id="rId89" ref="BF32"/>
    <hyperlink r:id="rId90" ref="BG32"/>
    <hyperlink r:id="rId91" ref="E33"/>
    <hyperlink r:id="rId92" ref="BE33"/>
    <hyperlink r:id="rId93" ref="BF33"/>
    <hyperlink r:id="rId94" ref="BG33"/>
    <hyperlink r:id="rId95" ref="E34"/>
    <hyperlink r:id="rId96" ref="BE34"/>
    <hyperlink r:id="rId97" ref="BF34"/>
    <hyperlink r:id="rId98" ref="BG34"/>
    <hyperlink r:id="rId99" ref="E35"/>
    <hyperlink r:id="rId100" ref="BE35"/>
    <hyperlink r:id="rId101" ref="BF35"/>
    <hyperlink r:id="rId102" ref="BG35"/>
    <hyperlink r:id="rId103" ref="E36"/>
    <hyperlink r:id="rId104" ref="BE36"/>
    <hyperlink r:id="rId105" ref="BF36"/>
    <hyperlink r:id="rId106" ref="BG36"/>
    <hyperlink r:id="rId107" ref="E37"/>
    <hyperlink r:id="rId108" ref="BE37"/>
    <hyperlink r:id="rId109" ref="BF37"/>
    <hyperlink r:id="rId110" ref="BG37"/>
    <hyperlink r:id="rId111" ref="E38"/>
    <hyperlink r:id="rId112" ref="BE38"/>
    <hyperlink r:id="rId113" ref="BF38"/>
    <hyperlink r:id="rId114" ref="BG38"/>
    <hyperlink r:id="rId115" ref="E39"/>
    <hyperlink r:id="rId116" ref="BE39"/>
    <hyperlink r:id="rId117" ref="BF39"/>
    <hyperlink r:id="rId118" ref="BG39"/>
    <hyperlink r:id="rId119" ref="E40"/>
    <hyperlink r:id="rId120" ref="BE40"/>
    <hyperlink r:id="rId121" ref="BF40"/>
    <hyperlink r:id="rId122" ref="BG40"/>
    <hyperlink r:id="rId123" ref="E41"/>
    <hyperlink r:id="rId124" ref="BE41"/>
    <hyperlink r:id="rId125" ref="BF41"/>
    <hyperlink r:id="rId126" ref="BG41"/>
    <hyperlink r:id="rId127" ref="E42"/>
    <hyperlink r:id="rId128" ref="BE42"/>
    <hyperlink r:id="rId129" ref="BF42"/>
    <hyperlink r:id="rId130" ref="BG42"/>
    <hyperlink r:id="rId131" ref="E43"/>
    <hyperlink r:id="rId132" ref="BE43"/>
    <hyperlink r:id="rId133" ref="BF43"/>
    <hyperlink r:id="rId134" ref="BG43"/>
    <hyperlink r:id="rId135" ref="E44"/>
    <hyperlink r:id="rId136" ref="BE44"/>
    <hyperlink r:id="rId137" ref="BF44"/>
    <hyperlink r:id="rId138" ref="BG44"/>
    <hyperlink r:id="rId139" ref="E45"/>
    <hyperlink r:id="rId140" ref="BE45"/>
    <hyperlink r:id="rId141" ref="BF45"/>
    <hyperlink r:id="rId142" ref="BG45"/>
    <hyperlink r:id="rId143" ref="E46"/>
    <hyperlink r:id="rId144" ref="BE46"/>
    <hyperlink r:id="rId145" ref="BF46"/>
    <hyperlink r:id="rId146" ref="BG46"/>
    <hyperlink r:id="rId147" ref="E47"/>
    <hyperlink r:id="rId148" ref="BE47"/>
    <hyperlink r:id="rId149" ref="BF47"/>
    <hyperlink r:id="rId150" ref="BG47"/>
    <hyperlink r:id="rId151" ref="E48"/>
    <hyperlink r:id="rId152" ref="BE48"/>
    <hyperlink r:id="rId153" ref="BF48"/>
    <hyperlink r:id="rId154" ref="BG48"/>
    <hyperlink r:id="rId155" ref="E49"/>
    <hyperlink r:id="rId156" ref="BE49"/>
    <hyperlink r:id="rId157" ref="BF49"/>
    <hyperlink r:id="rId158" ref="BG49"/>
    <hyperlink r:id="rId159" ref="E50"/>
    <hyperlink r:id="rId160" ref="BE50"/>
    <hyperlink r:id="rId161" ref="BF50"/>
    <hyperlink r:id="rId162" ref="BG50"/>
    <hyperlink r:id="rId163" ref="E51"/>
    <hyperlink r:id="rId164" ref="BE51"/>
    <hyperlink r:id="rId165" ref="BF51"/>
    <hyperlink r:id="rId166" ref="BG51"/>
    <hyperlink r:id="rId167" ref="E52"/>
    <hyperlink r:id="rId168" ref="BE52"/>
    <hyperlink r:id="rId169" ref="BF52"/>
    <hyperlink r:id="rId170" ref="BG52"/>
    <hyperlink r:id="rId171" ref="E53"/>
    <hyperlink r:id="rId172" ref="BE53"/>
    <hyperlink r:id="rId173" ref="BF53"/>
    <hyperlink r:id="rId174" ref="BG53"/>
    <hyperlink r:id="rId175" ref="E54"/>
    <hyperlink r:id="rId176" ref="BE54"/>
    <hyperlink r:id="rId177" ref="BF54"/>
    <hyperlink r:id="rId178" ref="BG54"/>
    <hyperlink r:id="rId179" ref="E55"/>
    <hyperlink r:id="rId180" ref="BE55"/>
    <hyperlink r:id="rId181" ref="BF55"/>
    <hyperlink r:id="rId182" ref="BG55"/>
    <hyperlink r:id="rId183" ref="E56"/>
    <hyperlink r:id="rId184" ref="BE56"/>
    <hyperlink r:id="rId185" ref="BF56"/>
    <hyperlink r:id="rId186" ref="BG56"/>
    <hyperlink r:id="rId187" ref="E57"/>
    <hyperlink r:id="rId188" ref="BE57"/>
    <hyperlink r:id="rId189" ref="BF57"/>
    <hyperlink r:id="rId190" ref="BG57"/>
    <hyperlink r:id="rId191" ref="E58"/>
    <hyperlink r:id="rId192" ref="BE58"/>
    <hyperlink r:id="rId193" ref="BF58"/>
    <hyperlink r:id="rId194" ref="BG58"/>
    <hyperlink r:id="rId195" ref="E59"/>
    <hyperlink r:id="rId196" ref="BE59"/>
    <hyperlink r:id="rId197" ref="BF59"/>
    <hyperlink r:id="rId198" ref="BG59"/>
    <hyperlink r:id="rId199" ref="E60"/>
    <hyperlink r:id="rId200" ref="BE60"/>
    <hyperlink r:id="rId201" ref="BF60"/>
    <hyperlink r:id="rId202" ref="BG60"/>
    <hyperlink r:id="rId203" ref="E61"/>
    <hyperlink r:id="rId204" ref="BE61"/>
    <hyperlink r:id="rId205" ref="BF61"/>
    <hyperlink r:id="rId206" ref="BG61"/>
    <hyperlink r:id="rId207" ref="E62"/>
    <hyperlink r:id="rId208" ref="BE62"/>
    <hyperlink r:id="rId209" ref="BF62"/>
    <hyperlink r:id="rId210" ref="BG62"/>
    <hyperlink r:id="rId211" ref="E63"/>
    <hyperlink r:id="rId212" ref="BE63"/>
    <hyperlink r:id="rId213" ref="BF63"/>
    <hyperlink r:id="rId214" ref="BG63"/>
    <hyperlink r:id="rId215" ref="E64"/>
    <hyperlink r:id="rId216" ref="BE64"/>
    <hyperlink r:id="rId217" ref="BF64"/>
    <hyperlink r:id="rId218" ref="BG64"/>
    <hyperlink r:id="rId219" ref="E65"/>
    <hyperlink r:id="rId220" ref="BE65"/>
    <hyperlink r:id="rId221" ref="BF65"/>
    <hyperlink r:id="rId222" ref="BG65"/>
    <hyperlink r:id="rId223" ref="E66"/>
    <hyperlink r:id="rId224" ref="BE66"/>
    <hyperlink r:id="rId225" ref="BF66"/>
    <hyperlink r:id="rId226" ref="BG66"/>
    <hyperlink r:id="rId227" ref="E67"/>
    <hyperlink r:id="rId228" ref="BE67"/>
    <hyperlink r:id="rId229" ref="BF67"/>
    <hyperlink r:id="rId230" ref="BG67"/>
    <hyperlink r:id="rId231" ref="E68"/>
    <hyperlink r:id="rId232" ref="BE68"/>
    <hyperlink r:id="rId233" ref="BF68"/>
    <hyperlink r:id="rId234" ref="BG68"/>
    <hyperlink r:id="rId235" ref="E69"/>
    <hyperlink r:id="rId236" ref="BE69"/>
    <hyperlink r:id="rId237" ref="BF69"/>
    <hyperlink r:id="rId238" ref="BG69"/>
    <hyperlink r:id="rId239" ref="E70"/>
    <hyperlink r:id="rId240" ref="BE70"/>
    <hyperlink r:id="rId241" ref="BF70"/>
    <hyperlink r:id="rId242" ref="BG70"/>
    <hyperlink r:id="rId243" ref="E71"/>
    <hyperlink r:id="rId244" ref="BE71"/>
    <hyperlink r:id="rId245" ref="BF71"/>
    <hyperlink r:id="rId246" ref="BG71"/>
    <hyperlink r:id="rId247" ref="E72"/>
    <hyperlink r:id="rId248" ref="BE72"/>
    <hyperlink r:id="rId249" ref="BF72"/>
    <hyperlink r:id="rId250" ref="BG72"/>
    <hyperlink r:id="rId251" ref="E73"/>
    <hyperlink r:id="rId252" ref="BE73"/>
    <hyperlink r:id="rId253" ref="BF73"/>
    <hyperlink r:id="rId254" ref="BG73"/>
    <hyperlink r:id="rId255" ref="E74"/>
    <hyperlink r:id="rId256" ref="BE74"/>
    <hyperlink r:id="rId257" ref="BF74"/>
    <hyperlink r:id="rId258" ref="BG74"/>
    <hyperlink r:id="rId259" ref="E75"/>
    <hyperlink r:id="rId260" ref="BE75"/>
    <hyperlink r:id="rId261" ref="BF75"/>
    <hyperlink r:id="rId262" ref="BG75"/>
    <hyperlink r:id="rId263" ref="E76"/>
    <hyperlink r:id="rId264" ref="BE76"/>
    <hyperlink r:id="rId265" ref="BF76"/>
    <hyperlink r:id="rId266" ref="BG76"/>
    <hyperlink r:id="rId267" ref="E77"/>
    <hyperlink r:id="rId268" ref="BE77"/>
    <hyperlink r:id="rId269" ref="BF77"/>
    <hyperlink r:id="rId270" ref="BG77"/>
    <hyperlink r:id="rId271" ref="E78"/>
    <hyperlink r:id="rId272" ref="BE78"/>
    <hyperlink r:id="rId273" ref="BF78"/>
    <hyperlink r:id="rId274" ref="BG78"/>
    <hyperlink r:id="rId275" ref="E79"/>
    <hyperlink r:id="rId276" ref="BE79"/>
    <hyperlink r:id="rId277" ref="BF79"/>
    <hyperlink r:id="rId278" ref="BG79"/>
    <hyperlink r:id="rId279" ref="E80"/>
    <hyperlink r:id="rId280" ref="BE80"/>
    <hyperlink r:id="rId281" ref="BF80"/>
    <hyperlink r:id="rId282" ref="BG80"/>
    <hyperlink r:id="rId283" ref="E81"/>
    <hyperlink r:id="rId284" ref="BE81"/>
    <hyperlink r:id="rId285" ref="BF81"/>
    <hyperlink r:id="rId286" ref="BG81"/>
    <hyperlink r:id="rId287" ref="E82"/>
    <hyperlink r:id="rId288" ref="BE82"/>
    <hyperlink r:id="rId289" ref="BF82"/>
    <hyperlink r:id="rId290" ref="BG82"/>
    <hyperlink r:id="rId291" ref="E83"/>
    <hyperlink r:id="rId292" ref="BE83"/>
    <hyperlink r:id="rId293" ref="BF83"/>
    <hyperlink r:id="rId294" ref="BG83"/>
    <hyperlink r:id="rId295" ref="E84"/>
    <hyperlink r:id="rId296" ref="BE84"/>
    <hyperlink r:id="rId297" ref="BF84"/>
    <hyperlink r:id="rId298" ref="BG84"/>
    <hyperlink r:id="rId299" ref="E85"/>
    <hyperlink r:id="rId300" ref="BE85"/>
    <hyperlink r:id="rId301" ref="BF85"/>
    <hyperlink r:id="rId302" ref="BG85"/>
    <hyperlink r:id="rId303" ref="E86"/>
    <hyperlink r:id="rId304" ref="BE86"/>
    <hyperlink r:id="rId305" ref="BF86"/>
    <hyperlink r:id="rId306" ref="BG86"/>
    <hyperlink r:id="rId307" ref="E87"/>
    <hyperlink r:id="rId308" ref="BE87"/>
    <hyperlink r:id="rId309" ref="BF87"/>
    <hyperlink r:id="rId310" ref="BG87"/>
    <hyperlink r:id="rId311" ref="E88"/>
    <hyperlink r:id="rId312" ref="BE88"/>
    <hyperlink r:id="rId313" ref="BF88"/>
    <hyperlink r:id="rId314" ref="BG88"/>
    <hyperlink r:id="rId315" ref="E89"/>
    <hyperlink r:id="rId316" ref="BE89"/>
    <hyperlink r:id="rId317" ref="BF89"/>
    <hyperlink r:id="rId318" ref="BG89"/>
    <hyperlink r:id="rId319" ref="E90"/>
    <hyperlink r:id="rId320" ref="BE90"/>
    <hyperlink r:id="rId321" ref="BF90"/>
    <hyperlink r:id="rId322" ref="BG90"/>
    <hyperlink r:id="rId323" ref="E91"/>
    <hyperlink r:id="rId324" ref="BE91"/>
    <hyperlink r:id="rId325" ref="BF91"/>
    <hyperlink r:id="rId326" ref="BG91"/>
    <hyperlink r:id="rId327" ref="E92"/>
    <hyperlink r:id="rId328" ref="BE92"/>
    <hyperlink r:id="rId329" ref="BF92"/>
    <hyperlink r:id="rId330" ref="BG92"/>
    <hyperlink r:id="rId331" ref="E93"/>
    <hyperlink r:id="rId332" ref="BE93"/>
    <hyperlink r:id="rId333" ref="BF93"/>
    <hyperlink r:id="rId334" ref="BG93"/>
    <hyperlink r:id="rId335" ref="E94"/>
    <hyperlink r:id="rId336" ref="BE94"/>
    <hyperlink r:id="rId337" ref="BF94"/>
    <hyperlink r:id="rId338" ref="BG94"/>
    <hyperlink r:id="rId339" ref="E95"/>
    <hyperlink r:id="rId340" ref="BE95"/>
    <hyperlink r:id="rId341" ref="BF95"/>
    <hyperlink r:id="rId342" ref="BG95"/>
    <hyperlink r:id="rId343" ref="E96"/>
    <hyperlink r:id="rId344" ref="BE96"/>
    <hyperlink r:id="rId345" ref="BF96"/>
    <hyperlink r:id="rId346" ref="BG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E99"/>
    <hyperlink r:id="rId354" ref="BE99"/>
    <hyperlink r:id="rId355" ref="BF99"/>
    <hyperlink r:id="rId356" ref="BG99"/>
    <hyperlink r:id="rId357" ref="E100"/>
    <hyperlink r:id="rId358" ref="BE100"/>
    <hyperlink r:id="rId359" ref="BF100"/>
    <hyperlink r:id="rId360" ref="BG100"/>
    <hyperlink r:id="rId361" ref="E101"/>
    <hyperlink r:id="rId362" ref="BE101"/>
    <hyperlink r:id="rId363" ref="BF101"/>
    <hyperlink r:id="rId364" ref="BG101"/>
    <hyperlink r:id="rId365" ref="E102"/>
    <hyperlink r:id="rId366" ref="BE102"/>
    <hyperlink r:id="rId367" ref="BF102"/>
    <hyperlink r:id="rId368" ref="BG102"/>
    <hyperlink r:id="rId369" ref="E103"/>
    <hyperlink r:id="rId370" ref="BE103"/>
    <hyperlink r:id="rId371" ref="BF103"/>
    <hyperlink r:id="rId372" ref="BG103"/>
    <hyperlink r:id="rId373" ref="E104"/>
    <hyperlink r:id="rId374" ref="BE104"/>
    <hyperlink r:id="rId375" ref="BF104"/>
    <hyperlink r:id="rId376" ref="BG104"/>
    <hyperlink r:id="rId377" ref="E105"/>
    <hyperlink r:id="rId378" ref="BE105"/>
    <hyperlink r:id="rId379" ref="BF105"/>
    <hyperlink r:id="rId380" ref="BG105"/>
    <hyperlink r:id="rId381" ref="E106"/>
    <hyperlink r:id="rId382" ref="BE106"/>
    <hyperlink r:id="rId383" ref="BF106"/>
    <hyperlink r:id="rId384" ref="BG106"/>
    <hyperlink r:id="rId385" ref="E107"/>
    <hyperlink r:id="rId386" ref="BE107"/>
    <hyperlink r:id="rId387" ref="BF107"/>
    <hyperlink r:id="rId388" ref="BG107"/>
    <hyperlink r:id="rId389" ref="E108"/>
    <hyperlink r:id="rId390" ref="BE108"/>
    <hyperlink r:id="rId391" ref="BF108"/>
    <hyperlink r:id="rId392" ref="BG108"/>
    <hyperlink r:id="rId393" ref="E109"/>
    <hyperlink r:id="rId394" ref="BE109"/>
    <hyperlink r:id="rId395" ref="BF109"/>
    <hyperlink r:id="rId396" ref="BG109"/>
    <hyperlink r:id="rId397" ref="E110"/>
    <hyperlink r:id="rId398" ref="BE110"/>
    <hyperlink r:id="rId399" ref="BF110"/>
    <hyperlink r:id="rId400" ref="BG110"/>
    <hyperlink r:id="rId401" ref="E111"/>
    <hyperlink r:id="rId402" ref="BE111"/>
    <hyperlink r:id="rId403" ref="BF111"/>
    <hyperlink r:id="rId404" ref="BG111"/>
    <hyperlink r:id="rId405" ref="E112"/>
    <hyperlink r:id="rId406" ref="BE112"/>
    <hyperlink r:id="rId407" ref="BF112"/>
    <hyperlink r:id="rId408" ref="BG112"/>
    <hyperlink r:id="rId409" ref="E113"/>
    <hyperlink r:id="rId410" ref="BE113"/>
    <hyperlink r:id="rId411" ref="BF113"/>
    <hyperlink r:id="rId412" ref="BG113"/>
    <hyperlink r:id="rId413" ref="E114"/>
    <hyperlink r:id="rId414" ref="BE114"/>
    <hyperlink r:id="rId415" ref="BF114"/>
    <hyperlink r:id="rId416" ref="BG114"/>
    <hyperlink r:id="rId417" ref="E115"/>
    <hyperlink r:id="rId418" ref="BE115"/>
    <hyperlink r:id="rId419" ref="BF115"/>
    <hyperlink r:id="rId420" ref="BG115"/>
    <hyperlink r:id="rId421" ref="E116"/>
    <hyperlink r:id="rId422" ref="BE116"/>
    <hyperlink r:id="rId423" ref="BF116"/>
    <hyperlink r:id="rId424" ref="BG116"/>
    <hyperlink r:id="rId425" ref="E117"/>
    <hyperlink r:id="rId426" ref="BE117"/>
    <hyperlink r:id="rId427" ref="BF117"/>
    <hyperlink r:id="rId428" ref="BG117"/>
    <hyperlink r:id="rId429" ref="E118"/>
    <hyperlink r:id="rId430" ref="BE118"/>
    <hyperlink r:id="rId431" ref="BF118"/>
    <hyperlink r:id="rId432" ref="BG118"/>
    <hyperlink r:id="rId433" ref="E119"/>
    <hyperlink r:id="rId434" ref="BE119"/>
    <hyperlink r:id="rId435" ref="BF119"/>
    <hyperlink r:id="rId436" ref="BG119"/>
    <hyperlink r:id="rId437" ref="E120"/>
    <hyperlink r:id="rId438" ref="BE120"/>
    <hyperlink r:id="rId439" ref="E121"/>
    <hyperlink r:id="rId440" ref="BE121"/>
    <hyperlink r:id="rId441" ref="E122"/>
    <hyperlink r:id="rId442" ref="BE122"/>
    <hyperlink r:id="rId443" ref="E123"/>
    <hyperlink r:id="rId444" ref="BE123"/>
    <hyperlink r:id="rId445" ref="E124"/>
    <hyperlink r:id="rId446" ref="BE124"/>
    <hyperlink r:id="rId447" ref="E125"/>
    <hyperlink r:id="rId448" ref="BE125"/>
    <hyperlink r:id="rId449" ref="E126"/>
    <hyperlink r:id="rId450" ref="BE126"/>
    <hyperlink r:id="rId451" ref="E127"/>
    <hyperlink r:id="rId452" ref="BE127"/>
    <hyperlink r:id="rId453" ref="E128"/>
    <hyperlink r:id="rId454" ref="BE128"/>
    <hyperlink r:id="rId455" ref="E129"/>
    <hyperlink r:id="rId456" ref="BE129"/>
    <hyperlink r:id="rId457" ref="E130"/>
    <hyperlink r:id="rId458" ref="BE130"/>
    <hyperlink r:id="rId459" ref="E131"/>
    <hyperlink r:id="rId460" ref="BE131"/>
    <hyperlink r:id="rId461" ref="E132"/>
    <hyperlink r:id="rId462" ref="BE132"/>
  </hyperlinks>
  <drawing r:id="rId46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06.10.2026 Stock")</f>
        <v>Отчёт о товарах 06.10.2026 Stock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IFERROR(__xludf.DUMMYFUNCTION("""COMPUTED_VALUE"""),"R101082")</f>
        <v>R101082</v>
      </c>
      <c r="B4" s="5" t="str">
        <f>IFERROR(__xludf.DUMMYFUNCTION("""COMPUTED_VALUE"""),"RSV-SPO-02-120W-6500K OPL")</f>
        <v>RSV-SPO-02-120W-6500K OPL</v>
      </c>
      <c r="C4" s="2">
        <f>IFERROR(__xludf.DUMMYFUNCTION("""COMPUTED_VALUE"""),0.42)</f>
        <v>0.42</v>
      </c>
      <c r="D4" s="2">
        <f>IFERROR(__xludf.DUMMYFUNCTION("""COMPUTED_VALUE"""),0.00355)</f>
        <v>0.00355</v>
      </c>
      <c r="E4" s="2">
        <f>IFERROR(__xludf.DUMMYFUNCTION("""COMPUTED_VALUE"""),559.35)</f>
        <v>559.35</v>
      </c>
      <c r="F4" s="2">
        <f>IFERROR(__xludf.DUMMYFUNCTION("""COMPUTED_VALUE"""),388.0)</f>
        <v>388</v>
      </c>
      <c r="G4" s="2">
        <f>IFERROR(__xludf.DUMMYFUNCTION("""COMPUTED_VALUE"""),457.0)</f>
        <v>457</v>
      </c>
      <c r="H4" s="2">
        <f>IFERROR(__xludf.DUMMYFUNCTION("""COMPUTED_VALUE"""),470.0)</f>
        <v>470</v>
      </c>
      <c r="I4" s="2">
        <f>IFERROR(__xludf.DUMMYFUNCTION("""COMPUTED_VALUE"""),541.0)</f>
        <v>541</v>
      </c>
      <c r="J4" s="2">
        <f>IFERROR(__xludf.DUMMYFUNCTION("""COMPUTED_VALUE"""),541.0)</f>
        <v>541</v>
      </c>
      <c r="K4" s="2">
        <f>IFERROR(__xludf.DUMMYFUNCTION("""COMPUTED_VALUE"""),9.0)</f>
        <v>9</v>
      </c>
      <c r="L4" s="2" t="str">
        <f>IFERROR(__xludf.DUMMYFUNCTION("""COMPUTED_VALUE"""),"Офисный светильник RSV-SPO-02, SPO-03 (Сталь)")</f>
        <v>Офисный светильник RSV-SPO-02, SPO-03 (Сталь)</v>
      </c>
      <c r="M4" s="2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5">
      <c r="A5" s="5" t="str">
        <f>IFERROR(__xludf.DUMMYFUNCTION("""COMPUTED_VALUE"""),"GL8290")</f>
        <v>GL8290</v>
      </c>
      <c r="B5" s="5" t="str">
        <f>IFERROR(__xludf.DUMMYFUNCTION("""COMPUTED_VALUE"""),"GLERIO Line Ultra 48 Вт 4000К 94P-48D-4N-M")</f>
        <v>GLERIO Line Ultra 48 Вт 4000К 94P-48D-4N-M</v>
      </c>
      <c r="C5" s="2">
        <f>IFERROR(__xludf.DUMMYFUNCTION("""COMPUTED_VALUE"""),0.7200000000000001)</f>
        <v>0.72</v>
      </c>
      <c r="D5" s="2">
        <f>IFERROR(__xludf.DUMMYFUNCTION("""COMPUTED_VALUE"""),0.00485)</f>
        <v>0.00485</v>
      </c>
      <c r="E5" s="2">
        <f>IFERROR(__xludf.DUMMYFUNCTION("""COMPUTED_VALUE"""),2475.31)</f>
        <v>2475.31</v>
      </c>
      <c r="F5" s="2">
        <f>IFERROR(__xludf.DUMMYFUNCTION("""COMPUTED_VALUE"""),3060.0)</f>
        <v>3060</v>
      </c>
      <c r="G5" s="2">
        <f>IFERROR(__xludf.DUMMYFUNCTION("""COMPUTED_VALUE"""),3853.0)</f>
        <v>3853</v>
      </c>
      <c r="H5" s="2">
        <f>IFERROR(__xludf.DUMMYFUNCTION("""COMPUTED_VALUE"""),4327.0)</f>
        <v>4327</v>
      </c>
      <c r="I5" s="2">
        <f>IFERROR(__xludf.DUMMYFUNCTION("""COMPUTED_VALUE"""),4801.0)</f>
        <v>4801</v>
      </c>
      <c r="J5" s="2">
        <f>IFERROR(__xludf.DUMMYFUNCTION("""COMPUTED_VALUE"""),3853.0)</f>
        <v>3853</v>
      </c>
      <c r="K5" s="2">
        <f>IFERROR(__xludf.DUMMYFUNCTION("""COMPUTED_VALUE"""),7.0)</f>
        <v>7</v>
      </c>
      <c r="L5" s="2" t="str">
        <f>IFERROR(__xludf.DUMMYFUNCTION("""COMPUTED_VALUE"""),"Line Ultra (Сеть) до 10.2025")</f>
        <v>Line Ultra (Сеть) до 10.2025</v>
      </c>
      <c r="M5" s="2" t="str">
        <f>IFERROR(__xludf.DUMMYFUNCTION("""COMPUTED_VALUE"""),"Пластиковые (линейные), LED Светильники")</f>
        <v>Пластиковые (линейные), LED Светильники</v>
      </c>
    </row>
    <row r="6">
      <c r="A6" s="5" t="str">
        <f>IFERROR(__xludf.DUMMYFUNCTION("""COMPUTED_VALUE"""),"4690612053011-2")</f>
        <v>4690612053011-2</v>
      </c>
      <c r="B6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6" s="2">
        <f>IFERROR(__xludf.DUMMYFUNCTION("""COMPUTED_VALUE"""),1.38)</f>
        <v>1.38</v>
      </c>
      <c r="D6" s="2">
        <f>IFERROR(__xludf.DUMMYFUNCTION("""COMPUTED_VALUE"""),0.0)</f>
        <v>0</v>
      </c>
      <c r="E6" s="2">
        <f>IFERROR(__xludf.DUMMYFUNCTION("""COMPUTED_VALUE"""),1099.56)</f>
        <v>1099.56</v>
      </c>
      <c r="F6" s="2">
        <f>IFERROR(__xludf.DUMMYFUNCTION("""COMPUTED_VALUE"""),1206.0)</f>
        <v>1206</v>
      </c>
      <c r="G6" s="2">
        <f>IFERROR(__xludf.DUMMYFUNCTION("""COMPUTED_VALUE"""),1407.0)</f>
        <v>1407</v>
      </c>
      <c r="H6" s="2">
        <f>IFERROR(__xludf.DUMMYFUNCTION("""COMPUTED_VALUE"""),1583.0)</f>
        <v>1583</v>
      </c>
      <c r="I6" s="2">
        <f>IFERROR(__xludf.DUMMYFUNCTION("""COMPUTED_VALUE"""),1759.0)</f>
        <v>1759</v>
      </c>
      <c r="J6" s="2">
        <f>IFERROR(__xludf.DUMMYFUNCTION("""COMPUTED_VALUE"""),880.0)</f>
        <v>880</v>
      </c>
      <c r="K6" s="2">
        <f>IFERROR(__xludf.DUMMYFUNCTION("""COMPUTED_VALUE"""),4.0)</f>
        <v>4</v>
      </c>
      <c r="L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">
      <c r="A7" s="5" t="str">
        <f>IFERROR(__xludf.DUMMYFUNCTION("""COMPUTED_VALUE"""),"4690612000879")</f>
        <v>4690612000879</v>
      </c>
      <c r="B7" s="5" t="str">
        <f>IFERROR(__xludf.DUMMYFUNCTION("""COMPUTED_VALUE"""),"LS50-RGB CС 20см")</f>
        <v>LS50-RGB CС 20см</v>
      </c>
      <c r="C7" s="2">
        <f>IFERROR(__xludf.DUMMYFUNCTION("""COMPUTED_VALUE"""),0.001)</f>
        <v>0.001</v>
      </c>
      <c r="D7" s="2">
        <f>IFERROR(__xludf.DUMMYFUNCTION("""COMPUTED_VALUE"""),1.0E-5)</f>
        <v>0.00001</v>
      </c>
      <c r="E7" s="2">
        <f>IFERROR(__xludf.DUMMYFUNCTION("""COMPUTED_VALUE"""),27.65)</f>
        <v>27.65</v>
      </c>
      <c r="F7" s="2">
        <f>IFERROR(__xludf.DUMMYFUNCTION("""COMPUTED_VALUE"""),30.0)</f>
        <v>30</v>
      </c>
      <c r="G7" s="2">
        <f>IFERROR(__xludf.DUMMYFUNCTION("""COMPUTED_VALUE"""),34.0)</f>
        <v>34</v>
      </c>
      <c r="H7" s="2">
        <f>IFERROR(__xludf.DUMMYFUNCTION("""COMPUTED_VALUE"""),39.0)</f>
        <v>39</v>
      </c>
      <c r="I7" s="2">
        <f>IFERROR(__xludf.DUMMYFUNCTION("""COMPUTED_VALUE"""),45.0)</f>
        <v>45</v>
      </c>
      <c r="J7" s="2">
        <f>IFERROR(__xludf.DUMMYFUNCTION("""COMPUTED_VALUE"""),23.0)</f>
        <v>23</v>
      </c>
      <c r="K7" s="2">
        <f>IFERROR(__xludf.DUMMYFUNCTION("""COMPUTED_VALUE"""),97.0)</f>
        <v>97</v>
      </c>
      <c r="L7" s="2" t="str">
        <f>IFERROR(__xludf.DUMMYFUNCTION("""COMPUTED_VALUE"""),"ASD Комплектующие")</f>
        <v>ASD Комплектующие</v>
      </c>
      <c r="M7" s="2" t="str">
        <f>IFERROR(__xludf.DUMMYFUNCTION("""COMPUTED_VALUE"""),"Прочие товары")</f>
        <v>Прочие товары</v>
      </c>
    </row>
    <row r="8">
      <c r="A8" s="5" t="str">
        <f>IFERROR(__xludf.DUMMYFUNCTION("""COMPUTED_VALUE"""),"4690612053028")</f>
        <v>4690612053028</v>
      </c>
      <c r="B8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8" s="2">
        <f>IFERROR(__xludf.DUMMYFUNCTION("""COMPUTED_VALUE"""),1.14)</f>
        <v>1.14</v>
      </c>
      <c r="D8" s="2">
        <f>IFERROR(__xludf.DUMMYFUNCTION("""COMPUTED_VALUE"""),0.008)</f>
        <v>0.008</v>
      </c>
      <c r="E8" s="2">
        <f>IFERROR(__xludf.DUMMYFUNCTION("""COMPUTED_VALUE"""),551.91)</f>
        <v>551.91</v>
      </c>
      <c r="F8" s="2">
        <f>IFERROR(__xludf.DUMMYFUNCTION("""COMPUTED_VALUE"""),644.0)</f>
        <v>644</v>
      </c>
      <c r="G8" s="2">
        <f>IFERROR(__xludf.DUMMYFUNCTION("""COMPUTED_VALUE"""),725.0)</f>
        <v>725</v>
      </c>
      <c r="H8" s="2">
        <f>IFERROR(__xludf.DUMMYFUNCTION("""COMPUTED_VALUE"""),840.0)</f>
        <v>840</v>
      </c>
      <c r="I8" s="2">
        <f>IFERROR(__xludf.DUMMYFUNCTION("""COMPUTED_VALUE"""),966.0)</f>
        <v>966</v>
      </c>
      <c r="J8" s="2">
        <f>IFERROR(__xludf.DUMMYFUNCTION("""COMPUTED_VALUE"""),483.0)</f>
        <v>483</v>
      </c>
      <c r="K8" s="2">
        <f>IFERROR(__xludf.DUMMYFUNCTION("""COMPUTED_VALUE"""),1.0)</f>
        <v>1</v>
      </c>
      <c r="L8" s="2" t="str">
        <f>IFERROR(__xludf.DUMMYFUNCTION("""COMPUTED_VALUE"""),"NEOX Светильники LED ДВО")</f>
        <v>NEOX Светильники LED ДВО</v>
      </c>
      <c r="M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9">
      <c r="A9" s="5" t="str">
        <f>IFERROR(__xludf.DUMMYFUNCTION("""COMPUTED_VALUE"""),"4690612020792")</f>
        <v>4690612020792</v>
      </c>
      <c r="B9" s="5" t="str">
        <f>IFERROR(__xludf.DUMMYFUNCTION("""COMPUTED_VALUE"""),"LED-GX53-VC 12Вт 230В 4000К 1140Лм IN HOME")</f>
        <v>LED-GX53-VC 12Вт 230В 4000К 1140Лм IN HOME</v>
      </c>
      <c r="C9" s="2">
        <f>IFERROR(__xludf.DUMMYFUNCTION("""COMPUTED_VALUE"""),0.03800000000000001)</f>
        <v>0.038</v>
      </c>
      <c r="D9" s="2">
        <f>IFERROR(__xludf.DUMMYFUNCTION("""COMPUTED_VALUE"""),2.1E-4)</f>
        <v>0.00021</v>
      </c>
      <c r="E9" s="2">
        <f>IFERROR(__xludf.DUMMYFUNCTION("""COMPUTED_VALUE"""),47.09)</f>
        <v>47.09</v>
      </c>
      <c r="F9" s="2">
        <f>IFERROR(__xludf.DUMMYFUNCTION("""COMPUTED_VALUE"""),48.0)</f>
        <v>48</v>
      </c>
      <c r="G9" s="2">
        <f>IFERROR(__xludf.DUMMYFUNCTION("""COMPUTED_VALUE"""),54.0)</f>
        <v>54</v>
      </c>
      <c r="H9" s="2">
        <f>IFERROR(__xludf.DUMMYFUNCTION("""COMPUTED_VALUE"""),62.0)</f>
        <v>62</v>
      </c>
      <c r="I9" s="2">
        <f>IFERROR(__xludf.DUMMYFUNCTION("""COMPUTED_VALUE"""),71.9)</f>
        <v>71.9</v>
      </c>
      <c r="J9" s="2">
        <f>IFERROR(__xludf.DUMMYFUNCTION("""COMPUTED_VALUE"""),36.0)</f>
        <v>36</v>
      </c>
      <c r="K9" s="2">
        <f>IFERROR(__xludf.DUMMYFUNCTION("""COMPUTED_VALUE"""),1.0)</f>
        <v>1</v>
      </c>
      <c r="L9" s="2" t="str">
        <f>IFERROR(__xludf.DUMMYFUNCTION("""COMPUTED_VALUE"""),"Лампа светодиодная LED-GX53-standard")</f>
        <v>Лампа светодиодная LED-GX53-standard</v>
      </c>
      <c r="M9" s="2" t="str">
        <f>IFERROR(__xludf.DUMMYFUNCTION("""COMPUTED_VALUE"""),"Лампы")</f>
        <v>Лампы</v>
      </c>
    </row>
    <row r="10">
      <c r="A10" s="5" t="str">
        <f>IFERROR(__xludf.DUMMYFUNCTION("""COMPUTED_VALUE"""),"ves033")</f>
        <v>ves033</v>
      </c>
      <c r="B10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IFERROR(__xludf.DUMMYFUNCTION("""COMPUTED_VALUE"""),335.03)</f>
        <v>335.03</v>
      </c>
      <c r="F10" s="2">
        <f>IFERROR(__xludf.DUMMYFUNCTION("""COMPUTED_VALUE"""),525.0)</f>
        <v>525</v>
      </c>
      <c r="G10" s="2">
        <f>IFERROR(__xludf.DUMMYFUNCTION("""COMPUTED_VALUE"""),560.0)</f>
        <v>560</v>
      </c>
      <c r="H10" s="2">
        <f>IFERROR(__xludf.DUMMYFUNCTION("""COMPUTED_VALUE"""),630.0)</f>
        <v>630</v>
      </c>
      <c r="I10" s="2">
        <f>IFERROR(__xludf.DUMMYFUNCTION("""COMPUTED_VALUE"""),700.0)</f>
        <v>700</v>
      </c>
      <c r="J10" s="2">
        <f>IFERROR(__xludf.DUMMYFUNCTION("""COMPUTED_VALUE"""),335.0)</f>
        <v>335</v>
      </c>
      <c r="K10" s="2">
        <f>IFERROR(__xludf.DUMMYFUNCTION("""COMPUTED_VALUE"""),30.0)</f>
        <v>30</v>
      </c>
      <c r="L10" s="2" t="str">
        <f>IFERROR(__xludf.DUMMYFUNCTION("""COMPUTED_VALUE"""),"ves")</f>
        <v>ves</v>
      </c>
      <c r="M10" s="2" t="str">
        <f>IFERROR(__xludf.DUMMYFUNCTION("""COMPUTED_VALUE"""),"LED Светильники")</f>
        <v>LED Светильники</v>
      </c>
    </row>
    <row r="11">
      <c r="A11" s="5" t="str">
        <f>IFERROR(__xludf.DUMMYFUNCTION("""COMPUTED_VALUE"""),"4690612036717")</f>
        <v>4690612036717</v>
      </c>
      <c r="B11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1" s="2">
        <f>IFERROR(__xludf.DUMMYFUNCTION("""COMPUTED_VALUE"""),0.225)</f>
        <v>0.225</v>
      </c>
      <c r="D11" s="2">
        <f>IFERROR(__xludf.DUMMYFUNCTION("""COMPUTED_VALUE"""),0.002)</f>
        <v>0.002</v>
      </c>
      <c r="E11" s="2">
        <f>IFERROR(__xludf.DUMMYFUNCTION("""COMPUTED_VALUE"""),390.15)</f>
        <v>390.15</v>
      </c>
      <c r="F11" s="2">
        <f>IFERROR(__xludf.DUMMYFUNCTION("""COMPUTED_VALUE"""),363.0)</f>
        <v>363</v>
      </c>
      <c r="G11" s="2">
        <f>IFERROR(__xludf.DUMMYFUNCTION("""COMPUTED_VALUE"""),408.0)</f>
        <v>408</v>
      </c>
      <c r="H11" s="2">
        <f>IFERROR(__xludf.DUMMYFUNCTION("""COMPUTED_VALUE"""),474.0)</f>
        <v>474</v>
      </c>
      <c r="I11" s="2">
        <f>IFERROR(__xludf.DUMMYFUNCTION("""COMPUTED_VALUE"""),545.0)</f>
        <v>545</v>
      </c>
      <c r="J11" s="2">
        <f>IFERROR(__xludf.DUMMYFUNCTION("""COMPUTED_VALUE"""),273.0)</f>
        <v>273</v>
      </c>
      <c r="K11" s="2">
        <f>IFERROR(__xludf.DUMMYFUNCTION("""COMPUTED_VALUE"""),2.0)</f>
        <v>2</v>
      </c>
      <c r="L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1" s="2" t="str">
        <f>IFERROR(__xludf.DUMMYFUNCTION("""COMPUTED_VALUE"""),"Точечные круглые Downlight, LED Светильники")</f>
        <v>Точечные круглые Downlight, LED Светильники</v>
      </c>
    </row>
    <row r="12">
      <c r="A12" s="5" t="str">
        <f>IFERROR(__xludf.DUMMYFUNCTION("""COMPUTED_VALUE"""),"4690612037653-2")</f>
        <v>4690612037653-2</v>
      </c>
      <c r="B12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2" s="2">
        <f>IFERROR(__xludf.DUMMYFUNCTION("""COMPUTED_VALUE"""),1.24)</f>
        <v>1.24</v>
      </c>
      <c r="D12" s="2">
        <f>IFERROR(__xludf.DUMMYFUNCTION("""COMPUTED_VALUE"""),0.0)</f>
        <v>0</v>
      </c>
      <c r="E12" s="2">
        <f>IFERROR(__xludf.DUMMYFUNCTION("""COMPUTED_VALUE"""),1230.51)</f>
        <v>1230.51</v>
      </c>
      <c r="F12" s="2">
        <f>IFERROR(__xludf.DUMMYFUNCTION("""COMPUTED_VALUE"""),1350.0)</f>
        <v>1350</v>
      </c>
      <c r="G12" s="2">
        <f>IFERROR(__xludf.DUMMYFUNCTION("""COMPUTED_VALUE"""),1575.0)</f>
        <v>1575</v>
      </c>
      <c r="H12" s="2">
        <f>IFERROR(__xludf.DUMMYFUNCTION("""COMPUTED_VALUE"""),1772.0)</f>
        <v>1772</v>
      </c>
      <c r="I12" s="2">
        <f>IFERROR(__xludf.DUMMYFUNCTION("""COMPUTED_VALUE"""),1969.0)</f>
        <v>1969</v>
      </c>
      <c r="J12" s="2">
        <f>IFERROR(__xludf.DUMMYFUNCTION("""COMPUTED_VALUE"""),985.0)</f>
        <v>985</v>
      </c>
      <c r="K12" s="2">
        <f>IFERROR(__xludf.DUMMYFUNCTION("""COMPUTED_VALUE"""),12.0)</f>
        <v>12</v>
      </c>
      <c r="L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">
      <c r="A13" s="5" t="str">
        <f>IFERROR(__xludf.DUMMYFUNCTION("""COMPUTED_VALUE"""),"4690612062877")</f>
        <v>4690612062877</v>
      </c>
      <c r="B13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3" s="2">
        <f>IFERROR(__xludf.DUMMYFUNCTION("""COMPUTED_VALUE"""),1.1)</f>
        <v>1.1</v>
      </c>
      <c r="D13" s="2">
        <f>IFERROR(__xludf.DUMMYFUNCTION("""COMPUTED_VALUE"""),0.007500000000000001)</f>
        <v>0.0075</v>
      </c>
      <c r="E13" s="2">
        <f>IFERROR(__xludf.DUMMYFUNCTION("""COMPUTED_VALUE"""),600.14)</f>
        <v>600.14</v>
      </c>
      <c r="F13" s="2">
        <f>IFERROR(__xludf.DUMMYFUNCTION("""COMPUTED_VALUE"""),707.0)</f>
        <v>707</v>
      </c>
      <c r="G13" s="2">
        <f>IFERROR(__xludf.DUMMYFUNCTION("""COMPUTED_VALUE"""),796.0)</f>
        <v>796</v>
      </c>
      <c r="H13" s="2">
        <f>IFERROR(__xludf.DUMMYFUNCTION("""COMPUTED_VALUE"""),923.0)</f>
        <v>923</v>
      </c>
      <c r="I13" s="2">
        <f>IFERROR(__xludf.DUMMYFUNCTION("""COMPUTED_VALUE"""),1061.0)</f>
        <v>1061</v>
      </c>
      <c r="J13" s="2">
        <f>IFERROR(__xludf.DUMMYFUNCTION("""COMPUTED_VALUE"""),1061.0)</f>
        <v>1061</v>
      </c>
      <c r="K13" s="2">
        <f>IFERROR(__xludf.DUMMYFUNCTION("""COMPUTED_VALUE"""),2.0)</f>
        <v>2</v>
      </c>
      <c r="L13" s="2" t="str">
        <f>IFERROR(__xludf.DUMMYFUNCTION("""COMPUTED_VALUE"""),"NEOX Светильники LED ДВО")</f>
        <v>NEOX Светильники LED ДВО</v>
      </c>
      <c r="M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4">
      <c r="A14" s="5" t="str">
        <f>IFERROR(__xludf.DUMMYFUNCTION("""COMPUTED_VALUE"""),"4690612029818")</f>
        <v>4690612029818</v>
      </c>
      <c r="B14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4" s="2">
        <f>IFERROR(__xludf.DUMMYFUNCTION("""COMPUTED_VALUE"""),1.2)</f>
        <v>1.2</v>
      </c>
      <c r="D14" s="2">
        <f>IFERROR(__xludf.DUMMYFUNCTION("""COMPUTED_VALUE"""),0.00525)</f>
        <v>0.00525</v>
      </c>
      <c r="E14" s="2">
        <f>IFERROR(__xludf.DUMMYFUNCTION("""COMPUTED_VALUE"""),485.21)</f>
        <v>485.21</v>
      </c>
      <c r="F14" s="2">
        <f>IFERROR(__xludf.DUMMYFUNCTION("""COMPUTED_VALUE"""),537.0)</f>
        <v>537</v>
      </c>
      <c r="G14" s="2">
        <f>IFERROR(__xludf.DUMMYFUNCTION("""COMPUTED_VALUE"""),605.0)</f>
        <v>605</v>
      </c>
      <c r="H14" s="2">
        <f>IFERROR(__xludf.DUMMYFUNCTION("""COMPUTED_VALUE"""),701.0)</f>
        <v>701</v>
      </c>
      <c r="I14" s="2">
        <f>IFERROR(__xludf.DUMMYFUNCTION("""COMPUTED_VALUE"""),806.0)</f>
        <v>806</v>
      </c>
      <c r="J14" s="2">
        <f>IFERROR(__xludf.DUMMYFUNCTION("""COMPUTED_VALUE"""),403.0)</f>
        <v>403</v>
      </c>
      <c r="K14" s="2">
        <f>IFERROR(__xludf.DUMMYFUNCTION("""COMPUTED_VALUE"""),11.0)</f>
        <v>11</v>
      </c>
      <c r="L14" s="2" t="str">
        <f>IFERROR(__xludf.DUMMYFUNCTION("""COMPUTED_VALUE"""),"Панели светодиодные LP серии ПРИЗМА")</f>
        <v>Панели светодиодные LP серии ПРИЗМА</v>
      </c>
      <c r="M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5">
      <c r="A15" s="5" t="str">
        <f>IFERROR(__xludf.DUMMYFUNCTION("""COMPUTED_VALUE"""),"12-0133")</f>
        <v>12-0133</v>
      </c>
      <c r="B15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IFERROR(__xludf.DUMMYFUNCTION("""COMPUTED_VALUE"""),1.0)</f>
        <v>1</v>
      </c>
      <c r="F15" s="2">
        <f>IFERROR(__xludf.DUMMYFUNCTION("""COMPUTED_VALUE"""),794.0)</f>
        <v>794</v>
      </c>
      <c r="G15" s="2">
        <f>IFERROR(__xludf.DUMMYFUNCTION("""COMPUTED_VALUE"""),847.0)</f>
        <v>847</v>
      </c>
      <c r="H15" s="2">
        <f>IFERROR(__xludf.DUMMYFUNCTION("""COMPUTED_VALUE"""),952.0)</f>
        <v>952</v>
      </c>
      <c r="I15" s="2">
        <f>IFERROR(__xludf.DUMMYFUNCTION("""COMPUTED_VALUE"""),1058.26)</f>
        <v>1058.26</v>
      </c>
      <c r="J15" s="2">
        <f>IFERROR(__xludf.DUMMYFUNCTION("""COMPUTED_VALUE"""),529.0)</f>
        <v>529</v>
      </c>
      <c r="K15" s="2">
        <f>IFERROR(__xludf.DUMMYFUNCTION("""COMPUTED_VALUE"""),1.0)</f>
        <v>1</v>
      </c>
      <c r="L15" s="2" t="str">
        <f>IFERROR(__xludf.DUMMYFUNCTION("""COMPUTED_VALUE"""),"Rexant")</f>
        <v>Rexant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IFERROR(__xludf.DUMMYFUNCTION("""COMPUTED_VALUE"""),"83800404")</f>
        <v>83800404</v>
      </c>
      <c r="B16" s="5" t="str">
        <f>IFERROR(__xludf.DUMMYFUNCTION("""COMPUTED_VALUE"""),"ДВП 3.2 мм 1220X610 мм 0.75 м²")</f>
        <v>ДВП 3.2 мм 1220X610 мм 0.75 м²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IFERROR(__xludf.DUMMYFUNCTION("""COMPUTED_VALUE"""),144.33)</f>
        <v>144.33</v>
      </c>
      <c r="F16" s="2">
        <f>IFERROR(__xludf.DUMMYFUNCTION("""COMPUTED_VALUE"""),0.0)</f>
        <v>0</v>
      </c>
      <c r="G16" s="2">
        <f>IFERROR(__xludf.DUMMYFUNCTION("""COMPUTED_VALUE"""),0.0)</f>
        <v>0</v>
      </c>
      <c r="H16" s="2">
        <f>IFERROR(__xludf.DUMMYFUNCTION("""COMPUTED_VALUE"""),0.0)</f>
        <v>0</v>
      </c>
      <c r="I16" s="2">
        <f>IFERROR(__xludf.DUMMYFUNCTION("""COMPUTED_VALUE"""),0.5)</f>
        <v>0.5</v>
      </c>
      <c r="J16" s="2">
        <f>IFERROR(__xludf.DUMMYFUNCTION("""COMPUTED_VALUE"""),0.5)</f>
        <v>0.5</v>
      </c>
      <c r="K16" s="2">
        <f>IFERROR(__xludf.DUMMYFUNCTION("""COMPUTED_VALUE"""),71.0)</f>
        <v>71</v>
      </c>
      <c r="L16" s="2" t="str">
        <f>IFERROR(__xludf.DUMMYFUNCTION("""COMPUTED_VALUE"""),"Упаковка")</f>
        <v>Упаковка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IFERROR(__xludf.DUMMYFUNCTION("""COMPUTED_VALUE"""),"4690612003047")</f>
        <v>4690612003047</v>
      </c>
      <c r="B17" s="5" t="str">
        <f>IFERROR(__xludf.DUMMYFUNCTION("""COMPUTED_VALUE"""),"СПБ-Т5 10Вт 230В 4000К 900Лм 900мм IN HOME")</f>
        <v>СПБ-Т5 10Вт 230В 4000К 900Лм 900мм IN HOME</v>
      </c>
      <c r="C17" s="2">
        <f>IFERROR(__xludf.DUMMYFUNCTION("""COMPUTED_VALUE"""),0.2)</f>
        <v>0.2</v>
      </c>
      <c r="D17" s="2">
        <f>IFERROR(__xludf.DUMMYFUNCTION("""COMPUTED_VALUE"""),0.00124)</f>
        <v>0.00124</v>
      </c>
      <c r="E17" s="2">
        <f>IFERROR(__xludf.DUMMYFUNCTION("""COMPUTED_VALUE"""),224.41)</f>
        <v>224.41</v>
      </c>
      <c r="F17" s="2">
        <f>IFERROR(__xludf.DUMMYFUNCTION("""COMPUTED_VALUE"""),260.0)</f>
        <v>260</v>
      </c>
      <c r="G17" s="2">
        <f>IFERROR(__xludf.DUMMYFUNCTION("""COMPUTED_VALUE"""),293.0)</f>
        <v>293</v>
      </c>
      <c r="H17" s="2">
        <f>IFERROR(__xludf.DUMMYFUNCTION("""COMPUTED_VALUE"""),340.0)</f>
        <v>340</v>
      </c>
      <c r="I17" s="2">
        <f>IFERROR(__xludf.DUMMYFUNCTION("""COMPUTED_VALUE"""),391.0)</f>
        <v>391</v>
      </c>
      <c r="J17" s="2">
        <f>IFERROR(__xludf.DUMMYFUNCTION("""COMPUTED_VALUE"""),391.0)</f>
        <v>391</v>
      </c>
      <c r="K17" s="2">
        <f>IFERROR(__xludf.DUMMYFUNCTION("""COMPUTED_VALUE"""),50.0)</f>
        <v>50</v>
      </c>
      <c r="L17" s="2" t="str">
        <f>IFERROR(__xludf.DUMMYFUNCTION("""COMPUTED_VALUE"""),"Светильники светодиодные СПБ-T5, СПБ-Т5Д ")</f>
        <v>Светильники светодиодные СПБ-T5, СПБ-Т5Д </v>
      </c>
      <c r="M17" s="2" t="str">
        <f>IFERROR(__xludf.DUMMYFUNCTION("""COMPUTED_VALUE"""),"Пластиковые (линейные), LED Светильники")</f>
        <v>Пластиковые (линейные), LED Светильники</v>
      </c>
    </row>
    <row r="18">
      <c r="A18" s="5" t="str">
        <f>IFERROR(__xludf.DUMMYFUNCTION("""COMPUTED_VALUE"""),"12-3441")</f>
        <v>12-3441</v>
      </c>
      <c r="B18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IFERROR(__xludf.DUMMYFUNCTION("""COMPUTED_VALUE"""),978.0)</f>
        <v>978</v>
      </c>
      <c r="G18" s="2">
        <f>IFERROR(__xludf.DUMMYFUNCTION("""COMPUTED_VALUE"""),1043.0)</f>
        <v>1043</v>
      </c>
      <c r="H18" s="2">
        <f>IFERROR(__xludf.DUMMYFUNCTION("""COMPUTED_VALUE"""),1173.0)</f>
        <v>1173</v>
      </c>
      <c r="I18" s="2">
        <f>IFERROR(__xludf.DUMMYFUNCTION("""COMPUTED_VALUE"""),1303.52)</f>
        <v>1303.52</v>
      </c>
      <c r="J18" s="2">
        <f>IFERROR(__xludf.DUMMYFUNCTION("""COMPUTED_VALUE"""),652.0)</f>
        <v>652</v>
      </c>
      <c r="K18" s="2">
        <f>IFERROR(__xludf.DUMMYFUNCTION("""COMPUTED_VALUE"""),2.0)</f>
        <v>2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IFERROR(__xludf.DUMMYFUNCTION("""COMPUTED_VALUE"""),"4690612008141")</f>
        <v>4690612008141</v>
      </c>
      <c r="B19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9" s="2">
        <f>IFERROR(__xludf.DUMMYFUNCTION("""COMPUTED_VALUE"""),0.5860000000000001)</f>
        <v>0.586</v>
      </c>
      <c r="D19" s="2">
        <f>IFERROR(__xludf.DUMMYFUNCTION("""COMPUTED_VALUE"""),0.004350000000000001)</f>
        <v>0.00435</v>
      </c>
      <c r="E19" s="2">
        <f>IFERROR(__xludf.DUMMYFUNCTION("""COMPUTED_VALUE"""),515.9)</f>
        <v>515.9</v>
      </c>
      <c r="F19" s="2">
        <f>IFERROR(__xludf.DUMMYFUNCTION("""COMPUTED_VALUE"""),504.0)</f>
        <v>504</v>
      </c>
      <c r="G19" s="2">
        <f>IFERROR(__xludf.DUMMYFUNCTION("""COMPUTED_VALUE"""),567.0)</f>
        <v>567</v>
      </c>
      <c r="H19" s="2">
        <f>IFERROR(__xludf.DUMMYFUNCTION("""COMPUTED_VALUE"""),658.0)</f>
        <v>658</v>
      </c>
      <c r="I19" s="2">
        <f>IFERROR(__xludf.DUMMYFUNCTION("""COMPUTED_VALUE"""),756.0)</f>
        <v>756</v>
      </c>
      <c r="J19" s="2">
        <f>IFERROR(__xludf.DUMMYFUNCTION("""COMPUTED_VALUE"""),378.0)</f>
        <v>378</v>
      </c>
      <c r="K19" s="2">
        <f>IFERROR(__xludf.DUMMYFUNCTION("""COMPUTED_VALUE"""),1.0)</f>
        <v>1</v>
      </c>
      <c r="L1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9" s="2" t="str">
        <f>IFERROR(__xludf.DUMMYFUNCTION("""COMPUTED_VALUE"""),"Точечные круглые Downlight, LED Светильники")</f>
        <v>Точечные круглые Downlight, LED Светильники</v>
      </c>
    </row>
    <row r="20">
      <c r="A20" s="5" t="str">
        <f>IFERROR(__xludf.DUMMYFUNCTION("""COMPUTED_VALUE"""),"06-0107-A")</f>
        <v>06-0107-A</v>
      </c>
      <c r="B20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IFERROR(__xludf.DUMMYFUNCTION("""COMPUTED_VALUE"""),45.0)</f>
        <v>45</v>
      </c>
      <c r="G20" s="2">
        <f>IFERROR(__xludf.DUMMYFUNCTION("""COMPUTED_VALUE"""),48.0)</f>
        <v>48</v>
      </c>
      <c r="H20" s="2">
        <f>IFERROR(__xludf.DUMMYFUNCTION("""COMPUTED_VALUE"""),54.0)</f>
        <v>54</v>
      </c>
      <c r="I20" s="2">
        <f>IFERROR(__xludf.DUMMYFUNCTION("""COMPUTED_VALUE"""),59.5)</f>
        <v>59.5</v>
      </c>
      <c r="J20" s="2">
        <f>IFERROR(__xludf.DUMMYFUNCTION("""COMPUTED_VALUE"""),30.0)</f>
        <v>30</v>
      </c>
      <c r="K20" s="2">
        <f>IFERROR(__xludf.DUMMYFUNCTION("""COMPUTED_VALUE"""),8.0)</f>
        <v>8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IFERROR(__xludf.DUMMYFUNCTION("""COMPUTED_VALUE"""),"4260652193284")</f>
        <v>4260652193284</v>
      </c>
      <c r="B21" s="5" t="str">
        <f>IFERROR(__xludf.DUMMYFUNCTION("""COMPUTED_VALUE"""),"LCL04-8W-R11-6K-SOA")</f>
        <v>LCL04-8W-R11-6K-SOA</v>
      </c>
      <c r="C21" s="2">
        <f>IFERROR(__xludf.DUMMYFUNCTION("""COMPUTED_VALUE"""),0.09200000000000001)</f>
        <v>0.092</v>
      </c>
      <c r="D21" s="2">
        <f>IFERROR(__xludf.DUMMYFUNCTION("""COMPUTED_VALUE"""),0.0)</f>
        <v>0</v>
      </c>
      <c r="E21" s="2">
        <f>IFERROR(__xludf.DUMMYFUNCTION("""COMPUTED_VALUE"""),120.0)</f>
        <v>120</v>
      </c>
      <c r="F21" s="2">
        <f>IFERROR(__xludf.DUMMYFUNCTION("""COMPUTED_VALUE"""),291.0)</f>
        <v>291</v>
      </c>
      <c r="G21" s="2">
        <f>IFERROR(__xludf.DUMMYFUNCTION("""COMPUTED_VALUE"""),301.0)</f>
        <v>301</v>
      </c>
      <c r="H21" s="2">
        <f>IFERROR(__xludf.DUMMYFUNCTION("""COMPUTED_VALUE"""),394.0)</f>
        <v>394</v>
      </c>
      <c r="I21" s="2">
        <f>IFERROR(__xludf.DUMMYFUNCTION("""COMPUTED_VALUE"""),493.0)</f>
        <v>493</v>
      </c>
      <c r="J21" s="2">
        <f>IFERROR(__xludf.DUMMYFUNCTION("""COMPUTED_VALUE"""),247.0)</f>
        <v>247</v>
      </c>
      <c r="K21" s="2">
        <f>IFERROR(__xludf.DUMMYFUNCTION("""COMPUTED_VALUE"""),17.0)</f>
        <v>17</v>
      </c>
      <c r="L21" s="2" t="str">
        <f>IFERROR(__xludf.DUMMYFUNCTION("""COMPUTED_VALUE"""),"Wolta ЖКХ")</f>
        <v>Wolta ЖКХ</v>
      </c>
      <c r="M21" s="2" t="str">
        <f>IFERROR(__xludf.DUMMYFUNCTION("""COMPUTED_VALUE"""),"Для ЖКХ, дома, дачи, LED Светильники")</f>
        <v>Для ЖКХ, дома, дачи, LED Светильники</v>
      </c>
    </row>
    <row r="22">
      <c r="A22" s="5" t="str">
        <f>IFERROR(__xludf.DUMMYFUNCTION("""COMPUTED_VALUE"""),"12-0180")</f>
        <v>12-0180</v>
      </c>
      <c r="B22" s="5" t="str">
        <f>IFERROR(__xludf.DUMMYFUNCTION("""COMPUTED_VALUE"""),"Паяльник Мини (питание через USB) 5 V/8 Вт REXANT")</f>
        <v>Паяльник Мини (питание через USB) 5 V/8 Вт REXANT</v>
      </c>
      <c r="C22" s="2">
        <f>IFERROR(__xludf.DUMMYFUNCTION("""COMPUTED_VALUE"""),0.0)</f>
        <v>0</v>
      </c>
      <c r="D22" s="2">
        <f>IFERROR(__xludf.DUMMYFUNCTION("""COMPUTED_VALUE"""),0.0)</f>
        <v>0</v>
      </c>
      <c r="E22" s="2">
        <f>IFERROR(__xludf.DUMMYFUNCTION("""COMPUTED_VALUE"""),1.0)</f>
        <v>1</v>
      </c>
      <c r="F22" s="2">
        <f>IFERROR(__xludf.DUMMYFUNCTION("""COMPUTED_VALUE"""),937.0)</f>
        <v>937</v>
      </c>
      <c r="G22" s="2">
        <f>IFERROR(__xludf.DUMMYFUNCTION("""COMPUTED_VALUE"""),1000.0)</f>
        <v>1000</v>
      </c>
      <c r="H22" s="2">
        <f>IFERROR(__xludf.DUMMYFUNCTION("""COMPUTED_VALUE"""),1125.0)</f>
        <v>1125</v>
      </c>
      <c r="I22" s="2">
        <f>IFERROR(__xludf.DUMMYFUNCTION("""COMPUTED_VALUE"""),1249.5)</f>
        <v>1249.5</v>
      </c>
      <c r="J22" s="2">
        <f>IFERROR(__xludf.DUMMYFUNCTION("""COMPUTED_VALUE"""),625.0)</f>
        <v>625</v>
      </c>
      <c r="K22" s="2">
        <f>IFERROR(__xludf.DUMMYFUNCTION("""COMPUTED_VALUE"""),12.0)</f>
        <v>12</v>
      </c>
      <c r="L22" s="2" t="str">
        <f>IFERROR(__xludf.DUMMYFUNCTION("""COMPUTED_VALUE"""),"Rexant")</f>
        <v>Rexant</v>
      </c>
      <c r="M22" s="2" t="str">
        <f>IFERROR(__xludf.DUMMYFUNCTION("""COMPUTED_VALUE"""),"Прочие товары")</f>
        <v>Прочие товары</v>
      </c>
    </row>
    <row r="23">
      <c r="A23" s="5" t="str">
        <f>IFERROR(__xludf.DUMMYFUNCTION("""COMPUTED_VALUE"""),"4690612024653")</f>
        <v>4690612024653</v>
      </c>
      <c r="B23" s="5" t="str">
        <f>IFERROR(__xludf.DUMMYFUNCTION("""COMPUTED_VALUE"""),"LED-A70-std 30Вт 230В Е27 4000К 2700Лм ASD")</f>
        <v>LED-A70-std 30Вт 230В Е27 4000К 2700Лм ASD</v>
      </c>
      <c r="C23" s="2">
        <f>IFERROR(__xludf.DUMMYFUNCTION("""COMPUTED_VALUE"""),0.085)</f>
        <v>0.085</v>
      </c>
      <c r="D23" s="2">
        <f>IFERROR(__xludf.DUMMYFUNCTION("""COMPUTED_VALUE"""),8.0E-4)</f>
        <v>0.0008</v>
      </c>
      <c r="E23" s="2">
        <f>IFERROR(__xludf.DUMMYFUNCTION("""COMPUTED_VALUE"""),116.9)</f>
        <v>116.9</v>
      </c>
      <c r="F23" s="2">
        <f>IFERROR(__xludf.DUMMYFUNCTION("""COMPUTED_VALUE"""),93.0)</f>
        <v>93</v>
      </c>
      <c r="G23" s="2">
        <f>IFERROR(__xludf.DUMMYFUNCTION("""COMPUTED_VALUE"""),105.0)</f>
        <v>105</v>
      </c>
      <c r="H23" s="2">
        <f>IFERROR(__xludf.DUMMYFUNCTION("""COMPUTED_VALUE"""),122.0)</f>
        <v>122</v>
      </c>
      <c r="I23" s="2">
        <f>IFERROR(__xludf.DUMMYFUNCTION("""COMPUTED_VALUE"""),140.5)</f>
        <v>140.5</v>
      </c>
      <c r="J23" s="2">
        <f>IFERROR(__xludf.DUMMYFUNCTION("""COMPUTED_VALUE"""),105.0)</f>
        <v>105</v>
      </c>
      <c r="K23" s="2">
        <f>IFERROR(__xludf.DUMMYFUNCTION("""COMPUTED_VALUE"""),39.0)</f>
        <v>39</v>
      </c>
      <c r="L23" s="2" t="str">
        <f>IFERROR(__xludf.DUMMYFUNCTION("""COMPUTED_VALUE"""),"Лампа светодиодная LED-A60-standard")</f>
        <v>Лампа светодиодная LED-A60-standard</v>
      </c>
      <c r="M23" s="2" t="str">
        <f>IFERROR(__xludf.DUMMYFUNCTION("""COMPUTED_VALUE"""),"Лампы")</f>
        <v>Лампы</v>
      </c>
    </row>
    <row r="24">
      <c r="A24" s="5" t="str">
        <f>IFERROR(__xludf.DUMMYFUNCTION("""COMPUTED_VALUE"""),"4690612053059")</f>
        <v>4690612053059</v>
      </c>
      <c r="B24" s="5" t="str">
        <f>IFERROR(__xludf.DUMMYFUNCTION("""COMPUTED_VALUE"""),"ДВО-02 5040-ОПАЛ 50Вт 4000К 595х595х25 NEOX")</f>
        <v>ДВО-02 5040-ОПАЛ 50Вт 4000К 595х595х25 NEOX</v>
      </c>
      <c r="C24" s="2">
        <f>IFERROR(__xludf.DUMMYFUNCTION("""COMPUTED_VALUE"""),1.2)</f>
        <v>1.2</v>
      </c>
      <c r="D24" s="2">
        <f>IFERROR(__xludf.DUMMYFUNCTION("""COMPUTED_VALUE"""),0.00975)</f>
        <v>0.00975</v>
      </c>
      <c r="E24" s="2">
        <f>IFERROR(__xludf.DUMMYFUNCTION("""COMPUTED_VALUE"""),674.94)</f>
        <v>674.94</v>
      </c>
      <c r="F24" s="2">
        <f>IFERROR(__xludf.DUMMYFUNCTION("""COMPUTED_VALUE"""),896.0)</f>
        <v>896</v>
      </c>
      <c r="G24" s="2">
        <f>IFERROR(__xludf.DUMMYFUNCTION("""COMPUTED_VALUE"""),1008.0)</f>
        <v>1008</v>
      </c>
      <c r="H24" s="2">
        <f>IFERROR(__xludf.DUMMYFUNCTION("""COMPUTED_VALUE"""),1169.0)</f>
        <v>1169</v>
      </c>
      <c r="I24" s="2">
        <f>IFERROR(__xludf.DUMMYFUNCTION("""COMPUTED_VALUE"""),1344.0)</f>
        <v>1344</v>
      </c>
      <c r="J24" s="2">
        <f>IFERROR(__xludf.DUMMYFUNCTION("""COMPUTED_VALUE"""),672.0)</f>
        <v>672</v>
      </c>
      <c r="K24" s="2">
        <f>IFERROR(__xludf.DUMMYFUNCTION("""COMPUTED_VALUE"""),2.0)</f>
        <v>2</v>
      </c>
      <c r="L24" s="2" t="str">
        <f>IFERROR(__xludf.DUMMYFUNCTION("""COMPUTED_VALUE"""),"NEOX Светильники LED ДВО")</f>
        <v>NEOX Светильники LED ДВО</v>
      </c>
      <c r="M2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5">
      <c r="A25" s="5" t="str">
        <f>IFERROR(__xludf.DUMMYFUNCTION("""COMPUTED_VALUE"""),"4690612029115")</f>
        <v>4690612029115</v>
      </c>
      <c r="B25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5" s="2">
        <f>IFERROR(__xludf.DUMMYFUNCTION("""COMPUTED_VALUE"""),0.05792000000000001)</f>
        <v>0.05792</v>
      </c>
      <c r="D25" s="2">
        <f>IFERROR(__xludf.DUMMYFUNCTION("""COMPUTED_VALUE"""),7.1E-4)</f>
        <v>0.00071</v>
      </c>
      <c r="E25" s="2">
        <f>IFERROR(__xludf.DUMMYFUNCTION("""COMPUTED_VALUE"""),82.52)</f>
        <v>82.52</v>
      </c>
      <c r="F25" s="2">
        <f>IFERROR(__xludf.DUMMYFUNCTION("""COMPUTED_VALUE"""),93.0)</f>
        <v>93</v>
      </c>
      <c r="G25" s="2">
        <f>IFERROR(__xludf.DUMMYFUNCTION("""COMPUTED_VALUE"""),104.0)</f>
        <v>104</v>
      </c>
      <c r="H25" s="2">
        <f>IFERROR(__xludf.DUMMYFUNCTION("""COMPUTED_VALUE"""),121.0)</f>
        <v>121</v>
      </c>
      <c r="I25" s="2">
        <f>IFERROR(__xludf.DUMMYFUNCTION("""COMPUTED_VALUE"""),139.0)</f>
        <v>139</v>
      </c>
      <c r="J25" s="2">
        <f>IFERROR(__xludf.DUMMYFUNCTION("""COMPUTED_VALUE"""),70.0)</f>
        <v>70</v>
      </c>
      <c r="K25" s="2">
        <f>IFERROR(__xludf.DUMMYFUNCTION("""COMPUTED_VALUE"""),1.0)</f>
        <v>1</v>
      </c>
      <c r="L25" s="2" t="str">
        <f>IFERROR(__xludf.DUMMYFUNCTION("""COMPUTED_VALUE"""),"Светильники ночники")</f>
        <v>Светильники ночники</v>
      </c>
      <c r="M2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">
      <c r="A26" s="5" t="str">
        <f>IFERROR(__xludf.DUMMYFUNCTION("""COMPUTED_VALUE"""),"4690612047492")</f>
        <v>4690612047492</v>
      </c>
      <c r="B26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6" s="2">
        <f>IFERROR(__xludf.DUMMYFUNCTION("""COMPUTED_VALUE"""),0.275)</f>
        <v>0.275</v>
      </c>
      <c r="D26" s="2">
        <f>IFERROR(__xludf.DUMMYFUNCTION("""COMPUTED_VALUE"""),0.00118)</f>
        <v>0.00118</v>
      </c>
      <c r="E26" s="2">
        <f>IFERROR(__xludf.DUMMYFUNCTION("""COMPUTED_VALUE"""),453.0)</f>
        <v>453</v>
      </c>
      <c r="F26" s="2">
        <f>IFERROR(__xludf.DUMMYFUNCTION("""COMPUTED_VALUE"""),609.0)</f>
        <v>609</v>
      </c>
      <c r="G26" s="2">
        <f>IFERROR(__xludf.DUMMYFUNCTION("""COMPUTED_VALUE"""),685.0)</f>
        <v>685</v>
      </c>
      <c r="H26" s="2">
        <f>IFERROR(__xludf.DUMMYFUNCTION("""COMPUTED_VALUE"""),794.0)</f>
        <v>794</v>
      </c>
      <c r="I26" s="2">
        <f>IFERROR(__xludf.DUMMYFUNCTION("""COMPUTED_VALUE"""),913.0)</f>
        <v>913</v>
      </c>
      <c r="J26" s="2">
        <f>IFERROR(__xludf.DUMMYFUNCTION("""COMPUTED_VALUE"""),457.0)</f>
        <v>457</v>
      </c>
      <c r="K26" s="2">
        <f>IFERROR(__xludf.DUMMYFUNCTION("""COMPUTED_VALUE"""),8.0)</f>
        <v>8</v>
      </c>
      <c r="L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6" s="2" t="str">
        <f>IFERROR(__xludf.DUMMYFUNCTION("""COMPUTED_VALUE"""),"Трековые, LED Светильники")</f>
        <v>Трековые, LED Светильники</v>
      </c>
    </row>
    <row r="27">
      <c r="A27" s="5" t="str">
        <f>IFERROR(__xludf.DUMMYFUNCTION("""COMPUTED_VALUE"""),"KRAS030")</f>
        <v>KRAS030</v>
      </c>
      <c r="B27" s="5" t="str">
        <f>IFERROR(__xludf.DUMMYFUNCTION("""COMPUTED_VALUE"""),"Светильник ПСХ-60-002")</f>
        <v>Светильник ПСХ-60-002</v>
      </c>
      <c r="C27" s="2">
        <f>IFERROR(__xludf.DUMMYFUNCTION("""COMPUTED_VALUE"""),0.0)</f>
        <v>0</v>
      </c>
      <c r="D27" s="2">
        <f>IFERROR(__xludf.DUMMYFUNCTION("""COMPUTED_VALUE"""),0.0)</f>
        <v>0</v>
      </c>
      <c r="E27" s="2">
        <f>IFERROR(__xludf.DUMMYFUNCTION("""COMPUTED_VALUE"""),158.49)</f>
        <v>158.49</v>
      </c>
      <c r="F27" s="2">
        <f>IFERROR(__xludf.DUMMYFUNCTION("""COMPUTED_VALUE"""),387.0)</f>
        <v>387</v>
      </c>
      <c r="G27" s="2">
        <f>IFERROR(__xludf.DUMMYFUNCTION("""COMPUTED_VALUE"""),413.0)</f>
        <v>413</v>
      </c>
      <c r="H27" s="2">
        <f>IFERROR(__xludf.DUMMYFUNCTION("""COMPUTED_VALUE"""),464.0)</f>
        <v>464</v>
      </c>
      <c r="I27" s="2">
        <f>IFERROR(__xludf.DUMMYFUNCTION("""COMPUTED_VALUE"""),516.0)</f>
        <v>516</v>
      </c>
      <c r="J27" s="2">
        <f>IFERROR(__xludf.DUMMYFUNCTION("""COMPUTED_VALUE"""),158.0)</f>
        <v>158</v>
      </c>
      <c r="K27" s="2">
        <f>IFERROR(__xludf.DUMMYFUNCTION("""COMPUTED_VALUE"""),26.0)</f>
        <v>26</v>
      </c>
      <c r="L27" s="2" t="str">
        <f>IFERROR(__xludf.DUMMYFUNCTION("""COMPUTED_VALUE"""),"KRAS (тендер)")</f>
        <v>KRAS (тендер)</v>
      </c>
      <c r="M27" s="2" t="str">
        <f>IFERROR(__xludf.DUMMYFUNCTION("""COMPUTED_VALUE"""),"LED Светильники")</f>
        <v>LED Светильники</v>
      </c>
    </row>
    <row r="28">
      <c r="A28" s="5" t="str">
        <f>IFERROR(__xludf.DUMMYFUNCTION("""COMPUTED_VALUE"""),"4690612000398")</f>
        <v>4690612000398</v>
      </c>
      <c r="B28" s="5" t="str">
        <f>IFERROR(__xludf.DUMMYFUNCTION("""COMPUTED_VALUE"""),"Розетка ТЛФ BOLLETO белая накл 7034")</f>
        <v>Розетка ТЛФ BOLLETO белая накл 7034</v>
      </c>
      <c r="C28" s="2">
        <f>IFERROR(__xludf.DUMMYFUNCTION("""COMPUTED_VALUE"""),0.04)</f>
        <v>0.04</v>
      </c>
      <c r="D28" s="2">
        <f>IFERROR(__xludf.DUMMYFUNCTION("""COMPUTED_VALUE"""),3.0E-4)</f>
        <v>0.0003</v>
      </c>
      <c r="E28" s="2">
        <f>IFERROR(__xludf.DUMMYFUNCTION("""COMPUTED_VALUE"""),39.72)</f>
        <v>39.72</v>
      </c>
      <c r="F28" s="2">
        <f>IFERROR(__xludf.DUMMYFUNCTION("""COMPUTED_VALUE"""),69.0)</f>
        <v>69</v>
      </c>
      <c r="G28" s="2">
        <f>IFERROR(__xludf.DUMMYFUNCTION("""COMPUTED_VALUE"""),78.0)</f>
        <v>78</v>
      </c>
      <c r="H28" s="2">
        <f>IFERROR(__xludf.DUMMYFUNCTION("""COMPUTED_VALUE"""),90.0)</f>
        <v>90</v>
      </c>
      <c r="I28" s="2">
        <f>IFERROR(__xludf.DUMMYFUNCTION("""COMPUTED_VALUE"""),104.0)</f>
        <v>104</v>
      </c>
      <c r="J28" s="2">
        <f>IFERROR(__xludf.DUMMYFUNCTION("""COMPUTED_VALUE"""),52.0)</f>
        <v>52</v>
      </c>
      <c r="K28" s="2">
        <f>IFERROR(__xludf.DUMMYFUNCTION("""COMPUTED_VALUE"""),3.0)</f>
        <v>3</v>
      </c>
      <c r="L28" s="2" t="str">
        <f>IFERROR(__xludf.DUMMYFUNCTION("""COMPUTED_VALUE"""),"ASD электромонтажные изделия")</f>
        <v>ASD электромонтажные изделия</v>
      </c>
      <c r="M28" s="2" t="str">
        <f>IFERROR(__xludf.DUMMYFUNCTION("""COMPUTED_VALUE"""),"Прочие товары")</f>
        <v>Прочие товары</v>
      </c>
    </row>
    <row r="29">
      <c r="A29" s="5" t="str">
        <f>IFERROR(__xludf.DUMMYFUNCTION("""COMPUTED_VALUE"""),"4260652191099")</f>
        <v>4260652191099</v>
      </c>
      <c r="B29" s="5" t="str">
        <f>IFERROR(__xludf.DUMMYFUNCTION("""COMPUTED_VALUE"""),"WLFS18W05")</f>
        <v>WLFS18W05</v>
      </c>
      <c r="C29" s="2">
        <f>IFERROR(__xludf.DUMMYFUNCTION("""COMPUTED_VALUE"""),0.25)</f>
        <v>0.25</v>
      </c>
      <c r="D29" s="2">
        <f>IFERROR(__xludf.DUMMYFUNCTION("""COMPUTED_VALUE"""),4.7E-4)</f>
        <v>0.00047</v>
      </c>
      <c r="E29" s="2">
        <f>IFERROR(__xludf.DUMMYFUNCTION("""COMPUTED_VALUE"""),272.74)</f>
        <v>272.74</v>
      </c>
      <c r="F29" s="2">
        <f>IFERROR(__xludf.DUMMYFUNCTION("""COMPUTED_VALUE"""),208.0)</f>
        <v>208</v>
      </c>
      <c r="G29" s="2">
        <f>IFERROR(__xludf.DUMMYFUNCTION("""COMPUTED_VALUE"""),215.0)</f>
        <v>215</v>
      </c>
      <c r="H29" s="2">
        <f>IFERROR(__xludf.DUMMYFUNCTION("""COMPUTED_VALUE"""),282.0)</f>
        <v>282</v>
      </c>
      <c r="I29" s="2">
        <f>IFERROR(__xludf.DUMMYFUNCTION("""COMPUTED_VALUE"""),353.0)</f>
        <v>353</v>
      </c>
      <c r="J29" s="2">
        <f>IFERROR(__xludf.DUMMYFUNCTION("""COMPUTED_VALUE"""),177.0)</f>
        <v>177</v>
      </c>
      <c r="K29" s="2">
        <f>IFERROR(__xludf.DUMMYFUNCTION("""COMPUTED_VALUE"""),17.0)</f>
        <v>17</v>
      </c>
      <c r="L29" s="2" t="str">
        <f>IFERROR(__xludf.DUMMYFUNCTION("""COMPUTED_VALUE"""),"Wolta офисные")</f>
        <v>Wolta офисные</v>
      </c>
      <c r="M29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30">
      <c r="A30" s="5" t="str">
        <f>IFERROR(__xludf.DUMMYFUNCTION("""COMPUTED_VALUE"""),"4690612057293-2")</f>
        <v>4690612057293-2</v>
      </c>
      <c r="B30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30" s="2">
        <f>IFERROR(__xludf.DUMMYFUNCTION("""COMPUTED_VALUE"""),0.0)</f>
        <v>0</v>
      </c>
      <c r="D30" s="2">
        <f>IFERROR(__xludf.DUMMYFUNCTION("""COMPUTED_VALUE"""),0.0)</f>
        <v>0</v>
      </c>
      <c r="E30" s="2">
        <f>IFERROR(__xludf.DUMMYFUNCTION("""COMPUTED_VALUE"""),1665.9)</f>
        <v>1665.9</v>
      </c>
      <c r="F30" s="2">
        <f>IFERROR(__xludf.DUMMYFUNCTION("""COMPUTED_VALUE"""),1828.0)</f>
        <v>1828</v>
      </c>
      <c r="G30" s="2">
        <f>IFERROR(__xludf.DUMMYFUNCTION("""COMPUTED_VALUE"""),2132.0)</f>
        <v>2132</v>
      </c>
      <c r="H30" s="2">
        <f>IFERROR(__xludf.DUMMYFUNCTION("""COMPUTED_VALUE"""),2399.0)</f>
        <v>2399</v>
      </c>
      <c r="I30" s="2">
        <f>IFERROR(__xludf.DUMMYFUNCTION("""COMPUTED_VALUE"""),2665.0)</f>
        <v>2665</v>
      </c>
      <c r="J30" s="2">
        <f>IFERROR(__xludf.DUMMYFUNCTION("""COMPUTED_VALUE"""),1333.0)</f>
        <v>1333</v>
      </c>
      <c r="K30" s="2">
        <f>IFERROR(__xludf.DUMMYFUNCTION("""COMPUTED_VALUE"""),20.0)</f>
        <v>20</v>
      </c>
      <c r="L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">
      <c r="A31" s="5" t="str">
        <f>IFERROR(__xludf.DUMMYFUNCTION("""COMPUTED_VALUE"""),"4690612030999")</f>
        <v>4690612030999</v>
      </c>
      <c r="B31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1" s="2">
        <f>IFERROR(__xludf.DUMMYFUNCTION("""COMPUTED_VALUE"""),0.188)</f>
        <v>0.188</v>
      </c>
      <c r="D31" s="2">
        <f>IFERROR(__xludf.DUMMYFUNCTION("""COMPUTED_VALUE"""),0.00144)</f>
        <v>0.00144</v>
      </c>
      <c r="E31" s="2">
        <f>IFERROR(__xludf.DUMMYFUNCTION("""COMPUTED_VALUE"""),87.60000000000001)</f>
        <v>87.6</v>
      </c>
      <c r="F31" s="2">
        <f>IFERROR(__xludf.DUMMYFUNCTION("""COMPUTED_VALUE"""),111.0)</f>
        <v>111</v>
      </c>
      <c r="G31" s="2">
        <f>IFERROR(__xludf.DUMMYFUNCTION("""COMPUTED_VALUE"""),125.0)</f>
        <v>125</v>
      </c>
      <c r="H31" s="2">
        <f>IFERROR(__xludf.DUMMYFUNCTION("""COMPUTED_VALUE"""),145.0)</f>
        <v>145</v>
      </c>
      <c r="I31" s="2">
        <f>IFERROR(__xludf.DUMMYFUNCTION("""COMPUTED_VALUE"""),166.6)</f>
        <v>166.6</v>
      </c>
      <c r="J31" s="2">
        <f>IFERROR(__xludf.DUMMYFUNCTION("""COMPUTED_VALUE"""),83.0)</f>
        <v>83</v>
      </c>
      <c r="K31" s="2">
        <f>IFERROR(__xludf.DUMMYFUNCTION("""COMPUTED_VALUE"""),10.0)</f>
        <v>10</v>
      </c>
      <c r="L31" s="2" t="str">
        <f>IFERROR(__xludf.DUMMYFUNCTION("""COMPUTED_VALUE"""),"Лампа светодиодная LED-T8")</f>
        <v>Лампа светодиодная LED-T8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IFERROR(__xludf.DUMMYFUNCTION("""COMPUTED_VALUE"""),"4690612015446")</f>
        <v>4690612015446</v>
      </c>
      <c r="B32" s="5" t="str">
        <f>IFERROR(__xludf.DUMMYFUNCTION("""COMPUTED_VALUE"""),"LED-ШАР-standard 10Вт 230В Е14 3000К 900Лм ASD")</f>
        <v>LED-ШАР-standard 10Вт 230В Е14 3000К 900Лм ASD</v>
      </c>
      <c r="C32" s="2">
        <f>IFERROR(__xludf.DUMMYFUNCTION("""COMPUTED_VALUE"""),0.036)</f>
        <v>0.036</v>
      </c>
      <c r="D32" s="2">
        <f>IFERROR(__xludf.DUMMYFUNCTION("""COMPUTED_VALUE"""),2.3E-4)</f>
        <v>0.00023</v>
      </c>
      <c r="E32" s="2">
        <f>IFERROR(__xludf.DUMMYFUNCTION("""COMPUTED_VALUE"""),48.02)</f>
        <v>48.02</v>
      </c>
      <c r="F32" s="2">
        <f>IFERROR(__xludf.DUMMYFUNCTION("""COMPUTED_VALUE"""),33.0)</f>
        <v>33</v>
      </c>
      <c r="G32" s="2">
        <f>IFERROR(__xludf.DUMMYFUNCTION("""COMPUTED_VALUE"""),37.0)</f>
        <v>37</v>
      </c>
      <c r="H32" s="2">
        <f>IFERROR(__xludf.DUMMYFUNCTION("""COMPUTED_VALUE"""),43.0)</f>
        <v>43</v>
      </c>
      <c r="I32" s="2">
        <f>IFERROR(__xludf.DUMMYFUNCTION("""COMPUTED_VALUE"""),49.9)</f>
        <v>49.9</v>
      </c>
      <c r="J32" s="2">
        <f>IFERROR(__xludf.DUMMYFUNCTION("""COMPUTED_VALUE"""),25.0)</f>
        <v>25</v>
      </c>
      <c r="K32" s="2">
        <f>IFERROR(__xludf.DUMMYFUNCTION("""COMPUTED_VALUE"""),30.0)</f>
        <v>30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IFERROR(__xludf.DUMMYFUNCTION("""COMPUTED_VALUE"""),"4690612002125")</f>
        <v>4690612002125</v>
      </c>
      <c r="B33" s="5" t="str">
        <f>IFERROR(__xludf.DUMMYFUNCTION("""COMPUTED_VALUE"""),"LED-ШАР-standard 5.0Вт 220В Е14 3000К 400Лм")</f>
        <v>LED-ШАР-standard 5.0Вт 220В Е14 3000К 400Лм</v>
      </c>
      <c r="C33" s="2">
        <f>IFERROR(__xludf.DUMMYFUNCTION("""COMPUTED_VALUE"""),0.029)</f>
        <v>0.029</v>
      </c>
      <c r="D33" s="2">
        <f>IFERROR(__xludf.DUMMYFUNCTION("""COMPUTED_VALUE"""),2.3E-4)</f>
        <v>0.00023</v>
      </c>
      <c r="E33" s="2">
        <f>IFERROR(__xludf.DUMMYFUNCTION("""COMPUTED_VALUE"""),33.58)</f>
        <v>33.58</v>
      </c>
      <c r="F33" s="2">
        <f>IFERROR(__xludf.DUMMYFUNCTION("""COMPUTED_VALUE"""),25.0)</f>
        <v>25</v>
      </c>
      <c r="G33" s="2">
        <f>IFERROR(__xludf.DUMMYFUNCTION("""COMPUTED_VALUE"""),29.0)</f>
        <v>29</v>
      </c>
      <c r="H33" s="2">
        <f>IFERROR(__xludf.DUMMYFUNCTION("""COMPUTED_VALUE"""),33.0)</f>
        <v>33</v>
      </c>
      <c r="I33" s="2">
        <f>IFERROR(__xludf.DUMMYFUNCTION("""COMPUTED_VALUE"""),38.5)</f>
        <v>38.5</v>
      </c>
      <c r="J33" s="2">
        <f>IFERROR(__xludf.DUMMYFUNCTION("""COMPUTED_VALUE"""),19.0)</f>
        <v>19</v>
      </c>
      <c r="K33" s="2">
        <f>IFERROR(__xludf.DUMMYFUNCTION("""COMPUTED_VALUE"""),10.0)</f>
        <v>10</v>
      </c>
      <c r="L33" s="2" t="str">
        <f>IFERROR(__xludf.DUMMYFUNCTION("""COMPUTED_VALUE"""),"Лампа светодиодная LED-ШАР-standard")</f>
        <v>Лампа светодиодная LED-ШАР-standard</v>
      </c>
      <c r="M33" s="2" t="str">
        <f>IFERROR(__xludf.DUMMYFUNCTION("""COMPUTED_VALUE"""),"Лампы")</f>
        <v>Лампы</v>
      </c>
    </row>
    <row r="34">
      <c r="A34" s="5" t="str">
        <f>IFERROR(__xludf.DUMMYFUNCTION("""COMPUTED_VALUE"""),"GL8111")</f>
        <v>GL8111</v>
      </c>
      <c r="B34" s="5" t="str">
        <f>IFERROR(__xludf.DUMMYFUNCTION("""COMPUTED_VALUE"""),"GLERIO Office Casual 24 Вт 4000К 81P-24D-4V-P")</f>
        <v>GLERIO Office Casual 24 Вт 4000К 81P-24D-4V-P</v>
      </c>
      <c r="C34" s="2">
        <f>IFERROR(__xludf.DUMMYFUNCTION("""COMPUTED_VALUE"""),1.04)</f>
        <v>1.04</v>
      </c>
      <c r="D34" s="2">
        <f>IFERROR(__xludf.DUMMYFUNCTION("""COMPUTED_VALUE"""),0.008190000000000001)</f>
        <v>0.00819</v>
      </c>
      <c r="E34" s="2">
        <f>IFERROR(__xludf.DUMMYFUNCTION("""COMPUTED_VALUE"""),1464.7)</f>
        <v>1464.7</v>
      </c>
      <c r="F34" s="2">
        <f>IFERROR(__xludf.DUMMYFUNCTION("""COMPUTED_VALUE"""),1700.0)</f>
        <v>1700</v>
      </c>
      <c r="G34" s="2">
        <f>IFERROR(__xludf.DUMMYFUNCTION("""COMPUTED_VALUE"""),2140.0)</f>
        <v>2140</v>
      </c>
      <c r="H34" s="2">
        <f>IFERROR(__xludf.DUMMYFUNCTION("""COMPUTED_VALUE"""),2404.0)</f>
        <v>2404</v>
      </c>
      <c r="I34" s="2">
        <f>IFERROR(__xludf.DUMMYFUNCTION("""COMPUTED_VALUE"""),2667.0)</f>
        <v>2667</v>
      </c>
      <c r="J34" s="2">
        <f>IFERROR(__xludf.DUMMYFUNCTION("""COMPUTED_VALUE"""),2667.0)</f>
        <v>2667</v>
      </c>
      <c r="K34" s="2">
        <f>IFERROR(__xludf.DUMMYFUNCTION("""COMPUTED_VALUE"""),-4.0)</f>
        <v>-4</v>
      </c>
      <c r="L34" s="2" t="str">
        <f>IFERROR(__xludf.DUMMYFUNCTION("""COMPUTED_VALUE"""),"Office Casual (Офис) до 10.2025")</f>
        <v>Office Casual (Офис) до 10.2025</v>
      </c>
      <c r="M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">
      <c r="A35" s="5" t="str">
        <f>IFERROR(__xludf.DUMMYFUNCTION("""COMPUTED_VALUE"""),"4690612016597")</f>
        <v>4690612016597</v>
      </c>
      <c r="B35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5" s="2">
        <f>IFERROR(__xludf.DUMMYFUNCTION("""COMPUTED_VALUE"""),1.5E-4)</f>
        <v>0.00015</v>
      </c>
      <c r="D35" s="2">
        <f>IFERROR(__xludf.DUMMYFUNCTION("""COMPUTED_VALUE"""),1.5E-4)</f>
        <v>0.00015</v>
      </c>
      <c r="E35" s="2">
        <f>IFERROR(__xludf.DUMMYFUNCTION("""COMPUTED_VALUE"""),221.1)</f>
        <v>221.1</v>
      </c>
      <c r="F35" s="2">
        <f>IFERROR(__xludf.DUMMYFUNCTION("""COMPUTED_VALUE"""),220.0)</f>
        <v>220</v>
      </c>
      <c r="G35" s="2">
        <f>IFERROR(__xludf.DUMMYFUNCTION("""COMPUTED_VALUE"""),248.0)</f>
        <v>248</v>
      </c>
      <c r="H35" s="2">
        <f>IFERROR(__xludf.DUMMYFUNCTION("""COMPUTED_VALUE"""),287.0)</f>
        <v>287</v>
      </c>
      <c r="I35" s="2">
        <f>IFERROR(__xludf.DUMMYFUNCTION("""COMPUTED_VALUE"""),330.0)</f>
        <v>330</v>
      </c>
      <c r="J35" s="2">
        <f>IFERROR(__xludf.DUMMYFUNCTION("""COMPUTED_VALUE"""),165.0)</f>
        <v>165</v>
      </c>
      <c r="K35" s="2">
        <f>IFERROR(__xludf.DUMMYFUNCTION("""COMPUTED_VALUE"""),2.0)</f>
        <v>2</v>
      </c>
      <c r="L35" s="2" t="str">
        <f>IFERROR(__xludf.DUMMYFUNCTION("""COMPUTED_VALUE"""),"ASD электромонтажные изделия")</f>
        <v>ASD электромонтажные изделия</v>
      </c>
      <c r="M35" s="2" t="str">
        <f>IFERROR(__xludf.DUMMYFUNCTION("""COMPUTED_VALUE"""),"Прочие товары")</f>
        <v>Прочие товары</v>
      </c>
    </row>
    <row r="36">
      <c r="A36" s="5" t="str">
        <f>IFERROR(__xludf.DUMMYFUNCTION("""COMPUTED_VALUE"""),"V12008")</f>
        <v>V12008</v>
      </c>
      <c r="B36" s="5" t="str">
        <f>IFERROR(__xludf.DUMMYFUNCTION("""COMPUTED_VALUE"""),"VRN-LME136X78-64-A50K67-K, 64Вт, Консольный")</f>
        <v>VRN-LME136X78-64-A50K67-K, 64Вт, Консольный</v>
      </c>
      <c r="C36" s="2">
        <f>IFERROR(__xludf.DUMMYFUNCTION("""COMPUTED_VALUE"""),0.16)</f>
        <v>0.16</v>
      </c>
      <c r="D36" s="2">
        <f>IFERROR(__xludf.DUMMYFUNCTION("""COMPUTED_VALUE"""),0.00902)</f>
        <v>0.00902</v>
      </c>
      <c r="E36" s="2">
        <f>IFERROR(__xludf.DUMMYFUNCTION("""COMPUTED_VALUE"""),3255.57)</f>
        <v>3255.57</v>
      </c>
      <c r="F36" s="2">
        <f>IFERROR(__xludf.DUMMYFUNCTION("""COMPUTED_VALUE"""),3760.0)</f>
        <v>3760</v>
      </c>
      <c r="G36" s="2">
        <f>IFERROR(__xludf.DUMMYFUNCTION("""COMPUTED_VALUE"""),4888.0)</f>
        <v>4888</v>
      </c>
      <c r="H36" s="2">
        <f>IFERROR(__xludf.DUMMYFUNCTION("""COMPUTED_VALUE"""),5132.0)</f>
        <v>5132</v>
      </c>
      <c r="I36" s="2">
        <f>IFERROR(__xludf.DUMMYFUNCTION("""COMPUTED_VALUE"""),5377.0)</f>
        <v>5377</v>
      </c>
      <c r="J36" s="2">
        <f>IFERROR(__xludf.DUMMYFUNCTION("""COMPUTED_VALUE"""),2689.0)</f>
        <v>2689</v>
      </c>
      <c r="K36" s="2">
        <f>IFERROR(__xludf.DUMMYFUNCTION("""COMPUTED_VALUE"""),7.0)</f>
        <v>7</v>
      </c>
      <c r="L36" s="2" t="str">
        <f>IFERROR(__xludf.DUMMYFUNCTION("""COMPUTED_VALUE"""),"Магистраль Эконом")</f>
        <v>Магистраль Эконом</v>
      </c>
      <c r="M36" s="2" t="str">
        <f>IFERROR(__xludf.DUMMYFUNCTION("""COMPUTED_VALUE"""),"Для автомагистралей, LED Светильники")</f>
        <v>Для автомагистралей, LED Светильники</v>
      </c>
    </row>
    <row r="37">
      <c r="A37" s="5" t="str">
        <f>IFERROR(__xludf.DUMMYFUNCTION("""COMPUTED_VALUE"""),"4690612006789")</f>
        <v>4690612006789</v>
      </c>
      <c r="B37" s="5" t="str">
        <f>IFERROR(__xludf.DUMMYFUNCTION("""COMPUTED_VALUE"""),"LED-СВЕЧА-deco 7Вт 230В Е14 4000К 630Лм матовая IN HOME")</f>
        <v>LED-СВЕЧА-deco 7Вт 230В Е14 4000К 630Лм матовая IN HOME</v>
      </c>
      <c r="C37" s="2">
        <f>IFERROR(__xludf.DUMMYFUNCTION("""COMPUTED_VALUE"""),0.025)</f>
        <v>0.025</v>
      </c>
      <c r="D37" s="2">
        <f>IFERROR(__xludf.DUMMYFUNCTION("""COMPUTED_VALUE"""),2.6E-4)</f>
        <v>0.00026</v>
      </c>
      <c r="E37" s="2">
        <f>IFERROR(__xludf.DUMMYFUNCTION("""COMPUTED_VALUE"""),53.14)</f>
        <v>53.14</v>
      </c>
      <c r="F37" s="2">
        <f>IFERROR(__xludf.DUMMYFUNCTION("""COMPUTED_VALUE"""),53.0)</f>
        <v>53</v>
      </c>
      <c r="G37" s="2">
        <f>IFERROR(__xludf.DUMMYFUNCTION("""COMPUTED_VALUE"""),60.0)</f>
        <v>60</v>
      </c>
      <c r="H37" s="2">
        <f>IFERROR(__xludf.DUMMYFUNCTION("""COMPUTED_VALUE"""),70.0)</f>
        <v>70</v>
      </c>
      <c r="I37" s="2">
        <f>IFERROR(__xludf.DUMMYFUNCTION("""COMPUTED_VALUE"""),80.5)</f>
        <v>80.5</v>
      </c>
      <c r="J37" s="2">
        <f>IFERROR(__xludf.DUMMYFUNCTION("""COMPUTED_VALUE"""),40.0)</f>
        <v>40</v>
      </c>
      <c r="K37" s="2">
        <f>IFERROR(__xludf.DUMMYFUNCTION("""COMPUTED_VALUE"""),1.0)</f>
        <v>1</v>
      </c>
      <c r="L37" s="2" t="str">
        <f>IFERROR(__xludf.DUMMYFUNCTION("""COMPUTED_VALUE"""),"Лампа светодиодная LED-СВЕЧА-DECO")</f>
        <v>Лампа светодиодная LED-СВЕЧА-DECO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IFERROR(__xludf.DUMMYFUNCTION("""COMPUTED_VALUE"""),"G101505205-10")</f>
        <v>G101505205-10</v>
      </c>
      <c r="B38" s="5" t="str">
        <f>IFERROR(__xludf.DUMMYFUNCTION("""COMPUTED_VALUE"""),"10 шт. Лампа MR16 GU5.3 5W 4100K 1/10/100 (Комплект 10 шт)")</f>
        <v>10 шт. Лампа MR16 GU5.3 5W 4100K 1/10/100 (Комплект 10 шт)</v>
      </c>
      <c r="C38" s="2">
        <f>IFERROR(__xludf.DUMMYFUNCTION("""COMPUTED_VALUE"""),0.04)</f>
        <v>0.04</v>
      </c>
      <c r="D38" s="2">
        <f>IFERROR(__xludf.DUMMYFUNCTION("""COMPUTED_VALUE"""),0.0)</f>
        <v>0</v>
      </c>
      <c r="E38" s="2">
        <f>IFERROR(__xludf.DUMMYFUNCTION("""COMPUTED_VALUE"""),664.1)</f>
        <v>664.1</v>
      </c>
      <c r="F38" s="2">
        <f>IFERROR(__xludf.DUMMYFUNCTION("""COMPUTED_VALUE"""),729.0)</f>
        <v>729</v>
      </c>
      <c r="G38" s="2">
        <f>IFERROR(__xludf.DUMMYFUNCTION("""COMPUTED_VALUE"""),850.0)</f>
        <v>850</v>
      </c>
      <c r="H38" s="2">
        <f>IFERROR(__xludf.DUMMYFUNCTION("""COMPUTED_VALUE"""),957.0)</f>
        <v>957</v>
      </c>
      <c r="I38" s="2">
        <f>IFERROR(__xludf.DUMMYFUNCTION("""COMPUTED_VALUE"""),1063.0)</f>
        <v>1063</v>
      </c>
      <c r="J38" s="2">
        <f>IFERROR(__xludf.DUMMYFUNCTION("""COMPUTED_VALUE"""),532.0)</f>
        <v>532</v>
      </c>
      <c r="K38" s="2">
        <f>IFERROR(__xludf.DUMMYFUNCTION("""COMPUTED_VALUE"""),7.0)</f>
        <v>7</v>
      </c>
      <c r="L38" s="2" t="str">
        <f>IFERROR(__xludf.DUMMYFUNCTION("""COMPUTED_VALUE"""),"Лампы производство, упаковка")</f>
        <v>Лампы производство, упаковка</v>
      </c>
      <c r="M38" s="2" t="str">
        <f>IFERROR(__xludf.DUMMYFUNCTION("""COMPUTED_VALUE"""),"Лампы")</f>
        <v>Лампы</v>
      </c>
    </row>
    <row r="39">
      <c r="A39" s="5" t="str">
        <f>IFERROR(__xludf.DUMMYFUNCTION("""COMPUTED_VALUE"""),"4690612035765")</f>
        <v>4690612035765</v>
      </c>
      <c r="B39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9" s="2">
        <f>IFERROR(__xludf.DUMMYFUNCTION("""COMPUTED_VALUE"""),3.4)</f>
        <v>3.4</v>
      </c>
      <c r="D39" s="2">
        <f>IFERROR(__xludf.DUMMYFUNCTION("""COMPUTED_VALUE"""),0.028)</f>
        <v>0.028</v>
      </c>
      <c r="E39" s="2">
        <f>IFERROR(__xludf.DUMMYFUNCTION("""COMPUTED_VALUE"""),2092.0)</f>
        <v>2092</v>
      </c>
      <c r="F39" s="2">
        <f>IFERROR(__xludf.DUMMYFUNCTION("""COMPUTED_VALUE"""),3517.0)</f>
        <v>3517</v>
      </c>
      <c r="G39" s="2">
        <f>IFERROR(__xludf.DUMMYFUNCTION("""COMPUTED_VALUE"""),3956.0)</f>
        <v>3956</v>
      </c>
      <c r="H39" s="2">
        <f>IFERROR(__xludf.DUMMYFUNCTION("""COMPUTED_VALUE"""),4589.0)</f>
        <v>4589</v>
      </c>
      <c r="I39" s="2">
        <f>IFERROR(__xludf.DUMMYFUNCTION("""COMPUTED_VALUE"""),5275.0)</f>
        <v>5275</v>
      </c>
      <c r="J39" s="2">
        <f>IFERROR(__xludf.DUMMYFUNCTION("""COMPUTED_VALUE"""),5275.0)</f>
        <v>5275</v>
      </c>
      <c r="K39" s="2">
        <f>IFERROR(__xludf.DUMMYFUNCTION("""COMPUTED_VALUE"""),1.0)</f>
        <v>1</v>
      </c>
      <c r="L39" s="2" t="str">
        <f>IFERROR(__xludf.DUMMYFUNCTION("""COMPUTED_VALUE"""),"Светильники светодиодные GEO")</f>
        <v>Светильники светодиодные GEO</v>
      </c>
      <c r="M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">
      <c r="A40" s="5" t="str">
        <f>IFERROR(__xludf.DUMMYFUNCTION("""COMPUTED_VALUE"""),"4690612038179-2")</f>
        <v>4690612038179-2</v>
      </c>
      <c r="B40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40" s="2">
        <f>IFERROR(__xludf.DUMMYFUNCTION("""COMPUTED_VALUE"""),1.29)</f>
        <v>1.29</v>
      </c>
      <c r="D40" s="2">
        <f>IFERROR(__xludf.DUMMYFUNCTION("""COMPUTED_VALUE"""),0.0)</f>
        <v>0</v>
      </c>
      <c r="E40" s="2">
        <f>IFERROR(__xludf.DUMMYFUNCTION("""COMPUTED_VALUE"""),946.86)</f>
        <v>946.86</v>
      </c>
      <c r="F40" s="2">
        <f>IFERROR(__xludf.DUMMYFUNCTION("""COMPUTED_VALUE"""),1039.0)</f>
        <v>1039</v>
      </c>
      <c r="G40" s="2">
        <f>IFERROR(__xludf.DUMMYFUNCTION("""COMPUTED_VALUE"""),1212.0)</f>
        <v>1212</v>
      </c>
      <c r="H40" s="2">
        <f>IFERROR(__xludf.DUMMYFUNCTION("""COMPUTED_VALUE"""),1364.0)</f>
        <v>1364</v>
      </c>
      <c r="I40" s="2">
        <f>IFERROR(__xludf.DUMMYFUNCTION("""COMPUTED_VALUE"""),1515.0)</f>
        <v>1515</v>
      </c>
      <c r="J40" s="2">
        <f>IFERROR(__xludf.DUMMYFUNCTION("""COMPUTED_VALUE"""),758.0)</f>
        <v>758</v>
      </c>
      <c r="K40" s="2">
        <f>IFERROR(__xludf.DUMMYFUNCTION("""COMPUTED_VALUE"""),6.0)</f>
        <v>6</v>
      </c>
      <c r="L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">
      <c r="A41" s="5" t="str">
        <f>IFERROR(__xludf.DUMMYFUNCTION("""COMPUTED_VALUE"""),"4690612051970")</f>
        <v>4690612051970</v>
      </c>
      <c r="B41" s="5" t="str">
        <f>IFERROR(__xludf.DUMMYFUNCTION("""COMPUTED_VALUE"""),"ДБУ TWIN-1030BL 10Вт 3000К IP54 черный IN HOME")</f>
        <v>ДБУ TWIN-1030BL 10Вт 3000К IP54 черный IN HOME</v>
      </c>
      <c r="C41" s="2">
        <f>IFERROR(__xludf.DUMMYFUNCTION("""COMPUTED_VALUE"""),0.343)</f>
        <v>0.343</v>
      </c>
      <c r="D41" s="2">
        <f>IFERROR(__xludf.DUMMYFUNCTION("""COMPUTED_VALUE"""),0.00132)</f>
        <v>0.00132</v>
      </c>
      <c r="E41" s="2">
        <f>IFERROR(__xludf.DUMMYFUNCTION("""COMPUTED_VALUE"""),478.2)</f>
        <v>478.2</v>
      </c>
      <c r="F41" s="2">
        <f>IFERROR(__xludf.DUMMYFUNCTION("""COMPUTED_VALUE"""),527.0)</f>
        <v>527</v>
      </c>
      <c r="G41" s="2">
        <f>IFERROR(__xludf.DUMMYFUNCTION("""COMPUTED_VALUE"""),593.0)</f>
        <v>593</v>
      </c>
      <c r="H41" s="2">
        <f>IFERROR(__xludf.DUMMYFUNCTION("""COMPUTED_VALUE"""),688.0)</f>
        <v>688</v>
      </c>
      <c r="I41" s="2">
        <f>IFERROR(__xludf.DUMMYFUNCTION("""COMPUTED_VALUE"""),791.0)</f>
        <v>791</v>
      </c>
      <c r="J41" s="2">
        <f>IFERROR(__xludf.DUMMYFUNCTION("""COMPUTED_VALUE"""),396.0)</f>
        <v>396</v>
      </c>
      <c r="K41" s="2">
        <f>IFERROR(__xludf.DUMMYFUNCTION("""COMPUTED_VALUE"""),3.0)</f>
        <v>3</v>
      </c>
      <c r="L41" s="2" t="str">
        <f>IFERROR(__xludf.DUMMYFUNCTION("""COMPUTED_VALUE"""),"Светильники светодиодные уличные ДБУ")</f>
        <v>Светильники светодиодные уличные ДБУ</v>
      </c>
      <c r="M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">
      <c r="A42" s="5" t="str">
        <f>IFERROR(__xludf.DUMMYFUNCTION("""COMPUTED_VALUE"""),"4260652193512")</f>
        <v>4260652193512</v>
      </c>
      <c r="B42" s="5" t="str">
        <f>IFERROR(__xludf.DUMMYFUNCTION("""COMPUTED_VALUE"""),"LCL04-18W-R11-4K-SOA")</f>
        <v>LCL04-18W-R11-4K-SOA</v>
      </c>
      <c r="C42" s="2">
        <f>IFERROR(__xludf.DUMMYFUNCTION("""COMPUTED_VALUE"""),0.149)</f>
        <v>0.149</v>
      </c>
      <c r="D42" s="2">
        <f>IFERROR(__xludf.DUMMYFUNCTION("""COMPUTED_VALUE"""),0.043)</f>
        <v>0.043</v>
      </c>
      <c r="E42" s="2">
        <f>IFERROR(__xludf.DUMMYFUNCTION("""COMPUTED_VALUE"""),402.82)</f>
        <v>402.82</v>
      </c>
      <c r="F42" s="2">
        <f>IFERROR(__xludf.DUMMYFUNCTION("""COMPUTED_VALUE"""),417.0)</f>
        <v>417</v>
      </c>
      <c r="G42" s="2">
        <f>IFERROR(__xludf.DUMMYFUNCTION("""COMPUTED_VALUE"""),431.0)</f>
        <v>431</v>
      </c>
      <c r="H42" s="2">
        <f>IFERROR(__xludf.DUMMYFUNCTION("""COMPUTED_VALUE"""),565.0)</f>
        <v>565</v>
      </c>
      <c r="I42" s="2">
        <f>IFERROR(__xludf.DUMMYFUNCTION("""COMPUTED_VALUE"""),707.0)</f>
        <v>707</v>
      </c>
      <c r="J42" s="2">
        <f>IFERROR(__xludf.DUMMYFUNCTION("""COMPUTED_VALUE"""),354.0)</f>
        <v>354</v>
      </c>
      <c r="K42" s="2">
        <f>IFERROR(__xludf.DUMMYFUNCTION("""COMPUTED_VALUE"""),43.0)</f>
        <v>43</v>
      </c>
      <c r="L42" s="2" t="str">
        <f>IFERROR(__xludf.DUMMYFUNCTION("""COMPUTED_VALUE"""),"Wolta ЖКХ")</f>
        <v>Wolta ЖКХ</v>
      </c>
      <c r="M42" s="2" t="str">
        <f>IFERROR(__xludf.DUMMYFUNCTION("""COMPUTED_VALUE"""),"Для ЖКХ, дома, дачи, LED Светильники")</f>
        <v>Для ЖКХ, дома, дачи, LED Светильники</v>
      </c>
    </row>
    <row r="43">
      <c r="A43" s="5" t="str">
        <f>IFERROR(__xludf.DUMMYFUNCTION("""COMPUTED_VALUE"""),"4690612020747-10")</f>
        <v>4690612020747-10</v>
      </c>
      <c r="B43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3" s="2">
        <f>IFERROR(__xludf.DUMMYFUNCTION("""COMPUTED_VALUE"""),0.04)</f>
        <v>0.04</v>
      </c>
      <c r="D43" s="2">
        <f>IFERROR(__xludf.DUMMYFUNCTION("""COMPUTED_VALUE"""),0.0021)</f>
        <v>0.0021</v>
      </c>
      <c r="E43" s="2">
        <f>IFERROR(__xludf.DUMMYFUNCTION("""COMPUTED_VALUE"""),390.0)</f>
        <v>390</v>
      </c>
      <c r="F43" s="2">
        <f>IFERROR(__xludf.DUMMYFUNCTION("""COMPUTED_VALUE"""),428.0)</f>
        <v>428</v>
      </c>
      <c r="G43" s="2">
        <f>IFERROR(__xludf.DUMMYFUNCTION("""COMPUTED_VALUE"""),499.0)</f>
        <v>499</v>
      </c>
      <c r="H43" s="2">
        <f>IFERROR(__xludf.DUMMYFUNCTION("""COMPUTED_VALUE"""),562.0)</f>
        <v>562</v>
      </c>
      <c r="I43" s="2">
        <f>IFERROR(__xludf.DUMMYFUNCTION("""COMPUTED_VALUE"""),624.0)</f>
        <v>624</v>
      </c>
      <c r="J43" s="2">
        <f>IFERROR(__xludf.DUMMYFUNCTION("""COMPUTED_VALUE"""),312.0)</f>
        <v>312</v>
      </c>
      <c r="K43" s="2">
        <f>IFERROR(__xludf.DUMMYFUNCTION("""COMPUTED_VALUE"""),10.0)</f>
        <v>10</v>
      </c>
      <c r="L43" s="2" t="str">
        <f>IFERROR(__xludf.DUMMYFUNCTION("""COMPUTED_VALUE"""),"Лампы производство, упаковка")</f>
        <v>Лампы производство, упаковка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IFERROR(__xludf.DUMMYFUNCTION("""COMPUTED_VALUE"""),0.0)</f>
        <v>0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IFERROR(__xludf.DUMMYFUNCTION("""COMPUTED_VALUE"""),689.0)</f>
        <v>689</v>
      </c>
      <c r="H48" s="2">
        <f>IFERROR(__xludf.DUMMYFUNCTION("""COMPUTED_VALUE"""),775.0)</f>
        <v>775</v>
      </c>
      <c r="I48" s="2">
        <f>IFERROR(__xludf.DUMMYFUNCTION("""COMPUTED_VALUE"""),861.0)</f>
        <v>861</v>
      </c>
      <c r="J48" s="2">
        <f>IFERROR(__xludf.DUMMYFUNCTION("""COMPUTED_VALUE"""),431.0)</f>
        <v>431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IFERROR(__xludf.DUMMYFUNCTION("""COMPUTED_VALUE"""),683.0)</f>
        <v>683</v>
      </c>
      <c r="H54" s="2">
        <f>IFERROR(__xludf.DUMMYFUNCTION("""COMPUTED_VALUE"""),769.0)</f>
        <v>769</v>
      </c>
      <c r="I54" s="2">
        <f>IFERROR(__xludf.DUMMYFUNCTION("""COMPUTED_VALUE"""),854.0)</f>
        <v>854</v>
      </c>
      <c r="J54" s="2">
        <f>IFERROR(__xludf.DUMMYFUNCTION("""COMPUTED_VALUE"""),427.0)</f>
        <v>427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IFERROR(__xludf.DUMMYFUNCTION("""COMPUTED_VALUE"""),"4690612036748")</f>
        <v>4690612036748</v>
      </c>
      <c r="B57" s="5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2">
        <f>IFERROR(__xludf.DUMMYFUNCTION("""COMPUTED_VALUE"""),0.145)</f>
        <v>0.145</v>
      </c>
      <c r="D57" s="2">
        <f>IFERROR(__xludf.DUMMYFUNCTION("""COMPUTED_VALUE"""),0.00125)</f>
        <v>0.00125</v>
      </c>
      <c r="E57" s="2">
        <f>IFERROR(__xludf.DUMMYFUNCTION("""COMPUTED_VALUE"""),285.02)</f>
        <v>285.02</v>
      </c>
      <c r="F57" s="2">
        <f>IFERROR(__xludf.DUMMYFUNCTION("""COMPUTED_VALUE"""),264.0)</f>
        <v>264</v>
      </c>
      <c r="G57" s="2">
        <f>IFERROR(__xludf.DUMMYFUNCTION("""COMPUTED_VALUE"""),297.0)</f>
        <v>297</v>
      </c>
      <c r="H57" s="2">
        <f>IFERROR(__xludf.DUMMYFUNCTION("""COMPUTED_VALUE"""),345.0)</f>
        <v>345</v>
      </c>
      <c r="I57" s="2">
        <f>IFERROR(__xludf.DUMMYFUNCTION("""COMPUTED_VALUE"""),396.0)</f>
        <v>396</v>
      </c>
      <c r="J57" s="2">
        <f>IFERROR(__xludf.DUMMYFUNCTION("""COMPUTED_VALUE"""),198.0)</f>
        <v>198</v>
      </c>
      <c r="K57" s="2">
        <f>IFERROR(__xludf.DUMMYFUNCTION("""COMPUTED_VALUE"""),1.0)</f>
        <v>1</v>
      </c>
      <c r="L5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2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5" t="str">
        <f>IFERROR(__xludf.DUMMYFUNCTION("""COMPUTED_VALUE"""),"55083")</f>
        <v>55083</v>
      </c>
      <c r="B58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IFERROR(__xludf.DUMMYFUNCTION("""COMPUTED_VALUE"""),405.48)</f>
        <v>405.48</v>
      </c>
      <c r="F58" s="2">
        <f>IFERROR(__xludf.DUMMYFUNCTION("""COMPUTED_VALUE"""),500.0)</f>
        <v>500</v>
      </c>
      <c r="G58" s="2">
        <f>IFERROR(__xludf.DUMMYFUNCTION("""COMPUTED_VALUE"""),545.0)</f>
        <v>545</v>
      </c>
      <c r="H58" s="2">
        <f>IFERROR(__xludf.DUMMYFUNCTION("""COMPUTED_VALUE"""),591.0)</f>
        <v>591</v>
      </c>
      <c r="I58" s="2">
        <f>IFERROR(__xludf.DUMMYFUNCTION("""COMPUTED_VALUE"""),636.0)</f>
        <v>636</v>
      </c>
      <c r="J58" s="2">
        <f>IFERROR(__xludf.DUMMYFUNCTION("""COMPUTED_VALUE"""),318.0)</f>
        <v>318</v>
      </c>
      <c r="K58" s="2">
        <f>IFERROR(__xludf.DUMMYFUNCTION("""COMPUTED_VALUE"""),33.0)</f>
        <v>33</v>
      </c>
      <c r="L58" s="2" t="str">
        <f>IFERROR(__xludf.DUMMYFUNCTION("""COMPUTED_VALUE"""),"Праздничная иллюминация")</f>
        <v>Праздничная иллюминация</v>
      </c>
      <c r="M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5" t="str">
        <f>IFERROR(__xludf.DUMMYFUNCTION("""COMPUTED_VALUE"""),"4680005959013-10")</f>
        <v>4680005959013-10</v>
      </c>
      <c r="B59" s="5" t="str">
        <f>IFERROR(__xludf.DUMMYFUNCTION("""COMPUTED_VALUE"""),"10 шт. LS50-P 20см Шнур питания (Упаковка 10 шт.)")</f>
        <v>10 шт. LS50-P 20см Шнур питания (Упаковка 10 шт.)</v>
      </c>
      <c r="C59" s="2">
        <f>IFERROR(__xludf.DUMMYFUNCTION("""COMPUTED_VALUE"""),0.0054)</f>
        <v>0.0054</v>
      </c>
      <c r="D59" s="2">
        <f>IFERROR(__xludf.DUMMYFUNCTION("""COMPUTED_VALUE"""),1.0E-5)</f>
        <v>0.00001</v>
      </c>
      <c r="E59" s="2">
        <f>IFERROR(__xludf.DUMMYFUNCTION("""COMPUTED_VALUE"""),131.7)</f>
        <v>131.7</v>
      </c>
      <c r="F59" s="2">
        <f>IFERROR(__xludf.DUMMYFUNCTION("""COMPUTED_VALUE"""),15.0)</f>
        <v>15</v>
      </c>
      <c r="G59" s="2">
        <f>IFERROR(__xludf.DUMMYFUNCTION("""COMPUTED_VALUE"""),17.0)</f>
        <v>17</v>
      </c>
      <c r="H59" s="2">
        <f>IFERROR(__xludf.DUMMYFUNCTION("""COMPUTED_VALUE"""),19.0)</f>
        <v>19</v>
      </c>
      <c r="I59" s="2">
        <f>IFERROR(__xludf.DUMMYFUNCTION("""COMPUTED_VALUE"""),22.0)</f>
        <v>22</v>
      </c>
      <c r="J59" s="2">
        <f>IFERROR(__xludf.DUMMYFUNCTION("""COMPUTED_VALUE"""),11.0)</f>
        <v>11</v>
      </c>
      <c r="K59" s="2">
        <f>IFERROR(__xludf.DUMMYFUNCTION("""COMPUTED_VALUE"""),74.0)</f>
        <v>74</v>
      </c>
      <c r="L59" s="2" t="str">
        <f>IFERROR(__xludf.DUMMYFUNCTION("""COMPUTED_VALUE"""),"ASD электромонтажные изделия")</f>
        <v>ASD электромонтажные изделия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IFERROR(__xludf.DUMMYFUNCTION("""COMPUTED_VALUE"""),"4260693449494")</f>
        <v>4260693449494</v>
      </c>
      <c r="B60" s="5" t="str">
        <f>IFERROR(__xludf.DUMMYFUNCTION("""COMPUTED_VALUE"""),"WML-MK5/01B")</f>
        <v>WML-MK5/01B</v>
      </c>
      <c r="C60" s="2">
        <f>IFERROR(__xludf.DUMMYFUNCTION("""COMPUTED_VALUE"""),0.095)</f>
        <v>0.095</v>
      </c>
      <c r="D60" s="2">
        <f>IFERROR(__xludf.DUMMYFUNCTION("""COMPUTED_VALUE"""),0.0)</f>
        <v>0</v>
      </c>
      <c r="E60" s="2">
        <f>IFERROR(__xludf.DUMMYFUNCTION("""COMPUTED_VALUE"""),282.65)</f>
        <v>282.65</v>
      </c>
      <c r="F60" s="2">
        <f>IFERROR(__xludf.DUMMYFUNCTION("""COMPUTED_VALUE"""),201.0)</f>
        <v>201</v>
      </c>
      <c r="G60" s="2">
        <f>IFERROR(__xludf.DUMMYFUNCTION("""COMPUTED_VALUE"""),207.0)</f>
        <v>207</v>
      </c>
      <c r="H60" s="2">
        <f>IFERROR(__xludf.DUMMYFUNCTION("""COMPUTED_VALUE"""),272.0)</f>
        <v>272</v>
      </c>
      <c r="I60" s="2">
        <f>IFERROR(__xludf.DUMMYFUNCTION("""COMPUTED_VALUE"""),340.0)</f>
        <v>340</v>
      </c>
      <c r="J60" s="2">
        <f>IFERROR(__xludf.DUMMYFUNCTION("""COMPUTED_VALUE"""),170.0)</f>
        <v>170</v>
      </c>
      <c r="K60" s="2">
        <f>IFERROR(__xludf.DUMMYFUNCTION("""COMPUTED_VALUE"""),29.0)</f>
        <v>29</v>
      </c>
      <c r="L60" s="2" t="str">
        <f>IFERROR(__xludf.DUMMYFUNCTION("""COMPUTED_VALUE"""),"Wolta трековые")</f>
        <v>Wolta трековые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IFERROR(__xludf.DUMMYFUNCTION("""COMPUTED_VALUE"""),"12-9926")</f>
        <v>12-9926</v>
      </c>
      <c r="B61" s="5" t="str">
        <f>IFERROR(__xludf.DUMMYFUNCTION("""COMPUTED_VALUE"""),"Rexant Жало для паяльника 100 Вт 12-9926")</f>
        <v>Rexant Жало для паяльника 100 Вт 12-9926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IFERROR(__xludf.DUMMYFUNCTION("""COMPUTED_VALUE"""),211.0)</f>
        <v>211</v>
      </c>
      <c r="G61" s="2">
        <f>IFERROR(__xludf.DUMMYFUNCTION("""COMPUTED_VALUE"""),226.0)</f>
        <v>226</v>
      </c>
      <c r="H61" s="2">
        <f>IFERROR(__xludf.DUMMYFUNCTION("""COMPUTED_VALUE"""),254.0)</f>
        <v>254</v>
      </c>
      <c r="I61" s="2">
        <f>IFERROR(__xludf.DUMMYFUNCTION("""COMPUTED_VALUE"""),281.98)</f>
        <v>281.98</v>
      </c>
      <c r="J61" s="2">
        <f>IFERROR(__xludf.DUMMYFUNCTION("""COMPUTED_VALUE"""),141.0)</f>
        <v>141</v>
      </c>
      <c r="K61" s="2">
        <f>IFERROR(__xludf.DUMMYFUNCTION("""COMPUTED_VALUE"""),2.0)</f>
        <v>2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IFERROR(__xludf.DUMMYFUNCTION("""COMPUTED_VALUE"""),"AR12524")</f>
        <v>AR12524</v>
      </c>
      <c r="B62" s="5" t="str">
        <f>IFERROR(__xludf.DUMMYFUNCTION("""COMPUTED_VALUE"""),"C LITE 100 (цена договорная)")</f>
        <v>C LITE 100 (цена договорная)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IFERROR(__xludf.DUMMYFUNCTION("""COMPUTED_VALUE"""),4378.0)</f>
        <v>4378</v>
      </c>
      <c r="F62" s="2">
        <f>IFERROR(__xludf.DUMMYFUNCTION("""COMPUTED_VALUE"""),4838.0)</f>
        <v>4838</v>
      </c>
      <c r="G62" s="2">
        <f>IFERROR(__xludf.DUMMYFUNCTION("""COMPUTED_VALUE"""),5122.0)</f>
        <v>5122</v>
      </c>
      <c r="H62" s="2">
        <f>IFERROR(__xludf.DUMMYFUNCTION("""COMPUTED_VALUE"""),5692.0)</f>
        <v>5692</v>
      </c>
      <c r="I62" s="2">
        <f>IFERROR(__xludf.DUMMYFUNCTION("""COMPUTED_VALUE"""),7399.0)</f>
        <v>7399</v>
      </c>
      <c r="J62" s="2">
        <f>IFERROR(__xludf.DUMMYFUNCTION("""COMPUTED_VALUE"""),2189.0)</f>
        <v>2189</v>
      </c>
      <c r="K62" s="2">
        <f>IFERROR(__xludf.DUMMYFUNCTION("""COMPUTED_VALUE"""),1.0)</f>
        <v>1</v>
      </c>
      <c r="L62" s="2" t="str">
        <f>IFERROR(__xludf.DUMMYFUNCTION("""COMPUTED_VALUE"""),"RSD C LITE")</f>
        <v>RSD C LITE</v>
      </c>
      <c r="M62" s="2" t="str">
        <f>IFERROR(__xludf.DUMMYFUNCTION("""COMPUTED_VALUE"""),"Для обычных дорог, LED Светильники")</f>
        <v>Для обычных дорог, LED Светильники</v>
      </c>
    </row>
    <row r="63">
      <c r="A63" s="5" t="str">
        <f>IFERROR(__xludf.DUMMYFUNCTION("""COMPUTED_VALUE"""),"G13629")</f>
        <v>G13629</v>
      </c>
      <c r="B63" s="5" t="str">
        <f>IFERROR(__xludf.DUMMYFUNCTION("""COMPUTED_VALUE"""),"Лампа Gauss LED Elementary MR16 GU10 9W 660lm 4100К 1/10/100")</f>
        <v>Лампа Gauss LED Elementary MR16 GU10 9W 660lm 4100К 1/10/100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IFERROR(__xludf.DUMMYFUNCTION("""COMPUTED_VALUE"""),122.02)</f>
        <v>122.02</v>
      </c>
      <c r="F63" s="2">
        <f>IFERROR(__xludf.DUMMYFUNCTION("""COMPUTED_VALUE"""),143.0)</f>
        <v>143</v>
      </c>
      <c r="G63" s="2">
        <f>IFERROR(__xludf.DUMMYFUNCTION("""COMPUTED_VALUE"""),158.0)</f>
        <v>158</v>
      </c>
      <c r="H63" s="2">
        <f>IFERROR(__xludf.DUMMYFUNCTION("""COMPUTED_VALUE"""),186.0)</f>
        <v>186</v>
      </c>
      <c r="I63" s="2">
        <f>IFERROR(__xludf.DUMMYFUNCTION("""COMPUTED_VALUE"""),234.0)</f>
        <v>234</v>
      </c>
      <c r="J63" s="2">
        <f>IFERROR(__xludf.DUMMYFUNCTION("""COMPUTED_VALUE"""),117.0)</f>
        <v>117</v>
      </c>
      <c r="K63" s="2">
        <f>IFERROR(__xludf.DUMMYFUNCTION("""COMPUTED_VALUE"""),17.0)</f>
        <v>17</v>
      </c>
      <c r="L63" s="2" t="str">
        <f>IFERROR(__xludf.DUMMYFUNCTION("""COMPUTED_VALUE"""),"GAUSS лампы LED")</f>
        <v>GAUSS лампы LED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IFERROR(__xludf.DUMMYFUNCTION("""COMPUTED_VALUE"""),"4690612040189")</f>
        <v>4690612040189</v>
      </c>
      <c r="B64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2">
        <f>IFERROR(__xludf.DUMMYFUNCTION("""COMPUTED_VALUE"""),0.43)</f>
        <v>0.43</v>
      </c>
      <c r="D64" s="2">
        <f>IFERROR(__xludf.DUMMYFUNCTION("""COMPUTED_VALUE"""),0.00133)</f>
        <v>0.00133</v>
      </c>
      <c r="E64" s="2">
        <f>IFERROR(__xludf.DUMMYFUNCTION("""COMPUTED_VALUE"""),740.24)</f>
        <v>740.24</v>
      </c>
      <c r="F64" s="2">
        <f>IFERROR(__xludf.DUMMYFUNCTION("""COMPUTED_VALUE"""),823.0)</f>
        <v>823</v>
      </c>
      <c r="G64" s="2">
        <f>IFERROR(__xludf.DUMMYFUNCTION("""COMPUTED_VALUE"""),926.0)</f>
        <v>926</v>
      </c>
      <c r="H64" s="2">
        <f>IFERROR(__xludf.DUMMYFUNCTION("""COMPUTED_VALUE"""),1074.0)</f>
        <v>1074</v>
      </c>
      <c r="I64" s="2">
        <f>IFERROR(__xludf.DUMMYFUNCTION("""COMPUTED_VALUE"""),1234.0)</f>
        <v>1234</v>
      </c>
      <c r="J64" s="2">
        <f>IFERROR(__xludf.DUMMYFUNCTION("""COMPUTED_VALUE"""),617.0)</f>
        <v>617</v>
      </c>
      <c r="K64" s="2">
        <f>IFERROR(__xludf.DUMMYFUNCTION("""COMPUTED_VALUE"""),13.0)</f>
        <v>13</v>
      </c>
      <c r="L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2" t="str">
        <f>IFERROR(__xludf.DUMMYFUNCTION("""COMPUTED_VALUE"""),"Трековые, LED Светильники")</f>
        <v>Трековые, LED Светильники</v>
      </c>
    </row>
    <row r="65">
      <c r="A65" s="5" t="str">
        <f>IFERROR(__xludf.DUMMYFUNCTION("""COMPUTED_VALUE"""),"01-4015")</f>
        <v>01-4015</v>
      </c>
      <c r="B65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IFERROR(__xludf.DUMMYFUNCTION("""COMPUTED_VALUE"""),1.0)</f>
        <v>1</v>
      </c>
      <c r="F65" s="2">
        <f>IFERROR(__xludf.DUMMYFUNCTION("""COMPUTED_VALUE"""),11135.0)</f>
        <v>11135</v>
      </c>
      <c r="G65" s="2">
        <f>IFERROR(__xludf.DUMMYFUNCTION("""COMPUTED_VALUE"""),11878.0)</f>
        <v>11878</v>
      </c>
      <c r="H65" s="2">
        <f>IFERROR(__xludf.DUMMYFUNCTION("""COMPUTED_VALUE"""),13362.0)</f>
        <v>13362</v>
      </c>
      <c r="I65" s="2">
        <f>IFERROR(__xludf.DUMMYFUNCTION("""COMPUTED_VALUE"""),14846.96)</f>
        <v>14846.96</v>
      </c>
      <c r="J65" s="2">
        <f>IFERROR(__xludf.DUMMYFUNCTION("""COMPUTED_VALUE"""),7423.0)</f>
        <v>7423</v>
      </c>
      <c r="K65" s="2">
        <f>IFERROR(__xludf.DUMMYFUNCTION("""COMPUTED_VALUE"""),1.0)</f>
        <v>1</v>
      </c>
      <c r="L65" s="2" t="str">
        <f>IFERROR(__xludf.DUMMYFUNCTION("""COMPUTED_VALUE"""),"Rexant")</f>
        <v>Rexant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IFERROR(__xludf.DUMMYFUNCTION("""COMPUTED_VALUE"""),"4690612029337")</f>
        <v>4690612029337</v>
      </c>
      <c r="B66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2">
        <f>IFERROR(__xludf.DUMMYFUNCTION("""COMPUTED_VALUE"""),0.43)</f>
        <v>0.43</v>
      </c>
      <c r="D66" s="2">
        <f>IFERROR(__xludf.DUMMYFUNCTION("""COMPUTED_VALUE"""),0.0012)</f>
        <v>0.0012</v>
      </c>
      <c r="E66" s="2">
        <f>IFERROR(__xludf.DUMMYFUNCTION("""COMPUTED_VALUE"""),394.84)</f>
        <v>394.84</v>
      </c>
      <c r="F66" s="2">
        <f>IFERROR(__xludf.DUMMYFUNCTION("""COMPUTED_VALUE"""),401.0)</f>
        <v>401</v>
      </c>
      <c r="G66" s="2">
        <f>IFERROR(__xludf.DUMMYFUNCTION("""COMPUTED_VALUE"""),452.0)</f>
        <v>452</v>
      </c>
      <c r="H66" s="2">
        <f>IFERROR(__xludf.DUMMYFUNCTION("""COMPUTED_VALUE"""),524.0)</f>
        <v>524</v>
      </c>
      <c r="I66" s="2">
        <f>IFERROR(__xludf.DUMMYFUNCTION("""COMPUTED_VALUE"""),602.0)</f>
        <v>602</v>
      </c>
      <c r="J66" s="2">
        <f>IFERROR(__xludf.DUMMYFUNCTION("""COMPUTED_VALUE"""),301.0)</f>
        <v>301</v>
      </c>
      <c r="K66" s="2">
        <f>IFERROR(__xludf.DUMMYFUNCTION("""COMPUTED_VALUE"""),5.0)</f>
        <v>5</v>
      </c>
      <c r="L66" s="2" t="str">
        <f>IFERROR(__xludf.DUMMYFUNCTION("""COMPUTED_VALUE"""),"Шинопровод и комплектующие")</f>
        <v>Шинопровод и комплектующие</v>
      </c>
      <c r="M66" s="2" t="str">
        <f>IFERROR(__xludf.DUMMYFUNCTION("""COMPUTED_VALUE"""),"Прочие товары")</f>
        <v>Прочие товары</v>
      </c>
    </row>
    <row r="67">
      <c r="A67" s="5" t="str">
        <f>IFERROR(__xludf.DUMMYFUNCTION("""COMPUTED_VALUE"""),"ves029")</f>
        <v>ves029</v>
      </c>
      <c r="B67" s="5" t="str">
        <f>IFERROR(__xludf.DUMMYFUNCTION("""COMPUTED_VALUE"""),"Светильник светодиодный 80W SP3050")</f>
        <v>Светильник светодиодный 80W SP3050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IFERROR(__xludf.DUMMYFUNCTION("""COMPUTED_VALUE"""),2958.32)</f>
        <v>2958.32</v>
      </c>
      <c r="F67" s="2">
        <f>IFERROR(__xludf.DUMMYFUNCTION("""COMPUTED_VALUE"""),2738.0)</f>
        <v>2738</v>
      </c>
      <c r="G67" s="2">
        <f>IFERROR(__xludf.DUMMYFUNCTION("""COMPUTED_VALUE"""),2920.0)</f>
        <v>2920</v>
      </c>
      <c r="H67" s="2">
        <f>IFERROR(__xludf.DUMMYFUNCTION("""COMPUTED_VALUE"""),3285.0)</f>
        <v>3285</v>
      </c>
      <c r="I67" s="2">
        <f>IFERROR(__xludf.DUMMYFUNCTION("""COMPUTED_VALUE"""),3650.0)</f>
        <v>3650</v>
      </c>
      <c r="J67" s="2">
        <f>IFERROR(__xludf.DUMMYFUNCTION("""COMPUTED_VALUE"""),1825.0)</f>
        <v>1825</v>
      </c>
      <c r="K67" s="2">
        <f>IFERROR(__xludf.DUMMYFUNCTION("""COMPUTED_VALUE"""),5.0)</f>
        <v>5</v>
      </c>
      <c r="L67" s="2" t="str">
        <f>IFERROR(__xludf.DUMMYFUNCTION("""COMPUTED_VALUE"""),"ves")</f>
        <v>ves</v>
      </c>
      <c r="M67" s="2" t="str">
        <f>IFERROR(__xludf.DUMMYFUNCTION("""COMPUTED_VALUE"""),"LED Светильники")</f>
        <v>LED Светильники</v>
      </c>
    </row>
    <row r="68">
      <c r="A68" s="5" t="str">
        <f>IFERROR(__xludf.DUMMYFUNCTION("""COMPUTED_VALUE"""),"4630015264812")</f>
        <v>4630015264812</v>
      </c>
      <c r="B68" s="5" t="str">
        <f>IFERROR(__xludf.DUMMYFUNCTION("""COMPUTED_VALUE"""),"CT108BR-DL50GU5.3")</f>
        <v>CT108BR-DL50GU5.3</v>
      </c>
      <c r="C68" s="2">
        <f>IFERROR(__xludf.DUMMYFUNCTION("""COMPUTED_VALUE"""),0.0)</f>
        <v>0</v>
      </c>
      <c r="D68" s="2">
        <f>IFERROR(__xludf.DUMMYFUNCTION("""COMPUTED_VALUE"""),0.0)</f>
        <v>0</v>
      </c>
      <c r="E68" s="2">
        <f>IFERROR(__xludf.DUMMYFUNCTION("""COMPUTED_VALUE"""),262.14)</f>
        <v>262.14</v>
      </c>
      <c r="F68" s="2">
        <f>IFERROR(__xludf.DUMMYFUNCTION("""COMPUTED_VALUE"""),148.0)</f>
        <v>148</v>
      </c>
      <c r="G68" s="2">
        <f>IFERROR(__xludf.DUMMYFUNCTION("""COMPUTED_VALUE"""),153.0)</f>
        <v>153</v>
      </c>
      <c r="H68" s="2">
        <f>IFERROR(__xludf.DUMMYFUNCTION("""COMPUTED_VALUE"""),200.0)</f>
        <v>200</v>
      </c>
      <c r="I68" s="2">
        <f>IFERROR(__xludf.DUMMYFUNCTION("""COMPUTED_VALUE"""),250.0)</f>
        <v>250</v>
      </c>
      <c r="J68" s="2">
        <f>IFERROR(__xludf.DUMMYFUNCTION("""COMPUTED_VALUE"""),125.0)</f>
        <v>125</v>
      </c>
      <c r="K68" s="2">
        <f>IFERROR(__xludf.DUMMYFUNCTION("""COMPUTED_VALUE"""),8.0)</f>
        <v>8</v>
      </c>
      <c r="L68" s="2" t="str">
        <f>IFERROR(__xludf.DUMMYFUNCTION("""COMPUTED_VALUE"""),"Wolta декоративные")</f>
        <v>Wolta декоративные</v>
      </c>
      <c r="M68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5" t="str">
        <f>IFERROR(__xludf.DUMMYFUNCTION("""COMPUTED_VALUE"""),"4690612020273")</f>
        <v>4690612020273</v>
      </c>
      <c r="B69" s="5" t="str">
        <f>IFERROR(__xludf.DUMMYFUNCTION("""COMPUTED_VALUE"""),"LED-A60-VC 15Вт 230В Е27 4000К 1430Лм IN HOME")</f>
        <v>LED-A60-VC 15Вт 230В Е27 4000К 1430Лм IN HOME</v>
      </c>
      <c r="C69" s="2">
        <f>IFERROR(__xludf.DUMMYFUNCTION("""COMPUTED_VALUE"""),0.05500000000000001)</f>
        <v>0.055</v>
      </c>
      <c r="D69" s="2">
        <f>IFERROR(__xludf.DUMMYFUNCTION("""COMPUTED_VALUE"""),4.0E-4)</f>
        <v>0.0004</v>
      </c>
      <c r="E69" s="2">
        <f>IFERROR(__xludf.DUMMYFUNCTION("""COMPUTED_VALUE"""),43.8)</f>
        <v>43.8</v>
      </c>
      <c r="F69" s="2">
        <f>IFERROR(__xludf.DUMMYFUNCTION("""COMPUTED_VALUE"""),54.0)</f>
        <v>54</v>
      </c>
      <c r="G69" s="2">
        <f>IFERROR(__xludf.DUMMYFUNCTION("""COMPUTED_VALUE"""),60.0)</f>
        <v>60</v>
      </c>
      <c r="H69" s="2">
        <f>IFERROR(__xludf.DUMMYFUNCTION("""COMPUTED_VALUE"""),70.0)</f>
        <v>70</v>
      </c>
      <c r="I69" s="2">
        <f>IFERROR(__xludf.DUMMYFUNCTION("""COMPUTED_VALUE"""),80.8)</f>
        <v>80.8</v>
      </c>
      <c r="J69" s="2">
        <f>IFERROR(__xludf.DUMMYFUNCTION("""COMPUTED_VALUE"""),60.0)</f>
        <v>60</v>
      </c>
      <c r="K69" s="2">
        <f>IFERROR(__xludf.DUMMYFUNCTION("""COMPUTED_VALUE"""),9.0)</f>
        <v>9</v>
      </c>
      <c r="L69" s="2" t="str">
        <f>IFERROR(__xludf.DUMMYFUNCTION("""COMPUTED_VALUE"""),"Лампа светодиодная LED-A60-standard")</f>
        <v>Лампа светодиодная LED-A60-standard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IFERROR(__xludf.DUMMYFUNCTION("""COMPUTED_VALUE"""),"4690612031101")</f>
        <v>4690612031101</v>
      </c>
      <c r="B70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2">
        <f>IFERROR(__xludf.DUMMYFUNCTION("""COMPUTED_VALUE"""),0.2)</f>
        <v>0.2</v>
      </c>
      <c r="D70" s="2">
        <f>IFERROR(__xludf.DUMMYFUNCTION("""COMPUTED_VALUE"""),0.003)</f>
        <v>0.003</v>
      </c>
      <c r="E70" s="2">
        <f>IFERROR(__xludf.DUMMYFUNCTION("""COMPUTED_VALUE"""),166.66)</f>
        <v>166.66</v>
      </c>
      <c r="F70" s="2">
        <f>IFERROR(__xludf.DUMMYFUNCTION("""COMPUTED_VALUE"""),182.0)</f>
        <v>182</v>
      </c>
      <c r="G70" s="2">
        <f>IFERROR(__xludf.DUMMYFUNCTION("""COMPUTED_VALUE"""),205.0)</f>
        <v>205</v>
      </c>
      <c r="H70" s="2">
        <f>IFERROR(__xludf.DUMMYFUNCTION("""COMPUTED_VALUE"""),237.0)</f>
        <v>237</v>
      </c>
      <c r="I70" s="2">
        <f>IFERROR(__xludf.DUMMYFUNCTION("""COMPUTED_VALUE"""),273.3)</f>
        <v>273.3</v>
      </c>
      <c r="J70" s="2">
        <f>IFERROR(__xludf.DUMMYFUNCTION("""COMPUTED_VALUE"""),137.0)</f>
        <v>137</v>
      </c>
      <c r="K70" s="2">
        <f>IFERROR(__xludf.DUMMYFUNCTION("""COMPUTED_VALUE"""),17.0)</f>
        <v>17</v>
      </c>
      <c r="L70" s="2" t="str">
        <f>IFERROR(__xludf.DUMMYFUNCTION("""COMPUTED_VALUE"""),"Лампа светодиодная HP PRO")</f>
        <v>Лампа светодиодная HP PRO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IFERROR(__xludf.DUMMYFUNCTION("""COMPUTED_VALUE"""),"4690612035345")</f>
        <v>4690612035345</v>
      </c>
      <c r="B71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2">
        <f>IFERROR(__xludf.DUMMYFUNCTION("""COMPUTED_VALUE"""),0.35)</f>
        <v>0.35</v>
      </c>
      <c r="D71" s="2">
        <f>IFERROR(__xludf.DUMMYFUNCTION("""COMPUTED_VALUE"""),0.0035)</f>
        <v>0.0035</v>
      </c>
      <c r="E71" s="2">
        <f>IFERROR(__xludf.DUMMYFUNCTION("""COMPUTED_VALUE"""),655.28)</f>
        <v>655.28</v>
      </c>
      <c r="F71" s="2">
        <f>IFERROR(__xludf.DUMMYFUNCTION("""COMPUTED_VALUE"""),622.0)</f>
        <v>622</v>
      </c>
      <c r="G71" s="2">
        <f>IFERROR(__xludf.DUMMYFUNCTION("""COMPUTED_VALUE"""),700.0)</f>
        <v>700</v>
      </c>
      <c r="H71" s="2">
        <f>IFERROR(__xludf.DUMMYFUNCTION("""COMPUTED_VALUE"""),812.0)</f>
        <v>812</v>
      </c>
      <c r="I71" s="2">
        <f>IFERROR(__xludf.DUMMYFUNCTION("""COMPUTED_VALUE"""),933.0)</f>
        <v>933</v>
      </c>
      <c r="J71" s="2">
        <f>IFERROR(__xludf.DUMMYFUNCTION("""COMPUTED_VALUE"""),467.0)</f>
        <v>467</v>
      </c>
      <c r="K71" s="2">
        <f>IFERROR(__xludf.DUMMYFUNCTION("""COMPUTED_VALUE"""),2.0)</f>
        <v>2</v>
      </c>
      <c r="L71" s="2" t="str">
        <f>IFERROR(__xludf.DUMMYFUNCTION("""COMPUTED_VALUE"""),"Светильники светодиодные серии ELEGANT IN HOME")</f>
        <v>Светильники светодиодные серии ELEGANT IN HOME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IFERROR(__xludf.DUMMYFUNCTION("""COMPUTED_VALUE"""),"4690612035734")</f>
        <v>4690612035734</v>
      </c>
      <c r="B72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2">
        <f>IFERROR(__xludf.DUMMYFUNCTION("""COMPUTED_VALUE"""),1.34)</f>
        <v>1.34</v>
      </c>
      <c r="D72" s="2">
        <f>IFERROR(__xludf.DUMMYFUNCTION("""COMPUTED_VALUE"""),0.028)</f>
        <v>0.028</v>
      </c>
      <c r="E72" s="2">
        <f>IFERROR(__xludf.DUMMYFUNCTION("""COMPUTED_VALUE"""),2378.5)</f>
        <v>2378.5</v>
      </c>
      <c r="F72" s="2">
        <f>IFERROR(__xludf.DUMMYFUNCTION("""COMPUTED_VALUE"""),2243.0)</f>
        <v>2243</v>
      </c>
      <c r="G72" s="2">
        <f>IFERROR(__xludf.DUMMYFUNCTION("""COMPUTED_VALUE"""),2523.0)</f>
        <v>2523</v>
      </c>
      <c r="H72" s="2">
        <f>IFERROR(__xludf.DUMMYFUNCTION("""COMPUTED_VALUE"""),2927.0)</f>
        <v>2927</v>
      </c>
      <c r="I72" s="2">
        <f>IFERROR(__xludf.DUMMYFUNCTION("""COMPUTED_VALUE"""),3364.0)</f>
        <v>3364</v>
      </c>
      <c r="J72" s="2">
        <f>IFERROR(__xludf.DUMMYFUNCTION("""COMPUTED_VALUE"""),1682.0)</f>
        <v>1682</v>
      </c>
      <c r="K72" s="2">
        <f>IFERROR(__xludf.DUMMYFUNCTION("""COMPUTED_VALUE"""),1.0)</f>
        <v>1</v>
      </c>
      <c r="L72" s="2" t="str">
        <f>IFERROR(__xludf.DUMMYFUNCTION("""COMPUTED_VALUE"""),"Светильники светодиодные COMFORT")</f>
        <v>Светильники светодиодные COMFORT</v>
      </c>
      <c r="M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5" t="str">
        <f>IFERROR(__xludf.DUMMYFUNCTION("""COMPUTED_VALUE"""),"V5004")</f>
        <v>V5004</v>
      </c>
      <c r="B73" s="5" t="str">
        <f>IFERROR(__xludf.DUMMYFUNCTION("""COMPUTED_VALUE"""),"VRN-LUX153X84-76-A50K67-K")</f>
        <v>VRN-LUX153X84-76-A50K67-K</v>
      </c>
      <c r="C73" s="2">
        <f>IFERROR(__xludf.DUMMYFUNCTION("""COMPUTED_VALUE"""),2.4)</f>
        <v>2.4</v>
      </c>
      <c r="D73" s="2">
        <f>IFERROR(__xludf.DUMMYFUNCTION("""COMPUTED_VALUE"""),0.0088)</f>
        <v>0.0088</v>
      </c>
      <c r="E73" s="2">
        <f>IFERROR(__xludf.DUMMYFUNCTION("""COMPUTED_VALUE"""),7172.5)</f>
        <v>7172.5</v>
      </c>
      <c r="F73" s="2">
        <f>IFERROR(__xludf.DUMMYFUNCTION("""COMPUTED_VALUE"""),7430.0)</f>
        <v>7430</v>
      </c>
      <c r="G73" s="2">
        <f>IFERROR(__xludf.DUMMYFUNCTION("""COMPUTED_VALUE"""),9659.0)</f>
        <v>9659</v>
      </c>
      <c r="H73" s="2">
        <f>IFERROR(__xludf.DUMMYFUNCTION("""COMPUTED_VALUE"""),10142.0)</f>
        <v>10142</v>
      </c>
      <c r="I73" s="2">
        <f>IFERROR(__xludf.DUMMYFUNCTION("""COMPUTED_VALUE"""),10625.0)</f>
        <v>10625</v>
      </c>
      <c r="J73" s="2">
        <f>IFERROR(__xludf.DUMMYFUNCTION("""COMPUTED_VALUE"""),5313.0)</f>
        <v>5313</v>
      </c>
      <c r="K73" s="2">
        <f>IFERROR(__xludf.DUMMYFUNCTION("""COMPUTED_VALUE"""),1.0)</f>
        <v>1</v>
      </c>
      <c r="L73" s="2" t="str">
        <f>IFERROR(__xludf.DUMMYFUNCTION("""COMPUTED_VALUE"""),"Премиум")</f>
        <v>Премиум</v>
      </c>
      <c r="M73" s="2" t="str">
        <f>IFERROR(__xludf.DUMMYFUNCTION("""COMPUTED_VALUE"""),"Профессиональные, LED Светильники")</f>
        <v>Профессиональные, LED Светильники</v>
      </c>
    </row>
    <row r="74">
      <c r="A74" s="5" t="str">
        <f>IFERROR(__xludf.DUMMYFUNCTION("""COMPUTED_VALUE"""),"4690612020839")</f>
        <v>4690612020839</v>
      </c>
      <c r="B74" s="5" t="str">
        <f>IFERROR(__xludf.DUMMYFUNCTION("""COMPUTED_VALUE"""),"LED-GX53-VC 15Вт 230В 6500К 1430Лм IN HOME")</f>
        <v>LED-GX53-VC 15Вт 230В 6500К 1430Лм IN HOME</v>
      </c>
      <c r="C74" s="2">
        <f>IFERROR(__xludf.DUMMYFUNCTION("""COMPUTED_VALUE"""),0.051)</f>
        <v>0.051</v>
      </c>
      <c r="D74" s="2">
        <f>IFERROR(__xludf.DUMMYFUNCTION("""COMPUTED_VALUE"""),2.1E-4)</f>
        <v>0.00021</v>
      </c>
      <c r="E74" s="2">
        <f>IFERROR(__xludf.DUMMYFUNCTION("""COMPUTED_VALUE"""),54.06)</f>
        <v>54.06</v>
      </c>
      <c r="F74" s="2">
        <f>IFERROR(__xludf.DUMMYFUNCTION("""COMPUTED_VALUE"""),57.0)</f>
        <v>57</v>
      </c>
      <c r="G74" s="2">
        <f>IFERROR(__xludf.DUMMYFUNCTION("""COMPUTED_VALUE"""),64.0)</f>
        <v>64</v>
      </c>
      <c r="H74" s="2">
        <f>IFERROR(__xludf.DUMMYFUNCTION("""COMPUTED_VALUE"""),74.0)</f>
        <v>74</v>
      </c>
      <c r="I74" s="2">
        <f>IFERROR(__xludf.DUMMYFUNCTION("""COMPUTED_VALUE"""),85.55)</f>
        <v>85.55</v>
      </c>
      <c r="J74" s="2">
        <f>IFERROR(__xludf.DUMMYFUNCTION("""COMPUTED_VALUE"""),43.0)</f>
        <v>43</v>
      </c>
      <c r="K74" s="2">
        <f>IFERROR(__xludf.DUMMYFUNCTION("""COMPUTED_VALUE"""),71.0)</f>
        <v>71</v>
      </c>
      <c r="L74" s="2" t="str">
        <f>IFERROR(__xludf.DUMMYFUNCTION("""COMPUTED_VALUE"""),"Лампа светодиодная LED-GX53-standard")</f>
        <v>Лампа светодиодная LED-GX53-standard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IFERROR(__xludf.DUMMYFUNCTION("""COMPUTED_VALUE"""),"4690612052984-1")</f>
        <v>4690612052984-1</v>
      </c>
      <c r="B75" s="5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IFERROR(__xludf.DUMMYFUNCTION("""COMPUTED_VALUE"""),859.4)</f>
        <v>859.4</v>
      </c>
      <c r="F75" s="2">
        <f>IFERROR(__xludf.DUMMYFUNCTION("""COMPUTED_VALUE"""),943.0)</f>
        <v>943</v>
      </c>
      <c r="G75" s="2">
        <f>IFERROR(__xludf.DUMMYFUNCTION("""COMPUTED_VALUE"""),1100.0)</f>
        <v>1100</v>
      </c>
      <c r="H75" s="2">
        <f>IFERROR(__xludf.DUMMYFUNCTION("""COMPUTED_VALUE"""),1238.0)</f>
        <v>1238</v>
      </c>
      <c r="I75" s="2">
        <f>IFERROR(__xludf.DUMMYFUNCTION("""COMPUTED_VALUE"""),1375.0)</f>
        <v>1375</v>
      </c>
      <c r="J75" s="2">
        <f>IFERROR(__xludf.DUMMYFUNCTION("""COMPUTED_VALUE"""),688.0)</f>
        <v>688</v>
      </c>
      <c r="K75" s="2">
        <f>IFERROR(__xludf.DUMMYFUNCTION("""COMPUTED_VALUE"""),0.0)</f>
        <v>0</v>
      </c>
      <c r="L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">
      <c r="A76" s="5" t="str">
        <f>IFERROR(__xludf.DUMMYFUNCTION("""COMPUTED_VALUE"""),"4690612015125")</f>
        <v>4690612015125</v>
      </c>
      <c r="B76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6" s="2">
        <f>IFERROR(__xludf.DUMMYFUNCTION("""COMPUTED_VALUE"""),0.115)</f>
        <v>0.115</v>
      </c>
      <c r="D76" s="2">
        <f>IFERROR(__xludf.DUMMYFUNCTION("""COMPUTED_VALUE"""),0.0023)</f>
        <v>0.0023</v>
      </c>
      <c r="E76" s="2">
        <f>IFERROR(__xludf.DUMMYFUNCTION("""COMPUTED_VALUE"""),100.5)</f>
        <v>100.5</v>
      </c>
      <c r="F76" s="2">
        <f>IFERROR(__xludf.DUMMYFUNCTION("""COMPUTED_VALUE"""),100.0)</f>
        <v>100</v>
      </c>
      <c r="G76" s="2">
        <f>IFERROR(__xludf.DUMMYFUNCTION("""COMPUTED_VALUE"""),113.0)</f>
        <v>113</v>
      </c>
      <c r="H76" s="2">
        <f>IFERROR(__xludf.DUMMYFUNCTION("""COMPUTED_VALUE"""),131.0)</f>
        <v>131</v>
      </c>
      <c r="I76" s="2">
        <f>IFERROR(__xludf.DUMMYFUNCTION("""COMPUTED_VALUE"""),150.0)</f>
        <v>150</v>
      </c>
      <c r="J76" s="2">
        <f>IFERROR(__xludf.DUMMYFUNCTION("""COMPUTED_VALUE"""),75.0)</f>
        <v>75</v>
      </c>
      <c r="K76" s="2">
        <f>IFERROR(__xludf.DUMMYFUNCTION("""COMPUTED_VALUE"""),7.0)</f>
        <v>7</v>
      </c>
      <c r="L76" s="2" t="str">
        <f>IFERROR(__xludf.DUMMYFUNCTION("""COMPUTED_VALUE"""),"Светильники ночники")</f>
        <v>Светильники ночники</v>
      </c>
      <c r="M7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7">
      <c r="A77" s="5" t="str">
        <f>IFERROR(__xludf.DUMMYFUNCTION("""COMPUTED_VALUE"""),"G106001104")</f>
        <v>G106001104</v>
      </c>
      <c r="B77" s="5" t="str">
        <f>IFERROR(__xludf.DUMMYFUNCTION("""COMPUTED_VALUE"""),"Reflector R39 E14 4W 2700K 1/10/50")</f>
        <v>Reflector R39 E14 4W 2700K 1/10/50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IFERROR(__xludf.DUMMYFUNCTION("""COMPUTED_VALUE"""),109.0)</f>
        <v>109</v>
      </c>
      <c r="F77" s="2">
        <f>IFERROR(__xludf.DUMMYFUNCTION("""COMPUTED_VALUE"""),131.0)</f>
        <v>131</v>
      </c>
      <c r="G77" s="2">
        <f>IFERROR(__xludf.DUMMYFUNCTION("""COMPUTED_VALUE"""),144.0)</f>
        <v>144</v>
      </c>
      <c r="H77" s="2">
        <f>IFERROR(__xludf.DUMMYFUNCTION("""COMPUTED_VALUE"""),170.0)</f>
        <v>170</v>
      </c>
      <c r="I77" s="2">
        <f>IFERROR(__xludf.DUMMYFUNCTION("""COMPUTED_VALUE"""),215.0)</f>
        <v>215</v>
      </c>
      <c r="J77" s="2">
        <f>IFERROR(__xludf.DUMMYFUNCTION("""COMPUTED_VALUE"""),108.0)</f>
        <v>108</v>
      </c>
      <c r="K77" s="2">
        <f>IFERROR(__xludf.DUMMYFUNCTION("""COMPUTED_VALUE"""),8.0)</f>
        <v>8</v>
      </c>
      <c r="L77" s="2" t="str">
        <f>IFERROR(__xludf.DUMMYFUNCTION("""COMPUTED_VALUE"""),"Зеркальные Лампы")</f>
        <v>Зеркальные Лампы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IFERROR(__xludf.DUMMYFUNCTION("""COMPUTED_VALUE"""),"4690612029375")</f>
        <v>4690612029375</v>
      </c>
      <c r="B78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8" s="2">
        <f>IFERROR(__xludf.DUMMYFUNCTION("""COMPUTED_VALUE"""),0.0288)</f>
        <v>0.0288</v>
      </c>
      <c r="D78" s="2">
        <f>IFERROR(__xludf.DUMMYFUNCTION("""COMPUTED_VALUE"""),6.000000000000001E-5)</f>
        <v>0.00006</v>
      </c>
      <c r="E78" s="2">
        <f>IFERROR(__xludf.DUMMYFUNCTION("""COMPUTED_VALUE"""),49.24)</f>
        <v>49.24</v>
      </c>
      <c r="F78" s="2">
        <f>IFERROR(__xludf.DUMMYFUNCTION("""COMPUTED_VALUE"""),65.0)</f>
        <v>65</v>
      </c>
      <c r="G78" s="2">
        <f>IFERROR(__xludf.DUMMYFUNCTION("""COMPUTED_VALUE"""),73.0)</f>
        <v>73</v>
      </c>
      <c r="H78" s="2">
        <f>IFERROR(__xludf.DUMMYFUNCTION("""COMPUTED_VALUE"""),84.0)</f>
        <v>84</v>
      </c>
      <c r="I78" s="2">
        <f>IFERROR(__xludf.DUMMYFUNCTION("""COMPUTED_VALUE"""),97.0)</f>
        <v>97</v>
      </c>
      <c r="J78" s="2">
        <f>IFERROR(__xludf.DUMMYFUNCTION("""COMPUTED_VALUE"""),49.0)</f>
        <v>49</v>
      </c>
      <c r="K78" s="2">
        <f>IFERROR(__xludf.DUMMYFUNCTION("""COMPUTED_VALUE"""),14.0)</f>
        <v>14</v>
      </c>
      <c r="L78" s="2" t="str">
        <f>IFERROR(__xludf.DUMMYFUNCTION("""COMPUTED_VALUE"""),"Шинопровод и комплектующие")</f>
        <v>Шинопровод и комплектующие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IFERROR(__xludf.DUMMYFUNCTION("""COMPUTED_VALUE"""),"14690612057306")</f>
        <v>14690612057306</v>
      </c>
      <c r="B79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IFERROR(__xludf.DUMMYFUNCTION("""COMPUTED_VALUE"""),3739.86)</f>
        <v>3739.86</v>
      </c>
      <c r="F79" s="2">
        <f>IFERROR(__xludf.DUMMYFUNCTION("""COMPUTED_VALUE"""),4103.0)</f>
        <v>4103</v>
      </c>
      <c r="G79" s="2">
        <f>IFERROR(__xludf.DUMMYFUNCTION("""COMPUTED_VALUE"""),4787.0)</f>
        <v>4787</v>
      </c>
      <c r="H79" s="2">
        <f>IFERROR(__xludf.DUMMYFUNCTION("""COMPUTED_VALUE"""),5386.0)</f>
        <v>5386</v>
      </c>
      <c r="I79" s="2">
        <f>IFERROR(__xludf.DUMMYFUNCTION("""COMPUTED_VALUE"""),5984.0)</f>
        <v>5984</v>
      </c>
      <c r="J79" s="2">
        <f>IFERROR(__xludf.DUMMYFUNCTION("""COMPUTED_VALUE"""),2992.0)</f>
        <v>2992</v>
      </c>
      <c r="K79" s="2">
        <f>IFERROR(__xludf.DUMMYFUNCTION("""COMPUTED_VALUE"""),5.0)</f>
        <v>5</v>
      </c>
      <c r="L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0">
      <c r="A80" s="5" t="str">
        <f>IFERROR(__xludf.DUMMYFUNCTION("""COMPUTED_VALUE"""),"HD016")</f>
        <v>HD016</v>
      </c>
      <c r="B80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80" s="2">
        <f>IFERROR(__xludf.DUMMYFUNCTION("""COMPUTED_VALUE"""),0.0)</f>
        <v>0</v>
      </c>
      <c r="D80" s="2">
        <f>IFERROR(__xludf.DUMMYFUNCTION("""COMPUTED_VALUE"""),0.0)</f>
        <v>0</v>
      </c>
      <c r="E80" s="2">
        <f>IFERROR(__xludf.DUMMYFUNCTION("""COMPUTED_VALUE"""),0.0)</f>
        <v>0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IFERROR(__xludf.DUMMYFUNCTION("""COMPUTED_VALUE"""),0.0)</f>
        <v>0</v>
      </c>
      <c r="J80" s="2">
        <f>IFERROR(__xludf.DUMMYFUNCTION("""COMPUTED_VALUE"""),0.0)</f>
        <v>0</v>
      </c>
      <c r="K80" s="2">
        <f>IFERROR(__xludf.DUMMYFUNCTION("""COMPUTED_VALUE"""),1.0)</f>
        <v>1</v>
      </c>
      <c r="L80" s="2" t="str">
        <f>IFERROR(__xludf.DUMMYFUNCTION("""COMPUTED_VALUE"""),"Gauss светильники")</f>
        <v>Gauss светильники</v>
      </c>
      <c r="M80" s="2" t="str">
        <f>IFERROR(__xludf.DUMMYFUNCTION("""COMPUTED_VALUE"""),"Ламповые светильники")</f>
        <v>Ламповые светильники</v>
      </c>
    </row>
    <row r="81">
      <c r="A81" s="5" t="str">
        <f>IFERROR(__xludf.DUMMYFUNCTION("""COMPUTED_VALUE"""),"V9001")</f>
        <v>V9001</v>
      </c>
      <c r="B81" s="5" t="str">
        <f>IFERROR(__xludf.DUMMYFUNCTION("""COMPUTED_VALUE"""),"VRN-UNE-32-G40K67-U, 32Вт, Универсальный")</f>
        <v>VRN-UNE-32-G40K67-U, 32Вт, Универсальный</v>
      </c>
      <c r="C81" s="2">
        <f>IFERROR(__xludf.DUMMYFUNCTION("""COMPUTED_VALUE"""),0.9400000000000001)</f>
        <v>0.94</v>
      </c>
      <c r="D81" s="2">
        <f>IFERROR(__xludf.DUMMYFUNCTION("""COMPUTED_VALUE"""),0.004030000000000001)</f>
        <v>0.00403</v>
      </c>
      <c r="E81" s="2">
        <f>IFERROR(__xludf.DUMMYFUNCTION("""COMPUTED_VALUE"""),1807.24)</f>
        <v>1807.24</v>
      </c>
      <c r="F81" s="2">
        <f>IFERROR(__xludf.DUMMYFUNCTION("""COMPUTED_VALUE"""),2020.0)</f>
        <v>2020</v>
      </c>
      <c r="G81" s="2">
        <f>IFERROR(__xludf.DUMMYFUNCTION("""COMPUTED_VALUE"""),2626.0)</f>
        <v>2626</v>
      </c>
      <c r="H81" s="2">
        <f>IFERROR(__xludf.DUMMYFUNCTION("""COMPUTED_VALUE"""),2757.0)</f>
        <v>2757</v>
      </c>
      <c r="I81" s="2">
        <f>IFERROR(__xludf.DUMMYFUNCTION("""COMPUTED_VALUE"""),2889.0)</f>
        <v>2889</v>
      </c>
      <c r="J81" s="2">
        <f>IFERROR(__xludf.DUMMYFUNCTION("""COMPUTED_VALUE"""),2889.0)</f>
        <v>2889</v>
      </c>
      <c r="K81" s="2">
        <f>IFERROR(__xludf.DUMMYFUNCTION("""COMPUTED_VALUE"""),10.0)</f>
        <v>10</v>
      </c>
      <c r="L81" s="2" t="str">
        <f>IFERROR(__xludf.DUMMYFUNCTION("""COMPUTED_VALUE"""),"Универсал Эконом")</f>
        <v>Универсал Эконом</v>
      </c>
      <c r="M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2">
      <c r="A82" s="5" t="str">
        <f>IFERROR(__xludf.DUMMYFUNCTION("""COMPUTED_VALUE"""),"4690612004235")</f>
        <v>4690612004235</v>
      </c>
      <c r="B82" s="5" t="str">
        <f>IFERROR(__xludf.DUMMYFUNCTION("""COMPUTED_VALUE"""),"LED-T8-PREMIUM 18Вт 160-260В G13 6500К 1980Лм 1200мм ASD")</f>
        <v>LED-T8-PREMIUM 18Вт 160-260В G13 6500К 1980Лм 1200мм ASD</v>
      </c>
      <c r="C82" s="2">
        <f>IFERROR(__xludf.DUMMYFUNCTION("""COMPUTED_VALUE"""),0.3780000000000001)</f>
        <v>0.378</v>
      </c>
      <c r="D82" s="2">
        <f>IFERROR(__xludf.DUMMYFUNCTION("""COMPUTED_VALUE"""),0.0)</f>
        <v>0</v>
      </c>
      <c r="E82" s="2">
        <f>IFERROR(__xludf.DUMMYFUNCTION("""COMPUTED_VALUE"""),256.8)</f>
        <v>256.8</v>
      </c>
      <c r="F82" s="2">
        <f>IFERROR(__xludf.DUMMYFUNCTION("""COMPUTED_VALUE"""),0.0)</f>
        <v>0</v>
      </c>
      <c r="G82" s="2">
        <f>IFERROR(__xludf.DUMMYFUNCTION("""COMPUTED_VALUE"""),0.0)</f>
        <v>0</v>
      </c>
      <c r="H82" s="2">
        <f>IFERROR(__xludf.DUMMYFUNCTION("""COMPUTED_VALUE"""),0.0)</f>
        <v>0</v>
      </c>
      <c r="I82" s="2">
        <f>IFERROR(__xludf.DUMMYFUNCTION("""COMPUTED_VALUE"""),0.5)</f>
        <v>0.5</v>
      </c>
      <c r="J82" s="2">
        <f>IFERROR(__xludf.DUMMYFUNCTION("""COMPUTED_VALUE"""),0.5)</f>
        <v>0.5</v>
      </c>
      <c r="K82" s="2">
        <f>IFERROR(__xludf.DUMMYFUNCTION("""COMPUTED_VALUE"""),1.0)</f>
        <v>1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IFERROR(__xludf.DUMMYFUNCTION("""COMPUTED_VALUE"""),"4690612034683")</f>
        <v>4690612034683</v>
      </c>
      <c r="B83" s="5" t="str">
        <f>IFERROR(__xludf.DUMMYFUNCTION("""COMPUTED_VALUE"""),"СДО-7 20Вт 230В 6500К IP65 белый IN HOME")</f>
        <v>СДО-7 20Вт 230В 6500К IP65 белый IN HOME</v>
      </c>
      <c r="C83" s="2">
        <f>IFERROR(__xludf.DUMMYFUNCTION("""COMPUTED_VALUE"""),0.175)</f>
        <v>0.175</v>
      </c>
      <c r="D83" s="2">
        <f>IFERROR(__xludf.DUMMYFUNCTION("""COMPUTED_VALUE"""),4.800000000000001E-4)</f>
        <v>0.00048</v>
      </c>
      <c r="E83" s="2">
        <f>IFERROR(__xludf.DUMMYFUNCTION("""COMPUTED_VALUE"""),166.23)</f>
        <v>166.23</v>
      </c>
      <c r="F83" s="2">
        <f>IFERROR(__xludf.DUMMYFUNCTION("""COMPUTED_VALUE"""),153.0)</f>
        <v>153</v>
      </c>
      <c r="G83" s="2">
        <f>IFERROR(__xludf.DUMMYFUNCTION("""COMPUTED_VALUE"""),172.0)</f>
        <v>172</v>
      </c>
      <c r="H83" s="2">
        <f>IFERROR(__xludf.DUMMYFUNCTION("""COMPUTED_VALUE"""),199.0)</f>
        <v>199</v>
      </c>
      <c r="I83" s="2">
        <f>IFERROR(__xludf.DUMMYFUNCTION("""COMPUTED_VALUE"""),229.0)</f>
        <v>229</v>
      </c>
      <c r="J83" s="2">
        <f>IFERROR(__xludf.DUMMYFUNCTION("""COMPUTED_VALUE"""),115.0)</f>
        <v>115</v>
      </c>
      <c r="K83" s="2">
        <f>IFERROR(__xludf.DUMMYFUNCTION("""COMPUTED_VALUE"""),17.0)</f>
        <v>17</v>
      </c>
      <c r="L83" s="2" t="str">
        <f>IFERROR(__xludf.DUMMYFUNCTION("""COMPUTED_VALUE"""),"Прожекторы светодиодные СДО-07")</f>
        <v>Прожекторы светодиодные СДО-07</v>
      </c>
      <c r="M8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4">
      <c r="A84" s="5" t="str">
        <f>IFERROR(__xludf.DUMMYFUNCTION("""COMPUTED_VALUE"""),"12-0480")</f>
        <v>12-0480</v>
      </c>
      <c r="B84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IFERROR(__xludf.DUMMYFUNCTION("""COMPUTED_VALUE"""),1.0)</f>
        <v>1</v>
      </c>
      <c r="F84" s="2">
        <f>IFERROR(__xludf.DUMMYFUNCTION("""COMPUTED_VALUE"""),954.0)</f>
        <v>954</v>
      </c>
      <c r="G84" s="2">
        <f>IFERROR(__xludf.DUMMYFUNCTION("""COMPUTED_VALUE"""),1018.0)</f>
        <v>1018</v>
      </c>
      <c r="H84" s="2">
        <f>IFERROR(__xludf.DUMMYFUNCTION("""COMPUTED_VALUE"""),1145.0)</f>
        <v>1145</v>
      </c>
      <c r="I84" s="2">
        <f>IFERROR(__xludf.DUMMYFUNCTION("""COMPUTED_VALUE"""),1272.0)</f>
        <v>1272</v>
      </c>
      <c r="J84" s="2">
        <f>IFERROR(__xludf.DUMMYFUNCTION("""COMPUTED_VALUE"""),636.0)</f>
        <v>636</v>
      </c>
      <c r="K84" s="2">
        <f>IFERROR(__xludf.DUMMYFUNCTION("""COMPUTED_VALUE"""),2.0)</f>
        <v>2</v>
      </c>
      <c r="L84" s="2" t="str">
        <f>IFERROR(__xludf.DUMMYFUNCTION("""COMPUTED_VALUE"""),"Rexant")</f>
        <v>Rexant</v>
      </c>
      <c r="M84" s="2" t="str">
        <f>IFERROR(__xludf.DUMMYFUNCTION("""COMPUTED_VALUE"""),"Прочие товары")</f>
        <v>Прочие товары</v>
      </c>
    </row>
    <row r="85">
      <c r="A85" s="5" t="str">
        <f>IFERROR(__xludf.DUMMYFUNCTION("""COMPUTED_VALUE"""),"4690612042633")</f>
        <v>4690612042633</v>
      </c>
      <c r="B85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5" s="2">
        <f>IFERROR(__xludf.DUMMYFUNCTION("""COMPUTED_VALUE"""),1.41)</f>
        <v>1.41</v>
      </c>
      <c r="D85" s="2">
        <f>IFERROR(__xludf.DUMMYFUNCTION("""COMPUTED_VALUE"""),0.0054)</f>
        <v>0.0054</v>
      </c>
      <c r="E85" s="2">
        <f>IFERROR(__xludf.DUMMYFUNCTION("""COMPUTED_VALUE"""),1777.2)</f>
        <v>1777.2</v>
      </c>
      <c r="F85" s="2">
        <f>IFERROR(__xludf.DUMMYFUNCTION("""COMPUTED_VALUE"""),1378.0)</f>
        <v>1378</v>
      </c>
      <c r="G85" s="2">
        <f>IFERROR(__xludf.DUMMYFUNCTION("""COMPUTED_VALUE"""),1550.0)</f>
        <v>1550</v>
      </c>
      <c r="H85" s="2">
        <f>IFERROR(__xludf.DUMMYFUNCTION("""COMPUTED_VALUE"""),1798.0)</f>
        <v>1798</v>
      </c>
      <c r="I85" s="2">
        <f>IFERROR(__xludf.DUMMYFUNCTION("""COMPUTED_VALUE"""),2067.0)</f>
        <v>2067</v>
      </c>
      <c r="J85" s="2">
        <f>IFERROR(__xludf.DUMMYFUNCTION("""COMPUTED_VALUE"""),1034.0)</f>
        <v>1034</v>
      </c>
      <c r="K85" s="2">
        <f>IFERROR(__xludf.DUMMYFUNCTION("""COMPUTED_VALUE"""),1.0)</f>
        <v>1</v>
      </c>
      <c r="L85" s="2" t="str">
        <f>IFERROR(__xludf.DUMMYFUNCTION("""COMPUTED_VALUE"""),"NEOX Светильники LED LHB, WHB")</f>
        <v>NEOX Светильники LED LHB, WHB</v>
      </c>
      <c r="M8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6">
      <c r="A86" s="5" t="str">
        <f>IFERROR(__xludf.DUMMYFUNCTION("""COMPUTED_VALUE"""),"4690612000923")</f>
        <v>4690612000923</v>
      </c>
      <c r="B86" s="5" t="str">
        <f>IFERROR(__xludf.DUMMYFUNCTION("""COMPUTED_VALUE"""),"LS-AA-12.5 12.5А 150Вт 12В алюминий")</f>
        <v>LS-AA-12.5 12.5А 150Вт 12В алюминий</v>
      </c>
      <c r="C86" s="2">
        <f>IFERROR(__xludf.DUMMYFUNCTION("""COMPUTED_VALUE"""),0.5888000000000001)</f>
        <v>0.5888</v>
      </c>
      <c r="D86" s="2">
        <f>IFERROR(__xludf.DUMMYFUNCTION("""COMPUTED_VALUE"""),0.00115)</f>
        <v>0.00115</v>
      </c>
      <c r="E86" s="2">
        <f>IFERROR(__xludf.DUMMYFUNCTION("""COMPUTED_VALUE"""),544.17)</f>
        <v>544.17</v>
      </c>
      <c r="F86" s="2">
        <f>IFERROR(__xludf.DUMMYFUNCTION("""COMPUTED_VALUE"""),800.0)</f>
        <v>800</v>
      </c>
      <c r="G86" s="2">
        <f>IFERROR(__xludf.DUMMYFUNCTION("""COMPUTED_VALUE"""),900.0)</f>
        <v>900</v>
      </c>
      <c r="H86" s="2">
        <f>IFERROR(__xludf.DUMMYFUNCTION("""COMPUTED_VALUE"""),1044.0)</f>
        <v>1044</v>
      </c>
      <c r="I86" s="2">
        <f>IFERROR(__xludf.DUMMYFUNCTION("""COMPUTED_VALUE"""),1200.0)</f>
        <v>1200</v>
      </c>
      <c r="J86" s="2">
        <f>IFERROR(__xludf.DUMMYFUNCTION("""COMPUTED_VALUE"""),544.0)</f>
        <v>544</v>
      </c>
      <c r="K86" s="2">
        <f>IFERROR(__xludf.DUMMYFUNCTION("""COMPUTED_VALUE"""),5.0)</f>
        <v>5</v>
      </c>
      <c r="L86" s="2" t="str">
        <f>IFERROR(__xludf.DUMMYFUNCTION("""COMPUTED_VALUE"""),"ASD электромонтажные изделия")</f>
        <v>ASD электромонтажные изделия</v>
      </c>
      <c r="M86" s="2" t="str">
        <f>IFERROR(__xludf.DUMMYFUNCTION("""COMPUTED_VALUE"""),"Прочие товары")</f>
        <v>Прочие товары</v>
      </c>
    </row>
    <row r="87">
      <c r="A87" s="5" t="str">
        <f>IFERROR(__xludf.DUMMYFUNCTION("""COMPUTED_VALUE"""),"GL8143")</f>
        <v>GL8143</v>
      </c>
      <c r="B87" s="5" t="str">
        <f>IFERROR(__xludf.DUMMYFUNCTION("""COMPUTED_VALUE"""),"GLERIO Office Special 24 Вт 4000К 82P-24D-4V-K")</f>
        <v>GLERIO Office Special 24 Вт 4000К 82P-24D-4V-K</v>
      </c>
      <c r="C87" s="2">
        <f>IFERROR(__xludf.DUMMYFUNCTION("""COMPUTED_VALUE"""),1.04)</f>
        <v>1.04</v>
      </c>
      <c r="D87" s="2">
        <f>IFERROR(__xludf.DUMMYFUNCTION("""COMPUTED_VALUE"""),0.008190000000000001)</f>
        <v>0.00819</v>
      </c>
      <c r="E87" s="2">
        <f>IFERROR(__xludf.DUMMYFUNCTION("""COMPUTED_VALUE"""),1464.7)</f>
        <v>1464.7</v>
      </c>
      <c r="F87" s="2">
        <f>IFERROR(__xludf.DUMMYFUNCTION("""COMPUTED_VALUE"""),1700.0)</f>
        <v>1700</v>
      </c>
      <c r="G87" s="2">
        <f>IFERROR(__xludf.DUMMYFUNCTION("""COMPUTED_VALUE"""),2140.0)</f>
        <v>2140</v>
      </c>
      <c r="H87" s="2">
        <f>IFERROR(__xludf.DUMMYFUNCTION("""COMPUTED_VALUE"""),2404.0)</f>
        <v>2404</v>
      </c>
      <c r="I87" s="2">
        <f>IFERROR(__xludf.DUMMYFUNCTION("""COMPUTED_VALUE"""),2667.0)</f>
        <v>2667</v>
      </c>
      <c r="J87" s="2">
        <f>IFERROR(__xludf.DUMMYFUNCTION("""COMPUTED_VALUE"""),2140.0)</f>
        <v>2140</v>
      </c>
      <c r="K87" s="2">
        <f>IFERROR(__xludf.DUMMYFUNCTION("""COMPUTED_VALUE"""),10.0)</f>
        <v>10</v>
      </c>
      <c r="L87" s="2" t="str">
        <f>IFERROR(__xludf.DUMMYFUNCTION("""COMPUTED_VALUE"""),"Office Special (Офис Премиум) до 10.2025")</f>
        <v>Office Special (Офис Премиум) до 10.2025</v>
      </c>
      <c r="M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8">
      <c r="A88" s="5" t="str">
        <f>IFERROR(__xludf.DUMMYFUNCTION("""COMPUTED_VALUE"""),"4690612020815")</f>
        <v>4690612020815</v>
      </c>
      <c r="B88" s="5" t="str">
        <f>IFERROR(__xludf.DUMMYFUNCTION("""COMPUTED_VALUE"""),"LED-GX53-VC 15Вт 230В 3000К 1430Лм IN HOME")</f>
        <v>LED-GX53-VC 15Вт 230В 3000К 1430Лм IN HOME</v>
      </c>
      <c r="C88" s="2">
        <f>IFERROR(__xludf.DUMMYFUNCTION("""COMPUTED_VALUE"""),0.051)</f>
        <v>0.051</v>
      </c>
      <c r="D88" s="2">
        <f>IFERROR(__xludf.DUMMYFUNCTION("""COMPUTED_VALUE"""),2.1E-4)</f>
        <v>0.00021</v>
      </c>
      <c r="E88" s="2">
        <f>IFERROR(__xludf.DUMMYFUNCTION("""COMPUTED_VALUE"""),53.4)</f>
        <v>53.4</v>
      </c>
      <c r="F88" s="2">
        <f>IFERROR(__xludf.DUMMYFUNCTION("""COMPUTED_VALUE"""),57.0)</f>
        <v>57</v>
      </c>
      <c r="G88" s="2">
        <f>IFERROR(__xludf.DUMMYFUNCTION("""COMPUTED_VALUE"""),64.0)</f>
        <v>64</v>
      </c>
      <c r="H88" s="2">
        <f>IFERROR(__xludf.DUMMYFUNCTION("""COMPUTED_VALUE"""),74.0)</f>
        <v>74</v>
      </c>
      <c r="I88" s="2">
        <f>IFERROR(__xludf.DUMMYFUNCTION("""COMPUTED_VALUE"""),85.55)</f>
        <v>85.55</v>
      </c>
      <c r="J88" s="2">
        <f>IFERROR(__xludf.DUMMYFUNCTION("""COMPUTED_VALUE"""),43.0)</f>
        <v>43</v>
      </c>
      <c r="K88" s="2">
        <f>IFERROR(__xludf.DUMMYFUNCTION("""COMPUTED_VALUE"""),9.0)</f>
        <v>9</v>
      </c>
      <c r="L88" s="2" t="str">
        <f>IFERROR(__xludf.DUMMYFUNCTION("""COMPUTED_VALUE"""),"Лампа светодиодная LED-GX53-standard")</f>
        <v>Лампа светодиодная LED-GX53-standard</v>
      </c>
      <c r="M88" s="2" t="str">
        <f>IFERROR(__xludf.DUMMYFUNCTION("""COMPUTED_VALUE"""),"Лампы")</f>
        <v>Лампы</v>
      </c>
    </row>
    <row r="89">
      <c r="A89" s="5" t="str">
        <f>IFERROR(__xludf.DUMMYFUNCTION("""COMPUTED_VALUE"""),"4690612030920")</f>
        <v>4690612030920</v>
      </c>
      <c r="B89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9" s="2">
        <f>IFERROR(__xludf.DUMMYFUNCTION("""COMPUTED_VALUE"""),0.108)</f>
        <v>0.108</v>
      </c>
      <c r="D89" s="2">
        <f>IFERROR(__xludf.DUMMYFUNCTION("""COMPUTED_VALUE"""),7.2E-4)</f>
        <v>0.00072</v>
      </c>
      <c r="E89" s="2">
        <f>IFERROR(__xludf.DUMMYFUNCTION("""COMPUTED_VALUE"""),76.49)</f>
        <v>76.49</v>
      </c>
      <c r="F89" s="2">
        <f>IFERROR(__xludf.DUMMYFUNCTION("""COMPUTED_VALUE"""),90.0)</f>
        <v>90</v>
      </c>
      <c r="G89" s="2">
        <f>IFERROR(__xludf.DUMMYFUNCTION("""COMPUTED_VALUE"""),101.0)</f>
        <v>101</v>
      </c>
      <c r="H89" s="2">
        <f>IFERROR(__xludf.DUMMYFUNCTION("""COMPUTED_VALUE"""),118.0)</f>
        <v>118</v>
      </c>
      <c r="I89" s="2">
        <f>IFERROR(__xludf.DUMMYFUNCTION("""COMPUTED_VALUE"""),135.8)</f>
        <v>135.8</v>
      </c>
      <c r="J89" s="2">
        <f>IFERROR(__xludf.DUMMYFUNCTION("""COMPUTED_VALUE"""),135.8)</f>
        <v>135.8</v>
      </c>
      <c r="K89" s="2">
        <f>IFERROR(__xludf.DUMMYFUNCTION("""COMPUTED_VALUE"""),15.0)</f>
        <v>15</v>
      </c>
      <c r="L89" s="2" t="str">
        <f>IFERROR(__xludf.DUMMYFUNCTION("""COMPUTED_VALUE"""),"Лампа светодиодная LED-T8")</f>
        <v>Лампа светодиодная LED-T8</v>
      </c>
      <c r="M89" s="2" t="str">
        <f>IFERROR(__xludf.DUMMYFUNCTION("""COMPUTED_VALUE"""),"Лампы")</f>
        <v>Лампы</v>
      </c>
    </row>
    <row r="90">
      <c r="A90" s="5" t="str">
        <f>IFERROR(__xludf.DUMMYFUNCTION("""COMPUTED_VALUE"""),"4690612034508")</f>
        <v>4690612034508</v>
      </c>
      <c r="B90" s="5" t="str">
        <f>IFERROR(__xludf.DUMMYFUNCTION("""COMPUTED_VALUE"""),"БС М1P с аккумулятором USB розовый IN HOME")</f>
        <v>БС М1P с аккумулятором USB розовый IN HOME</v>
      </c>
      <c r="C90" s="2">
        <f>IFERROR(__xludf.DUMMYFUNCTION("""COMPUTED_VALUE"""),0.08)</f>
        <v>0.08</v>
      </c>
      <c r="D90" s="2">
        <f>IFERROR(__xludf.DUMMYFUNCTION("""COMPUTED_VALUE"""),2.0E-4)</f>
        <v>0.0002</v>
      </c>
      <c r="E90" s="2">
        <f>IFERROR(__xludf.DUMMYFUNCTION("""COMPUTED_VALUE"""),1092.1)</f>
        <v>1092.1</v>
      </c>
      <c r="F90" s="2">
        <f>IFERROR(__xludf.DUMMYFUNCTION("""COMPUTED_VALUE"""),880.0)</f>
        <v>880</v>
      </c>
      <c r="G90" s="2">
        <f>IFERROR(__xludf.DUMMYFUNCTION("""COMPUTED_VALUE"""),990.0)</f>
        <v>990</v>
      </c>
      <c r="H90" s="2">
        <f>IFERROR(__xludf.DUMMYFUNCTION("""COMPUTED_VALUE"""),1148.0)</f>
        <v>1148</v>
      </c>
      <c r="I90" s="2">
        <f>IFERROR(__xludf.DUMMYFUNCTION("""COMPUTED_VALUE"""),1320.0)</f>
        <v>1320</v>
      </c>
      <c r="J90" s="2">
        <f>IFERROR(__xludf.DUMMYFUNCTION("""COMPUTED_VALUE"""),660.0)</f>
        <v>660</v>
      </c>
      <c r="K90" s="2">
        <f>IFERROR(__xludf.DUMMYFUNCTION("""COMPUTED_VALUE"""),6.0)</f>
        <v>6</v>
      </c>
      <c r="L9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9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1">
      <c r="A91" s="5" t="str">
        <f>IFERROR(__xludf.DUMMYFUNCTION("""COMPUTED_VALUE"""),"ms6168")</f>
        <v>ms6168</v>
      </c>
      <c r="B91" s="5" t="str">
        <f>IFERROR(__xludf.DUMMYFUNCTION("""COMPUTED_VALUE"""),"Светодиод L132-XID Красный")</f>
        <v>Светодиод L132-XID Красный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IFERROR(__xludf.DUMMYFUNCTION("""COMPUTED_VALUE"""),12.23)</f>
        <v>12.23</v>
      </c>
      <c r="F91" s="2">
        <f>IFERROR(__xludf.DUMMYFUNCTION("""COMPUTED_VALUE"""),15.0)</f>
        <v>15</v>
      </c>
      <c r="G91" s="2">
        <f>IFERROR(__xludf.DUMMYFUNCTION("""COMPUTED_VALUE"""),16.0)</f>
        <v>16</v>
      </c>
      <c r="H91" s="2">
        <f>IFERROR(__xludf.DUMMYFUNCTION("""COMPUTED_VALUE"""),18.0)</f>
        <v>18</v>
      </c>
      <c r="I91" s="2">
        <f>IFERROR(__xludf.DUMMYFUNCTION("""COMPUTED_VALUE"""),19.99)</f>
        <v>19.99</v>
      </c>
      <c r="J91" s="2">
        <f>IFERROR(__xludf.DUMMYFUNCTION("""COMPUTED_VALUE"""),10.0)</f>
        <v>10</v>
      </c>
      <c r="K91" s="2">
        <f>IFERROR(__xludf.DUMMYFUNCTION("""COMPUTED_VALUE"""),6.0)</f>
        <v>6</v>
      </c>
      <c r="L91" s="2" t="str">
        <f>IFERROR(__xludf.DUMMYFUNCTION("""COMPUTED_VALUE"""),"ms6 (тендер)")</f>
        <v>ms6 (тендер)</v>
      </c>
      <c r="M91" s="2" t="str">
        <f>IFERROR(__xludf.DUMMYFUNCTION("""COMPUTED_VALUE"""),"LED Светильники")</f>
        <v>LED Светильники</v>
      </c>
    </row>
    <row r="92">
      <c r="A92" s="5" t="str">
        <f>IFERROR(__xludf.DUMMYFUNCTION("""COMPUTED_VALUE"""),"4690612033471")</f>
        <v>4690612033471</v>
      </c>
      <c r="B92" s="5" t="str">
        <f>IFERROR(__xludf.DUMMYFUNCTION("""COMPUTED_VALUE"""),"DECO НОЧНОЕ НЕБО 18Вт 230В 4000К 1620Лм 260х55мм IN HOME")</f>
        <v>DECO НОЧНОЕ НЕБО 18Вт 230В 4000К 1620Лм 260х55мм IN HOME</v>
      </c>
      <c r="C92" s="2">
        <f>IFERROR(__xludf.DUMMYFUNCTION("""COMPUTED_VALUE"""),0.31)</f>
        <v>0.31</v>
      </c>
      <c r="D92" s="2">
        <f>IFERROR(__xludf.DUMMYFUNCTION("""COMPUTED_VALUE"""),0.004500000000000001)</f>
        <v>0.0045</v>
      </c>
      <c r="E92" s="2">
        <f>IFERROR(__xludf.DUMMYFUNCTION("""COMPUTED_VALUE"""),298.25)</f>
        <v>298.25</v>
      </c>
      <c r="F92" s="2">
        <f>IFERROR(__xludf.DUMMYFUNCTION("""COMPUTED_VALUE"""),356.0)</f>
        <v>356</v>
      </c>
      <c r="G92" s="2">
        <f>IFERROR(__xludf.DUMMYFUNCTION("""COMPUTED_VALUE"""),401.0)</f>
        <v>401</v>
      </c>
      <c r="H92" s="2">
        <f>IFERROR(__xludf.DUMMYFUNCTION("""COMPUTED_VALUE"""),465.0)</f>
        <v>465</v>
      </c>
      <c r="I92" s="2">
        <f>IFERROR(__xludf.DUMMYFUNCTION("""COMPUTED_VALUE"""),534.0)</f>
        <v>534</v>
      </c>
      <c r="J92" s="2">
        <f>IFERROR(__xludf.DUMMYFUNCTION("""COMPUTED_VALUE"""),267.0)</f>
        <v>267</v>
      </c>
      <c r="K92" s="2">
        <f>IFERROR(__xludf.DUMMYFUNCTION("""COMPUTED_VALUE"""),22.0)</f>
        <v>22</v>
      </c>
      <c r="L92" s="2" t="str">
        <f>IFERROR(__xludf.DUMMYFUNCTION("""COMPUTED_VALUE"""),"Светильник светодиодный серии DECO")</f>
        <v>Светильник светодиодный серии DECO</v>
      </c>
      <c r="M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3">
      <c r="A93" s="5" t="str">
        <f>IFERROR(__xludf.DUMMYFUNCTION("""COMPUTED_VALUE"""),"55085")</f>
        <v>55085</v>
      </c>
      <c r="B93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IFERROR(__xludf.DUMMYFUNCTION("""COMPUTED_VALUE"""),526.95)</f>
        <v>526.95</v>
      </c>
      <c r="F93" s="2">
        <f>IFERROR(__xludf.DUMMYFUNCTION("""COMPUTED_VALUE"""),585.0)</f>
        <v>585</v>
      </c>
      <c r="G93" s="2">
        <f>IFERROR(__xludf.DUMMYFUNCTION("""COMPUTED_VALUE"""),638.0)</f>
        <v>638</v>
      </c>
      <c r="H93" s="2">
        <f>IFERROR(__xludf.DUMMYFUNCTION("""COMPUTED_VALUE"""),691.0)</f>
        <v>691</v>
      </c>
      <c r="I93" s="2">
        <f>IFERROR(__xludf.DUMMYFUNCTION("""COMPUTED_VALUE"""),745.0)</f>
        <v>745</v>
      </c>
      <c r="J93" s="2">
        <f>IFERROR(__xludf.DUMMYFUNCTION("""COMPUTED_VALUE"""),373.0)</f>
        <v>373</v>
      </c>
      <c r="K93" s="2">
        <f>IFERROR(__xludf.DUMMYFUNCTION("""COMPUTED_VALUE"""),33.0)</f>
        <v>33</v>
      </c>
      <c r="L93" s="2" t="str">
        <f>IFERROR(__xludf.DUMMYFUNCTION("""COMPUTED_VALUE"""),"Праздничная иллюминация")</f>
        <v>Праздничная иллюминация</v>
      </c>
      <c r="M9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4">
      <c r="A94" s="5" t="str">
        <f>IFERROR(__xludf.DUMMYFUNCTION("""COMPUTED_VALUE"""),"4690612029535")</f>
        <v>4690612029535</v>
      </c>
      <c r="B94" s="5" t="str">
        <f>IFERROR(__xludf.DUMMYFUNCTION("""COMPUTED_VALUE"""),"СБА 1098-90DC 90 LED 2.2Ah lithium battery DC IN HOME")</f>
        <v>СБА 1098-90DC 90 LED 2.2Ah lithium battery DC IN HOME</v>
      </c>
      <c r="C94" s="2">
        <f>IFERROR(__xludf.DUMMYFUNCTION("""COMPUTED_VALUE"""),0.39)</f>
        <v>0.39</v>
      </c>
      <c r="D94" s="2">
        <f>IFERROR(__xludf.DUMMYFUNCTION("""COMPUTED_VALUE"""),0.00135)</f>
        <v>0.00135</v>
      </c>
      <c r="E94" s="2">
        <f>IFERROR(__xludf.DUMMYFUNCTION("""COMPUTED_VALUE"""),642.6)</f>
        <v>642.6</v>
      </c>
      <c r="F94" s="2">
        <f>IFERROR(__xludf.DUMMYFUNCTION("""COMPUTED_VALUE"""),829.0)</f>
        <v>829</v>
      </c>
      <c r="G94" s="2">
        <f>IFERROR(__xludf.DUMMYFUNCTION("""COMPUTED_VALUE"""),933.0)</f>
        <v>933</v>
      </c>
      <c r="H94" s="2">
        <f>IFERROR(__xludf.DUMMYFUNCTION("""COMPUTED_VALUE"""),1082.0)</f>
        <v>1082</v>
      </c>
      <c r="I94" s="2">
        <f>IFERROR(__xludf.DUMMYFUNCTION("""COMPUTED_VALUE"""),1244.0)</f>
        <v>1244</v>
      </c>
      <c r="J94" s="2">
        <f>IFERROR(__xludf.DUMMYFUNCTION("""COMPUTED_VALUE"""),622.0)</f>
        <v>622</v>
      </c>
      <c r="K94" s="2">
        <f>IFERROR(__xludf.DUMMYFUNCTION("""COMPUTED_VALUE"""),8.0)</f>
        <v>8</v>
      </c>
      <c r="L94" s="2" t="str">
        <f>IFERROR(__xludf.DUMMYFUNCTION("""COMPUTED_VALUE"""),"Светильники аварийные ВЫХОД, СБА")</f>
        <v>Светильники аварийные ВЫХОД, СБА</v>
      </c>
      <c r="M94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5">
      <c r="A95" s="5" t="str">
        <f>IFERROR(__xludf.DUMMYFUNCTION("""COMPUTED_VALUE"""),"013176")</f>
        <v>013176</v>
      </c>
      <c r="B95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IFERROR(__xludf.DUMMYFUNCTION("""COMPUTED_VALUE"""),6799.09)</f>
        <v>6799.09</v>
      </c>
      <c r="F95" s="2">
        <f>IFERROR(__xludf.DUMMYFUNCTION("""COMPUTED_VALUE"""),6630.0)</f>
        <v>6630</v>
      </c>
      <c r="G95" s="2">
        <f>IFERROR(__xludf.DUMMYFUNCTION("""COMPUTED_VALUE"""),7072.0)</f>
        <v>7072</v>
      </c>
      <c r="H95" s="2">
        <f>IFERROR(__xludf.DUMMYFUNCTION("""COMPUTED_VALUE"""),7956.0)</f>
        <v>7956</v>
      </c>
      <c r="I95" s="2">
        <f>IFERROR(__xludf.DUMMYFUNCTION("""COMPUTED_VALUE"""),8839.5)</f>
        <v>8839.5</v>
      </c>
      <c r="J95" s="2">
        <f>IFERROR(__xludf.DUMMYFUNCTION("""COMPUTED_VALUE"""),4420.0)</f>
        <v>4420</v>
      </c>
      <c r="K95" s="2">
        <f>IFERROR(__xludf.DUMMYFUNCTION("""COMPUTED_VALUE"""),1.0)</f>
        <v>1</v>
      </c>
      <c r="L95" s="2" t="str">
        <f>IFERROR(__xludf.DUMMYFUNCTION("""COMPUTED_VALUE"""),"FALDI")</f>
        <v>FALDI</v>
      </c>
      <c r="M95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6">
      <c r="A96" s="5" t="str">
        <f>IFERROR(__xludf.DUMMYFUNCTION("""COMPUTED_VALUE"""),"4690612002521")</f>
        <v>4690612002521</v>
      </c>
      <c r="B96" s="5" t="str">
        <f>IFERROR(__xludf.DUMMYFUNCTION("""COMPUTED_VALUE"""),"СПБ-2 5Вт 230В 4000К 400лм 155мм белый LLT")</f>
        <v>СПБ-2 5Вт 230В 4000К 400лм 155мм белый LLT</v>
      </c>
      <c r="C96" s="2">
        <f>IFERROR(__xludf.DUMMYFUNCTION("""COMPUTED_VALUE"""),0.22)</f>
        <v>0.22</v>
      </c>
      <c r="D96" s="2">
        <f>IFERROR(__xludf.DUMMYFUNCTION("""COMPUTED_VALUE"""),0.0013)</f>
        <v>0.0013</v>
      </c>
      <c r="E96" s="2">
        <f>IFERROR(__xludf.DUMMYFUNCTION("""COMPUTED_VALUE"""),184.1)</f>
        <v>184.1</v>
      </c>
      <c r="F96" s="2">
        <f>IFERROR(__xludf.DUMMYFUNCTION("""COMPUTED_VALUE"""),153.0)</f>
        <v>153</v>
      </c>
      <c r="G96" s="2">
        <f>IFERROR(__xludf.DUMMYFUNCTION("""COMPUTED_VALUE"""),172.0)</f>
        <v>172</v>
      </c>
      <c r="H96" s="2">
        <f>IFERROR(__xludf.DUMMYFUNCTION("""COMPUTED_VALUE"""),199.0)</f>
        <v>199</v>
      </c>
      <c r="I96" s="2">
        <f>IFERROR(__xludf.DUMMYFUNCTION("""COMPUTED_VALUE"""),229.0)</f>
        <v>229</v>
      </c>
      <c r="J96" s="2">
        <f>IFERROR(__xludf.DUMMYFUNCTION("""COMPUTED_VALUE"""),115.0)</f>
        <v>115</v>
      </c>
      <c r="K96" s="2">
        <f>IFERROR(__xludf.DUMMYFUNCTION("""COMPUTED_VALUE"""),5.0)</f>
        <v>5</v>
      </c>
      <c r="L96" s="2" t="str">
        <f>IFERROR(__xludf.DUMMYFUNCTION("""COMPUTED_VALUE"""),"Светильники светодиодные СПБ-2, СПБ-3")</f>
        <v>Светильники светодиодные СПБ-2, СПБ-3</v>
      </c>
      <c r="M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7">
      <c r="A97" s="5" t="str">
        <f>IFERROR(__xludf.DUMMYFUNCTION("""COMPUTED_VALUE"""),"71-0666")</f>
        <v>71-0666</v>
      </c>
      <c r="B97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7" s="2">
        <f>IFERROR(__xludf.DUMMYFUNCTION("""COMPUTED_VALUE"""),0.0)</f>
        <v>0</v>
      </c>
      <c r="D97" s="2">
        <f>IFERROR(__xludf.DUMMYFUNCTION("""COMPUTED_VALUE"""),0.0)</f>
        <v>0</v>
      </c>
      <c r="E97" s="2">
        <f>IFERROR(__xludf.DUMMYFUNCTION("""COMPUTED_VALUE"""),1.0)</f>
        <v>1</v>
      </c>
      <c r="F97" s="2">
        <f>IFERROR(__xludf.DUMMYFUNCTION("""COMPUTED_VALUE"""),3673.0)</f>
        <v>3673</v>
      </c>
      <c r="G97" s="2">
        <f>IFERROR(__xludf.DUMMYFUNCTION("""COMPUTED_VALUE"""),3918.0)</f>
        <v>3918</v>
      </c>
      <c r="H97" s="2">
        <f>IFERROR(__xludf.DUMMYFUNCTION("""COMPUTED_VALUE"""),4408.0)</f>
        <v>4408</v>
      </c>
      <c r="I97" s="2">
        <f>IFERROR(__xludf.DUMMYFUNCTION("""COMPUTED_VALUE"""),4897.51)</f>
        <v>4897.51</v>
      </c>
      <c r="J97" s="2">
        <f>IFERROR(__xludf.DUMMYFUNCTION("""COMPUTED_VALUE"""),2449.0)</f>
        <v>2449</v>
      </c>
      <c r="K97" s="2">
        <f>IFERROR(__xludf.DUMMYFUNCTION("""COMPUTED_VALUE"""),1.0)</f>
        <v>1</v>
      </c>
      <c r="L97" s="2" t="str">
        <f>IFERROR(__xludf.DUMMYFUNCTION("""COMPUTED_VALUE"""),"Rexant")</f>
        <v>Rexant</v>
      </c>
      <c r="M97" s="2" t="str">
        <f>IFERROR(__xludf.DUMMYFUNCTION("""COMPUTED_VALUE"""),"Прочие товары")</f>
        <v>Прочие товары</v>
      </c>
    </row>
    <row r="98">
      <c r="A98" s="5" t="str">
        <f>IFERROR(__xludf.DUMMYFUNCTION("""COMPUTED_VALUE"""),"4690612029634")</f>
        <v>4690612029634</v>
      </c>
      <c r="B98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8" s="2">
        <f>IFERROR(__xludf.DUMMYFUNCTION("""COMPUTED_VALUE"""),4.4)</f>
        <v>4.4</v>
      </c>
      <c r="D98" s="2">
        <f>IFERROR(__xludf.DUMMYFUNCTION("""COMPUTED_VALUE"""),0.033)</f>
        <v>0.033</v>
      </c>
      <c r="E98" s="2">
        <f>IFERROR(__xludf.DUMMYFUNCTION("""COMPUTED_VALUE"""),530.91)</f>
        <v>530.91</v>
      </c>
      <c r="F98" s="2">
        <f>IFERROR(__xludf.DUMMYFUNCTION("""COMPUTED_VALUE"""),550.0)</f>
        <v>550</v>
      </c>
      <c r="G98" s="2">
        <f>IFERROR(__xludf.DUMMYFUNCTION("""COMPUTED_VALUE"""),619.0)</f>
        <v>619</v>
      </c>
      <c r="H98" s="2">
        <f>IFERROR(__xludf.DUMMYFUNCTION("""COMPUTED_VALUE"""),718.0)</f>
        <v>718</v>
      </c>
      <c r="I98" s="2">
        <f>IFERROR(__xludf.DUMMYFUNCTION("""COMPUTED_VALUE"""),825.0)</f>
        <v>825</v>
      </c>
      <c r="J98" s="2">
        <f>IFERROR(__xludf.DUMMYFUNCTION("""COMPUTED_VALUE"""),413.0)</f>
        <v>413</v>
      </c>
      <c r="K98" s="2">
        <f>IFERROR(__xludf.DUMMYFUNCTION("""COMPUTED_VALUE"""),10.0)</f>
        <v>10</v>
      </c>
      <c r="L98" s="2" t="str">
        <f>IFERROR(__xludf.DUMMYFUNCTION("""COMPUTED_VALUE"""),"Панели светодиодные LP серии ПРИЗМА")</f>
        <v>Панели светодиодные LP серии ПРИЗМА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IFERROR(__xludf.DUMMYFUNCTION("""COMPUTED_VALUE"""),"4690612020310")</f>
        <v>4690612020310</v>
      </c>
      <c r="B99" s="5" t="str">
        <f>IFERROR(__xludf.DUMMYFUNCTION("""COMPUTED_VALUE"""),"LED-A60-VC 20Вт 230В Е27 6500К 1900Лм IN HOME")</f>
        <v>LED-A60-VC 20Вт 230В Е27 6500К 1900Лм IN HOME</v>
      </c>
      <c r="C99" s="2">
        <f>IFERROR(__xludf.DUMMYFUNCTION("""COMPUTED_VALUE"""),0.05500000000000001)</f>
        <v>0.055</v>
      </c>
      <c r="D99" s="2">
        <f>IFERROR(__xludf.DUMMYFUNCTION("""COMPUTED_VALUE"""),4.0E-4)</f>
        <v>0.0004</v>
      </c>
      <c r="E99" s="2">
        <f>IFERROR(__xludf.DUMMYFUNCTION("""COMPUTED_VALUE"""),46.2)</f>
        <v>46.2</v>
      </c>
      <c r="F99" s="2">
        <f>IFERROR(__xludf.DUMMYFUNCTION("""COMPUTED_VALUE"""),60.0)</f>
        <v>60</v>
      </c>
      <c r="G99" s="2">
        <f>IFERROR(__xludf.DUMMYFUNCTION("""COMPUTED_VALUE"""),68.0)</f>
        <v>68</v>
      </c>
      <c r="H99" s="2">
        <f>IFERROR(__xludf.DUMMYFUNCTION("""COMPUTED_VALUE"""),78.0)</f>
        <v>78</v>
      </c>
      <c r="I99" s="2">
        <f>IFERROR(__xludf.DUMMYFUNCTION("""COMPUTED_VALUE"""),90.5)</f>
        <v>90.5</v>
      </c>
      <c r="J99" s="2">
        <f>IFERROR(__xludf.DUMMYFUNCTION("""COMPUTED_VALUE"""),45.0)</f>
        <v>45</v>
      </c>
      <c r="K99" s="2">
        <f>IFERROR(__xludf.DUMMYFUNCTION("""COMPUTED_VALUE"""),3.0)</f>
        <v>3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IFERROR(__xludf.DUMMYFUNCTION("""COMPUTED_VALUE"""),"V9049")</f>
        <v>V9049</v>
      </c>
      <c r="B100" s="5" t="str">
        <f>IFERROR(__xludf.DUMMYFUNCTION("""COMPUTED_VALUE"""),"VRN-UNE-124D-G40K67-UV, 124Вт, Галочка")</f>
        <v>VRN-UNE-124D-G40K67-UV, 124Вт, Галочка</v>
      </c>
      <c r="C100" s="2">
        <f>IFERROR(__xludf.DUMMYFUNCTION("""COMPUTED_VALUE"""),3.0)</f>
        <v>3</v>
      </c>
      <c r="D100" s="2">
        <f>IFERROR(__xludf.DUMMYFUNCTION("""COMPUTED_VALUE"""),0.015)</f>
        <v>0.015</v>
      </c>
      <c r="E100" s="2">
        <f>IFERROR(__xludf.DUMMYFUNCTION("""COMPUTED_VALUE"""),4457.6)</f>
        <v>4457.6</v>
      </c>
      <c r="F100" s="2">
        <f>IFERROR(__xludf.DUMMYFUNCTION("""COMPUTED_VALUE"""),5205.0)</f>
        <v>5205</v>
      </c>
      <c r="G100" s="2">
        <f>IFERROR(__xludf.DUMMYFUNCTION("""COMPUTED_VALUE"""),6767.0)</f>
        <v>6767</v>
      </c>
      <c r="H100" s="2">
        <f>IFERROR(__xludf.DUMMYFUNCTION("""COMPUTED_VALUE"""),7105.0)</f>
        <v>7105</v>
      </c>
      <c r="I100" s="2">
        <f>IFERROR(__xludf.DUMMYFUNCTION("""COMPUTED_VALUE"""),7443.0)</f>
        <v>7443</v>
      </c>
      <c r="J100" s="2">
        <f>IFERROR(__xludf.DUMMYFUNCTION("""COMPUTED_VALUE"""),7105.0)</f>
        <v>7105</v>
      </c>
      <c r="K100" s="2">
        <f>IFERROR(__xludf.DUMMYFUNCTION("""COMPUTED_VALUE"""),43.0)</f>
        <v>43</v>
      </c>
      <c r="L100" s="2" t="str">
        <f>IFERROR(__xludf.DUMMYFUNCTION("""COMPUTED_VALUE"""),"Универсал Эконом")</f>
        <v>Универсал Эконом</v>
      </c>
      <c r="M1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1">
      <c r="A101" s="5" t="str">
        <f>IFERROR(__xludf.DUMMYFUNCTION("""COMPUTED_VALUE"""),"4690612024066")</f>
        <v>4690612024066</v>
      </c>
      <c r="B101" s="5" t="str">
        <f>IFERROR(__xludf.DUMMYFUNCTION("""COMPUTED_VALUE"""),"LED-A65-VC 25Вт 230В Е27 3000К 2380Лм IN HOME")</f>
        <v>LED-A65-VC 25Вт 230В Е27 3000К 2380Лм IN HOME</v>
      </c>
      <c r="C101" s="2">
        <f>IFERROR(__xludf.DUMMYFUNCTION("""COMPUTED_VALUE"""),0.08)</f>
        <v>0.08</v>
      </c>
      <c r="D101" s="2">
        <f>IFERROR(__xludf.DUMMYFUNCTION("""COMPUTED_VALUE"""),6.000000000000001E-4)</f>
        <v>0.0006</v>
      </c>
      <c r="E101" s="2">
        <f>IFERROR(__xludf.DUMMYFUNCTION("""COMPUTED_VALUE"""),66.26)</f>
        <v>66.26</v>
      </c>
      <c r="F101" s="2">
        <f>IFERROR(__xludf.DUMMYFUNCTION("""COMPUTED_VALUE"""),71.0)</f>
        <v>71</v>
      </c>
      <c r="G101" s="2">
        <f>IFERROR(__xludf.DUMMYFUNCTION("""COMPUTED_VALUE"""),80.0)</f>
        <v>80</v>
      </c>
      <c r="H101" s="2">
        <f>IFERROR(__xludf.DUMMYFUNCTION("""COMPUTED_VALUE"""),92.0)</f>
        <v>92</v>
      </c>
      <c r="I101" s="2">
        <f>IFERROR(__xludf.DUMMYFUNCTION("""COMPUTED_VALUE"""),106.5)</f>
        <v>106.5</v>
      </c>
      <c r="J101" s="2">
        <f>IFERROR(__xludf.DUMMYFUNCTION("""COMPUTED_VALUE"""),53.0)</f>
        <v>53</v>
      </c>
      <c r="K101" s="2">
        <f>IFERROR(__xludf.DUMMYFUNCTION("""COMPUTED_VALUE"""),2.0)</f>
        <v>2</v>
      </c>
      <c r="L101" s="2" t="str">
        <f>IFERROR(__xludf.DUMMYFUNCTION("""COMPUTED_VALUE"""),"Лампа светодиодная LED-A60-standard")</f>
        <v>Лампа светодиодная LED-A60-standard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IFERROR(__xludf.DUMMYFUNCTION("""COMPUTED_VALUE"""),"4690612033082")</f>
        <v>4690612033082</v>
      </c>
      <c r="B102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2" s="2">
        <f>IFERROR(__xludf.DUMMYFUNCTION("""COMPUTED_VALUE"""),0.55)</f>
        <v>0.55</v>
      </c>
      <c r="D102" s="2">
        <f>IFERROR(__xludf.DUMMYFUNCTION("""COMPUTED_VALUE"""),0.003)</f>
        <v>0.003</v>
      </c>
      <c r="E102" s="2">
        <f>IFERROR(__xludf.DUMMYFUNCTION("""COMPUTED_VALUE"""),476.57)</f>
        <v>476.57</v>
      </c>
      <c r="F102" s="2">
        <f>IFERROR(__xludf.DUMMYFUNCTION("""COMPUTED_VALUE"""),409.0)</f>
        <v>409</v>
      </c>
      <c r="G102" s="2">
        <f>IFERROR(__xludf.DUMMYFUNCTION("""COMPUTED_VALUE"""),461.0)</f>
        <v>461</v>
      </c>
      <c r="H102" s="2">
        <f>IFERROR(__xludf.DUMMYFUNCTION("""COMPUTED_VALUE"""),534.0)</f>
        <v>534</v>
      </c>
      <c r="I102" s="2">
        <f>IFERROR(__xludf.DUMMYFUNCTION("""COMPUTED_VALUE"""),614.0)</f>
        <v>614</v>
      </c>
      <c r="J102" s="2">
        <f>IFERROR(__xludf.DUMMYFUNCTION("""COMPUTED_VALUE"""),409.0)</f>
        <v>409</v>
      </c>
      <c r="K102" s="2">
        <f>IFERROR(__xludf.DUMMYFUNCTION("""COMPUTED_VALUE"""),2.0)</f>
        <v>2</v>
      </c>
      <c r="L10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2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3">
      <c r="A103" s="5" t="str">
        <f>IFERROR(__xludf.DUMMYFUNCTION("""COMPUTED_VALUE"""),"4690612025131")</f>
        <v>4690612025131</v>
      </c>
      <c r="B103" s="5" t="str">
        <f>IFERROR(__xludf.DUMMYFUNCTION("""COMPUTED_VALUE"""),"DECO 24Вт 230В 6500К 1560Лм 300х55мм СОЗВЕЗДИЕ IN HOME")</f>
        <v>DECO 24Вт 230В 6500К 1560Лм 300х55мм СОЗВЕЗДИЕ IN HOME</v>
      </c>
      <c r="C103" s="2">
        <f>IFERROR(__xludf.DUMMYFUNCTION("""COMPUTED_VALUE"""),0.43333)</f>
        <v>0.43333</v>
      </c>
      <c r="D103" s="2">
        <f>IFERROR(__xludf.DUMMYFUNCTION("""COMPUTED_VALUE"""),0.006670000000000001)</f>
        <v>0.00667</v>
      </c>
      <c r="E103" s="2">
        <f>IFERROR(__xludf.DUMMYFUNCTION("""COMPUTED_VALUE"""),379.42)</f>
        <v>379.42</v>
      </c>
      <c r="F103" s="2">
        <f>IFERROR(__xludf.DUMMYFUNCTION("""COMPUTED_VALUE"""),473.0)</f>
        <v>473</v>
      </c>
      <c r="G103" s="2">
        <f>IFERROR(__xludf.DUMMYFUNCTION("""COMPUTED_VALUE"""),533.0)</f>
        <v>533</v>
      </c>
      <c r="H103" s="2">
        <f>IFERROR(__xludf.DUMMYFUNCTION("""COMPUTED_VALUE"""),618.0)</f>
        <v>618</v>
      </c>
      <c r="I103" s="2">
        <f>IFERROR(__xludf.DUMMYFUNCTION("""COMPUTED_VALUE"""),710.0)</f>
        <v>710</v>
      </c>
      <c r="J103" s="2">
        <f>IFERROR(__xludf.DUMMYFUNCTION("""COMPUTED_VALUE"""),618.0)</f>
        <v>618</v>
      </c>
      <c r="K103" s="2">
        <f>IFERROR(__xludf.DUMMYFUNCTION("""COMPUTED_VALUE"""),31.0)</f>
        <v>31</v>
      </c>
      <c r="L103" s="2" t="str">
        <f>IFERROR(__xludf.DUMMYFUNCTION("""COMPUTED_VALUE"""),"Светильник светодиодный серии DECO")</f>
        <v>Светильник светодиодный серии DECO</v>
      </c>
      <c r="M1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4">
      <c r="A104" s="5" t="str">
        <f>IFERROR(__xludf.DUMMYFUNCTION("""COMPUTED_VALUE"""),"GL8151")</f>
        <v>GL8151</v>
      </c>
      <c r="B104" s="5" t="str">
        <f>IFERROR(__xludf.DUMMYFUNCTION("""COMPUTED_VALUE"""),"GLERIO Office Special 48 Вт 4000К 82P-48D-4V-P")</f>
        <v>GLERIO Office Special 48 Вт 4000К 82P-48D-4V-P</v>
      </c>
      <c r="C104" s="2">
        <f>IFERROR(__xludf.DUMMYFUNCTION("""COMPUTED_VALUE"""),1.14)</f>
        <v>1.14</v>
      </c>
      <c r="D104" s="2">
        <f>IFERROR(__xludf.DUMMYFUNCTION("""COMPUTED_VALUE"""),0.008190000000000001)</f>
        <v>0.00819</v>
      </c>
      <c r="E104" s="2">
        <f>IFERROR(__xludf.DUMMYFUNCTION("""COMPUTED_VALUE"""),2095.2)</f>
        <v>2095.2</v>
      </c>
      <c r="F104" s="2">
        <f>IFERROR(__xludf.DUMMYFUNCTION("""COMPUTED_VALUE"""),2660.0)</f>
        <v>2660</v>
      </c>
      <c r="G104" s="2">
        <f>IFERROR(__xludf.DUMMYFUNCTION("""COMPUTED_VALUE"""),3349.0)</f>
        <v>3349</v>
      </c>
      <c r="H104" s="2">
        <f>IFERROR(__xludf.DUMMYFUNCTION("""COMPUTED_VALUE"""),3761.0)</f>
        <v>3761</v>
      </c>
      <c r="I104" s="2">
        <f>IFERROR(__xludf.DUMMYFUNCTION("""COMPUTED_VALUE"""),4173.0)</f>
        <v>4173</v>
      </c>
      <c r="J104" s="2">
        <f>IFERROR(__xludf.DUMMYFUNCTION("""COMPUTED_VALUE"""),2087.0)</f>
        <v>2087</v>
      </c>
      <c r="K104" s="2">
        <f>IFERROR(__xludf.DUMMYFUNCTION("""COMPUTED_VALUE"""),1.0)</f>
        <v>1</v>
      </c>
      <c r="L104" s="2" t="str">
        <f>IFERROR(__xludf.DUMMYFUNCTION("""COMPUTED_VALUE"""),"Office Special (Офис Премиум) до 10.2025")</f>
        <v>Office Special (Офис Премиум) до 10.2025</v>
      </c>
      <c r="M1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5">
      <c r="A105" s="5" t="str">
        <f>IFERROR(__xludf.DUMMYFUNCTION("""COMPUTED_VALUE"""),"4690612034690")</f>
        <v>4690612034690</v>
      </c>
      <c r="B105" s="5" t="str">
        <f>IFERROR(__xludf.DUMMYFUNCTION("""COMPUTED_VALUE"""),"СДО-7 30Вт 230В 6500К IP65 белый IN HOME")</f>
        <v>СДО-7 30Вт 230В 6500К IP65 белый IN HOME</v>
      </c>
      <c r="C105" s="2">
        <f>IFERROR(__xludf.DUMMYFUNCTION("""COMPUTED_VALUE"""),0.25)</f>
        <v>0.25</v>
      </c>
      <c r="D105" s="2">
        <f>IFERROR(__xludf.DUMMYFUNCTION("""COMPUTED_VALUE"""),6.8E-4)</f>
        <v>0.00068</v>
      </c>
      <c r="E105" s="2">
        <f>IFERROR(__xludf.DUMMYFUNCTION("""COMPUTED_VALUE"""),282.74)</f>
        <v>282.74</v>
      </c>
      <c r="F105" s="2">
        <f>IFERROR(__xludf.DUMMYFUNCTION("""COMPUTED_VALUE"""),196.0)</f>
        <v>196</v>
      </c>
      <c r="G105" s="2">
        <f>IFERROR(__xludf.DUMMYFUNCTION("""COMPUTED_VALUE"""),220.0)</f>
        <v>220</v>
      </c>
      <c r="H105" s="2">
        <f>IFERROR(__xludf.DUMMYFUNCTION("""COMPUTED_VALUE"""),256.0)</f>
        <v>256</v>
      </c>
      <c r="I105" s="2">
        <f>IFERROR(__xludf.DUMMYFUNCTION("""COMPUTED_VALUE"""),294.0)</f>
        <v>294</v>
      </c>
      <c r="J105" s="2">
        <f>IFERROR(__xludf.DUMMYFUNCTION("""COMPUTED_VALUE"""),147.0)</f>
        <v>147</v>
      </c>
      <c r="K105" s="2">
        <f>IFERROR(__xludf.DUMMYFUNCTION("""COMPUTED_VALUE"""),1.0)</f>
        <v>1</v>
      </c>
      <c r="L105" s="2" t="str">
        <f>IFERROR(__xludf.DUMMYFUNCTION("""COMPUTED_VALUE"""),"Прожекторы светодиодные СДО-07")</f>
        <v>Прожекторы светодиодные СДО-07</v>
      </c>
      <c r="M10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6">
      <c r="A106" s="5" t="str">
        <f>IFERROR(__xludf.DUMMYFUNCTION("""COMPUTED_VALUE"""),"4690612023380")</f>
        <v>4690612023380</v>
      </c>
      <c r="B106" s="5" t="str">
        <f>IFERROR(__xludf.DUMMYFUNCTION("""COMPUTED_VALUE"""),"LED-JCDRC-VC 6Вт 230В GU10 3000К 530Лм IN HOME")</f>
        <v>LED-JCDRC-VC 6Вт 230В GU10 3000К 530Лм IN HOME</v>
      </c>
      <c r="C106" s="2">
        <f>IFERROR(__xludf.DUMMYFUNCTION("""COMPUTED_VALUE"""),0.035)</f>
        <v>0.035</v>
      </c>
      <c r="D106" s="2">
        <f>IFERROR(__xludf.DUMMYFUNCTION("""COMPUTED_VALUE"""),2.1E-4)</f>
        <v>0.00021</v>
      </c>
      <c r="E106" s="2">
        <f>IFERROR(__xludf.DUMMYFUNCTION("""COMPUTED_VALUE"""),32.56)</f>
        <v>32.56</v>
      </c>
      <c r="F106" s="2">
        <f>IFERROR(__xludf.DUMMYFUNCTION("""COMPUTED_VALUE"""),35.0)</f>
        <v>35</v>
      </c>
      <c r="G106" s="2">
        <f>IFERROR(__xludf.DUMMYFUNCTION("""COMPUTED_VALUE"""),40.0)</f>
        <v>40</v>
      </c>
      <c r="H106" s="2">
        <f>IFERROR(__xludf.DUMMYFUNCTION("""COMPUTED_VALUE"""),46.0)</f>
        <v>46</v>
      </c>
      <c r="I106" s="2">
        <f>IFERROR(__xludf.DUMMYFUNCTION("""COMPUTED_VALUE"""),53.5)</f>
        <v>53.5</v>
      </c>
      <c r="J106" s="2">
        <f>IFERROR(__xludf.DUMMYFUNCTION("""COMPUTED_VALUE"""),27.0)</f>
        <v>27</v>
      </c>
      <c r="K106" s="2">
        <f>IFERROR(__xludf.DUMMYFUNCTION("""COMPUTED_VALUE"""),39.0)</f>
        <v>39</v>
      </c>
      <c r="L106" s="2" t="str">
        <f>IFERROR(__xludf.DUMMYFUNCTION("""COMPUTED_VALUE"""),"Лампа светодиодная LED-JCDR-standard")</f>
        <v>Лампа светодиодная LED-JCDR-standard</v>
      </c>
      <c r="M106" s="2" t="str">
        <f>IFERROR(__xludf.DUMMYFUNCTION("""COMPUTED_VALUE"""),"Лампы")</f>
        <v>Лампы</v>
      </c>
    </row>
    <row r="107">
      <c r="A107" s="5" t="str">
        <f>IFERROR(__xludf.DUMMYFUNCTION("""COMPUTED_VALUE"""),"4690612053936")</f>
        <v>4690612053936</v>
      </c>
      <c r="B107" s="5" t="str">
        <f>IFERROR(__xludf.DUMMYFUNCTION("""COMPUTED_VALUE"""),"ДБУ LINES-1530BL 15Вт 3000К IP54 черный IN HOME")</f>
        <v>ДБУ LINES-1530BL 15Вт 3000К IP54 черный IN HOME</v>
      </c>
      <c r="C107" s="2">
        <f>IFERROR(__xludf.DUMMYFUNCTION("""COMPUTED_VALUE"""),0.647)</f>
        <v>0.647</v>
      </c>
      <c r="D107" s="2">
        <f>IFERROR(__xludf.DUMMYFUNCTION("""COMPUTED_VALUE"""),0.00192)</f>
        <v>0.00192</v>
      </c>
      <c r="E107" s="2">
        <f>IFERROR(__xludf.DUMMYFUNCTION("""COMPUTED_VALUE"""),675.0)</f>
        <v>675</v>
      </c>
      <c r="F107" s="2">
        <f>IFERROR(__xludf.DUMMYFUNCTION("""COMPUTED_VALUE"""),689.0)</f>
        <v>689</v>
      </c>
      <c r="G107" s="2">
        <f>IFERROR(__xludf.DUMMYFUNCTION("""COMPUTED_VALUE"""),775.0)</f>
        <v>775</v>
      </c>
      <c r="H107" s="2">
        <f>IFERROR(__xludf.DUMMYFUNCTION("""COMPUTED_VALUE"""),899.0)</f>
        <v>899</v>
      </c>
      <c r="I107" s="2">
        <f>IFERROR(__xludf.DUMMYFUNCTION("""COMPUTED_VALUE"""),1033.0)</f>
        <v>1033</v>
      </c>
      <c r="J107" s="2">
        <f>IFERROR(__xludf.DUMMYFUNCTION("""COMPUTED_VALUE"""),517.0)</f>
        <v>517</v>
      </c>
      <c r="K107" s="2">
        <f>IFERROR(__xludf.DUMMYFUNCTION("""COMPUTED_VALUE"""),11.0)</f>
        <v>11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IFERROR(__xludf.DUMMYFUNCTION("""COMPUTED_VALUE"""),"R100059")</f>
        <v>R100059</v>
      </c>
      <c r="B108" s="5" t="str">
        <f>IFERROR(__xludf.DUMMYFUNCTION("""COMPUTED_VALUE"""),"RSV-SPO-03-40W-6500К, IP40 1200*65*25")</f>
        <v>RSV-SPO-03-40W-6500К, IP40 1200*65*25</v>
      </c>
      <c r="C108" s="2">
        <f>IFERROR(__xludf.DUMMYFUNCTION("""COMPUTED_VALUE"""),0.22333)</f>
        <v>0.22333</v>
      </c>
      <c r="D108" s="2">
        <f>IFERROR(__xludf.DUMMYFUNCTION("""COMPUTED_VALUE"""),0.0018)</f>
        <v>0.0018</v>
      </c>
      <c r="E108" s="2">
        <f>IFERROR(__xludf.DUMMYFUNCTION("""COMPUTED_VALUE"""),175.2)</f>
        <v>175.2</v>
      </c>
      <c r="F108" s="2">
        <f>IFERROR(__xludf.DUMMYFUNCTION("""COMPUTED_VALUE"""),198.0)</f>
        <v>198</v>
      </c>
      <c r="G108" s="2">
        <f>IFERROR(__xludf.DUMMYFUNCTION("""COMPUTED_VALUE"""),233.0)</f>
        <v>233</v>
      </c>
      <c r="H108" s="2">
        <f>IFERROR(__xludf.DUMMYFUNCTION("""COMPUTED_VALUE"""),240.0)</f>
        <v>240</v>
      </c>
      <c r="I108" s="2">
        <f>IFERROR(__xludf.DUMMYFUNCTION("""COMPUTED_VALUE"""),276.0)</f>
        <v>276</v>
      </c>
      <c r="J108" s="2">
        <f>IFERROR(__xludf.DUMMYFUNCTION("""COMPUTED_VALUE"""),138.0)</f>
        <v>138</v>
      </c>
      <c r="K108" s="2">
        <f>IFERROR(__xludf.DUMMYFUNCTION("""COMPUTED_VALUE"""),2.0)</f>
        <v>2</v>
      </c>
      <c r="L108" s="2" t="str">
        <f>IFERROR(__xludf.DUMMYFUNCTION("""COMPUTED_VALUE"""),"Офисный светильник RSV-SPO-02, SPO-03 (Сталь)")</f>
        <v>Офисный светильник RSV-SPO-02, SPO-03 (Сталь)</v>
      </c>
      <c r="M108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9">
      <c r="A109" s="5" t="str">
        <f>IFERROR(__xludf.DUMMYFUNCTION("""COMPUTED_VALUE"""),"4690626062757")</f>
        <v>4690626062757</v>
      </c>
      <c r="B109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IFERROR(__xludf.DUMMYFUNCTION("""COMPUTED_VALUE"""),440.15)</f>
        <v>440.15</v>
      </c>
      <c r="F109" s="2">
        <f>IFERROR(__xludf.DUMMYFUNCTION("""COMPUTED_VALUE"""),328.0)</f>
        <v>328</v>
      </c>
      <c r="G109" s="2">
        <f>IFERROR(__xludf.DUMMYFUNCTION("""COMPUTED_VALUE"""),360.0)</f>
        <v>360</v>
      </c>
      <c r="H109" s="2">
        <f>IFERROR(__xludf.DUMMYFUNCTION("""COMPUTED_VALUE"""),400.0)</f>
        <v>400</v>
      </c>
      <c r="I109" s="2">
        <f>IFERROR(__xludf.DUMMYFUNCTION("""COMPUTED_VALUE"""),440.0)</f>
        <v>440</v>
      </c>
      <c r="J109" s="2">
        <f>IFERROR(__xludf.DUMMYFUNCTION("""COMPUTED_VALUE"""),220.0)</f>
        <v>220</v>
      </c>
      <c r="K109" s="2">
        <f>IFERROR(__xludf.DUMMYFUNCTION("""COMPUTED_VALUE"""),4.0)</f>
        <v>4</v>
      </c>
      <c r="L109" s="2" t="str">
        <f>IFERROR(__xludf.DUMMYFUNCTION("""COMPUTED_VALUE"""),"Smartbuy фонари")</f>
        <v>Smartbuy фонари</v>
      </c>
      <c r="M109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10">
      <c r="A110" s="5" t="str">
        <f>IFERROR(__xludf.DUMMYFUNCTION("""COMPUTED_VALUE"""),"13-0049")</f>
        <v>13-0049</v>
      </c>
      <c r="B110" s="5" t="str">
        <f>IFERROR(__xludf.DUMMYFUNCTION("""COMPUTED_VALUE"""),"Профессиональный мультиметр UNI-T UT71E")</f>
        <v>Профессиональный мультиметр UNI-T UT71E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IFERROR(__xludf.DUMMYFUNCTION("""COMPUTED_VALUE"""),36150.0)</f>
        <v>36150</v>
      </c>
      <c r="G110" s="2">
        <f>IFERROR(__xludf.DUMMYFUNCTION("""COMPUTED_VALUE"""),38561.0)</f>
        <v>38561</v>
      </c>
      <c r="H110" s="2">
        <f>IFERROR(__xludf.DUMMYFUNCTION("""COMPUTED_VALUE"""),43381.0)</f>
        <v>43381</v>
      </c>
      <c r="I110" s="2">
        <f>IFERROR(__xludf.DUMMYFUNCTION("""COMPUTED_VALUE"""),48200.63)</f>
        <v>48200.63</v>
      </c>
      <c r="J110" s="2">
        <f>IFERROR(__xludf.DUMMYFUNCTION("""COMPUTED_VALUE"""),24100.0)</f>
        <v>24100</v>
      </c>
      <c r="K110" s="2">
        <f>IFERROR(__xludf.DUMMYFUNCTION("""COMPUTED_VALUE"""),3.0)</f>
        <v>3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IFERROR(__xludf.DUMMYFUNCTION("""COMPUTED_VALUE"""),"4690612051994")</f>
        <v>4690612051994</v>
      </c>
      <c r="B111" s="5" t="str">
        <f>IFERROR(__xludf.DUMMYFUNCTION("""COMPUTED_VALUE"""),"ДБУ ROLL-1630BL 16Вт 3000К IP54 черный IN HOME")</f>
        <v>ДБУ ROLL-1630BL 16Вт 3000К IP54 черный IN HOME</v>
      </c>
      <c r="C111" s="2">
        <f>IFERROR(__xludf.DUMMYFUNCTION("""COMPUTED_VALUE"""),0.453)</f>
        <v>0.453</v>
      </c>
      <c r="D111" s="2">
        <f>IFERROR(__xludf.DUMMYFUNCTION("""COMPUTED_VALUE"""),0.00233)</f>
        <v>0.00233</v>
      </c>
      <c r="E111" s="2">
        <f>IFERROR(__xludf.DUMMYFUNCTION("""COMPUTED_VALUE"""),715.8000000000001)</f>
        <v>715.8</v>
      </c>
      <c r="F111" s="2">
        <f>IFERROR(__xludf.DUMMYFUNCTION("""COMPUTED_VALUE"""),731.0)</f>
        <v>731</v>
      </c>
      <c r="G111" s="2">
        <f>IFERROR(__xludf.DUMMYFUNCTION("""COMPUTED_VALUE"""),823.0)</f>
        <v>823</v>
      </c>
      <c r="H111" s="2">
        <f>IFERROR(__xludf.DUMMYFUNCTION("""COMPUTED_VALUE"""),954.0)</f>
        <v>954</v>
      </c>
      <c r="I111" s="2">
        <f>IFERROR(__xludf.DUMMYFUNCTION("""COMPUTED_VALUE"""),1097.0)</f>
        <v>1097</v>
      </c>
      <c r="J111" s="2">
        <f>IFERROR(__xludf.DUMMYFUNCTION("""COMPUTED_VALUE"""),549.0)</f>
        <v>549</v>
      </c>
      <c r="K111" s="2">
        <f>IFERROR(__xludf.DUMMYFUNCTION("""COMPUTED_VALUE"""),10.0)</f>
        <v>10</v>
      </c>
      <c r="L111" s="2" t="str">
        <f>IFERROR(__xludf.DUMMYFUNCTION("""COMPUTED_VALUE"""),"Светильники светодиодные уличные ДБУ")</f>
        <v>Светильники светодиодные уличные ДБУ</v>
      </c>
      <c r="M11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2">
      <c r="A112" s="5" t="str">
        <f>IFERROR(__xludf.DUMMYFUNCTION("""COMPUTED_VALUE"""),"12-6051")</f>
        <v>12-6051</v>
      </c>
      <c r="B112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IFERROR(__xludf.DUMMYFUNCTION("""COMPUTED_VALUE"""),1.0)</f>
        <v>1</v>
      </c>
      <c r="F112" s="2">
        <f>IFERROR(__xludf.DUMMYFUNCTION("""COMPUTED_VALUE"""),498.0)</f>
        <v>498</v>
      </c>
      <c r="G112" s="2">
        <f>IFERROR(__xludf.DUMMYFUNCTION("""COMPUTED_VALUE"""),531.0)</f>
        <v>531</v>
      </c>
      <c r="H112" s="2">
        <f>IFERROR(__xludf.DUMMYFUNCTION("""COMPUTED_VALUE"""),597.0)</f>
        <v>597</v>
      </c>
      <c r="I112" s="2">
        <f>IFERROR(__xludf.DUMMYFUNCTION("""COMPUTED_VALUE"""),663.44)</f>
        <v>663.44</v>
      </c>
      <c r="J112" s="2">
        <f>IFERROR(__xludf.DUMMYFUNCTION("""COMPUTED_VALUE"""),332.0)</f>
        <v>332</v>
      </c>
      <c r="K112" s="2">
        <f>IFERROR(__xludf.DUMMYFUNCTION("""COMPUTED_VALUE"""),2.0)</f>
        <v>2</v>
      </c>
      <c r="L112" s="2" t="str">
        <f>IFERROR(__xludf.DUMMYFUNCTION("""COMPUTED_VALUE"""),"Rexant")</f>
        <v>Rexant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IFERROR(__xludf.DUMMYFUNCTION("""COMPUTED_VALUE"""),"4260652196346")</f>
        <v>4260652196346</v>
      </c>
      <c r="B113" s="5" t="str">
        <f>IFERROR(__xludf.DUMMYFUNCTION("""COMPUTED_VALUE"""),"WTL-15W/02W")</f>
        <v>WTL-15W/02W</v>
      </c>
      <c r="C113" s="2">
        <f>IFERROR(__xludf.DUMMYFUNCTION("""COMPUTED_VALUE"""),0.4950000000000001)</f>
        <v>0.495</v>
      </c>
      <c r="D113" s="2">
        <f>IFERROR(__xludf.DUMMYFUNCTION("""COMPUTED_VALUE"""),0.00193)</f>
        <v>0.00193</v>
      </c>
      <c r="E113" s="2">
        <f>IFERROR(__xludf.DUMMYFUNCTION("""COMPUTED_VALUE"""),875.0)</f>
        <v>875</v>
      </c>
      <c r="F113" s="2">
        <f>IFERROR(__xludf.DUMMYFUNCTION("""COMPUTED_VALUE"""),1446.0)</f>
        <v>1446</v>
      </c>
      <c r="G113" s="2">
        <f>IFERROR(__xludf.DUMMYFUNCTION("""COMPUTED_VALUE"""),1495.0)</f>
        <v>1495</v>
      </c>
      <c r="H113" s="2">
        <f>IFERROR(__xludf.DUMMYFUNCTION("""COMPUTED_VALUE"""),1960.0)</f>
        <v>1960</v>
      </c>
      <c r="I113" s="2">
        <f>IFERROR(__xludf.DUMMYFUNCTION("""COMPUTED_VALUE"""),2450.0)</f>
        <v>2450</v>
      </c>
      <c r="J113" s="2">
        <f>IFERROR(__xludf.DUMMYFUNCTION("""COMPUTED_VALUE"""),1225.0)</f>
        <v>1225</v>
      </c>
      <c r="K113" s="2">
        <f>IFERROR(__xludf.DUMMYFUNCTION("""COMPUTED_VALUE"""),7.0)</f>
        <v>7</v>
      </c>
      <c r="L113" s="2" t="str">
        <f>IFERROR(__xludf.DUMMYFUNCTION("""COMPUTED_VALUE"""),"Wolta трековые")</f>
        <v>Wolta трековые</v>
      </c>
      <c r="M113" s="2" t="str">
        <f>IFERROR(__xludf.DUMMYFUNCTION("""COMPUTED_VALUE"""),"Трековые, LED Светильники")</f>
        <v>Трековые, LED Светильники</v>
      </c>
    </row>
    <row r="114">
      <c r="A114" s="5" t="str">
        <f>IFERROR(__xludf.DUMMYFUNCTION("""COMPUTED_VALUE"""),"4690612034447")</f>
        <v>4690612034447</v>
      </c>
      <c r="B114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4" s="2">
        <f>IFERROR(__xludf.DUMMYFUNCTION("""COMPUTED_VALUE"""),1.7)</f>
        <v>1.7</v>
      </c>
      <c r="D114" s="2">
        <f>IFERROR(__xludf.DUMMYFUNCTION("""COMPUTED_VALUE"""),0.049)</f>
        <v>0.049</v>
      </c>
      <c r="E114" s="2">
        <f>IFERROR(__xludf.DUMMYFUNCTION("""COMPUTED_VALUE"""),2320.24)</f>
        <v>2320.24</v>
      </c>
      <c r="F114" s="2">
        <f>IFERROR(__xludf.DUMMYFUNCTION("""COMPUTED_VALUE"""),2360.0)</f>
        <v>2360</v>
      </c>
      <c r="G114" s="2">
        <f>IFERROR(__xludf.DUMMYFUNCTION("""COMPUTED_VALUE"""),2655.0)</f>
        <v>2655</v>
      </c>
      <c r="H114" s="2">
        <f>IFERROR(__xludf.DUMMYFUNCTION("""COMPUTED_VALUE"""),3080.0)</f>
        <v>3080</v>
      </c>
      <c r="I114" s="2">
        <f>IFERROR(__xludf.DUMMYFUNCTION("""COMPUTED_VALUE"""),3540.0)</f>
        <v>3540</v>
      </c>
      <c r="J114" s="2">
        <f>IFERROR(__xludf.DUMMYFUNCTION("""COMPUTED_VALUE"""),1770.0)</f>
        <v>1770</v>
      </c>
      <c r="K114" s="2">
        <f>IFERROR(__xludf.DUMMYFUNCTION("""COMPUTED_VALUE"""),5.0)</f>
        <v>5</v>
      </c>
      <c r="L114" s="2" t="str">
        <f>IFERROR(__xludf.DUMMYFUNCTION("""COMPUTED_VALUE"""),"Светильники светодиодные COMFORT")</f>
        <v>Светильники светодиодные COMFORT</v>
      </c>
      <c r="M114" s="2" t="str">
        <f>IFERROR(__xludf.DUMMYFUNCTION("""COMPUTED_VALUE"""),"Точечные круглые Downlight, LED Светильники")</f>
        <v>Точечные круглые Downlight, LED Светильники</v>
      </c>
    </row>
    <row r="115">
      <c r="A115" s="5" t="str">
        <f>IFERROR(__xludf.DUMMYFUNCTION("""COMPUTED_VALUE"""),"4690612020754")</f>
        <v>4690612020754</v>
      </c>
      <c r="B115" s="5" t="str">
        <f>IFERROR(__xludf.DUMMYFUNCTION("""COMPUTED_VALUE"""),"LED-GX53-VC 10Вт 230В 3000К 950Лм IN HOME")</f>
        <v>LED-GX53-VC 10Вт 230В 3000К 950Лм IN HOME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IFERROR(__xludf.DUMMYFUNCTION("""COMPUTED_VALUE"""),37.8)</f>
        <v>37.8</v>
      </c>
      <c r="F115" s="2">
        <f>IFERROR(__xludf.DUMMYFUNCTION("""COMPUTED_VALUE"""),45.0)</f>
        <v>45</v>
      </c>
      <c r="G115" s="2">
        <f>IFERROR(__xludf.DUMMYFUNCTION("""COMPUTED_VALUE"""),50.0)</f>
        <v>50</v>
      </c>
      <c r="H115" s="2">
        <f>IFERROR(__xludf.DUMMYFUNCTION("""COMPUTED_VALUE"""),58.0)</f>
        <v>58</v>
      </c>
      <c r="I115" s="2">
        <f>IFERROR(__xludf.DUMMYFUNCTION("""COMPUTED_VALUE"""),67.7)</f>
        <v>67.7</v>
      </c>
      <c r="J115" s="2">
        <f>IFERROR(__xludf.DUMMYFUNCTION("""COMPUTED_VALUE"""),34.0)</f>
        <v>34</v>
      </c>
      <c r="K115" s="2">
        <f>IFERROR(__xludf.DUMMYFUNCTION("""COMPUTED_VALUE"""),93.0)</f>
        <v>93</v>
      </c>
      <c r="L115" s="2" t="str">
        <f>IFERROR(__xludf.DUMMYFUNCTION("""COMPUTED_VALUE"""),"Лампа светодиодная LED-GX53-standard")</f>
        <v>Лампа светодиодная LED-GX53-standard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IFERROR(__xludf.DUMMYFUNCTION("""COMPUTED_VALUE"""),"4690612029870")</f>
        <v>4690612029870</v>
      </c>
      <c r="B116" s="5" t="str">
        <f>IFERROR(__xludf.DUMMYFUNCTION("""COMPUTED_VALUE"""),"LPU-01 40Вт ОПАЛ 230В 6500K 3600Лм 180x1195x30мм IP40 IN HOME")</f>
        <v>LPU-01 40Вт ОПАЛ 230В 6500K 3600Лм 180x1195x30мм IP40 IN HOME</v>
      </c>
      <c r="C116" s="2">
        <f>IFERROR(__xludf.DUMMYFUNCTION("""COMPUTED_VALUE"""),1.2)</f>
        <v>1.2</v>
      </c>
      <c r="D116" s="2">
        <f>IFERROR(__xludf.DUMMYFUNCTION("""COMPUTED_VALUE"""),0.008)</f>
        <v>0.008</v>
      </c>
      <c r="E116" s="2">
        <f>IFERROR(__xludf.DUMMYFUNCTION("""COMPUTED_VALUE"""),616.84)</f>
        <v>616.84</v>
      </c>
      <c r="F116" s="2">
        <f>IFERROR(__xludf.DUMMYFUNCTION("""COMPUTED_VALUE"""),617.0)</f>
        <v>617</v>
      </c>
      <c r="G116" s="2">
        <f>IFERROR(__xludf.DUMMYFUNCTION("""COMPUTED_VALUE"""),694.0)</f>
        <v>694</v>
      </c>
      <c r="H116" s="2">
        <f>IFERROR(__xludf.DUMMYFUNCTION("""COMPUTED_VALUE"""),805.0)</f>
        <v>805</v>
      </c>
      <c r="I116" s="2">
        <f>IFERROR(__xludf.DUMMYFUNCTION("""COMPUTED_VALUE"""),925.0)</f>
        <v>925</v>
      </c>
      <c r="J116" s="2">
        <f>IFERROR(__xludf.DUMMYFUNCTION("""COMPUTED_VALUE"""),463.0)</f>
        <v>463</v>
      </c>
      <c r="K116" s="2">
        <f>IFERROR(__xludf.DUMMYFUNCTION("""COMPUTED_VALUE"""),12.0)</f>
        <v>12</v>
      </c>
      <c r="L116" s="2" t="str">
        <f>IFERROR(__xludf.DUMMYFUNCTION("""COMPUTED_VALUE"""),"Панели светодиодные LP серии ОПАЛ")</f>
        <v>Панели светодиодные LP серии ОПАЛ</v>
      </c>
      <c r="M1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7">
      <c r="A117" s="5" t="str">
        <f>IFERROR(__xludf.DUMMYFUNCTION("""COMPUTED_VALUE"""),"4690612008653")</f>
        <v>4690612008653</v>
      </c>
      <c r="B117" s="5" t="str">
        <f>IFERROR(__xludf.DUMMYFUNCTION("""COMPUTED_VALUE"""),"AC-1 угловой белый LLT")</f>
        <v>AC-1 угловой белый LLT</v>
      </c>
      <c r="C117" s="2">
        <f>IFERROR(__xludf.DUMMYFUNCTION("""COMPUTED_VALUE"""),0.0264)</f>
        <v>0.0264</v>
      </c>
      <c r="D117" s="2">
        <f>IFERROR(__xludf.DUMMYFUNCTION("""COMPUTED_VALUE"""),7.000000000000001E-5)</f>
        <v>0.00007</v>
      </c>
      <c r="E117" s="2">
        <f>IFERROR(__xludf.DUMMYFUNCTION("""COMPUTED_VALUE"""),76.39)</f>
        <v>76.39</v>
      </c>
      <c r="F117" s="2">
        <f>IFERROR(__xludf.DUMMYFUNCTION("""COMPUTED_VALUE"""),67.0)</f>
        <v>67</v>
      </c>
      <c r="G117" s="2">
        <f>IFERROR(__xludf.DUMMYFUNCTION("""COMPUTED_VALUE"""),75.0)</f>
        <v>75</v>
      </c>
      <c r="H117" s="2">
        <f>IFERROR(__xludf.DUMMYFUNCTION("""COMPUTED_VALUE"""),87.0)</f>
        <v>87</v>
      </c>
      <c r="I117" s="2">
        <f>IFERROR(__xludf.DUMMYFUNCTION("""COMPUTED_VALUE"""),100.0)</f>
        <v>100</v>
      </c>
      <c r="J117" s="2">
        <f>IFERROR(__xludf.DUMMYFUNCTION("""COMPUTED_VALUE"""),50.0)</f>
        <v>50</v>
      </c>
      <c r="K117" s="2">
        <f>IFERROR(__xludf.DUMMYFUNCTION("""COMPUTED_VALUE"""),4.0)</f>
        <v>4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IFERROR(__xludf.DUMMYFUNCTION("""COMPUTED_VALUE"""),"4690612002026")</f>
        <v>4690612002026</v>
      </c>
      <c r="B118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8" s="2">
        <f>IFERROR(__xludf.DUMMYFUNCTION("""COMPUTED_VALUE"""),0.006)</f>
        <v>0.006</v>
      </c>
      <c r="D118" s="2">
        <f>IFERROR(__xludf.DUMMYFUNCTION("""COMPUTED_VALUE"""),0.0)</f>
        <v>0</v>
      </c>
      <c r="E118" s="2">
        <f>IFERROR(__xludf.DUMMYFUNCTION("""COMPUTED_VALUE"""),14.7)</f>
        <v>14.7</v>
      </c>
      <c r="F118" s="2">
        <f>IFERROR(__xludf.DUMMYFUNCTION("""COMPUTED_VALUE"""),15.0)</f>
        <v>15</v>
      </c>
      <c r="G118" s="2">
        <f>IFERROR(__xludf.DUMMYFUNCTION("""COMPUTED_VALUE"""),17.0)</f>
        <v>17</v>
      </c>
      <c r="H118" s="2">
        <f>IFERROR(__xludf.DUMMYFUNCTION("""COMPUTED_VALUE"""),19.0)</f>
        <v>19</v>
      </c>
      <c r="I118" s="2">
        <f>IFERROR(__xludf.DUMMYFUNCTION("""COMPUTED_VALUE"""),22.0)</f>
        <v>22</v>
      </c>
      <c r="J118" s="2">
        <f>IFERROR(__xludf.DUMMYFUNCTION("""COMPUTED_VALUE"""),11.0)</f>
        <v>11</v>
      </c>
      <c r="K118" s="2">
        <f>IFERROR(__xludf.DUMMYFUNCTION("""COMPUTED_VALUE"""),22.0)</f>
        <v>22</v>
      </c>
      <c r="L118" s="2" t="str">
        <f>IFERROR(__xludf.DUMMYFUNCTION("""COMPUTED_VALUE"""),"ASD Комплектующие")</f>
        <v>ASD Комплектующие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IFERROR(__xludf.DUMMYFUNCTION("""COMPUTED_VALUE"""),"ves2107")</f>
        <v>ves2107</v>
      </c>
      <c r="B119" s="5" t="str">
        <f>IFERROR(__xludf.DUMMYFUNCTION("""COMPUTED_VALUE"""),"Лампа светодиодная 18W G13 6500K")</f>
        <v>Лампа светодиодная 18W G13 6500K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IFERROR(__xludf.DUMMYFUNCTION("""COMPUTED_VALUE"""),95.64)</f>
        <v>95.64</v>
      </c>
      <c r="F119" s="2">
        <f>IFERROR(__xludf.DUMMYFUNCTION("""COMPUTED_VALUE"""),133.0)</f>
        <v>133</v>
      </c>
      <c r="G119" s="2">
        <f>IFERROR(__xludf.DUMMYFUNCTION("""COMPUTED_VALUE"""),142.0)</f>
        <v>142</v>
      </c>
      <c r="H119" s="2">
        <f>IFERROR(__xludf.DUMMYFUNCTION("""COMPUTED_VALUE"""),160.0)</f>
        <v>160</v>
      </c>
      <c r="I119" s="2">
        <f>IFERROR(__xludf.DUMMYFUNCTION("""COMPUTED_VALUE"""),177.46)</f>
        <v>177.46</v>
      </c>
      <c r="J119" s="2">
        <f>IFERROR(__xludf.DUMMYFUNCTION("""COMPUTED_VALUE"""),89.0)</f>
        <v>89</v>
      </c>
      <c r="K119" s="2">
        <f>IFERROR(__xludf.DUMMYFUNCTION("""COMPUTED_VALUE"""),30.0)</f>
        <v>30</v>
      </c>
      <c r="L119" s="2" t="str">
        <f>IFERROR(__xludf.DUMMYFUNCTION("""COMPUTED_VALUE"""),"ves2 (тендер)")</f>
        <v>ves2 (тендер)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IFERROR(__xludf.DUMMYFUNCTION("""COMPUTED_VALUE"""),"4690612015828")</f>
        <v>4690612015828</v>
      </c>
      <c r="B120" s="5" t="str">
        <f>IFERROR(__xludf.DUMMYFUNCTION("""COMPUTED_VALUE"""),"LED-JCDR-standard 10Вт 230В GU5.3 4000К 900Лм ASD")</f>
        <v>LED-JCDR-standard 10Вт 230В GU5.3 4000К 900Лм ASD</v>
      </c>
      <c r="C120" s="2">
        <f>IFERROR(__xludf.DUMMYFUNCTION("""COMPUTED_VALUE"""),0.03700000000000001)</f>
        <v>0.037</v>
      </c>
      <c r="D120" s="2">
        <f>IFERROR(__xludf.DUMMYFUNCTION("""COMPUTED_VALUE"""),2.1E-4)</f>
        <v>0.00021</v>
      </c>
      <c r="E120" s="2">
        <f>IFERROR(__xludf.DUMMYFUNCTION("""COMPUTED_VALUE"""),50.35)</f>
        <v>50.35</v>
      </c>
      <c r="F120" s="2">
        <f>IFERROR(__xludf.DUMMYFUNCTION("""COMPUTED_VALUE"""),35.0)</f>
        <v>35</v>
      </c>
      <c r="G120" s="2">
        <f>IFERROR(__xludf.DUMMYFUNCTION("""COMPUTED_VALUE"""),39.0)</f>
        <v>39</v>
      </c>
      <c r="H120" s="2">
        <f>IFERROR(__xludf.DUMMYFUNCTION("""COMPUTED_VALUE"""),45.0)</f>
        <v>45</v>
      </c>
      <c r="I120" s="2">
        <f>IFERROR(__xludf.DUMMYFUNCTION("""COMPUTED_VALUE"""),52.75)</f>
        <v>52.75</v>
      </c>
      <c r="J120" s="2">
        <f>IFERROR(__xludf.DUMMYFUNCTION("""COMPUTED_VALUE"""),26.0)</f>
        <v>26</v>
      </c>
      <c r="K120" s="2">
        <f>IFERROR(__xludf.DUMMYFUNCTION("""COMPUTED_VALUE"""),5.0)</f>
        <v>5</v>
      </c>
      <c r="L120" s="2" t="str">
        <f>IFERROR(__xludf.DUMMYFUNCTION("""COMPUTED_VALUE"""),"Лампа светодиодная LED-JCDR-standard")</f>
        <v>Лампа светодиодная LED-JCDR-standard</v>
      </c>
      <c r="M120" s="2" t="str">
        <f>IFERROR(__xludf.DUMMYFUNCTION("""COMPUTED_VALUE"""),"Лампы")</f>
        <v>Лампы</v>
      </c>
    </row>
    <row r="121">
      <c r="A121" s="5" t="str">
        <f>IFERROR(__xludf.DUMMYFUNCTION("""COMPUTED_VALUE"""),"R100022")</f>
        <v>R100022</v>
      </c>
      <c r="B121" s="5" t="str">
        <f>IFERROR(__xludf.DUMMYFUNCTION("""COMPUTED_VALUE"""),"RSV-SSP-36W-6500K-IP65")</f>
        <v>RSV-SSP-36W-6500K-IP65</v>
      </c>
      <c r="C121" s="2">
        <f>IFERROR(__xludf.DUMMYFUNCTION("""COMPUTED_VALUE"""),1.3)</f>
        <v>1.3</v>
      </c>
      <c r="D121" s="2">
        <f>IFERROR(__xludf.DUMMYFUNCTION("""COMPUTED_VALUE"""),0.008960000000000001)</f>
        <v>0.00896</v>
      </c>
      <c r="E121" s="2">
        <f>IFERROR(__xludf.DUMMYFUNCTION("""COMPUTED_VALUE"""),1038.79)</f>
        <v>1038.79</v>
      </c>
      <c r="F121" s="2">
        <f>IFERROR(__xludf.DUMMYFUNCTION("""COMPUTED_VALUE"""),1548.0)</f>
        <v>1548</v>
      </c>
      <c r="G121" s="2">
        <f>IFERROR(__xludf.DUMMYFUNCTION("""COMPUTED_VALUE"""),1821.0)</f>
        <v>1821</v>
      </c>
      <c r="H121" s="2">
        <f>IFERROR(__xludf.DUMMYFUNCTION("""COMPUTED_VALUE"""),1876.0)</f>
        <v>1876</v>
      </c>
      <c r="I121" s="2">
        <f>IFERROR(__xludf.DUMMYFUNCTION("""COMPUTED_VALUE"""),2158.0)</f>
        <v>2158</v>
      </c>
      <c r="J121" s="2">
        <f>IFERROR(__xludf.DUMMYFUNCTION("""COMPUTED_VALUE"""),1821.0)</f>
        <v>1821</v>
      </c>
      <c r="K121" s="2">
        <f>IFERROR(__xludf.DUMMYFUNCTION("""COMPUTED_VALUE"""),70.0)</f>
        <v>70</v>
      </c>
      <c r="L121" s="2" t="str">
        <f>IFERROR(__xludf.DUMMYFUNCTION("""COMPUTED_VALUE"""),"Промышленное освещение RSV")</f>
        <v>Промышленное освещение RSV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IFERROR(__xludf.DUMMYFUNCTION("""COMPUTED_VALUE"""),"4680005959112")</f>
        <v>4680005959112</v>
      </c>
      <c r="B122" s="5" t="str">
        <f>IFERROR(__xludf.DUMMYFUNCTION("""COMPUTED_VALUE"""),"LS-AA-16.6 16.6А 12В алюминий")</f>
        <v>LS-AA-16.6 16.6А 12В алюминий</v>
      </c>
      <c r="C122" s="2">
        <f>IFERROR(__xludf.DUMMYFUNCTION("""COMPUTED_VALUE"""),0.6394000000000001)</f>
        <v>0.6394</v>
      </c>
      <c r="D122" s="2">
        <f>IFERROR(__xludf.DUMMYFUNCTION("""COMPUTED_VALUE"""),0.00115)</f>
        <v>0.00115</v>
      </c>
      <c r="E122" s="2">
        <f>IFERROR(__xludf.DUMMYFUNCTION("""COMPUTED_VALUE"""),611.1)</f>
        <v>611.1</v>
      </c>
      <c r="F122" s="2">
        <f>IFERROR(__xludf.DUMMYFUNCTION("""COMPUTED_VALUE"""),1.0)</f>
        <v>1</v>
      </c>
      <c r="G122" s="2">
        <f>IFERROR(__xludf.DUMMYFUNCTION("""COMPUTED_VALUE"""),1.0)</f>
        <v>1</v>
      </c>
      <c r="H122" s="2">
        <f>IFERROR(__xludf.DUMMYFUNCTION("""COMPUTED_VALUE"""),1.0)</f>
        <v>1</v>
      </c>
      <c r="I122" s="2">
        <f>IFERROR(__xludf.DUMMYFUNCTION("""COMPUTED_VALUE"""),1.0)</f>
        <v>1</v>
      </c>
      <c r="J122" s="2">
        <f>IFERROR(__xludf.DUMMYFUNCTION("""COMPUTED_VALUE"""),1.0)</f>
        <v>1</v>
      </c>
      <c r="K122" s="2">
        <f>IFERROR(__xludf.DUMMYFUNCTION("""COMPUTED_VALUE"""),4.0)</f>
        <v>4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IFERROR(__xludf.DUMMYFUNCTION("""COMPUTED_VALUE"""),"GL82211")</f>
        <v>GL82211</v>
      </c>
      <c r="B123" s="5" t="str">
        <f>IFERROR(__xludf.DUMMYFUNCTION("""COMPUTED_VALUE"""),"GLERIO Line 20 Вт 4000K 91P-20D-4N-P")</f>
        <v>GLERIO Line 20 Вт 4000K 91P-20D-4N-P</v>
      </c>
      <c r="C123" s="2">
        <f>IFERROR(__xludf.DUMMYFUNCTION("""COMPUTED_VALUE"""),0.5)</f>
        <v>0.5</v>
      </c>
      <c r="D123" s="2">
        <f>IFERROR(__xludf.DUMMYFUNCTION("""COMPUTED_VALUE"""),0.00396)</f>
        <v>0.00396</v>
      </c>
      <c r="E123" s="2">
        <f>IFERROR(__xludf.DUMMYFUNCTION("""COMPUTED_VALUE"""),1406.0)</f>
        <v>1406</v>
      </c>
      <c r="F123" s="2">
        <f>IFERROR(__xludf.DUMMYFUNCTION("""COMPUTED_VALUE"""),1660.0)</f>
        <v>1660</v>
      </c>
      <c r="G123" s="2">
        <f>IFERROR(__xludf.DUMMYFUNCTION("""COMPUTED_VALUE"""),2090.0)</f>
        <v>2090</v>
      </c>
      <c r="H123" s="2">
        <f>IFERROR(__xludf.DUMMYFUNCTION("""COMPUTED_VALUE"""),2347.0)</f>
        <v>2347</v>
      </c>
      <c r="I123" s="2">
        <f>IFERROR(__xludf.DUMMYFUNCTION("""COMPUTED_VALUE"""),2604.0)</f>
        <v>2604</v>
      </c>
      <c r="J123" s="2">
        <f>IFERROR(__xludf.DUMMYFUNCTION("""COMPUTED_VALUE"""),2604.0)</f>
        <v>2604</v>
      </c>
      <c r="K123" s="2">
        <f>IFERROR(__xludf.DUMMYFUNCTION("""COMPUTED_VALUE"""),23.0)</f>
        <v>23</v>
      </c>
      <c r="L123" s="2" t="str">
        <f>IFERROR(__xludf.DUMMYFUNCTION("""COMPUTED_VALUE"""),"Line+ GLERIO (Айсберг)")</f>
        <v>Line+ GLERIO (Айсберг)</v>
      </c>
      <c r="M123" s="2" t="str">
        <f>IFERROR(__xludf.DUMMYFUNCTION("""COMPUTED_VALUE"""),"Пластиковые (линейные), LED Светильники")</f>
        <v>Пластиковые (линейные), LED Светильники</v>
      </c>
    </row>
    <row r="124">
      <c r="A124" s="5" t="str">
        <f>IFERROR(__xludf.DUMMYFUNCTION("""COMPUTED_VALUE"""),"4690612057286-2")</f>
        <v>4690612057286-2</v>
      </c>
      <c r="B124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IFERROR(__xludf.DUMMYFUNCTION("""COMPUTED_VALUE"""),1793.76)</f>
        <v>1793.76</v>
      </c>
      <c r="F124" s="2">
        <f>IFERROR(__xludf.DUMMYFUNCTION("""COMPUTED_VALUE"""),1968.0)</f>
        <v>1968</v>
      </c>
      <c r="G124" s="2">
        <f>IFERROR(__xludf.DUMMYFUNCTION("""COMPUTED_VALUE"""),2296.0)</f>
        <v>2296</v>
      </c>
      <c r="H124" s="2">
        <f>IFERROR(__xludf.DUMMYFUNCTION("""COMPUTED_VALUE"""),2583.0)</f>
        <v>2583</v>
      </c>
      <c r="I124" s="2">
        <f>IFERROR(__xludf.DUMMYFUNCTION("""COMPUTED_VALUE"""),2870.0)</f>
        <v>2870</v>
      </c>
      <c r="J124" s="2">
        <f>IFERROR(__xludf.DUMMYFUNCTION("""COMPUTED_VALUE"""),1435.0)</f>
        <v>1435</v>
      </c>
      <c r="K124" s="2">
        <f>IFERROR(__xludf.DUMMYFUNCTION("""COMPUTED_VALUE"""),5.0)</f>
        <v>5</v>
      </c>
      <c r="L1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5">
      <c r="A125" s="5" t="str">
        <f>IFERROR(__xludf.DUMMYFUNCTION("""COMPUTED_VALUE"""),"4690612052984")</f>
        <v>4690612052984</v>
      </c>
      <c r="B125" s="5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5" t="str">
        <f>IFERROR(__xludf.DUMMYFUNCTION("""COMPUTED_VALUE"""),"51-0619")</f>
        <v>51-0619</v>
      </c>
      <c r="B126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IFERROR(__xludf.DUMMYFUNCTION("""COMPUTED_VALUE"""),"4690612032191")</f>
        <v>4690612032191</v>
      </c>
      <c r="B127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IFERROR(__xludf.DUMMYFUNCTION("""COMPUTED_VALUE"""),"4690612033518")</f>
        <v>4690612033518</v>
      </c>
      <c r="B128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5" t="str">
        <f>IFERROR(__xludf.DUMMYFUNCTION("""COMPUTED_VALUE"""),"4690612045849")</f>
        <v>4690612045849</v>
      </c>
      <c r="B129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5" t="str">
        <f>IFERROR(__xludf.DUMMYFUNCTION("""COMPUTED_VALUE"""),"V11101")</f>
        <v>V11101</v>
      </c>
      <c r="B130" s="5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5" t="str">
        <f>IFERROR(__xludf.DUMMYFUNCTION("""COMPUTED_VALUE"""),"ves2047")</f>
        <v>ves2047</v>
      </c>
      <c r="B131" s="5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5" t="str">
        <f>IFERROR(__xludf.DUMMYFUNCTION("""COMPUTED_VALUE"""),"08357")</f>
        <v>08357</v>
      </c>
      <c r="B132" s="5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5" t="str">
        <f>IFERROR(__xludf.DUMMYFUNCTION("""COMPUTED_VALUE"""),"4260652196469")</f>
        <v>4260652196469</v>
      </c>
      <c r="B133" s="5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5" t="str">
        <f>IFERROR(__xludf.DUMMYFUNCTION("""COMPUTED_VALUE"""),"4690612038810")</f>
        <v>4690612038810</v>
      </c>
      <c r="B134" s="5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IFERROR(__xludf.DUMMYFUNCTION("""COMPUTED_VALUE"""),1042.0)</f>
        <v>1042</v>
      </c>
      <c r="K134" s="2">
        <f>IFERROR(__xludf.DUMMYFUNCTION("""COMPUTED_VALUE"""),-26.0)</f>
        <v>-26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IFERROR(__xludf.DUMMYFUNCTION("""COMPUTED_VALUE"""),"11700784")</f>
        <v>11700784</v>
      </c>
      <c r="B135" s="5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5" t="str">
        <f>IFERROR(__xludf.DUMMYFUNCTION("""COMPUTED_VALUE"""),"4690612042336")</f>
        <v>4690612042336</v>
      </c>
      <c r="B136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5" t="str">
        <f>IFERROR(__xludf.DUMMYFUNCTION("""COMPUTED_VALUE"""),"V1035")</f>
        <v>V1035</v>
      </c>
      <c r="B137" s="5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5" t="str">
        <f>IFERROR(__xludf.DUMMYFUNCTION("""COMPUTED_VALUE"""),"GL8121")</f>
        <v>GL8121</v>
      </c>
      <c r="B138" s="5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5" t="str">
        <f>IFERROR(__xludf.DUMMYFUNCTION("""COMPUTED_VALUE"""),"03680")</f>
        <v>03680</v>
      </c>
      <c r="B139" s="5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5" t="str">
        <f>IFERROR(__xludf.DUMMYFUNCTION("""COMPUTED_VALUE"""),"D55099")</f>
        <v>D55099</v>
      </c>
      <c r="B140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IFERROR(__xludf.DUMMYFUNCTION("""COMPUTED_VALUE"""),"NVAS008")</f>
        <v>NVAS008</v>
      </c>
      <c r="B141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IFERROR(__xludf.DUMMYFUNCTION("""COMPUTED_VALUE"""),7450.0)</f>
        <v>7450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5" t="str">
        <f>IFERROR(__xludf.DUMMYFUNCTION("""COMPUTED_VALUE"""),"01-6101-6")</f>
        <v>01-6101-6</v>
      </c>
      <c r="B142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IFERROR(__xludf.DUMMYFUNCTION("""COMPUTED_VALUE"""),"4690612042701-1")</f>
        <v>4690612042701-1</v>
      </c>
      <c r="B143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IFERROR(__xludf.DUMMYFUNCTION("""COMPUTED_VALUE"""),666.0)</f>
        <v>666</v>
      </c>
      <c r="H143" s="2">
        <f>IFERROR(__xludf.DUMMYFUNCTION("""COMPUTED_VALUE"""),750.0)</f>
        <v>750</v>
      </c>
      <c r="I143" s="2">
        <f>IFERROR(__xludf.DUMMYFUNCTION("""COMPUTED_VALUE"""),833.0)</f>
        <v>833</v>
      </c>
      <c r="J143" s="2">
        <f>IFERROR(__xludf.DUMMYFUNCTION("""COMPUTED_VALUE"""),417.0)</f>
        <v>417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5" t="str">
        <f>IFERROR(__xludf.DUMMYFUNCTION("""COMPUTED_VALUE"""),"11700049")</f>
        <v>11700049</v>
      </c>
      <c r="B144" s="5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5" t="str">
        <f>IFERROR(__xludf.DUMMYFUNCTION("""COMPUTED_VALUE"""),"13-2005")</f>
        <v>13-2005</v>
      </c>
      <c r="B145" s="5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IFERROR(__xludf.DUMMYFUNCTION("""COMPUTED_VALUE"""),1.0)</f>
        <v>1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IFERROR(__xludf.DUMMYFUNCTION("""COMPUTED_VALUE"""),"R100344-2")</f>
        <v>R100344-2</v>
      </c>
      <c r="B146" s="5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IFERROR(__xludf.DUMMYFUNCTION("""COMPUTED_VALUE"""),516.0)</f>
        <v>516</v>
      </c>
      <c r="G146" s="2">
        <f>IFERROR(__xludf.DUMMYFUNCTION("""COMPUTED_VALUE"""),550.0)</f>
        <v>550</v>
      </c>
      <c r="H146" s="2">
        <f>IFERROR(__xludf.DUMMYFUNCTION("""COMPUTED_VALUE"""),619.0)</f>
        <v>619</v>
      </c>
      <c r="I146" s="2">
        <f>IFERROR(__xludf.DUMMYFUNCTION("""COMPUTED_VALUE"""),688.0)</f>
        <v>688</v>
      </c>
      <c r="J146" s="2">
        <f>IFERROR(__xludf.DUMMYFUNCTION("""COMPUTED_VALUE"""),344.0)</f>
        <v>344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5" t="str">
        <f>IFERROR(__xludf.DUMMYFUNCTION("""COMPUTED_VALUE"""),"4690612008066-10")</f>
        <v>4690612008066-10</v>
      </c>
      <c r="B147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IFERROR(__xludf.DUMMYFUNCTION("""COMPUTED_VALUE"""),1050.0)</f>
        <v>1050</v>
      </c>
      <c r="H147" s="2">
        <f>IFERROR(__xludf.DUMMYFUNCTION("""COMPUTED_VALUE"""),1181.0)</f>
        <v>1181</v>
      </c>
      <c r="I147" s="2">
        <f>IFERROR(__xludf.DUMMYFUNCTION("""COMPUTED_VALUE"""),1312.0)</f>
        <v>1312</v>
      </c>
      <c r="J147" s="2">
        <f>IFERROR(__xludf.DUMMYFUNCTION("""COMPUTED_VALUE"""),656.0)</f>
        <v>656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IFERROR(__xludf.DUMMYFUNCTION("""COMPUTED_VALUE"""),"R100488")</f>
        <v>R100488</v>
      </c>
      <c r="B148" s="5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5" t="str">
        <f>IFERROR(__xludf.DUMMYFUNCTION("""COMPUTED_VALUE"""),"4690612010212")</f>
        <v>4690612010212</v>
      </c>
      <c r="B149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IFERROR(__xludf.DUMMYFUNCTION("""COMPUTED_VALUE"""),"4690612055381")</f>
        <v>4690612055381</v>
      </c>
      <c r="B150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5" t="str">
        <f>IFERROR(__xludf.DUMMYFUNCTION("""COMPUTED_VALUE"""),"R100721")</f>
        <v>R100721</v>
      </c>
      <c r="B151" s="5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IFERROR(__xludf.DUMMYFUNCTION("""COMPUTED_VALUE"""),5.0)</f>
        <v>5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5" t="str">
        <f>IFERROR(__xludf.DUMMYFUNCTION("""COMPUTED_VALUE"""),"4690612029368")</f>
        <v>4690612029368</v>
      </c>
      <c r="B15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IFERROR(__xludf.DUMMYFUNCTION("""COMPUTED_VALUE"""),"GL51211")</f>
        <v>GL51211</v>
      </c>
      <c r="B153" s="5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5" t="str">
        <f>IFERROR(__xludf.DUMMYFUNCTION("""COMPUTED_VALUE"""),"4690612015132")</f>
        <v>4690612015132</v>
      </c>
      <c r="B154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5" t="str">
        <f>IFERROR(__xludf.DUMMYFUNCTION("""COMPUTED_VALUE"""),"00894")</f>
        <v>00894</v>
      </c>
      <c r="B155" s="5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IFERROR(__xludf.DUMMYFUNCTION("""COMPUTED_VALUE"""),"4690612029405")</f>
        <v>4690612029405</v>
      </c>
      <c r="B156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5" t="str">
        <f>IFERROR(__xludf.DUMMYFUNCTION("""COMPUTED_VALUE"""),"4690612033617")</f>
        <v>4690612033617</v>
      </c>
      <c r="B157" s="5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IFERROR(__xludf.DUMMYFUNCTION("""COMPUTED_VALUE"""),"4690612035437")</f>
        <v>4690612035437</v>
      </c>
      <c r="B158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5" t="str">
        <f>IFERROR(__xludf.DUMMYFUNCTION("""COMPUTED_VALUE"""),"SV0111-0002")</f>
        <v>SV0111-0002</v>
      </c>
      <c r="B159" s="5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5" t="str">
        <f>IFERROR(__xludf.DUMMYFUNCTION("""COMPUTED_VALUE"""),"GL8243")</f>
        <v>GL8243</v>
      </c>
      <c r="B160" s="5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5" t="str">
        <f>IFERROR(__xludf.DUMMYFUNCTION("""COMPUTED_VALUE"""),"4690612008455")</f>
        <v>4690612008455</v>
      </c>
      <c r="B161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5" t="str">
        <f>IFERROR(__xludf.DUMMYFUNCTION("""COMPUTED_VALUE"""),"4690626005488")</f>
        <v>4690626005488</v>
      </c>
      <c r="B162" s="5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5" t="str">
        <f>IFERROR(__xludf.DUMMYFUNCTION("""COMPUTED_VALUE"""),"4690612030036")</f>
        <v>4690612030036</v>
      </c>
      <c r="B163" s="5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5" t="str">
        <f>IFERROR(__xludf.DUMMYFUNCTION("""COMPUTED_VALUE"""),"01S-50D-4U")</f>
        <v>01S-50D-4U</v>
      </c>
      <c r="B164" s="5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5" t="str">
        <f>IFERROR(__xludf.DUMMYFUNCTION("""COMPUTED_VALUE"""),"4690612038162")</f>
        <v>4690612038162</v>
      </c>
      <c r="B165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IFERROR(__xludf.DUMMYFUNCTION("""COMPUTED_VALUE"""),"55084")</f>
        <v>55084</v>
      </c>
      <c r="B166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5" t="str">
        <f>IFERROR(__xludf.DUMMYFUNCTION("""COMPUTED_VALUE"""),"4690612035604-10")</f>
        <v>4690612035604-10</v>
      </c>
      <c r="B167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IFERROR(__xludf.DUMMYFUNCTION("""COMPUTED_VALUE"""),1217.0)</f>
        <v>1217</v>
      </c>
      <c r="H167" s="2">
        <f>IFERROR(__xludf.DUMMYFUNCTION("""COMPUTED_VALUE"""),1369.0)</f>
        <v>1369</v>
      </c>
      <c r="I167" s="2">
        <f>IFERROR(__xludf.DUMMYFUNCTION("""COMPUTED_VALUE"""),1521.0)</f>
        <v>1521</v>
      </c>
      <c r="J167" s="2">
        <f>IFERROR(__xludf.DUMMYFUNCTION("""COMPUTED_VALUE"""),761.0)</f>
        <v>761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IFERROR(__xludf.DUMMYFUNCTION("""COMPUTED_VALUE"""),"4690612007243")</f>
        <v>4690612007243</v>
      </c>
      <c r="B168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IFERROR(__xludf.DUMMYFUNCTION("""COMPUTED_VALUE"""),"ves017")</f>
        <v>ves017</v>
      </c>
      <c r="B169" s="5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IFERROR(__xludf.DUMMYFUNCTION("""COMPUTED_VALUE"""),"4690612004204-10")</f>
        <v>4690612004204-10</v>
      </c>
      <c r="B170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IFERROR(__xludf.DUMMYFUNCTION("""COMPUTED_VALUE"""),2.0)</f>
        <v>2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IFERROR(__xludf.DUMMYFUNCTION("""COMPUTED_VALUE"""),"4690612007663")</f>
        <v>4690612007663</v>
      </c>
      <c r="B17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IFERROR(__xludf.DUMMYFUNCTION("""COMPUTED_VALUE"""),24.0)</f>
        <v>24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5" t="str">
        <f>IFERROR(__xludf.DUMMYFUNCTION("""COMPUTED_VALUE"""),"4680005959945")</f>
        <v>4680005959945</v>
      </c>
      <c r="B172" s="5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IFERROR(__xludf.DUMMYFUNCTION("""COMPUTED_VALUE"""),"4690612064390")</f>
        <v>4690612064390</v>
      </c>
      <c r="B17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5" t="str">
        <f>IFERROR(__xludf.DUMMYFUNCTION("""COMPUTED_VALUE"""),"4690612051918")</f>
        <v>4690612051918</v>
      </c>
      <c r="B174" s="5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5" t="str">
        <f>IFERROR(__xludf.DUMMYFUNCTION("""COMPUTED_VALUE"""),"4690612004655")</f>
        <v>4690612004655</v>
      </c>
      <c r="B175" s="5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IFERROR(__xludf.DUMMYFUNCTION("""COMPUTED_VALUE"""),"RSTR011")</f>
        <v>RSTR011</v>
      </c>
      <c r="B176" s="5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IFERROR(__xludf.DUMMYFUNCTION("""COMPUTED_VALUE"""),"Fefco/0201-11")</f>
        <v>Fefco/0201-11</v>
      </c>
      <c r="B177" s="5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IFERROR(__xludf.DUMMYFUNCTION("""COMPUTED_VALUE"""),"55054")</f>
        <v>55054</v>
      </c>
      <c r="B17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5" t="str">
        <f>IFERROR(__xludf.DUMMYFUNCTION("""COMPUTED_VALUE"""),"GL8272")</f>
        <v>GL8272</v>
      </c>
      <c r="B179" s="5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5" t="str">
        <f>IFERROR(__xludf.DUMMYFUNCTION("""COMPUTED_VALUE"""),"ves028")</f>
        <v>ves028</v>
      </c>
      <c r="B18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5" t="str">
        <f>IFERROR(__xludf.DUMMYFUNCTION("""COMPUTED_VALUE"""),"4690626071384")</f>
        <v>4690626071384</v>
      </c>
      <c r="B181" s="5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IFERROR(__xludf.DUMMYFUNCTION("""COMPUTED_VALUE"""),"4690612004198")</f>
        <v>4690612004198</v>
      </c>
      <c r="B182" s="5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IFERROR(__xludf.DUMMYFUNCTION("""COMPUTED_VALUE"""),"4690612032375")</f>
        <v>4690612032375</v>
      </c>
      <c r="B1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IFERROR(__xludf.DUMMYFUNCTION("""COMPUTED_VALUE"""),"sra057")</f>
        <v>sra057</v>
      </c>
      <c r="B184" s="5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5" t="str">
        <f>IFERROR(__xludf.DUMMYFUNCTION("""COMPUTED_VALUE"""),"12-0144")</f>
        <v>12-0144</v>
      </c>
      <c r="B185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IFERROR(__xludf.DUMMYFUNCTION("""COMPUTED_VALUE"""),"4690612034485")</f>
        <v>4690612034485</v>
      </c>
      <c r="B186" s="5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5" t="str">
        <f>IFERROR(__xludf.DUMMYFUNCTION("""COMPUTED_VALUE"""),"4690612020341")</f>
        <v>4690612020341</v>
      </c>
      <c r="B187" s="5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5" t="str">
        <f>IFERROR(__xludf.DUMMYFUNCTION("""COMPUTED_VALUE"""),"4690612042596")</f>
        <v>4690612042596</v>
      </c>
      <c r="B188" s="5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5" t="str">
        <f>IFERROR(__xludf.DUMMYFUNCTION("""COMPUTED_VALUE"""),"4690612035161")</f>
        <v>4690612035161</v>
      </c>
      <c r="B18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5" t="str">
        <f>IFERROR(__xludf.DUMMYFUNCTION("""COMPUTED_VALUE"""),"R100627-2")</f>
        <v>R100627-2</v>
      </c>
      <c r="B190" s="5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IFERROR(__xludf.DUMMYFUNCTION("""COMPUTED_VALUE"""),989.0)</f>
        <v>989</v>
      </c>
      <c r="G190" s="2">
        <f>IFERROR(__xludf.DUMMYFUNCTION("""COMPUTED_VALUE"""),1054.0)</f>
        <v>1054</v>
      </c>
      <c r="H190" s="2">
        <f>IFERROR(__xludf.DUMMYFUNCTION("""COMPUTED_VALUE"""),1186.0)</f>
        <v>1186</v>
      </c>
      <c r="I190" s="2">
        <f>IFERROR(__xludf.DUMMYFUNCTION("""COMPUTED_VALUE"""),1318.0)</f>
        <v>1318</v>
      </c>
      <c r="J190" s="2">
        <f>IFERROR(__xludf.DUMMYFUNCTION("""COMPUTED_VALUE"""),659.0)</f>
        <v>659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5" t="str">
        <f>IFERROR(__xludf.DUMMYFUNCTION("""COMPUTED_VALUE"""),"4690612013503")</f>
        <v>4690612013503</v>
      </c>
      <c r="B19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5" t="str">
        <f>IFERROR(__xludf.DUMMYFUNCTION("""COMPUTED_VALUE"""),"GL8241")</f>
        <v>GL8241</v>
      </c>
      <c r="B192" s="5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5" t="str">
        <f>IFERROR(__xludf.DUMMYFUNCTION("""COMPUTED_VALUE"""),"ves2017")</f>
        <v>ves2017</v>
      </c>
      <c r="B193" s="5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IFERROR(__xludf.DUMMYFUNCTION("""COMPUTED_VALUE"""),"R102811")</f>
        <v>R102811</v>
      </c>
      <c r="B194" s="5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IFERROR(__xludf.DUMMYFUNCTION("""COMPUTED_VALUE"""),12.0)</f>
        <v>12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5" t="str">
        <f>IFERROR(__xludf.DUMMYFUNCTION("""COMPUTED_VALUE"""),"4690612035512")</f>
        <v>4690612035512</v>
      </c>
      <c r="B19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IFERROR(__xludf.DUMMYFUNCTION("""COMPUTED_VALUE"""),"R100628")</f>
        <v>R100628</v>
      </c>
      <c r="B196" s="5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IFERROR(__xludf.DUMMYFUNCTION("""COMPUTED_VALUE"""),"12-0164")</f>
        <v>12-0164</v>
      </c>
      <c r="B19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IFERROR(__xludf.DUMMYFUNCTION("""COMPUTED_VALUE"""),"13-0034")</f>
        <v>13-0034</v>
      </c>
      <c r="B198" s="5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IFERROR(__xludf.DUMMYFUNCTION("""COMPUTED_VALUE"""),"14690612053858")</f>
        <v>14690612053858</v>
      </c>
      <c r="B19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IFERROR(__xludf.DUMMYFUNCTION("""COMPUTED_VALUE"""),2892.0)</f>
        <v>2892</v>
      </c>
      <c r="H199" s="2">
        <f>IFERROR(__xludf.DUMMYFUNCTION("""COMPUTED_VALUE"""),3254.0)</f>
        <v>3254</v>
      </c>
      <c r="I199" s="2">
        <f>IFERROR(__xludf.DUMMYFUNCTION("""COMPUTED_VALUE"""),3615.0)</f>
        <v>3615</v>
      </c>
      <c r="J199" s="2">
        <f>IFERROR(__xludf.DUMMYFUNCTION("""COMPUTED_VALUE"""),3615.0)</f>
        <v>3615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IFERROR(__xludf.DUMMYFUNCTION("""COMPUTED_VALUE"""),43.0)</f>
        <v>43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IFERROR(__xludf.DUMMYFUNCTION("""COMPUTED_VALUE"""),894.0)</f>
        <v>894</v>
      </c>
      <c r="H203" s="2">
        <f>IFERROR(__xludf.DUMMYFUNCTION("""COMPUTED_VALUE"""),1005.0)</f>
        <v>1005</v>
      </c>
      <c r="I203" s="2">
        <f>IFERROR(__xludf.DUMMYFUNCTION("""COMPUTED_VALUE"""),1117.0)</f>
        <v>1117</v>
      </c>
      <c r="J203" s="2">
        <f>IFERROR(__xludf.DUMMYFUNCTION("""COMPUTED_VALUE"""),559.0)</f>
        <v>559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IFERROR(__xludf.DUMMYFUNCTION("""COMPUTED_VALUE"""),6.0)</f>
        <v>6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IFERROR(__xludf.DUMMYFUNCTION("""COMPUTED_VALUE"""),3847.0)</f>
        <v>3847</v>
      </c>
      <c r="H222" s="2">
        <f>IFERROR(__xludf.DUMMYFUNCTION("""COMPUTED_VALUE"""),4328.0)</f>
        <v>4328</v>
      </c>
      <c r="I222" s="2">
        <f>IFERROR(__xludf.DUMMYFUNCTION("""COMPUTED_VALUE"""),4809.0)</f>
        <v>4809</v>
      </c>
      <c r="J222" s="2">
        <f>IFERROR(__xludf.DUMMYFUNCTION("""COMPUTED_VALUE"""),2405.0)</f>
        <v>2405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IFERROR(__xludf.DUMMYFUNCTION("""COMPUTED_VALUE"""),128.0)</f>
        <v>128</v>
      </c>
      <c r="G223" s="2">
        <f>IFERROR(__xludf.DUMMYFUNCTION("""COMPUTED_VALUE"""),136.0)</f>
        <v>136</v>
      </c>
      <c r="H223" s="2">
        <f>IFERROR(__xludf.DUMMYFUNCTION("""COMPUTED_VALUE"""),153.0)</f>
        <v>153</v>
      </c>
      <c r="I223" s="2">
        <f>IFERROR(__xludf.DUMMYFUNCTION("""COMPUTED_VALUE"""),170.0)</f>
        <v>170</v>
      </c>
      <c r="J223" s="2">
        <f>IFERROR(__xludf.DUMMYFUNCTION("""COMPUTED_VALUE"""),85.0)</f>
        <v>85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IFERROR(__xludf.DUMMYFUNCTION("""COMPUTED_VALUE"""),"4690612020617")</f>
        <v>4690612020617</v>
      </c>
      <c r="B224" s="5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IFERROR(__xludf.DUMMYFUNCTION("""COMPUTED_VALUE"""),"13-2010")</f>
        <v>13-2010</v>
      </c>
      <c r="B225" s="5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IFERROR(__xludf.DUMMYFUNCTION("""COMPUTED_VALUE"""),"4690626059245")</f>
        <v>4690626059245</v>
      </c>
      <c r="B226" s="5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IFERROR(__xludf.DUMMYFUNCTION("""COMPUTED_VALUE"""),"4690612035376")</f>
        <v>4690612035376</v>
      </c>
      <c r="B22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5" t="str">
        <f>IFERROR(__xludf.DUMMYFUNCTION("""COMPUTED_VALUE"""),"4690626040786")</f>
        <v>4690626040786</v>
      </c>
      <c r="B228" s="5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5" t="str">
        <f>IFERROR(__xludf.DUMMYFUNCTION("""COMPUTED_VALUE"""),"ves2087")</f>
        <v>ves2087</v>
      </c>
      <c r="B229" s="5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5" t="str">
        <f>IFERROR(__xludf.DUMMYFUNCTION("""COMPUTED_VALUE"""),"13936")</f>
        <v>13936</v>
      </c>
      <c r="B230" s="5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5" t="str">
        <f>IFERROR(__xludf.DUMMYFUNCTION("""COMPUTED_VALUE"""),"4680005959044")</f>
        <v>4680005959044</v>
      </c>
      <c r="B231" s="5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5" t="str">
        <f>IFERROR(__xludf.DUMMYFUNCTION("""COMPUTED_VALUE"""),"4690612031026")</f>
        <v>4690612031026</v>
      </c>
      <c r="B23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IFERROR(__xludf.DUMMYFUNCTION("""COMPUTED_VALUE"""),"R100153")</f>
        <v>R100153</v>
      </c>
      <c r="B233" s="5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5" t="str">
        <f>IFERROR(__xludf.DUMMYFUNCTION("""COMPUTED_VALUE"""),"4690612057309-2")</f>
        <v>4690612057309-2</v>
      </c>
      <c r="B23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IFERROR(__xludf.DUMMYFUNCTION("""COMPUTED_VALUE"""),2577.0)</f>
        <v>2577</v>
      </c>
      <c r="H234" s="2">
        <f>IFERROR(__xludf.DUMMYFUNCTION("""COMPUTED_VALUE"""),2899.0)</f>
        <v>2899</v>
      </c>
      <c r="I234" s="2">
        <f>IFERROR(__xludf.DUMMYFUNCTION("""COMPUTED_VALUE"""),3221.0)</f>
        <v>3221</v>
      </c>
      <c r="J234" s="2">
        <f>IFERROR(__xludf.DUMMYFUNCTION("""COMPUTED_VALUE"""),1611.0)</f>
        <v>1611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5" t="str">
        <f>IFERROR(__xludf.DUMMYFUNCTION("""COMPUTED_VALUE"""),"GL81311")</f>
        <v>GL81311</v>
      </c>
      <c r="B235" s="5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5" t="str">
        <f>IFERROR(__xludf.DUMMYFUNCTION("""COMPUTED_VALUE"""),"4690612008059")</f>
        <v>4690612008059</v>
      </c>
      <c r="B236" s="5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IFERROR(__xludf.DUMMYFUNCTION("""COMPUTED_VALUE"""),"V1036")</f>
        <v>V1036</v>
      </c>
      <c r="B237" s="5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IFERROR(__xludf.DUMMYFUNCTION("""COMPUTED_VALUE"""),"4260652192584")</f>
        <v>4260652192584</v>
      </c>
      <c r="B238" s="5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5" t="str">
        <f>IFERROR(__xludf.DUMMYFUNCTION("""COMPUTED_VALUE"""),"4690612020372")</f>
        <v>4690612020372</v>
      </c>
      <c r="B239" s="5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IFERROR(__xludf.DUMMYFUNCTION("""COMPUTED_VALUE"""),"GL82335")</f>
        <v>GL82335</v>
      </c>
      <c r="B240" s="5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IFERROR(__xludf.DUMMYFUNCTION("""COMPUTED_VALUE"""),"4690612035659")</f>
        <v>4690612035659</v>
      </c>
      <c r="B24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IFERROR(__xludf.DUMMYFUNCTION("""COMPUTED_VALUE"""),"4690612020730")</f>
        <v>4690612020730</v>
      </c>
      <c r="B242" s="5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IFERROR(__xludf.DUMMYFUNCTION("""COMPUTED_VALUE"""),"GL82511")</f>
        <v>GL82511</v>
      </c>
      <c r="B243" s="5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5" t="str">
        <f>IFERROR(__xludf.DUMMYFUNCTION("""COMPUTED_VALUE"""),"sra097")</f>
        <v>sra097</v>
      </c>
      <c r="B244" s="5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5" t="str">
        <f>IFERROR(__xludf.DUMMYFUNCTION("""COMPUTED_VALUE"""),"GL51361")</f>
        <v>GL51361</v>
      </c>
      <c r="B245" s="5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IFERROR(__xludf.DUMMYFUNCTION("""COMPUTED_VALUE"""),8.0)</f>
        <v>8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5" t="str">
        <f>IFERROR(__xludf.DUMMYFUNCTION("""COMPUTED_VALUE"""),"4690612016320")</f>
        <v>4690612016320</v>
      </c>
      <c r="B24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IFERROR(__xludf.DUMMYFUNCTION("""COMPUTED_VALUE"""),"4690612030777")</f>
        <v>4690612030777</v>
      </c>
      <c r="B247" s="5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IFERROR(__xludf.DUMMYFUNCTION("""COMPUTED_VALUE"""),"R100076")</f>
        <v>R100076</v>
      </c>
      <c r="B248" s="5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5" t="str">
        <f>IFERROR(__xludf.DUMMYFUNCTION("""COMPUTED_VALUE"""),"4690612038810-1")</f>
        <v>4690612038810-1</v>
      </c>
      <c r="B24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IFERROR(__xludf.DUMMYFUNCTION("""COMPUTED_VALUE"""),953.0)</f>
        <v>953</v>
      </c>
      <c r="H249" s="2">
        <f>IFERROR(__xludf.DUMMYFUNCTION("""COMPUTED_VALUE"""),1072.0)</f>
        <v>1072</v>
      </c>
      <c r="I249" s="2">
        <f>IFERROR(__xludf.DUMMYFUNCTION("""COMPUTED_VALUE"""),1191.0)</f>
        <v>1191</v>
      </c>
      <c r="J249" s="2">
        <f>IFERROR(__xludf.DUMMYFUNCTION("""COMPUTED_VALUE"""),953.0)</f>
        <v>953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5" t="str">
        <f>IFERROR(__xludf.DUMMYFUNCTION("""COMPUTED_VALUE"""),"4690612054223")</f>
        <v>4690612054223</v>
      </c>
      <c r="B25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5" t="str">
        <f>IFERROR(__xludf.DUMMYFUNCTION("""COMPUTED_VALUE"""),"4260375484218")</f>
        <v>4260375484218</v>
      </c>
      <c r="B251" s="5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5" t="str">
        <f>IFERROR(__xludf.DUMMYFUNCTION("""COMPUTED_VALUE"""),"12-0122")</f>
        <v>12-0122</v>
      </c>
      <c r="B25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IFERROR(__xludf.DUMMYFUNCTION("""COMPUTED_VALUE"""),"4690612031545-10")</f>
        <v>4690612031545-10</v>
      </c>
      <c r="B25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IFERROR(__xludf.DUMMYFUNCTION("""COMPUTED_VALUE"""),1750.0)</f>
        <v>1750</v>
      </c>
      <c r="H253" s="2">
        <f>IFERROR(__xludf.DUMMYFUNCTION("""COMPUTED_VALUE"""),1968.0)</f>
        <v>1968</v>
      </c>
      <c r="I253" s="2">
        <f>IFERROR(__xludf.DUMMYFUNCTION("""COMPUTED_VALUE"""),2187.0)</f>
        <v>2187</v>
      </c>
      <c r="J253" s="2">
        <f>IFERROR(__xludf.DUMMYFUNCTION("""COMPUTED_VALUE"""),1094.0)</f>
        <v>1094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IFERROR(__xludf.DUMMYFUNCTION("""COMPUTED_VALUE"""),"GL8231")</f>
        <v>GL8231</v>
      </c>
      <c r="B254" s="5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5" t="str">
        <f>IFERROR(__xludf.DUMMYFUNCTION("""COMPUTED_VALUE"""),"GL023802")</f>
        <v>GL023802</v>
      </c>
      <c r="B255" s="5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5" t="str">
        <f>IFERROR(__xludf.DUMMYFUNCTION("""COMPUTED_VALUE"""),"R100628-2")</f>
        <v>R100628-2</v>
      </c>
      <c r="B256" s="5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IFERROR(__xludf.DUMMYFUNCTION("""COMPUTED_VALUE"""),945.0)</f>
        <v>945</v>
      </c>
      <c r="G256" s="2">
        <f>IFERROR(__xludf.DUMMYFUNCTION("""COMPUTED_VALUE"""),1008.0)</f>
        <v>1008</v>
      </c>
      <c r="H256" s="2">
        <f>IFERROR(__xludf.DUMMYFUNCTION("""COMPUTED_VALUE"""),1134.0)</f>
        <v>1134</v>
      </c>
      <c r="I256" s="2">
        <f>IFERROR(__xludf.DUMMYFUNCTION("""COMPUTED_VALUE"""),1260.0)</f>
        <v>1260</v>
      </c>
      <c r="J256" s="2">
        <f>IFERROR(__xludf.DUMMYFUNCTION("""COMPUTED_VALUE"""),630.0)</f>
        <v>630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5" t="str">
        <f>IFERROR(__xludf.DUMMYFUNCTION("""COMPUTED_VALUE"""),"4690612038162-2")</f>
        <v>4690612038162-2</v>
      </c>
      <c r="B25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IFERROR(__xludf.DUMMYFUNCTION("""COMPUTED_VALUE"""),1318.0)</f>
        <v>1318</v>
      </c>
      <c r="H257" s="2">
        <f>IFERROR(__xludf.DUMMYFUNCTION("""COMPUTED_VALUE"""),1482.0)</f>
        <v>1482</v>
      </c>
      <c r="I257" s="2">
        <f>IFERROR(__xludf.DUMMYFUNCTION("""COMPUTED_VALUE"""),1647.0)</f>
        <v>1647</v>
      </c>
      <c r="J257" s="2">
        <f>IFERROR(__xludf.DUMMYFUNCTION("""COMPUTED_VALUE"""),824.0)</f>
        <v>824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5" t="str">
        <f>IFERROR(__xludf.DUMMYFUNCTION("""COMPUTED_VALUE"""),"55098")</f>
        <v>55098</v>
      </c>
      <c r="B25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5" t="str">
        <f>IFERROR(__xludf.DUMMYFUNCTION("""COMPUTED_VALUE"""),"Y1050x2100-ST-051")</f>
        <v>Y1050x2100-ST-051</v>
      </c>
      <c r="B259" s="5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IFERROR(__xludf.DUMMYFUNCTION("""COMPUTED_VALUE"""),"G23214P")</f>
        <v>G23214P</v>
      </c>
      <c r="B260" s="5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IFERROR(__xludf.DUMMYFUNCTION("""COMPUTED_VALUE"""),"4690626055308")</f>
        <v>4690626055308</v>
      </c>
      <c r="B261" s="5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5" t="str">
        <f>IFERROR(__xludf.DUMMYFUNCTION("""COMPUTED_VALUE"""),"4690612033860")</f>
        <v>4690612033860</v>
      </c>
      <c r="B262" s="5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IFERROR(__xludf.DUMMYFUNCTION("""COMPUTED_VALUE"""),"4690626062733")</f>
        <v>4690626062733</v>
      </c>
      <c r="B26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5" t="str">
        <f>IFERROR(__xludf.DUMMYFUNCTION("""COMPUTED_VALUE"""),"4690612034430")</f>
        <v>4690612034430</v>
      </c>
      <c r="B26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IFERROR(__xludf.DUMMYFUNCTION("""COMPUTED_VALUE"""),"4690612035819")</f>
        <v>4690612035819</v>
      </c>
      <c r="B26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5" t="str">
        <f>IFERROR(__xludf.DUMMYFUNCTION("""COMPUTED_VALUE"""),"4690612023069")</f>
        <v>4690612023069</v>
      </c>
      <c r="B266" s="5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5" t="str">
        <f>IFERROR(__xludf.DUMMYFUNCTION("""COMPUTED_VALUE"""),"4690612039183")</f>
        <v>4690612039183</v>
      </c>
      <c r="B267" s="5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5" t="str">
        <f>IFERROR(__xludf.DUMMYFUNCTION("""COMPUTED_VALUE"""),"G103101107-10")</f>
        <v>G103101107-10</v>
      </c>
      <c r="B26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IFERROR(__xludf.DUMMYFUNCTION("""COMPUTED_VALUE"""),1010.0)</f>
        <v>1010</v>
      </c>
      <c r="H268" s="2">
        <f>IFERROR(__xludf.DUMMYFUNCTION("""COMPUTED_VALUE"""),1136.0)</f>
        <v>1136</v>
      </c>
      <c r="I268" s="2">
        <f>IFERROR(__xludf.DUMMYFUNCTION("""COMPUTED_VALUE"""),1262.0)</f>
        <v>1262</v>
      </c>
      <c r="J268" s="2">
        <f>IFERROR(__xludf.DUMMYFUNCTION("""COMPUTED_VALUE"""),631.0)</f>
        <v>631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IFERROR(__xludf.DUMMYFUNCTION("""COMPUTED_VALUE"""),"4690612020303")</f>
        <v>4690612020303</v>
      </c>
      <c r="B269" s="5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IFERROR(__xludf.DUMMYFUNCTION("""COMPUTED_VALUE"""),"4690612001531")</f>
        <v>4690612001531</v>
      </c>
      <c r="B270" s="5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IFERROR(__xludf.DUMMYFUNCTION("""COMPUTED_VALUE"""),"4690612024127")</f>
        <v>4690612024127</v>
      </c>
      <c r="B271" s="5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IFERROR(__xludf.DUMMYFUNCTION("""COMPUTED_VALUE"""),"4680005957873")</f>
        <v>4680005957873</v>
      </c>
      <c r="B272" s="5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IFERROR(__xludf.DUMMYFUNCTION("""COMPUTED_VALUE"""),"4690612008660")</f>
        <v>4690612008660</v>
      </c>
      <c r="B27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IFERROR(__xludf.DUMMYFUNCTION("""COMPUTED_VALUE"""),"ms6181")</f>
        <v>ms6181</v>
      </c>
      <c r="B274" s="5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5" t="str">
        <f>IFERROR(__xludf.DUMMYFUNCTION("""COMPUTED_VALUE"""),"4690612035659-10")</f>
        <v>4690612035659-10</v>
      </c>
      <c r="B27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IFERROR(__xludf.DUMMYFUNCTION("""COMPUTED_VALUE"""),1498.0)</f>
        <v>1498</v>
      </c>
      <c r="H275" s="2">
        <f>IFERROR(__xludf.DUMMYFUNCTION("""COMPUTED_VALUE"""),1685.0)</f>
        <v>1685</v>
      </c>
      <c r="I275" s="2">
        <f>IFERROR(__xludf.DUMMYFUNCTION("""COMPUTED_VALUE"""),1872.0)</f>
        <v>1872</v>
      </c>
      <c r="J275" s="2">
        <f>IFERROR(__xludf.DUMMYFUNCTION("""COMPUTED_VALUE"""),936.0)</f>
        <v>936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IFERROR(__xludf.DUMMYFUNCTION("""COMPUTED_VALUE"""),"V9014")</f>
        <v>V9014</v>
      </c>
      <c r="B276" s="5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IFERROR(__xludf.DUMMYFUNCTION("""COMPUTED_VALUE"""),2367.0)</f>
        <v>2367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IFERROR(__xludf.DUMMYFUNCTION("""COMPUTED_VALUE"""),0.0)</f>
        <v>0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5" t="str">
        <f>IFERROR(__xludf.DUMMYFUNCTION("""COMPUTED_VALUE"""),"23345")</f>
        <v>23345</v>
      </c>
      <c r="B27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5" t="str">
        <f>IFERROR(__xludf.DUMMYFUNCTION("""COMPUTED_VALUE"""),"4260652192805")</f>
        <v>4260652192805</v>
      </c>
      <c r="B278" s="5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5" t="str">
        <f>IFERROR(__xludf.DUMMYFUNCTION("""COMPUTED_VALUE"""),"4690612020549")</f>
        <v>4690612020549</v>
      </c>
      <c r="B279" s="5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IFERROR(__xludf.DUMMYFUNCTION("""COMPUTED_VALUE"""),"4690612009087")</f>
        <v>4690612009087</v>
      </c>
      <c r="B28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IFERROR(__xludf.DUMMYFUNCTION("""COMPUTED_VALUE"""),"R2500x1050-ST-051")</f>
        <v>R2500x1050-ST-051</v>
      </c>
      <c r="B281" s="5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IFERROR(__xludf.DUMMYFUNCTION("""COMPUTED_VALUE"""),"4690612053080")</f>
        <v>4690612053080</v>
      </c>
      <c r="B282" s="5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5" t="str">
        <f>IFERROR(__xludf.DUMMYFUNCTION("""COMPUTED_VALUE"""),"4690612024165")</f>
        <v>4690612024165</v>
      </c>
      <c r="B283" s="5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IFERROR(__xludf.DUMMYFUNCTION("""COMPUTED_VALUE"""),"4690612053004-2")</f>
        <v>4690612053004-2</v>
      </c>
      <c r="B28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IFERROR(__xludf.DUMMYFUNCTION("""COMPUTED_VALUE"""),1951.0)</f>
        <v>1951</v>
      </c>
      <c r="H284" s="2">
        <f>IFERROR(__xludf.DUMMYFUNCTION("""COMPUTED_VALUE"""),2195.0)</f>
        <v>2195</v>
      </c>
      <c r="I284" s="2">
        <f>IFERROR(__xludf.DUMMYFUNCTION("""COMPUTED_VALUE"""),2439.0)</f>
        <v>2439</v>
      </c>
      <c r="J284" s="2">
        <f>IFERROR(__xludf.DUMMYFUNCTION("""COMPUTED_VALUE"""),1220.0)</f>
        <v>1220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IFERROR(__xludf.DUMMYFUNCTION("""COMPUTED_VALUE"""),"4690612052991-2")</f>
        <v>4690612052991-2</v>
      </c>
      <c r="B28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IFERROR(__xludf.DUMMYFUNCTION("""COMPUTED_VALUE"""),1737.0)</f>
        <v>1737</v>
      </c>
      <c r="H285" s="2">
        <f>IFERROR(__xludf.DUMMYFUNCTION("""COMPUTED_VALUE"""),1954.0)</f>
        <v>1954</v>
      </c>
      <c r="I285" s="2">
        <f>IFERROR(__xludf.DUMMYFUNCTION("""COMPUTED_VALUE"""),2171.0)</f>
        <v>2171</v>
      </c>
      <c r="J285" s="2">
        <f>IFERROR(__xludf.DUMMYFUNCTION("""COMPUTED_VALUE"""),1086.0)</f>
        <v>1086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IFERROR(__xludf.DUMMYFUNCTION("""COMPUTED_VALUE"""),"4690626071285")</f>
        <v>4690626071285</v>
      </c>
      <c r="B28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5" t="str">
        <f>IFERROR(__xludf.DUMMYFUNCTION("""COMPUTED_VALUE"""),"14690612053018")</f>
        <v>14690612053018</v>
      </c>
      <c r="B28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IFERROR(__xludf.DUMMYFUNCTION("""COMPUTED_VALUE"""),2735.0)</f>
        <v>2735</v>
      </c>
      <c r="H287" s="2">
        <f>IFERROR(__xludf.DUMMYFUNCTION("""COMPUTED_VALUE"""),3077.0)</f>
        <v>3077</v>
      </c>
      <c r="I287" s="2">
        <f>IFERROR(__xludf.DUMMYFUNCTION("""COMPUTED_VALUE"""),3419.0)</f>
        <v>3419</v>
      </c>
      <c r="J287" s="2">
        <f>IFERROR(__xludf.DUMMYFUNCTION("""COMPUTED_VALUE"""),1710.0)</f>
        <v>1710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IFERROR(__xludf.DUMMYFUNCTION("""COMPUTED_VALUE"""),"12-5022-4")</f>
        <v>12-5022-4</v>
      </c>
      <c r="B28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IFERROR(__xludf.DUMMYFUNCTION("""COMPUTED_VALUE"""),"4690612057286")</f>
        <v>4690612057286</v>
      </c>
      <c r="B28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5" t="str">
        <f>IFERROR(__xludf.DUMMYFUNCTION("""COMPUTED_VALUE"""),"4690612031095")</f>
        <v>4690612031095</v>
      </c>
      <c r="B29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IFERROR(__xludf.DUMMYFUNCTION("""COMPUTED_VALUE"""),19.0)</f>
        <v>19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IFERROR(__xludf.DUMMYFUNCTION("""COMPUTED_VALUE"""),"KR-2-45-250")</f>
        <v>KR-2-45-250</v>
      </c>
      <c r="B29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IFERROR(__xludf.DUMMYFUNCTION("""COMPUTED_VALUE"""),350.0)</f>
        <v>350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5" t="str">
        <f>IFERROR(__xludf.DUMMYFUNCTION("""COMPUTED_VALUE"""),"4690612031095-10")</f>
        <v>4690612031095-10</v>
      </c>
      <c r="B292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IFERROR(__xludf.DUMMYFUNCTION("""COMPUTED_VALUE"""),2120.0)</f>
        <v>2120</v>
      </c>
      <c r="H292" s="2">
        <f>IFERROR(__xludf.DUMMYFUNCTION("""COMPUTED_VALUE"""),2385.0)</f>
        <v>2385</v>
      </c>
      <c r="I292" s="2">
        <f>IFERROR(__xludf.DUMMYFUNCTION("""COMPUTED_VALUE"""),2650.0)</f>
        <v>2650</v>
      </c>
      <c r="J292" s="2">
        <f>IFERROR(__xludf.DUMMYFUNCTION("""COMPUTED_VALUE"""),1325.0)</f>
        <v>1325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IFERROR(__xludf.DUMMYFUNCTION("""COMPUTED_VALUE"""),"4690612064390-2")</f>
        <v>4690612064390-2</v>
      </c>
      <c r="B293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IFERROR(__xludf.DUMMYFUNCTION("""COMPUTED_VALUE"""),2031.9)</f>
        <v>2031.9</v>
      </c>
      <c r="F293" s="2">
        <f>IFERROR(__xludf.DUMMYFUNCTION("""COMPUTED_VALUE"""),2229.0)</f>
        <v>2229</v>
      </c>
      <c r="G293" s="2">
        <f>IFERROR(__xludf.DUMMYFUNCTION("""COMPUTED_VALUE"""),2601.0)</f>
        <v>2601</v>
      </c>
      <c r="H293" s="2">
        <f>IFERROR(__xludf.DUMMYFUNCTION("""COMPUTED_VALUE"""),2926.0)</f>
        <v>2926</v>
      </c>
      <c r="I293" s="2">
        <f>IFERROR(__xludf.DUMMYFUNCTION("""COMPUTED_VALUE"""),3251.0)</f>
        <v>3251</v>
      </c>
      <c r="J293" s="2">
        <f>IFERROR(__xludf.DUMMYFUNCTION("""COMPUTED_VALUE"""),1626.0)</f>
        <v>1626</v>
      </c>
      <c r="K293" s="2">
        <f>IFERROR(__xludf.DUMMYFUNCTION("""COMPUTED_VALUE"""),10.0)</f>
        <v>10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5" t="str">
        <f>IFERROR(__xludf.DUMMYFUNCTION("""COMPUTED_VALUE"""),"4690612023441-10")</f>
        <v>4690612023441-10</v>
      </c>
      <c r="B294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4" s="2">
        <f>IFERROR(__xludf.DUMMYFUNCTION("""COMPUTED_VALUE"""),0.04)</f>
        <v>0.04</v>
      </c>
      <c r="D294" s="2">
        <f>IFERROR(__xludf.DUMMYFUNCTION("""COMPUTED_VALUE"""),0.0021)</f>
        <v>0.0021</v>
      </c>
      <c r="E294" s="2">
        <f>IFERROR(__xludf.DUMMYFUNCTION("""COMPUTED_VALUE"""),330.0)</f>
        <v>330</v>
      </c>
      <c r="F294" s="2">
        <f>IFERROR(__xludf.DUMMYFUNCTION("""COMPUTED_VALUE"""),362.0)</f>
        <v>362</v>
      </c>
      <c r="G294" s="2">
        <f>IFERROR(__xludf.DUMMYFUNCTION("""COMPUTED_VALUE"""),422.0)</f>
        <v>422</v>
      </c>
      <c r="H294" s="2">
        <f>IFERROR(__xludf.DUMMYFUNCTION("""COMPUTED_VALUE"""),475.0)</f>
        <v>475</v>
      </c>
      <c r="I294" s="2">
        <f>IFERROR(__xludf.DUMMYFUNCTION("""COMPUTED_VALUE"""),528.0)</f>
        <v>528</v>
      </c>
      <c r="J294" s="2">
        <f>IFERROR(__xludf.DUMMYFUNCTION("""COMPUTED_VALUE"""),264.0)</f>
        <v>264</v>
      </c>
      <c r="K294" s="2">
        <f>IFERROR(__xludf.DUMMYFUNCTION("""COMPUTED_VALUE"""),12.0)</f>
        <v>12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IFERROR(__xludf.DUMMYFUNCTION("""COMPUTED_VALUE"""),"V9029")</f>
        <v>V9029</v>
      </c>
      <c r="B295" s="5" t="str">
        <f>IFERROR(__xludf.DUMMYFUNCTION("""COMPUTED_VALUE"""),"VRN-UNE-96-G40K67-U, 96Вт, Универсальный")</f>
        <v>VRN-UNE-96-G40K67-U, 96Вт, Универсальный</v>
      </c>
      <c r="C295" s="2">
        <f>IFERROR(__xludf.DUMMYFUNCTION("""COMPUTED_VALUE"""),0.17)</f>
        <v>0.17</v>
      </c>
      <c r="D295" s="2">
        <f>IFERROR(__xludf.DUMMYFUNCTION("""COMPUTED_VALUE"""),0.00902)</f>
        <v>0.00902</v>
      </c>
      <c r="E295" s="2">
        <f>IFERROR(__xludf.DUMMYFUNCTION("""COMPUTED_VALUE"""),3785.0)</f>
        <v>3785</v>
      </c>
      <c r="F295" s="2">
        <f>IFERROR(__xludf.DUMMYFUNCTION("""COMPUTED_VALUE"""),4165.0)</f>
        <v>4165</v>
      </c>
      <c r="G295" s="2">
        <f>IFERROR(__xludf.DUMMYFUNCTION("""COMPUTED_VALUE"""),5415.0)</f>
        <v>5415</v>
      </c>
      <c r="H295" s="2">
        <f>IFERROR(__xludf.DUMMYFUNCTION("""COMPUTED_VALUE"""),5685.0)</f>
        <v>5685</v>
      </c>
      <c r="I295" s="2">
        <f>IFERROR(__xludf.DUMMYFUNCTION("""COMPUTED_VALUE"""),5956.0)</f>
        <v>5956</v>
      </c>
      <c r="J295" s="2">
        <f>IFERROR(__xludf.DUMMYFUNCTION("""COMPUTED_VALUE"""),5956.0)</f>
        <v>5956</v>
      </c>
      <c r="K295" s="2">
        <f>IFERROR(__xludf.DUMMYFUNCTION("""COMPUTED_VALUE"""),21.0)</f>
        <v>21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5" t="str">
        <f>IFERROR(__xludf.DUMMYFUNCTION("""COMPUTED_VALUE"""),"Fefco/0201-6")</f>
        <v>Fefco/0201-6</v>
      </c>
      <c r="B296" s="5" t="str">
        <f>IFERROR(__xludf.DUMMYFUNCTION("""COMPUTED_VALUE"""),"Короб 400х380х270 (картон Т-24 ""В"" бурый)")</f>
        <v>Короб 400х380х270 (картон Т-24 "В" бурый)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IFERROR(__xludf.DUMMYFUNCTION("""COMPUTED_VALUE"""),104.0)</f>
        <v>104</v>
      </c>
      <c r="F296" s="2">
        <f>IFERROR(__xludf.DUMMYFUNCTION("""COMPUTED_VALUE"""),1.0)</f>
        <v>1</v>
      </c>
      <c r="G296" s="2">
        <f>IFERROR(__xludf.DUMMYFUNCTION("""COMPUTED_VALUE"""),1.0)</f>
        <v>1</v>
      </c>
      <c r="H296" s="2">
        <f>IFERROR(__xludf.DUMMYFUNCTION("""COMPUTED_VALUE"""),1.0)</f>
        <v>1</v>
      </c>
      <c r="I296" s="2">
        <f>IFERROR(__xludf.DUMMYFUNCTION("""COMPUTED_VALUE"""),1.5)</f>
        <v>1.5</v>
      </c>
      <c r="J296" s="2">
        <f>IFERROR(__xludf.DUMMYFUNCTION("""COMPUTED_VALUE"""),1.5)</f>
        <v>1.5</v>
      </c>
      <c r="K296" s="2">
        <f>IFERROR(__xludf.DUMMYFUNCTION("""COMPUTED_VALUE"""),80.0)</f>
        <v>80</v>
      </c>
      <c r="L296" s="2" t="str">
        <f>IFERROR(__xludf.DUMMYFUNCTION("""COMPUTED_VALUE"""),"Упаковка")</f>
        <v>Упаковка</v>
      </c>
      <c r="M296" s="2" t="str">
        <f>IFERROR(__xludf.DUMMYFUNCTION("""COMPUTED_VALUE"""),"Прочие товары")</f>
        <v>Прочие товары</v>
      </c>
    </row>
    <row r="297">
      <c r="A297" s="5" t="str">
        <f>IFERROR(__xludf.DUMMYFUNCTION("""COMPUTED_VALUE"""),"4690612004860")</f>
        <v>4690612004860</v>
      </c>
      <c r="B297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7" s="2">
        <f>IFERROR(__xludf.DUMMYFUNCTION("""COMPUTED_VALUE"""),0.1038)</f>
        <v>0.1038</v>
      </c>
      <c r="D297" s="2">
        <f>IFERROR(__xludf.DUMMYFUNCTION("""COMPUTED_VALUE"""),8.200000000000001E-4)</f>
        <v>0.00082</v>
      </c>
      <c r="E297" s="2">
        <f>IFERROR(__xludf.DUMMYFUNCTION("""COMPUTED_VALUE"""),186.11)</f>
        <v>186.11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IFERROR(__xludf.DUMMYFUNCTION("""COMPUTED_VALUE"""),1.0)</f>
        <v>1</v>
      </c>
      <c r="J297" s="2">
        <f>IFERROR(__xludf.DUMMYFUNCTION("""COMPUTED_VALUE"""),1.0)</f>
        <v>1</v>
      </c>
      <c r="K297" s="2">
        <f>IFERROR(__xludf.DUMMYFUNCTION("""COMPUTED_VALUE"""),1.0)</f>
        <v>1</v>
      </c>
      <c r="L29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7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8">
      <c r="A298" s="5" t="str">
        <f>IFERROR(__xludf.DUMMYFUNCTION("""COMPUTED_VALUE"""),"4260708178135")</f>
        <v>4260708178135</v>
      </c>
      <c r="B298" s="5" t="str">
        <f>IFERROR(__xludf.DUMMYFUNCTION("""COMPUTED_VALUE"""),"WLD-50W/01-12V")</f>
        <v>WLD-50W/01-12V</v>
      </c>
      <c r="C298" s="2">
        <f>IFERROR(__xludf.DUMMYFUNCTION("""COMPUTED_VALUE"""),0.078)</f>
        <v>0.078</v>
      </c>
      <c r="D298" s="2">
        <f>IFERROR(__xludf.DUMMYFUNCTION("""COMPUTED_VALUE"""),0.0201)</f>
        <v>0.0201</v>
      </c>
      <c r="E298" s="2">
        <f>IFERROR(__xludf.DUMMYFUNCTION("""COMPUTED_VALUE"""),324.63)</f>
        <v>324.63</v>
      </c>
      <c r="F298" s="2">
        <f>IFERROR(__xludf.DUMMYFUNCTION("""COMPUTED_VALUE"""),464.0)</f>
        <v>464</v>
      </c>
      <c r="G298" s="2">
        <f>IFERROR(__xludf.DUMMYFUNCTION("""COMPUTED_VALUE"""),480.0)</f>
        <v>480</v>
      </c>
      <c r="H298" s="2">
        <f>IFERROR(__xludf.DUMMYFUNCTION("""COMPUTED_VALUE"""),629.0)</f>
        <v>629</v>
      </c>
      <c r="I298" s="2">
        <f>IFERROR(__xludf.DUMMYFUNCTION("""COMPUTED_VALUE"""),786.0)</f>
        <v>786</v>
      </c>
      <c r="J298" s="2">
        <f>IFERROR(__xludf.DUMMYFUNCTION("""COMPUTED_VALUE"""),393.0)</f>
        <v>393</v>
      </c>
      <c r="K298" s="2">
        <f>IFERROR(__xludf.DUMMYFUNCTION("""COMPUTED_VALUE"""),2.0)</f>
        <v>2</v>
      </c>
      <c r="L298" s="2" t="str">
        <f>IFERROR(__xludf.DUMMYFUNCTION("""COMPUTED_VALUE"""),"Светодиодная лента")</f>
        <v>Светодиодная лента</v>
      </c>
      <c r="M298" s="2" t="str">
        <f>IFERROR(__xludf.DUMMYFUNCTION("""COMPUTED_VALUE"""),"Светодиодная лента, Прочие товары")</f>
        <v>Светодиодная лента, Прочие товары</v>
      </c>
    </row>
    <row r="299">
      <c r="A299" s="5" t="str">
        <f>IFERROR(__xludf.DUMMYFUNCTION("""COMPUTED_VALUE"""),"4690612057279-2")</f>
        <v>4690612057279-2</v>
      </c>
      <c r="B29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IFERROR(__xludf.DUMMYFUNCTION("""COMPUTED_VALUE"""),1478.72)</f>
        <v>1478.72</v>
      </c>
      <c r="F299" s="2">
        <f>IFERROR(__xludf.DUMMYFUNCTION("""COMPUTED_VALUE"""),1622.0)</f>
        <v>1622</v>
      </c>
      <c r="G299" s="2">
        <f>IFERROR(__xludf.DUMMYFUNCTION("""COMPUTED_VALUE"""),1893.0)</f>
        <v>1893</v>
      </c>
      <c r="H299" s="2">
        <f>IFERROR(__xludf.DUMMYFUNCTION("""COMPUTED_VALUE"""),2129.0)</f>
        <v>2129</v>
      </c>
      <c r="I299" s="2">
        <f>IFERROR(__xludf.DUMMYFUNCTION("""COMPUTED_VALUE"""),2366.0)</f>
        <v>2366</v>
      </c>
      <c r="J299" s="2">
        <f>IFERROR(__xludf.DUMMYFUNCTION("""COMPUTED_VALUE"""),1183.0)</f>
        <v>1183</v>
      </c>
      <c r="K299" s="2">
        <f>IFERROR(__xludf.DUMMYFUNCTION("""COMPUTED_VALUE"""),18.0)</f>
        <v>18</v>
      </c>
      <c r="L2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5" t="str">
        <f>IFERROR(__xludf.DUMMYFUNCTION("""COMPUTED_VALUE"""),"GL51101")</f>
        <v>GL51101</v>
      </c>
      <c r="B300" s="5" t="str">
        <f>IFERROR(__xludf.DUMMYFUNCTION("""COMPUTED_VALUE"""),"GLERIO Practical 32 Вт 5000К 6A-32D-5U+")</f>
        <v>GLERIO Practical 32 Вт 5000К 6A-32D-5U+</v>
      </c>
      <c r="C300" s="2">
        <f>IFERROR(__xludf.DUMMYFUNCTION("""COMPUTED_VALUE"""),0.8)</f>
        <v>0.8</v>
      </c>
      <c r="D300" s="2">
        <f>IFERROR(__xludf.DUMMYFUNCTION("""COMPUTED_VALUE"""),0.00204)</f>
        <v>0.00204</v>
      </c>
      <c r="E300" s="2">
        <f>IFERROR(__xludf.DUMMYFUNCTION("""COMPUTED_VALUE"""),1396.8)</f>
        <v>1396.8</v>
      </c>
      <c r="F300" s="2">
        <f>IFERROR(__xludf.DUMMYFUNCTION("""COMPUTED_VALUE"""),1600.0)</f>
        <v>1600</v>
      </c>
      <c r="G300" s="2">
        <f>IFERROR(__xludf.DUMMYFUNCTION("""COMPUTED_VALUE"""),2000.0)</f>
        <v>2000</v>
      </c>
      <c r="H300" s="2">
        <f>IFERROR(__xludf.DUMMYFUNCTION("""COMPUTED_VALUE"""),2250.0)</f>
        <v>2250</v>
      </c>
      <c r="I300" s="2">
        <f>IFERROR(__xludf.DUMMYFUNCTION("""COMPUTED_VALUE"""),2500.0)</f>
        <v>2500</v>
      </c>
      <c r="J300" s="2">
        <f>IFERROR(__xludf.DUMMYFUNCTION("""COMPUTED_VALUE"""),2500.0)</f>
        <v>2500</v>
      </c>
      <c r="K300" s="2">
        <f>IFERROR(__xludf.DUMMYFUNCTION("""COMPUTED_VALUE"""),4.0)</f>
        <v>4</v>
      </c>
      <c r="L300" s="2" t="str">
        <f>IFERROR(__xludf.DUMMYFUNCTION("""COMPUTED_VALUE"""),"Practical+ Уличные GLERIO")</f>
        <v>Practical+ Уличные GLERIO</v>
      </c>
      <c r="M300" s="2" t="str">
        <f>IFERROR(__xludf.DUMMYFUNCTION("""COMPUTED_VALUE"""),"Для обычных дорог, LED Светильники")</f>
        <v>Для обычных дорог, LED Светильники</v>
      </c>
    </row>
    <row r="301">
      <c r="A301" s="5" t="str">
        <f>IFERROR(__xludf.DUMMYFUNCTION("""COMPUTED_VALUE"""),"4690612031118")</f>
        <v>4690612031118</v>
      </c>
      <c r="B30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1" s="2">
        <f>IFERROR(__xludf.DUMMYFUNCTION("""COMPUTED_VALUE"""),0.24)</f>
        <v>0.24</v>
      </c>
      <c r="D301" s="2">
        <f>IFERROR(__xludf.DUMMYFUNCTION("""COMPUTED_VALUE"""),0.0038)</f>
        <v>0.0038</v>
      </c>
      <c r="E301" s="2">
        <f>IFERROR(__xludf.DUMMYFUNCTION("""COMPUTED_VALUE"""),215.4)</f>
        <v>215.4</v>
      </c>
      <c r="F301" s="2">
        <f>IFERROR(__xludf.DUMMYFUNCTION("""COMPUTED_VALUE"""),255.0)</f>
        <v>255</v>
      </c>
      <c r="G301" s="2">
        <f>IFERROR(__xludf.DUMMYFUNCTION("""COMPUTED_VALUE"""),287.0)</f>
        <v>287</v>
      </c>
      <c r="H301" s="2">
        <f>IFERROR(__xludf.DUMMYFUNCTION("""COMPUTED_VALUE"""),333.0)</f>
        <v>333</v>
      </c>
      <c r="I301" s="2">
        <f>IFERROR(__xludf.DUMMYFUNCTION("""COMPUTED_VALUE"""),383.3)</f>
        <v>383.3</v>
      </c>
      <c r="J301" s="2">
        <f>IFERROR(__xludf.DUMMYFUNCTION("""COMPUTED_VALUE"""),192.0)</f>
        <v>192</v>
      </c>
      <c r="K301" s="2">
        <f>IFERROR(__xludf.DUMMYFUNCTION("""COMPUTED_VALUE"""),5.0)</f>
        <v>5</v>
      </c>
      <c r="L301" s="2" t="str">
        <f>IFERROR(__xludf.DUMMYFUNCTION("""COMPUTED_VALUE"""),"Лампа светодиодная HP PRO")</f>
        <v>Лампа светодиодная HP PRO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IFERROR(__xludf.DUMMYFUNCTION("""COMPUTED_VALUE"""),"V9019")</f>
        <v>V9019</v>
      </c>
      <c r="B302" s="5" t="str">
        <f>IFERROR(__xludf.DUMMYFUNCTION("""COMPUTED_VALUE"""),"VRN-UNE-80-G40K67-U, 80Вт, Универсальный")</f>
        <v>VRN-UNE-80-G40K67-U, 80Вт, Универсальный</v>
      </c>
      <c r="C302" s="2">
        <f>IFERROR(__xludf.DUMMYFUNCTION("""COMPUTED_VALUE"""),0.148)</f>
        <v>0.148</v>
      </c>
      <c r="D302" s="2">
        <f>IFERROR(__xludf.DUMMYFUNCTION("""COMPUTED_VALUE"""),0.00805)</f>
        <v>0.00805</v>
      </c>
      <c r="E302" s="2">
        <f>IFERROR(__xludf.DUMMYFUNCTION("""COMPUTED_VALUE"""),3381.62)</f>
        <v>3381.62</v>
      </c>
      <c r="F302" s="2">
        <f>IFERROR(__xludf.DUMMYFUNCTION("""COMPUTED_VALUE"""),3925.0)</f>
        <v>3925</v>
      </c>
      <c r="G302" s="2">
        <f>IFERROR(__xludf.DUMMYFUNCTION("""COMPUTED_VALUE"""),5103.0)</f>
        <v>5103</v>
      </c>
      <c r="H302" s="2">
        <f>IFERROR(__xludf.DUMMYFUNCTION("""COMPUTED_VALUE"""),5358.0)</f>
        <v>5358</v>
      </c>
      <c r="I302" s="2">
        <f>IFERROR(__xludf.DUMMYFUNCTION("""COMPUTED_VALUE"""),5613.0)</f>
        <v>5613</v>
      </c>
      <c r="J302" s="2">
        <f>IFERROR(__xludf.DUMMYFUNCTION("""COMPUTED_VALUE"""),5358.0)</f>
        <v>5358</v>
      </c>
      <c r="K302" s="2">
        <f>IFERROR(__xludf.DUMMYFUNCTION("""COMPUTED_VALUE"""),107.0)</f>
        <v>107</v>
      </c>
      <c r="L302" s="2" t="str">
        <f>IFERROR(__xludf.DUMMYFUNCTION("""COMPUTED_VALUE"""),"Универсал Эконом")</f>
        <v>Универсал Эконом</v>
      </c>
      <c r="M30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3">
      <c r="A303" s="5" t="str">
        <f>IFERROR(__xludf.DUMMYFUNCTION("""COMPUTED_VALUE"""),"4690612009032")</f>
        <v>4690612009032</v>
      </c>
      <c r="B303" s="5" t="str">
        <f>IFERROR(__xludf.DUMMYFUNCTION("""COMPUTED_VALUE"""),"4242 Вилка прямая 10А черная IN HOME")</f>
        <v>4242 Вилка прямая 10А черная IN HOME</v>
      </c>
      <c r="C303" s="2">
        <f>IFERROR(__xludf.DUMMYFUNCTION("""COMPUTED_VALUE"""),0.02)</f>
        <v>0.02</v>
      </c>
      <c r="D303" s="2">
        <f>IFERROR(__xludf.DUMMYFUNCTION("""COMPUTED_VALUE"""),1.0E-4)</f>
        <v>0.0001</v>
      </c>
      <c r="E303" s="2">
        <f>IFERROR(__xludf.DUMMYFUNCTION("""COMPUTED_VALUE"""),59.34)</f>
        <v>59.34</v>
      </c>
      <c r="F303" s="2">
        <f>IFERROR(__xludf.DUMMYFUNCTION("""COMPUTED_VALUE"""),40.0)</f>
        <v>40</v>
      </c>
      <c r="G303" s="2">
        <f>IFERROR(__xludf.DUMMYFUNCTION("""COMPUTED_VALUE"""),45.0)</f>
        <v>45</v>
      </c>
      <c r="H303" s="2">
        <f>IFERROR(__xludf.DUMMYFUNCTION("""COMPUTED_VALUE"""),52.0)</f>
        <v>52</v>
      </c>
      <c r="I303" s="2">
        <f>IFERROR(__xludf.DUMMYFUNCTION("""COMPUTED_VALUE"""),59.0)</f>
        <v>59</v>
      </c>
      <c r="J303" s="2">
        <f>IFERROR(__xludf.DUMMYFUNCTION("""COMPUTED_VALUE"""),30.0)</f>
        <v>30</v>
      </c>
      <c r="K303" s="2">
        <f>IFERROR(__xludf.DUMMYFUNCTION("""COMPUTED_VALUE"""),3.0)</f>
        <v>3</v>
      </c>
      <c r="L303" s="2" t="str">
        <f>IFERROR(__xludf.DUMMYFUNCTION("""COMPUTED_VALUE"""),"Розетки, вилки и колодки")</f>
        <v>Розетки, вилки и колодки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IFERROR(__xludf.DUMMYFUNCTION("""COMPUTED_VALUE"""),"4690612020570")</f>
        <v>4690612020570</v>
      </c>
      <c r="B304" s="5" t="str">
        <f>IFERROR(__xludf.DUMMYFUNCTION("""COMPUTED_VALUE"""),"LED-ШАР-VC 8Вт 230В Е27 4000К 760Лм IN HOME")</f>
        <v>LED-ШАР-VC 8Вт 230В Е27 4000К 760Лм IN HOME</v>
      </c>
      <c r="C304" s="2">
        <f>IFERROR(__xludf.DUMMYFUNCTION("""COMPUTED_VALUE"""),0.031)</f>
        <v>0.031</v>
      </c>
      <c r="D304" s="2">
        <f>IFERROR(__xludf.DUMMYFUNCTION("""COMPUTED_VALUE"""),2.3E-4)</f>
        <v>0.00023</v>
      </c>
      <c r="E304" s="2">
        <f>IFERROR(__xludf.DUMMYFUNCTION("""COMPUTED_VALUE"""),39.0)</f>
        <v>39</v>
      </c>
      <c r="F304" s="2">
        <f>IFERROR(__xludf.DUMMYFUNCTION("""COMPUTED_VALUE"""),45.0)</f>
        <v>45</v>
      </c>
      <c r="G304" s="2">
        <f>IFERROR(__xludf.DUMMYFUNCTION("""COMPUTED_VALUE"""),50.0)</f>
        <v>50</v>
      </c>
      <c r="H304" s="2">
        <f>IFERROR(__xludf.DUMMYFUNCTION("""COMPUTED_VALUE"""),58.0)</f>
        <v>58</v>
      </c>
      <c r="I304" s="2">
        <f>IFERROR(__xludf.DUMMYFUNCTION("""COMPUTED_VALUE"""),67.6)</f>
        <v>67.6</v>
      </c>
      <c r="J304" s="2">
        <f>IFERROR(__xludf.DUMMYFUNCTION("""COMPUTED_VALUE"""),34.0)</f>
        <v>34</v>
      </c>
      <c r="K304" s="2">
        <f>IFERROR(__xludf.DUMMYFUNCTION("""COMPUTED_VALUE"""),2.0)</f>
        <v>2</v>
      </c>
      <c r="L304" s="2" t="str">
        <f>IFERROR(__xludf.DUMMYFUNCTION("""COMPUTED_VALUE"""),"Лампа светодиодная LED-ШАР-standard")</f>
        <v>Лампа светодиодная LED-ШАР-standard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IFERROR(__xludf.DUMMYFUNCTION("""COMPUTED_VALUE"""),"4690612020778")</f>
        <v>4690612020778</v>
      </c>
      <c r="B305" s="5" t="str">
        <f>IFERROR(__xludf.DUMMYFUNCTION("""COMPUTED_VALUE"""),"LED-GX53-VC 10Вт 230В 6500К 950Лм IN HOME")</f>
        <v>LED-GX53-VC 10Вт 230В 6500К 950Лм IN HOME</v>
      </c>
      <c r="C305" s="2">
        <f>IFERROR(__xludf.DUMMYFUNCTION("""COMPUTED_VALUE"""),0.03700000000000001)</f>
        <v>0.037</v>
      </c>
      <c r="D305" s="2">
        <f>IFERROR(__xludf.DUMMYFUNCTION("""COMPUTED_VALUE"""),2.1E-4)</f>
        <v>0.00021</v>
      </c>
      <c r="E305" s="2">
        <f>IFERROR(__xludf.DUMMYFUNCTION("""COMPUTED_VALUE"""),37.8)</f>
        <v>37.8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IFERROR(__xludf.DUMMYFUNCTION("""COMPUTED_VALUE"""),67.7)</f>
        <v>67.7</v>
      </c>
      <c r="J305" s="2">
        <f>IFERROR(__xludf.DUMMYFUNCTION("""COMPUTED_VALUE"""),34.0)</f>
        <v>34</v>
      </c>
      <c r="K305" s="2">
        <f>IFERROR(__xludf.DUMMYFUNCTION("""COMPUTED_VALUE"""),65.0)</f>
        <v>65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IFERROR(__xludf.DUMMYFUNCTION("""COMPUTED_VALUE"""),"4690612035673-10")</f>
        <v>4690612035673-10</v>
      </c>
      <c r="B30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6" s="2">
        <f>IFERROR(__xludf.DUMMYFUNCTION("""COMPUTED_VALUE"""),0.22)</f>
        <v>0.22</v>
      </c>
      <c r="D306" s="2">
        <f>IFERROR(__xludf.DUMMYFUNCTION("""COMPUTED_VALUE"""),0.004)</f>
        <v>0.004</v>
      </c>
      <c r="E306" s="2">
        <f>IFERROR(__xludf.DUMMYFUNCTION("""COMPUTED_VALUE"""),1462.1)</f>
        <v>1462.1</v>
      </c>
      <c r="F306" s="2">
        <f>IFERROR(__xludf.DUMMYFUNCTION("""COMPUTED_VALUE"""),1604.0)</f>
        <v>1604</v>
      </c>
      <c r="G306" s="2">
        <f>IFERROR(__xludf.DUMMYFUNCTION("""COMPUTED_VALUE"""),1871.0)</f>
        <v>1871</v>
      </c>
      <c r="H306" s="2">
        <f>IFERROR(__xludf.DUMMYFUNCTION("""COMPUTED_VALUE"""),2105.0)</f>
        <v>2105</v>
      </c>
      <c r="I306" s="2">
        <f>IFERROR(__xludf.DUMMYFUNCTION("""COMPUTED_VALUE"""),2339.0)</f>
        <v>2339</v>
      </c>
      <c r="J306" s="2">
        <f>IFERROR(__xludf.DUMMYFUNCTION("""COMPUTED_VALUE"""),1170.0)</f>
        <v>1170</v>
      </c>
      <c r="K306" s="2">
        <f>IFERROR(__xludf.DUMMYFUNCTION("""COMPUTED_VALUE"""),1.0)</f>
        <v>1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IFERROR(__xludf.DUMMYFUNCTION("""COMPUTED_VALUE"""),"GL8110")</f>
        <v>GL8110</v>
      </c>
      <c r="B307" s="5" t="str">
        <f>IFERROR(__xludf.DUMMYFUNCTION("""COMPUTED_VALUE"""),"GLERIO Office Casual 24 Вт 4000К 81P-24D-4V-M")</f>
        <v>GLERIO Office Casual 24 Вт 4000К 81P-24D-4V-M</v>
      </c>
      <c r="C307" s="2">
        <f>IFERROR(__xludf.DUMMYFUNCTION("""COMPUTED_VALUE"""),1.04)</f>
        <v>1.04</v>
      </c>
      <c r="D307" s="2">
        <f>IFERROR(__xludf.DUMMYFUNCTION("""COMPUTED_VALUE"""),0.008190000000000001)</f>
        <v>0.00819</v>
      </c>
      <c r="E307" s="2">
        <f>IFERROR(__xludf.DUMMYFUNCTION("""COMPUTED_VALUE"""),1464.7)</f>
        <v>1464.7</v>
      </c>
      <c r="F307" s="2">
        <f>IFERROR(__xludf.DUMMYFUNCTION("""COMPUTED_VALUE"""),1700.0)</f>
        <v>1700</v>
      </c>
      <c r="G307" s="2">
        <f>IFERROR(__xludf.DUMMYFUNCTION("""COMPUTED_VALUE"""),2140.0)</f>
        <v>2140</v>
      </c>
      <c r="H307" s="2">
        <f>IFERROR(__xludf.DUMMYFUNCTION("""COMPUTED_VALUE"""),2404.0)</f>
        <v>2404</v>
      </c>
      <c r="I307" s="2">
        <f>IFERROR(__xludf.DUMMYFUNCTION("""COMPUTED_VALUE"""),2667.0)</f>
        <v>2667</v>
      </c>
      <c r="J307" s="2">
        <f>IFERROR(__xludf.DUMMYFUNCTION("""COMPUTED_VALUE"""),2404.0)</f>
        <v>2404</v>
      </c>
      <c r="K307" s="2">
        <f>IFERROR(__xludf.DUMMYFUNCTION("""COMPUTED_VALUE"""),30.0)</f>
        <v>30</v>
      </c>
      <c r="L307" s="2" t="str">
        <f>IFERROR(__xludf.DUMMYFUNCTION("""COMPUTED_VALUE"""),"Office Casual (Офис) до 10.2025")</f>
        <v>Office Casual (Офис) до 10.2025</v>
      </c>
      <c r="M3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8">
      <c r="A308" s="5" t="str">
        <f>IFERROR(__xludf.DUMMYFUNCTION("""COMPUTED_VALUE"""),"4690612055350")</f>
        <v>4690612055350</v>
      </c>
      <c r="B308" s="5" t="str">
        <f>IFERROR(__xludf.DUMMYFUNCTION("""COMPUTED_VALUE"""),"ДПО-108 ОПАЛ 48Вт 4000К 1200мм IP40 NEOX")</f>
        <v>ДПО-108 ОПАЛ 48Вт 4000К 1200мм IP40 NEOX</v>
      </c>
      <c r="C308" s="2">
        <f>IFERROR(__xludf.DUMMYFUNCTION("""COMPUTED_VALUE"""),0.325)</f>
        <v>0.325</v>
      </c>
      <c r="D308" s="2">
        <f>IFERROR(__xludf.DUMMYFUNCTION("""COMPUTED_VALUE"""),0.0025)</f>
        <v>0.0025</v>
      </c>
      <c r="E308" s="2">
        <f>IFERROR(__xludf.DUMMYFUNCTION("""COMPUTED_VALUE"""),290.13)</f>
        <v>290.13</v>
      </c>
      <c r="F308" s="2">
        <f>IFERROR(__xludf.DUMMYFUNCTION("""COMPUTED_VALUE"""),379.0)</f>
        <v>379</v>
      </c>
      <c r="G308" s="2">
        <f>IFERROR(__xludf.DUMMYFUNCTION("""COMPUTED_VALUE"""),427.0)</f>
        <v>427</v>
      </c>
      <c r="H308" s="2">
        <f>IFERROR(__xludf.DUMMYFUNCTION("""COMPUTED_VALUE"""),495.0)</f>
        <v>495</v>
      </c>
      <c r="I308" s="2">
        <f>IFERROR(__xludf.DUMMYFUNCTION("""COMPUTED_VALUE"""),569.0)</f>
        <v>569</v>
      </c>
      <c r="J308" s="2">
        <f>IFERROR(__xludf.DUMMYFUNCTION("""COMPUTED_VALUE"""),285.0)</f>
        <v>285</v>
      </c>
      <c r="K308" s="2">
        <f>IFERROR(__xludf.DUMMYFUNCTION("""COMPUTED_VALUE"""),20.0)</f>
        <v>20</v>
      </c>
      <c r="L308" s="2" t="str">
        <f>IFERROR(__xludf.DUMMYFUNCTION("""COMPUTED_VALUE"""),"NEOX Светильники LED ДПО")</f>
        <v>NEOX Светильники LED ДПО</v>
      </c>
      <c r="M308" s="2" t="str">
        <f>IFERROR(__xludf.DUMMYFUNCTION("""COMPUTED_VALUE"""),"Накладные, LED Светильники")</f>
        <v>Накладные, LED Светильники</v>
      </c>
    </row>
    <row r="309">
      <c r="A309" s="5" t="str">
        <f>IFERROR(__xludf.DUMMYFUNCTION("""COMPUTED_VALUE"""),"4690612035673")</f>
        <v>4690612035673</v>
      </c>
      <c r="B309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9" s="2">
        <f>IFERROR(__xludf.DUMMYFUNCTION("""COMPUTED_VALUE"""),0.044)</f>
        <v>0.044</v>
      </c>
      <c r="D309" s="2">
        <f>IFERROR(__xludf.DUMMYFUNCTION("""COMPUTED_VALUE"""),8.0E-4)</f>
        <v>0.0008</v>
      </c>
      <c r="E309" s="2">
        <f>IFERROR(__xludf.DUMMYFUNCTION("""COMPUTED_VALUE"""),146.21)</f>
        <v>146.21</v>
      </c>
      <c r="F309" s="2">
        <f>IFERROR(__xludf.DUMMYFUNCTION("""COMPUTED_VALUE"""),159.0)</f>
        <v>159</v>
      </c>
      <c r="G309" s="2">
        <f>IFERROR(__xludf.DUMMYFUNCTION("""COMPUTED_VALUE"""),179.0)</f>
        <v>179</v>
      </c>
      <c r="H309" s="2">
        <f>IFERROR(__xludf.DUMMYFUNCTION("""COMPUTED_VALUE"""),207.0)</f>
        <v>207</v>
      </c>
      <c r="I309" s="2">
        <f>IFERROR(__xludf.DUMMYFUNCTION("""COMPUTED_VALUE"""),238.5)</f>
        <v>238.5</v>
      </c>
      <c r="J309" s="2">
        <f>IFERROR(__xludf.DUMMYFUNCTION("""COMPUTED_VALUE"""),119.0)</f>
        <v>119</v>
      </c>
      <c r="K309" s="2">
        <f>IFERROR(__xludf.DUMMYFUNCTION("""COMPUTED_VALUE"""),8.0)</f>
        <v>8</v>
      </c>
      <c r="L309" s="2" t="str">
        <f>IFERROR(__xludf.DUMMYFUNCTION("""COMPUTED_VALUE"""),"Лампа светодиодная LED-ST64-DECO золотистая")</f>
        <v>Лампа светодиодная LED-ST64-DECO золотистая</v>
      </c>
      <c r="M309" s="2" t="str">
        <f>IFERROR(__xludf.DUMMYFUNCTION("""COMPUTED_VALUE"""),"Лампы")</f>
        <v>Лампы</v>
      </c>
    </row>
    <row r="310">
      <c r="A310" s="5" t="str">
        <f>IFERROR(__xludf.DUMMYFUNCTION("""COMPUTED_VALUE"""),"4690612038179")</f>
        <v>4690612038179</v>
      </c>
      <c r="B310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0" s="2">
        <f>IFERROR(__xludf.DUMMYFUNCTION("""COMPUTED_VALUE"""),4.500010000000001)</f>
        <v>4.50001</v>
      </c>
      <c r="D310" s="2">
        <f>IFERROR(__xludf.DUMMYFUNCTION("""COMPUTED_VALUE"""),0.032)</f>
        <v>0.032</v>
      </c>
      <c r="E310" s="2">
        <f>IFERROR(__xludf.DUMMYFUNCTION("""COMPUTED_VALUE"""),481.53)</f>
        <v>481.53</v>
      </c>
      <c r="F310" s="2">
        <f>IFERROR(__xludf.DUMMYFUNCTION("""COMPUTED_VALUE"""),567.0)</f>
        <v>567</v>
      </c>
      <c r="G310" s="2">
        <f>IFERROR(__xludf.DUMMYFUNCTION("""COMPUTED_VALUE"""),638.0)</f>
        <v>638</v>
      </c>
      <c r="H310" s="2">
        <f>IFERROR(__xludf.DUMMYFUNCTION("""COMPUTED_VALUE"""),740.0)</f>
        <v>740</v>
      </c>
      <c r="I310" s="2">
        <f>IFERROR(__xludf.DUMMYFUNCTION("""COMPUTED_VALUE"""),850.0)</f>
        <v>850</v>
      </c>
      <c r="J310" s="2">
        <f>IFERROR(__xludf.DUMMYFUNCTION("""COMPUTED_VALUE"""),638.0)</f>
        <v>638</v>
      </c>
      <c r="K310" s="2">
        <f>IFERROR(__xludf.DUMMYFUNCTION("""COMPUTED_VALUE"""),19.0)</f>
        <v>19</v>
      </c>
      <c r="L310" s="2" t="str">
        <f>IFERROR(__xludf.DUMMYFUNCTION("""COMPUTED_VALUE"""),"NEOX Светильники LED ДВО")</f>
        <v>NEOX Светильники LED ДВО</v>
      </c>
      <c r="M3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1">
      <c r="A311" s="5" t="str">
        <f>IFERROR(__xludf.DUMMYFUNCTION("""COMPUTED_VALUE"""),"601-268")</f>
        <v>601-268</v>
      </c>
      <c r="B311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IFERROR(__xludf.DUMMYFUNCTION("""COMPUTED_VALUE"""),1.0)</f>
        <v>1</v>
      </c>
      <c r="F311" s="2">
        <f>IFERROR(__xludf.DUMMYFUNCTION("""COMPUTED_VALUE"""),2554.0)</f>
        <v>2554</v>
      </c>
      <c r="G311" s="2">
        <f>IFERROR(__xludf.DUMMYFUNCTION("""COMPUTED_VALUE"""),2725.0)</f>
        <v>2725</v>
      </c>
      <c r="H311" s="2">
        <f>IFERROR(__xludf.DUMMYFUNCTION("""COMPUTED_VALUE"""),3065.0)</f>
        <v>3065</v>
      </c>
      <c r="I311" s="2">
        <f>IFERROR(__xludf.DUMMYFUNCTION("""COMPUTED_VALUE"""),3405.98)</f>
        <v>3405.98</v>
      </c>
      <c r="J311" s="2">
        <f>IFERROR(__xludf.DUMMYFUNCTION("""COMPUTED_VALUE"""),1703.0)</f>
        <v>1703</v>
      </c>
      <c r="K311" s="2">
        <f>IFERROR(__xludf.DUMMYFUNCTION("""COMPUTED_VALUE"""),2.0)</f>
        <v>2</v>
      </c>
      <c r="L311" s="2" t="str">
        <f>IFERROR(__xludf.DUMMYFUNCTION("""COMPUTED_VALUE"""),"Rexant")</f>
        <v>Rexant</v>
      </c>
      <c r="M311" s="2" t="str">
        <f>IFERROR(__xludf.DUMMYFUNCTION("""COMPUTED_VALUE"""),"Прочие товары")</f>
        <v>Прочие товары</v>
      </c>
    </row>
    <row r="312">
      <c r="A312" s="5" t="str">
        <f>IFERROR(__xludf.DUMMYFUNCTION("""COMPUTED_VALUE"""),"15367")</f>
        <v>15367</v>
      </c>
      <c r="B312" s="5" t="str">
        <f>IFERROR(__xludf.DUMMYFUNCTION("""COMPUTED_VALUE"""),"TLR01 OL 9Вт 1070лм")</f>
        <v>TLR01 OL 9Вт 1070лм</v>
      </c>
      <c r="C312" s="2">
        <f>IFERROR(__xludf.DUMMYFUNCTION("""COMPUTED_VALUE"""),0.6000000000000001)</f>
        <v>0.6</v>
      </c>
      <c r="D312" s="2">
        <f>IFERROR(__xludf.DUMMYFUNCTION("""COMPUTED_VALUE"""),0.00602)</f>
        <v>0.00602</v>
      </c>
      <c r="E312" s="2">
        <f>IFERROR(__xludf.DUMMYFUNCTION("""COMPUTED_VALUE"""),1581.42)</f>
        <v>1581.42</v>
      </c>
      <c r="F312" s="2">
        <f>IFERROR(__xludf.DUMMYFUNCTION("""COMPUTED_VALUE"""),2276.0)</f>
        <v>2276</v>
      </c>
      <c r="G312" s="2">
        <f>IFERROR(__xludf.DUMMYFUNCTION("""COMPUTED_VALUE"""),2569.0)</f>
        <v>2569</v>
      </c>
      <c r="H312" s="2">
        <f>IFERROR(__xludf.DUMMYFUNCTION("""COMPUTED_VALUE"""),2628.0)</f>
        <v>2628</v>
      </c>
      <c r="I312" s="2">
        <f>IFERROR(__xludf.DUMMYFUNCTION("""COMPUTED_VALUE"""),3205.0)</f>
        <v>3205</v>
      </c>
      <c r="J312" s="2">
        <f>IFERROR(__xludf.DUMMYFUNCTION("""COMPUTED_VALUE"""),1603.0)</f>
        <v>1603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TLR")</f>
        <v>Технолюкс Светильники LED TLR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IFERROR(__xludf.DUMMYFUNCTION("""COMPUTED_VALUE"""),"4690612020785")</f>
        <v>4690612020785</v>
      </c>
      <c r="B313" s="5" t="str">
        <f>IFERROR(__xludf.DUMMYFUNCTION("""COMPUTED_VALUE"""),"LED-GX53-VC 12Вт 230В 3000К 1140Лм IN HOME")</f>
        <v>LED-GX53-VC 12Вт 230В 3000К 1140Лм IN HOME</v>
      </c>
      <c r="C313" s="2">
        <f>IFERROR(__xludf.DUMMYFUNCTION("""COMPUTED_VALUE"""),0.03800000000000001)</f>
        <v>0.038</v>
      </c>
      <c r="D313" s="2">
        <f>IFERROR(__xludf.DUMMYFUNCTION("""COMPUTED_VALUE"""),2.1E-4)</f>
        <v>0.00021</v>
      </c>
      <c r="E313" s="2">
        <f>IFERROR(__xludf.DUMMYFUNCTION("""COMPUTED_VALUE"""),41.08)</f>
        <v>41.08</v>
      </c>
      <c r="F313" s="2">
        <f>IFERROR(__xludf.DUMMYFUNCTION("""COMPUTED_VALUE"""),48.0)</f>
        <v>48</v>
      </c>
      <c r="G313" s="2">
        <f>IFERROR(__xludf.DUMMYFUNCTION("""COMPUTED_VALUE"""),54.0)</f>
        <v>54</v>
      </c>
      <c r="H313" s="2">
        <f>IFERROR(__xludf.DUMMYFUNCTION("""COMPUTED_VALUE"""),62.0)</f>
        <v>62</v>
      </c>
      <c r="I313" s="2">
        <f>IFERROR(__xludf.DUMMYFUNCTION("""COMPUTED_VALUE"""),71.9)</f>
        <v>71.9</v>
      </c>
      <c r="J313" s="2">
        <f>IFERROR(__xludf.DUMMYFUNCTION("""COMPUTED_VALUE"""),36.0)</f>
        <v>36</v>
      </c>
      <c r="K313" s="2">
        <f>IFERROR(__xludf.DUMMYFUNCTION("""COMPUTED_VALUE"""),68.0)</f>
        <v>68</v>
      </c>
      <c r="L313" s="2" t="str">
        <f>IFERROR(__xludf.DUMMYFUNCTION("""COMPUTED_VALUE"""),"Лампа светодиодная LED-GX53-standard")</f>
        <v>Лампа светодиодная LED-GX53-standard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IFERROR(__xludf.DUMMYFUNCTION("""COMPUTED_VALUE"""),"GL815191")</f>
        <v>GL815191</v>
      </c>
      <c r="B314" s="5" t="str">
        <f>IFERROR(__xludf.DUMMYFUNCTION("""COMPUTED_VALUE"""),"GLERIO Office Special 40 Вт 4000K 82P-40D-4G-P")</f>
        <v>GLERIO Office Special 40 Вт 4000K 82P-40D-4G-P</v>
      </c>
      <c r="C314" s="2">
        <f>IFERROR(__xludf.DUMMYFUNCTION("""COMPUTED_VALUE"""),1.14)</f>
        <v>1.14</v>
      </c>
      <c r="D314" s="2">
        <f>IFERROR(__xludf.DUMMYFUNCTION("""COMPUTED_VALUE"""),0.008190000000000001)</f>
        <v>0.00819</v>
      </c>
      <c r="E314" s="2">
        <f>IFERROR(__xludf.DUMMYFUNCTION("""COMPUTED_VALUE"""),2366.8)</f>
        <v>2366.8</v>
      </c>
      <c r="F314" s="2">
        <f>IFERROR(__xludf.DUMMYFUNCTION("""COMPUTED_VALUE"""),2730.0)</f>
        <v>2730</v>
      </c>
      <c r="G314" s="2">
        <f>IFERROR(__xludf.DUMMYFUNCTION("""COMPUTED_VALUE"""),3437.0)</f>
        <v>3437</v>
      </c>
      <c r="H314" s="2">
        <f>IFERROR(__xludf.DUMMYFUNCTION("""COMPUTED_VALUE"""),3860.0)</f>
        <v>3860</v>
      </c>
      <c r="I314" s="2">
        <f>IFERROR(__xludf.DUMMYFUNCTION("""COMPUTED_VALUE"""),4283.0)</f>
        <v>4283</v>
      </c>
      <c r="J314" s="2">
        <f>IFERROR(__xludf.DUMMYFUNCTION("""COMPUTED_VALUE"""),2142.0)</f>
        <v>2142</v>
      </c>
      <c r="K314" s="2">
        <f>IFERROR(__xludf.DUMMYFUNCTION("""COMPUTED_VALUE"""),15.0)</f>
        <v>15</v>
      </c>
      <c r="L314" s="2" t="str">
        <f>IFERROR(__xludf.DUMMYFUNCTION("""COMPUTED_VALUE"""),"Office Special+ GLERIO (Офис Премиум)")</f>
        <v>Office Special+ GLERIO (Офис Премиум)</v>
      </c>
      <c r="M31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5">
      <c r="A315" s="5" t="str">
        <f>IFERROR(__xludf.DUMMYFUNCTION("""COMPUTED_VALUE"""),"15268")</f>
        <v>15268</v>
      </c>
      <c r="B315" s="5" t="str">
        <f>IFERROR(__xludf.DUMMYFUNCTION("""COMPUTED_VALUE"""),"TLK04 OL 8Вт 750лм")</f>
        <v>TLK04 OL 8Вт 750лм</v>
      </c>
      <c r="C315" s="2">
        <f>IFERROR(__xludf.DUMMYFUNCTION("""COMPUTED_VALUE"""),0.9)</f>
        <v>0.9</v>
      </c>
      <c r="D315" s="2">
        <f>IFERROR(__xludf.DUMMYFUNCTION("""COMPUTED_VALUE"""),0.00958)</f>
        <v>0.00958</v>
      </c>
      <c r="E315" s="2">
        <f>IFERROR(__xludf.DUMMYFUNCTION("""COMPUTED_VALUE"""),1.12)</f>
        <v>1.12</v>
      </c>
      <c r="F315" s="2">
        <f>IFERROR(__xludf.DUMMYFUNCTION("""COMPUTED_VALUE"""),1299.0)</f>
        <v>1299</v>
      </c>
      <c r="G315" s="2">
        <f>IFERROR(__xludf.DUMMYFUNCTION("""COMPUTED_VALUE"""),1467.0)</f>
        <v>1467</v>
      </c>
      <c r="H315" s="2">
        <f>IFERROR(__xludf.DUMMYFUNCTION("""COMPUTED_VALUE"""),1501.0)</f>
        <v>1501</v>
      </c>
      <c r="I315" s="2">
        <f>IFERROR(__xludf.DUMMYFUNCTION("""COMPUTED_VALUE"""),1830.0)</f>
        <v>1830</v>
      </c>
      <c r="J315" s="2">
        <f>IFERROR(__xludf.DUMMYFUNCTION("""COMPUTED_VALUE"""),915.0)</f>
        <v>915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TLK")</f>
        <v>Технолюкс Светильники LED TLK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5" t="str">
        <f>IFERROR(__xludf.DUMMYFUNCTION("""COMPUTED_VALUE"""),"4690612035802")</f>
        <v>4690612035802</v>
      </c>
      <c r="B316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6" s="2">
        <f>IFERROR(__xludf.DUMMYFUNCTION("""COMPUTED_VALUE"""),3.3)</f>
        <v>3.3</v>
      </c>
      <c r="D316" s="2">
        <f>IFERROR(__xludf.DUMMYFUNCTION("""COMPUTED_VALUE"""),0.022)</f>
        <v>0.022</v>
      </c>
      <c r="E316" s="2">
        <f>IFERROR(__xludf.DUMMYFUNCTION("""COMPUTED_VALUE"""),3195.14)</f>
        <v>3195.14</v>
      </c>
      <c r="F316" s="2">
        <f>IFERROR(__xludf.DUMMYFUNCTION("""COMPUTED_VALUE"""),3267.0)</f>
        <v>3267</v>
      </c>
      <c r="G316" s="2">
        <f>IFERROR(__xludf.DUMMYFUNCTION("""COMPUTED_VALUE"""),3675.0)</f>
        <v>3675</v>
      </c>
      <c r="H316" s="2">
        <f>IFERROR(__xludf.DUMMYFUNCTION("""COMPUTED_VALUE"""),4263.0)</f>
        <v>4263</v>
      </c>
      <c r="I316" s="2">
        <f>IFERROR(__xludf.DUMMYFUNCTION("""COMPUTED_VALUE"""),4900.0)</f>
        <v>4900</v>
      </c>
      <c r="J316" s="2">
        <f>IFERROR(__xludf.DUMMYFUNCTION("""COMPUTED_VALUE"""),2450.0)</f>
        <v>2450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GEO")</f>
        <v>Светильники светодиодные GEO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IFERROR(__xludf.DUMMYFUNCTION("""COMPUTED_VALUE"""),"V4104")</f>
        <v>V4104</v>
      </c>
      <c r="B317" s="5" t="str">
        <f>IFERROR(__xludf.DUMMYFUNCTION("""COMPUTED_VALUE"""),"VRN-LME45X140-96D-A50K67-K, 96Вт, Консольный")</f>
        <v>VRN-LME45X140-96D-A50K67-K, 96Вт,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IFERROR(__xludf.DUMMYFUNCTION("""COMPUTED_VALUE"""),4000.0)</f>
        <v>4000</v>
      </c>
      <c r="F317" s="2">
        <f>IFERROR(__xludf.DUMMYFUNCTION("""COMPUTED_VALUE"""),4625.0)</f>
        <v>4625</v>
      </c>
      <c r="G317" s="2">
        <f>IFERROR(__xludf.DUMMYFUNCTION("""COMPUTED_VALUE"""),6013.0)</f>
        <v>6013</v>
      </c>
      <c r="H317" s="2">
        <f>IFERROR(__xludf.DUMMYFUNCTION("""COMPUTED_VALUE"""),6313.0)</f>
        <v>6313</v>
      </c>
      <c r="I317" s="2">
        <f>IFERROR(__xludf.DUMMYFUNCTION("""COMPUTED_VALUE"""),6614.0)</f>
        <v>6614</v>
      </c>
      <c r="J317" s="2">
        <f>IFERROR(__xludf.DUMMYFUNCTION("""COMPUTED_VALUE"""),3307.0)</f>
        <v>3307</v>
      </c>
      <c r="K317" s="2">
        <f>IFERROR(__xludf.DUMMYFUNCTION("""COMPUTED_VALUE"""),3.0)</f>
        <v>3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8">
      <c r="A318" s="5" t="str">
        <f>IFERROR(__xludf.DUMMYFUNCTION("""COMPUTED_VALUE"""),"V9035")</f>
        <v>V9035</v>
      </c>
      <c r="B318" s="5" t="str">
        <f>IFERROR(__xludf.DUMMYFUNCTION("""COMPUTED_VALUE"""),"VRN-UNE-124-G40K67-U, 124Вт, Универсальный")</f>
        <v>VRN-UNE-124-G40K67-U, 124Вт, Универсальный</v>
      </c>
      <c r="C318" s="2">
        <f>IFERROR(__xludf.DUMMYFUNCTION("""COMPUTED_VALUE"""),0.215)</f>
        <v>0.215</v>
      </c>
      <c r="D318" s="2">
        <f>IFERROR(__xludf.DUMMYFUNCTION("""COMPUTED_VALUE"""),0.01001)</f>
        <v>0.01001</v>
      </c>
      <c r="E318" s="2">
        <f>IFERROR(__xludf.DUMMYFUNCTION("""COMPUTED_VALUE"""),4567.96)</f>
        <v>4567.96</v>
      </c>
      <c r="F318" s="2">
        <f>IFERROR(__xludf.DUMMYFUNCTION("""COMPUTED_VALUE"""),5025.0)</f>
        <v>5025</v>
      </c>
      <c r="G318" s="2">
        <f>IFERROR(__xludf.DUMMYFUNCTION("""COMPUTED_VALUE"""),6533.0)</f>
        <v>6533</v>
      </c>
      <c r="H318" s="2">
        <f>IFERROR(__xludf.DUMMYFUNCTION("""COMPUTED_VALUE"""),6859.0)</f>
        <v>6859</v>
      </c>
      <c r="I318" s="2">
        <f>IFERROR(__xludf.DUMMYFUNCTION("""COMPUTED_VALUE"""),7186.0)</f>
        <v>7186</v>
      </c>
      <c r="J318" s="2">
        <f>IFERROR(__xludf.DUMMYFUNCTION("""COMPUTED_VALUE"""),7186.0)</f>
        <v>7186</v>
      </c>
      <c r="K318" s="2">
        <f>IFERROR(__xludf.DUMMYFUNCTION("""COMPUTED_VALUE"""),3.0)</f>
        <v>3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9">
      <c r="A319" s="5" t="str">
        <f>IFERROR(__xludf.DUMMYFUNCTION("""COMPUTED_VALUE"""),"G948411206")</f>
        <v>G948411206</v>
      </c>
      <c r="B319" s="5" t="str">
        <f>IFERROR(__xludf.DUMMYFUNCTION("""COMPUTED_VALUE"""),"Квадрат. Белый, 6W, 520 Lm LED 4100K")</f>
        <v>Квадрат. Белый, 6W, 520 Lm LED 4100K</v>
      </c>
      <c r="C319" s="2">
        <f>IFERROR(__xludf.DUMMYFUNCTION("""COMPUTED_VALUE"""),0.0)</f>
        <v>0</v>
      </c>
      <c r="D319" s="2">
        <f>IFERROR(__xludf.DUMMYFUNCTION("""COMPUTED_VALUE"""),4.5E-4)</f>
        <v>0.00045</v>
      </c>
      <c r="E319" s="2">
        <f>IFERROR(__xludf.DUMMYFUNCTION("""COMPUTED_VALUE"""),207.17)</f>
        <v>207.17</v>
      </c>
      <c r="F319" s="2">
        <f>IFERROR(__xludf.DUMMYFUNCTION("""COMPUTED_VALUE"""),218.0)</f>
        <v>218</v>
      </c>
      <c r="G319" s="2">
        <f>IFERROR(__xludf.DUMMYFUNCTION("""COMPUTED_VALUE"""),240.0)</f>
        <v>240</v>
      </c>
      <c r="H319" s="2">
        <f>IFERROR(__xludf.DUMMYFUNCTION("""COMPUTED_VALUE"""),283.0)</f>
        <v>283</v>
      </c>
      <c r="I319" s="2">
        <f>IFERROR(__xludf.DUMMYFUNCTION("""COMPUTED_VALUE"""),357.0)</f>
        <v>357</v>
      </c>
      <c r="J319" s="2">
        <f>IFERROR(__xludf.DUMMYFUNCTION("""COMPUTED_VALUE"""),179.0)</f>
        <v>179</v>
      </c>
      <c r="K319" s="2">
        <f>IFERROR(__xludf.DUMMYFUNCTION("""COMPUTED_VALUE"""),10.0)</f>
        <v>10</v>
      </c>
      <c r="L319" s="2" t="str">
        <f>IFERROR(__xludf.DUMMYFUNCTION("""COMPUTED_VALUE"""),"Даунлайты")</f>
        <v>Даунлайты</v>
      </c>
      <c r="M31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0">
      <c r="A320" s="5" t="str">
        <f>IFERROR(__xludf.DUMMYFUNCTION("""COMPUTED_VALUE"""),"4690612040097")</f>
        <v>4690612040097</v>
      </c>
      <c r="B320" s="5" t="str">
        <f>IFERROR(__xludf.DUMMYFUNCTION("""COMPUTED_VALUE"""),"RLP-VC 36Вт 230В 4000К 2880Лм 220мм белая IP40 IN HOME")</f>
        <v>RLP-VC 36Вт 230В 4000К 2880Лм 220мм белая IP40 IN HOME</v>
      </c>
      <c r="C320" s="2">
        <f>IFERROR(__xludf.DUMMYFUNCTION("""COMPUTED_VALUE"""),0.32)</f>
        <v>0.32</v>
      </c>
      <c r="D320" s="2">
        <f>IFERROR(__xludf.DUMMYFUNCTION("""COMPUTED_VALUE"""),0.002)</f>
        <v>0.002</v>
      </c>
      <c r="E320" s="2">
        <f>IFERROR(__xludf.DUMMYFUNCTION("""COMPUTED_VALUE"""),362.49)</f>
        <v>362.49</v>
      </c>
      <c r="F320" s="2">
        <f>IFERROR(__xludf.DUMMYFUNCTION("""COMPUTED_VALUE"""),301.0)</f>
        <v>301</v>
      </c>
      <c r="G320" s="2">
        <f>IFERROR(__xludf.DUMMYFUNCTION("""COMPUTED_VALUE"""),338.0)</f>
        <v>338</v>
      </c>
      <c r="H320" s="2">
        <f>IFERROR(__xludf.DUMMYFUNCTION("""COMPUTED_VALUE"""),392.0)</f>
        <v>392</v>
      </c>
      <c r="I320" s="2">
        <f>IFERROR(__xludf.DUMMYFUNCTION("""COMPUTED_VALUE"""),451.0)</f>
        <v>451</v>
      </c>
      <c r="J320" s="2">
        <f>IFERROR(__xludf.DUMMYFUNCTION("""COMPUTED_VALUE"""),226.0)</f>
        <v>226</v>
      </c>
      <c r="K320" s="2">
        <f>IFERROR(__xludf.DUMMYFUNCTION("""COMPUTED_VALUE"""),1.0)</f>
        <v>1</v>
      </c>
      <c r="L3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0" s="2" t="str">
        <f>IFERROR(__xludf.DUMMYFUNCTION("""COMPUTED_VALUE"""),"Точечные круглые Downlight, LED Светильники")</f>
        <v>Точечные круглые Downlight, LED Светильники</v>
      </c>
    </row>
    <row r="321">
      <c r="A321" s="5" t="str">
        <f>IFERROR(__xludf.DUMMYFUNCTION("""COMPUTED_VALUE"""),"4690612008431-5")</f>
        <v>4690612008431-5</v>
      </c>
      <c r="B32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1" s="2">
        <f>IFERROR(__xludf.DUMMYFUNCTION("""COMPUTED_VALUE"""),0.05)</f>
        <v>0.05</v>
      </c>
      <c r="D321" s="2">
        <f>IFERROR(__xludf.DUMMYFUNCTION("""COMPUTED_VALUE"""),0.01)</f>
        <v>0.01</v>
      </c>
      <c r="E321" s="2">
        <f>IFERROR(__xludf.DUMMYFUNCTION("""COMPUTED_VALUE"""),213.65)</f>
        <v>213.65</v>
      </c>
      <c r="F321" s="2">
        <f>IFERROR(__xludf.DUMMYFUNCTION("""COMPUTED_VALUE"""),234.0)</f>
        <v>234</v>
      </c>
      <c r="G321" s="2">
        <f>IFERROR(__xludf.DUMMYFUNCTION("""COMPUTED_VALUE"""),274.0)</f>
        <v>274</v>
      </c>
      <c r="H321" s="2">
        <f>IFERROR(__xludf.DUMMYFUNCTION("""COMPUTED_VALUE"""),308.0)</f>
        <v>308</v>
      </c>
      <c r="I321" s="2">
        <f>IFERROR(__xludf.DUMMYFUNCTION("""COMPUTED_VALUE"""),342.0)</f>
        <v>342</v>
      </c>
      <c r="J321" s="2">
        <f>IFERROR(__xludf.DUMMYFUNCTION("""COMPUTED_VALUE"""),171.0)</f>
        <v>171</v>
      </c>
      <c r="K321" s="2">
        <f>IFERROR(__xludf.DUMMYFUNCTION("""COMPUTED_VALUE"""),35.0)</f>
        <v>35</v>
      </c>
      <c r="L321" s="2" t="str">
        <f>IFERROR(__xludf.DUMMYFUNCTION("""COMPUTED_VALUE"""),"Лампы производство, упаковка")</f>
        <v>Лампы производство, упаковка</v>
      </c>
      <c r="M321" s="2" t="str">
        <f>IFERROR(__xludf.DUMMYFUNCTION("""COMPUTED_VALUE"""),"Лампы")</f>
        <v>Лампы</v>
      </c>
    </row>
    <row r="322">
      <c r="A322" s="5" t="str">
        <f>IFERROR(__xludf.DUMMYFUNCTION("""COMPUTED_VALUE"""),"4690612053011-1")</f>
        <v>4690612053011-1</v>
      </c>
      <c r="B32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IFERROR(__xludf.DUMMYFUNCTION("""COMPUTED_VALUE"""),570.23)</f>
        <v>570.23</v>
      </c>
      <c r="F322" s="2">
        <f>IFERROR(__xludf.DUMMYFUNCTION("""COMPUTED_VALUE"""),626.0)</f>
        <v>626</v>
      </c>
      <c r="G322" s="2">
        <f>IFERROR(__xludf.DUMMYFUNCTION("""COMPUTED_VALUE"""),730.0)</f>
        <v>730</v>
      </c>
      <c r="H322" s="2">
        <f>IFERROR(__xludf.DUMMYFUNCTION("""COMPUTED_VALUE"""),821.0)</f>
        <v>821</v>
      </c>
      <c r="I322" s="2">
        <f>IFERROR(__xludf.DUMMYFUNCTION("""COMPUTED_VALUE"""),912.0)</f>
        <v>912</v>
      </c>
      <c r="J322" s="2">
        <f>IFERROR(__xludf.DUMMYFUNCTION("""COMPUTED_VALUE"""),456.0)</f>
        <v>456</v>
      </c>
      <c r="K322" s="2">
        <f>IFERROR(__xludf.DUMMYFUNCTION("""COMPUTED_VALUE"""),5.0)</f>
        <v>5</v>
      </c>
      <c r="L3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5" t="str">
        <f>IFERROR(__xludf.DUMMYFUNCTION("""COMPUTED_VALUE"""),"21149")</f>
        <v>21149</v>
      </c>
      <c r="B323" s="5" t="str">
        <f>IFERROR(__xludf.DUMMYFUNCTION("""COMPUTED_VALUE"""),"TLWP06 PS OL ECP 30Вт 4000лм")</f>
        <v>TLWP06 PS OL ECP 30Вт 4000лм</v>
      </c>
      <c r="C323" s="2">
        <f>IFERROR(__xludf.DUMMYFUNCTION("""COMPUTED_VALUE"""),2.5)</f>
        <v>2.5</v>
      </c>
      <c r="D323" s="2">
        <f>IFERROR(__xludf.DUMMYFUNCTION("""COMPUTED_VALUE"""),0.01482)</f>
        <v>0.01482</v>
      </c>
      <c r="E323" s="2">
        <f>IFERROR(__xludf.DUMMYFUNCTION("""COMPUTED_VALUE"""),1149.5)</f>
        <v>1149.5</v>
      </c>
      <c r="F323" s="2">
        <f>IFERROR(__xludf.DUMMYFUNCTION("""COMPUTED_VALUE"""),4029.0)</f>
        <v>4029</v>
      </c>
      <c r="G323" s="2">
        <f>IFERROR(__xludf.DUMMYFUNCTION("""COMPUTED_VALUE"""),4550.0)</f>
        <v>4550</v>
      </c>
      <c r="H323" s="2">
        <f>IFERROR(__xludf.DUMMYFUNCTION("""COMPUTED_VALUE"""),4654.0)</f>
        <v>4654</v>
      </c>
      <c r="I323" s="2">
        <f>IFERROR(__xludf.DUMMYFUNCTION("""COMPUTED_VALUE"""),5675.0)</f>
        <v>5675</v>
      </c>
      <c r="J323" s="2">
        <f>IFERROR(__xludf.DUMMYFUNCTION("""COMPUTED_VALUE"""),4029.0)</f>
        <v>4029</v>
      </c>
      <c r="K323" s="2">
        <f>IFERROR(__xludf.DUMMYFUNCTION("""COMPUTED_VALUE"""),1.0)</f>
        <v>1</v>
      </c>
      <c r="L323" s="2" t="str">
        <f>IFERROR(__xludf.DUMMYFUNCTION("""COMPUTED_VALUE"""),"Технолюкс Светильники LED TLWP (IP65)")</f>
        <v>Технолюкс Светильники LED TLWP (IP65)</v>
      </c>
      <c r="M323" s="2" t="str">
        <f>IFERROR(__xludf.DUMMYFUNCTION("""COMPUTED_VALUE"""),"Пластиковые (линейные), LED Светильники")</f>
        <v>Пластиковые (линейные), LED Светильники</v>
      </c>
    </row>
    <row r="324">
      <c r="A324" s="5" t="str">
        <f>IFERROR(__xludf.DUMMYFUNCTION("""COMPUTED_VALUE"""),"V12040")</f>
        <v>V12040</v>
      </c>
      <c r="B324" s="5" t="str">
        <f>IFERROR(__xludf.DUMMYFUNCTION("""COMPUTED_VALUE"""),"VRN-LME45X140-53-A50K67-K, 53Вт, Консольный")</f>
        <v>VRN-LME45X140-53-A50K67-K, 53Вт, Консольный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IFERROR(__xludf.DUMMYFUNCTION("""COMPUTED_VALUE"""),2700.0)</f>
        <v>2700</v>
      </c>
      <c r="F324" s="2">
        <f>IFERROR(__xludf.DUMMYFUNCTION("""COMPUTED_VALUE"""),3120.0)</f>
        <v>3120</v>
      </c>
      <c r="G324" s="2">
        <f>IFERROR(__xludf.DUMMYFUNCTION("""COMPUTED_VALUE"""),4056.0)</f>
        <v>4056</v>
      </c>
      <c r="H324" s="2">
        <f>IFERROR(__xludf.DUMMYFUNCTION("""COMPUTED_VALUE"""),4259.0)</f>
        <v>4259</v>
      </c>
      <c r="I324" s="2">
        <f>IFERROR(__xludf.DUMMYFUNCTION("""COMPUTED_VALUE"""),4462.0)</f>
        <v>4462</v>
      </c>
      <c r="J324" s="2">
        <f>IFERROR(__xludf.DUMMYFUNCTION("""COMPUTED_VALUE"""),4259.0)</f>
        <v>4259</v>
      </c>
      <c r="K324" s="2">
        <f>IFERROR(__xludf.DUMMYFUNCTION("""COMPUTED_VALUE"""),2.0)</f>
        <v>2</v>
      </c>
      <c r="L324" s="2" t="str">
        <f>IFERROR(__xludf.DUMMYFUNCTION("""COMPUTED_VALUE"""),"Магистраль Эконом")</f>
        <v>Магистраль Эконом</v>
      </c>
      <c r="M324" s="2" t="str">
        <f>IFERROR(__xludf.DUMMYFUNCTION("""COMPUTED_VALUE"""),"Для автомагистралей, LED Светильники")</f>
        <v>Для автомагистралей, LED Светильники</v>
      </c>
    </row>
    <row r="325">
      <c r="A325" s="5" t="str">
        <f>IFERROR(__xludf.DUMMYFUNCTION("""COMPUTED_VALUE"""),"4690612035505")</f>
        <v>4690612035505</v>
      </c>
      <c r="B32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5" s="2">
        <f>IFERROR(__xludf.DUMMYFUNCTION("""COMPUTED_VALUE"""),0.22)</f>
        <v>0.22</v>
      </c>
      <c r="D325" s="2">
        <f>IFERROR(__xludf.DUMMYFUNCTION("""COMPUTED_VALUE"""),0.001)</f>
        <v>0.001</v>
      </c>
      <c r="E325" s="2">
        <f>IFERROR(__xludf.DUMMYFUNCTION("""COMPUTED_VALUE"""),432.0)</f>
        <v>432</v>
      </c>
      <c r="F325" s="2">
        <f>IFERROR(__xludf.DUMMYFUNCTION("""COMPUTED_VALUE"""),489.0)</f>
        <v>489</v>
      </c>
      <c r="G325" s="2">
        <f>IFERROR(__xludf.DUMMYFUNCTION("""COMPUTED_VALUE"""),551.0)</f>
        <v>551</v>
      </c>
      <c r="H325" s="2">
        <f>IFERROR(__xludf.DUMMYFUNCTION("""COMPUTED_VALUE"""),639.0)</f>
        <v>639</v>
      </c>
      <c r="I325" s="2">
        <f>IFERROR(__xludf.DUMMYFUNCTION("""COMPUTED_VALUE"""),734.0)</f>
        <v>734</v>
      </c>
      <c r="J325" s="2">
        <f>IFERROR(__xludf.DUMMYFUNCTION("""COMPUTED_VALUE"""),367.0)</f>
        <v>367</v>
      </c>
      <c r="K325" s="2">
        <f>IFERROR(__xludf.DUMMYFUNCTION("""COMPUTED_VALUE"""),3.0)</f>
        <v>3</v>
      </c>
      <c r="L3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5" t="str">
        <f>IFERROR(__xludf.DUMMYFUNCTION("""COMPUTED_VALUE"""),"4260529290672")</f>
        <v>4260529290672</v>
      </c>
      <c r="B326" s="5" t="str">
        <f>IFERROR(__xludf.DUMMYFUNCTION("""COMPUTED_VALUE"""),"LLFW36W05")</f>
        <v>LLFW36W05</v>
      </c>
      <c r="C326" s="2">
        <f>IFERROR(__xludf.DUMMYFUNCTION("""COMPUTED_VALUE"""),0.275)</f>
        <v>0.275</v>
      </c>
      <c r="D326" s="2">
        <f>IFERROR(__xludf.DUMMYFUNCTION("""COMPUTED_VALUE"""),0.049)</f>
        <v>0.049</v>
      </c>
      <c r="E326" s="2">
        <f>IFERROR(__xludf.DUMMYFUNCTION("""COMPUTED_VALUE"""),281.91)</f>
        <v>281.91</v>
      </c>
      <c r="F326" s="2">
        <f>IFERROR(__xludf.DUMMYFUNCTION("""COMPUTED_VALUE"""),287.0)</f>
        <v>287</v>
      </c>
      <c r="G326" s="2">
        <f>IFERROR(__xludf.DUMMYFUNCTION("""COMPUTED_VALUE"""),297.0)</f>
        <v>297</v>
      </c>
      <c r="H326" s="2">
        <f>IFERROR(__xludf.DUMMYFUNCTION("""COMPUTED_VALUE"""),389.0)</f>
        <v>389</v>
      </c>
      <c r="I326" s="2">
        <f>IFERROR(__xludf.DUMMYFUNCTION("""COMPUTED_VALUE"""),487.0)</f>
        <v>487</v>
      </c>
      <c r="J326" s="2">
        <f>IFERROR(__xludf.DUMMYFUNCTION("""COMPUTED_VALUE"""),244.0)</f>
        <v>244</v>
      </c>
      <c r="K326" s="2">
        <f>IFERROR(__xludf.DUMMYFUNCTION("""COMPUTED_VALUE"""),30.0)</f>
        <v>30</v>
      </c>
      <c r="L326" s="2" t="str">
        <f>IFERROR(__xludf.DUMMYFUNCTION("""COMPUTED_VALUE"""),"Wolta офисные")</f>
        <v>Wolta офисные</v>
      </c>
      <c r="M32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7">
      <c r="A327" s="5" t="str">
        <f>IFERROR(__xludf.DUMMYFUNCTION("""COMPUTED_VALUE"""),"4690612035017")</f>
        <v>4690612035017</v>
      </c>
      <c r="B32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7" s="2">
        <f>IFERROR(__xludf.DUMMYFUNCTION("""COMPUTED_VALUE"""),0.9800000000000001)</f>
        <v>0.98</v>
      </c>
      <c r="D327" s="2">
        <f>IFERROR(__xludf.DUMMYFUNCTION("""COMPUTED_VALUE"""),0.018)</f>
        <v>0.018</v>
      </c>
      <c r="E327" s="2">
        <f>IFERROR(__xludf.DUMMYFUNCTION("""COMPUTED_VALUE"""),1301.09)</f>
        <v>1301.09</v>
      </c>
      <c r="F327" s="2">
        <f>IFERROR(__xludf.DUMMYFUNCTION("""COMPUTED_VALUE"""),1439.0)</f>
        <v>1439</v>
      </c>
      <c r="G327" s="2">
        <f>IFERROR(__xludf.DUMMYFUNCTION("""COMPUTED_VALUE"""),1619.0)</f>
        <v>1619</v>
      </c>
      <c r="H327" s="2">
        <f>IFERROR(__xludf.DUMMYFUNCTION("""COMPUTED_VALUE"""),1877.0)</f>
        <v>1877</v>
      </c>
      <c r="I327" s="2">
        <f>IFERROR(__xludf.DUMMYFUNCTION("""COMPUTED_VALUE"""),2158.0)</f>
        <v>2158</v>
      </c>
      <c r="J327" s="2">
        <f>IFERROR(__xludf.DUMMYFUNCTION("""COMPUTED_VALUE"""),1079.0)</f>
        <v>1079</v>
      </c>
      <c r="K327" s="2">
        <f>IFERROR(__xludf.DUMMYFUNCTION("""COMPUTED_VALUE"""),2.0)</f>
        <v>2</v>
      </c>
      <c r="L327" s="2" t="str">
        <f>IFERROR(__xludf.DUMMYFUNCTION("""COMPUTED_VALUE"""),"Светильники светодиодные COMFORT")</f>
        <v>Светильники светодиодные COMFORT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IFERROR(__xludf.DUMMYFUNCTION("""COMPUTED_VALUE"""),"4690612035123")</f>
        <v>4690612035123</v>
      </c>
      <c r="B32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8" s="2">
        <f>IFERROR(__xludf.DUMMYFUNCTION("""COMPUTED_VALUE"""),1.84)</f>
        <v>1.84</v>
      </c>
      <c r="D328" s="2">
        <f>IFERROR(__xludf.DUMMYFUNCTION("""COMPUTED_VALUE"""),0.0362)</f>
        <v>0.0362</v>
      </c>
      <c r="E328" s="2">
        <f>IFERROR(__xludf.DUMMYFUNCTION("""COMPUTED_VALUE"""),1.0)</f>
        <v>1</v>
      </c>
      <c r="F328" s="2">
        <f>IFERROR(__xludf.DUMMYFUNCTION("""COMPUTED_VALUE"""),1530.0)</f>
        <v>1530</v>
      </c>
      <c r="G328" s="2">
        <f>IFERROR(__xludf.DUMMYFUNCTION("""COMPUTED_VALUE"""),1721.0)</f>
        <v>1721</v>
      </c>
      <c r="H328" s="2">
        <f>IFERROR(__xludf.DUMMYFUNCTION("""COMPUTED_VALUE"""),1997.0)</f>
        <v>1997</v>
      </c>
      <c r="I328" s="2">
        <f>IFERROR(__xludf.DUMMYFUNCTION("""COMPUTED_VALUE"""),2295.0)</f>
        <v>2295</v>
      </c>
      <c r="J328" s="2">
        <f>IFERROR(__xludf.DUMMYFUNCTION("""COMPUTED_VALUE"""),1148.0)</f>
        <v>1148</v>
      </c>
      <c r="K328" s="2">
        <f>IFERROR(__xludf.DUMMYFUNCTION("""COMPUTED_VALUE"""),1.0)</f>
        <v>1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IFERROR(__xludf.DUMMYFUNCTION("""COMPUTED_VALUE"""),"4690612020365")</f>
        <v>4690612020365</v>
      </c>
      <c r="B329" s="5" t="str">
        <f>IFERROR(__xludf.DUMMYFUNCTION("""COMPUTED_VALUE"""),"LED-JCDR-VC 6Вт 230В GU5.3 3000К 530Лм IN HOME")</f>
        <v>LED-JCDR-VC 6Вт 230В GU5.3 3000К 530Лм IN HOME</v>
      </c>
      <c r="C329" s="2">
        <f>IFERROR(__xludf.DUMMYFUNCTION("""COMPUTED_VALUE"""),0.03)</f>
        <v>0.03</v>
      </c>
      <c r="D329" s="2">
        <f>IFERROR(__xludf.DUMMYFUNCTION("""COMPUTED_VALUE"""),2.1E-4)</f>
        <v>0.00021</v>
      </c>
      <c r="E329" s="2">
        <f>IFERROR(__xludf.DUMMYFUNCTION("""COMPUTED_VALUE"""),32.11)</f>
        <v>32.11</v>
      </c>
      <c r="F329" s="2">
        <f>IFERROR(__xludf.DUMMYFUNCTION("""COMPUTED_VALUE"""),43.0)</f>
        <v>43</v>
      </c>
      <c r="G329" s="2">
        <f>IFERROR(__xludf.DUMMYFUNCTION("""COMPUTED_VALUE"""),49.0)</f>
        <v>49</v>
      </c>
      <c r="H329" s="2">
        <f>IFERROR(__xludf.DUMMYFUNCTION("""COMPUTED_VALUE"""),56.0)</f>
        <v>56</v>
      </c>
      <c r="I329" s="2">
        <f>IFERROR(__xludf.DUMMYFUNCTION("""COMPUTED_VALUE"""),65.4)</f>
        <v>65.4</v>
      </c>
      <c r="J329" s="2">
        <f>IFERROR(__xludf.DUMMYFUNCTION("""COMPUTED_VALUE"""),33.0)</f>
        <v>33</v>
      </c>
      <c r="K329" s="2">
        <f>IFERROR(__xludf.DUMMYFUNCTION("""COMPUTED_VALUE"""),23.0)</f>
        <v>23</v>
      </c>
      <c r="L329" s="2" t="str">
        <f>IFERROR(__xludf.DUMMYFUNCTION("""COMPUTED_VALUE"""),"Лампа светодиодная LED-JCDR-standard")</f>
        <v>Лампа светодиодная LED-JCDR-standard</v>
      </c>
      <c r="M329" s="2" t="str">
        <f>IFERROR(__xludf.DUMMYFUNCTION("""COMPUTED_VALUE"""),"Лампы")</f>
        <v>Лампы</v>
      </c>
    </row>
    <row r="330">
      <c r="A330" s="5" t="str">
        <f>IFERROR(__xludf.DUMMYFUNCTION("""COMPUTED_VALUE"""),"4690612057309-1")</f>
        <v>4690612057309-1</v>
      </c>
      <c r="B33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IFERROR(__xludf.DUMMYFUNCTION("""COMPUTED_VALUE"""),1100.66)</f>
        <v>1100.66</v>
      </c>
      <c r="F330" s="2">
        <f>IFERROR(__xludf.DUMMYFUNCTION("""COMPUTED_VALUE"""),1208.0)</f>
        <v>1208</v>
      </c>
      <c r="G330" s="2">
        <f>IFERROR(__xludf.DUMMYFUNCTION("""COMPUTED_VALUE"""),1409.0)</f>
        <v>1409</v>
      </c>
      <c r="H330" s="2">
        <f>IFERROR(__xludf.DUMMYFUNCTION("""COMPUTED_VALUE"""),1585.0)</f>
        <v>1585</v>
      </c>
      <c r="I330" s="2">
        <f>IFERROR(__xludf.DUMMYFUNCTION("""COMPUTED_VALUE"""),1761.0)</f>
        <v>1761</v>
      </c>
      <c r="J330" s="2">
        <f>IFERROR(__xludf.DUMMYFUNCTION("""COMPUTED_VALUE"""),881.0)</f>
        <v>881</v>
      </c>
      <c r="K330" s="2">
        <f>IFERROR(__xludf.DUMMYFUNCTION("""COMPUTED_VALUE"""),5.0)</f>
        <v>5</v>
      </c>
      <c r="L3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1">
      <c r="A331" s="5" t="str">
        <f>IFERROR(__xludf.DUMMYFUNCTION("""COMPUTED_VALUE"""),"4690612033631")</f>
        <v>4690612033631</v>
      </c>
      <c r="B331" s="5" t="str">
        <f>IFERROR(__xludf.DUMMYFUNCTION("""COMPUTED_VALUE"""),"DECO 18Вт 230В 4000К 1170Лм 230х55мм ДАЙМОНД IN HOME")</f>
        <v>DECO 18Вт 230В 4000К 1170Лм 230х55мм ДАЙМОНД IN HOME</v>
      </c>
      <c r="C331" s="2">
        <f>IFERROR(__xludf.DUMMYFUNCTION("""COMPUTED_VALUE"""),0.31)</f>
        <v>0.31</v>
      </c>
      <c r="D331" s="2">
        <f>IFERROR(__xludf.DUMMYFUNCTION("""COMPUTED_VALUE"""),0.004500000000000001)</f>
        <v>0.0045</v>
      </c>
      <c r="E331" s="2">
        <f>IFERROR(__xludf.DUMMYFUNCTION("""COMPUTED_VALUE"""),300.1)</f>
        <v>300.1</v>
      </c>
      <c r="F331" s="2">
        <f>IFERROR(__xludf.DUMMYFUNCTION("""COMPUTED_VALUE"""),356.0)</f>
        <v>356</v>
      </c>
      <c r="G331" s="2">
        <f>IFERROR(__xludf.DUMMYFUNCTION("""COMPUTED_VALUE"""),401.0)</f>
        <v>401</v>
      </c>
      <c r="H331" s="2">
        <f>IFERROR(__xludf.DUMMYFUNCTION("""COMPUTED_VALUE"""),465.0)</f>
        <v>465</v>
      </c>
      <c r="I331" s="2">
        <f>IFERROR(__xludf.DUMMYFUNCTION("""COMPUTED_VALUE"""),534.0)</f>
        <v>534</v>
      </c>
      <c r="J331" s="2">
        <f>IFERROR(__xludf.DUMMYFUNCTION("""COMPUTED_VALUE"""),267.0)</f>
        <v>267</v>
      </c>
      <c r="K331" s="2">
        <f>IFERROR(__xludf.DUMMYFUNCTION("""COMPUTED_VALUE"""),4.0)</f>
        <v>4</v>
      </c>
      <c r="L331" s="2" t="str">
        <f>IFERROR(__xludf.DUMMYFUNCTION("""COMPUTED_VALUE"""),"Светильник светодиодный серии DECO")</f>
        <v>Светильник светодиодный серии DECO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5" t="str">
        <f>IFERROR(__xludf.DUMMYFUNCTION("""COMPUTED_VALUE"""),"55073")</f>
        <v>55073</v>
      </c>
      <c r="B33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IFERROR(__xludf.DUMMYFUNCTION("""COMPUTED_VALUE"""),944.6800000000001)</f>
        <v>944.68</v>
      </c>
      <c r="F332" s="2">
        <f>IFERROR(__xludf.DUMMYFUNCTION("""COMPUTED_VALUE"""),989.0)</f>
        <v>989</v>
      </c>
      <c r="G332" s="2">
        <f>IFERROR(__xludf.DUMMYFUNCTION("""COMPUTED_VALUE"""),1079.0)</f>
        <v>1079</v>
      </c>
      <c r="H332" s="2">
        <f>IFERROR(__xludf.DUMMYFUNCTION("""COMPUTED_VALUE"""),1169.0)</f>
        <v>1169</v>
      </c>
      <c r="I332" s="2">
        <f>IFERROR(__xludf.DUMMYFUNCTION("""COMPUTED_VALUE"""),1259.0)</f>
        <v>1259</v>
      </c>
      <c r="J332" s="2">
        <f>IFERROR(__xludf.DUMMYFUNCTION("""COMPUTED_VALUE"""),630.0)</f>
        <v>630</v>
      </c>
      <c r="K332" s="2">
        <f>IFERROR(__xludf.DUMMYFUNCTION("""COMPUTED_VALUE"""),8.0)</f>
        <v>8</v>
      </c>
      <c r="L332" s="2" t="str">
        <f>IFERROR(__xludf.DUMMYFUNCTION("""COMPUTED_VALUE"""),"Праздничная иллюминация")</f>
        <v>Праздничная иллюминация</v>
      </c>
      <c r="M3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3">
      <c r="A333" s="5" t="str">
        <f>IFERROR(__xludf.DUMMYFUNCTION("""COMPUTED_VALUE"""),"4260652192546")</f>
        <v>4260652192546</v>
      </c>
      <c r="B333" s="5" t="str">
        <f>IFERROR(__xludf.DUMMYFUNCTION("""COMPUTED_VALUE"""),"WTL-15W/01W")</f>
        <v>WTL-15W/01W</v>
      </c>
      <c r="C333" s="2">
        <f>IFERROR(__xludf.DUMMYFUNCTION("""COMPUTED_VALUE"""),0.235)</f>
        <v>0.235</v>
      </c>
      <c r="D333" s="2">
        <f>IFERROR(__xludf.DUMMYFUNCTION("""COMPUTED_VALUE"""),8.300000000000001E-4)</f>
        <v>0.00083</v>
      </c>
      <c r="E333" s="2">
        <f>IFERROR(__xludf.DUMMYFUNCTION("""COMPUTED_VALUE"""),472.23)</f>
        <v>472.23</v>
      </c>
      <c r="F333" s="2">
        <f>IFERROR(__xludf.DUMMYFUNCTION("""COMPUTED_VALUE"""),590.0)</f>
        <v>590</v>
      </c>
      <c r="G333" s="2">
        <f>IFERROR(__xludf.DUMMYFUNCTION("""COMPUTED_VALUE"""),610.0)</f>
        <v>610</v>
      </c>
      <c r="H333" s="2">
        <f>IFERROR(__xludf.DUMMYFUNCTION("""COMPUTED_VALUE"""),800.0)</f>
        <v>800</v>
      </c>
      <c r="I333" s="2">
        <f>IFERROR(__xludf.DUMMYFUNCTION("""COMPUTED_VALUE"""),999.0)</f>
        <v>999</v>
      </c>
      <c r="J333" s="2">
        <f>IFERROR(__xludf.DUMMYFUNCTION("""COMPUTED_VALUE"""),500.0)</f>
        <v>500</v>
      </c>
      <c r="K333" s="2">
        <f>IFERROR(__xludf.DUMMYFUNCTION("""COMPUTED_VALUE"""),1.0)</f>
        <v>1</v>
      </c>
      <c r="L333" s="2" t="str">
        <f>IFERROR(__xludf.DUMMYFUNCTION("""COMPUTED_VALUE"""),"Wolta трековые")</f>
        <v>Wolta трековые</v>
      </c>
      <c r="M333" s="2" t="str">
        <f>IFERROR(__xludf.DUMMYFUNCTION("""COMPUTED_VALUE"""),"Трековые, LED Светильники")</f>
        <v>Трековые, LED Светильники</v>
      </c>
    </row>
    <row r="334">
      <c r="A334" s="5" t="str">
        <f>IFERROR(__xludf.DUMMYFUNCTION("""COMPUTED_VALUE"""),"V9002")</f>
        <v>V9002</v>
      </c>
      <c r="B334" s="5" t="str">
        <f>IFERROR(__xludf.DUMMYFUNCTION("""COMPUTED_VALUE"""),"VRN-UNE-32-G40K67-K, 32Вт, Консольный")</f>
        <v>VRN-UNE-32-G40K67-K, 32Вт, Консольный</v>
      </c>
      <c r="C334" s="2">
        <f>IFERROR(__xludf.DUMMYFUNCTION("""COMPUTED_VALUE"""),0.106)</f>
        <v>0.106</v>
      </c>
      <c r="D334" s="2">
        <f>IFERROR(__xludf.DUMMYFUNCTION("""COMPUTED_VALUE"""),0.004030000000000001)</f>
        <v>0.00403</v>
      </c>
      <c r="E334" s="2">
        <f>IFERROR(__xludf.DUMMYFUNCTION("""COMPUTED_VALUE"""),1744.2)</f>
        <v>1744.2</v>
      </c>
      <c r="F334" s="2">
        <f>IFERROR(__xludf.DUMMYFUNCTION("""COMPUTED_VALUE"""),2020.0)</f>
        <v>2020</v>
      </c>
      <c r="G334" s="2">
        <f>IFERROR(__xludf.DUMMYFUNCTION("""COMPUTED_VALUE"""),2626.0)</f>
        <v>2626</v>
      </c>
      <c r="H334" s="2">
        <f>IFERROR(__xludf.DUMMYFUNCTION("""COMPUTED_VALUE"""),2757.0)</f>
        <v>2757</v>
      </c>
      <c r="I334" s="2">
        <f>IFERROR(__xludf.DUMMYFUNCTION("""COMPUTED_VALUE"""),2889.0)</f>
        <v>2889</v>
      </c>
      <c r="J334" s="2">
        <f>IFERROR(__xludf.DUMMYFUNCTION("""COMPUTED_VALUE"""),1445.0)</f>
        <v>1445</v>
      </c>
      <c r="K334" s="2">
        <f>IFERROR(__xludf.DUMMYFUNCTION("""COMPUTED_VALUE"""),0.0)</f>
        <v>0</v>
      </c>
      <c r="L334" s="2" t="str">
        <f>IFERROR(__xludf.DUMMYFUNCTION("""COMPUTED_VALUE"""),"Универсал Эконом")</f>
        <v>Универсал Эконом</v>
      </c>
      <c r="M334" s="2" t="str">
        <f>IFERROR(__xludf.DUMMYFUNCTION("""COMPUTED_VALUE"""),"Для обычных дорог, LED Светильники")</f>
        <v>Для обычных дорог, LED Светильники</v>
      </c>
    </row>
    <row r="335">
      <c r="A335" s="5" t="str">
        <f>IFERROR(__xludf.DUMMYFUNCTION("""COMPUTED_VALUE"""),"4690612008912")</f>
        <v>4690612008912</v>
      </c>
      <c r="B33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5" s="2">
        <f>IFERROR(__xludf.DUMMYFUNCTION("""COMPUTED_VALUE"""),1.645)</f>
        <v>1.645</v>
      </c>
      <c r="D335" s="2">
        <f>IFERROR(__xludf.DUMMYFUNCTION("""COMPUTED_VALUE"""),0.004)</f>
        <v>0.004</v>
      </c>
      <c r="E335" s="2">
        <f>IFERROR(__xludf.DUMMYFUNCTION("""COMPUTED_VALUE"""),570.92)</f>
        <v>570.92</v>
      </c>
      <c r="F335" s="2">
        <f>IFERROR(__xludf.DUMMYFUNCTION("""COMPUTED_VALUE"""),567.0)</f>
        <v>567</v>
      </c>
      <c r="G335" s="2">
        <f>IFERROR(__xludf.DUMMYFUNCTION("""COMPUTED_VALUE"""),638.0)</f>
        <v>638</v>
      </c>
      <c r="H335" s="2">
        <f>IFERROR(__xludf.DUMMYFUNCTION("""COMPUTED_VALUE"""),740.0)</f>
        <v>740</v>
      </c>
      <c r="I335" s="2">
        <f>IFERROR(__xludf.DUMMYFUNCTION("""COMPUTED_VALUE"""),850.0)</f>
        <v>850</v>
      </c>
      <c r="J335" s="2">
        <f>IFERROR(__xludf.DUMMYFUNCTION("""COMPUTED_VALUE"""),425.0)</f>
        <v>425</v>
      </c>
      <c r="K335" s="2">
        <f>IFERROR(__xludf.DUMMYFUNCTION("""COMPUTED_VALUE"""),8.0)</f>
        <v>8</v>
      </c>
      <c r="L335" s="2" t="str">
        <f>IFERROR(__xludf.DUMMYFUNCTION("""COMPUTED_VALUE"""),"Панели светодиодные LP серии PRO")</f>
        <v>Панели светодиодные LP серии PRO</v>
      </c>
      <c r="M33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6">
      <c r="A336" s="5" t="str">
        <f>IFERROR(__xludf.DUMMYFUNCTION("""COMPUTED_VALUE"""),"GL81511")</f>
        <v>GL81511</v>
      </c>
      <c r="B336" s="5" t="str">
        <f>IFERROR(__xludf.DUMMYFUNCTION("""COMPUTED_VALUE"""),"GLERIO Office Special 40 Вт 4000K 82P-40D-4V-P")</f>
        <v>GLERIO Office Special 40 Вт 4000K 82P-40D-4V-P</v>
      </c>
      <c r="C336" s="2">
        <f>IFERROR(__xludf.DUMMYFUNCTION("""COMPUTED_VALUE"""),1.14)</f>
        <v>1.14</v>
      </c>
      <c r="D336" s="2">
        <f>IFERROR(__xludf.DUMMYFUNCTION("""COMPUTED_VALUE"""),0.008190000000000001)</f>
        <v>0.00819</v>
      </c>
      <c r="E336" s="2">
        <f>IFERROR(__xludf.DUMMYFUNCTION("""COMPUTED_VALUE"""),2308.6)</f>
        <v>2308.6</v>
      </c>
      <c r="F336" s="2">
        <f>IFERROR(__xludf.DUMMYFUNCTION("""COMPUTED_VALUE"""),2660.0)</f>
        <v>2660</v>
      </c>
      <c r="G336" s="2">
        <f>IFERROR(__xludf.DUMMYFUNCTION("""COMPUTED_VALUE"""),3349.0)</f>
        <v>3349</v>
      </c>
      <c r="H336" s="2">
        <f>IFERROR(__xludf.DUMMYFUNCTION("""COMPUTED_VALUE"""),3761.0)</f>
        <v>3761</v>
      </c>
      <c r="I336" s="2">
        <f>IFERROR(__xludf.DUMMYFUNCTION("""COMPUTED_VALUE"""),4173.0)</f>
        <v>4173</v>
      </c>
      <c r="J336" s="2">
        <f>IFERROR(__xludf.DUMMYFUNCTION("""COMPUTED_VALUE"""),2087.0)</f>
        <v>2087</v>
      </c>
      <c r="K336" s="2">
        <f>IFERROR(__xludf.DUMMYFUNCTION("""COMPUTED_VALUE"""),15.0)</f>
        <v>15</v>
      </c>
      <c r="L336" s="2" t="str">
        <f>IFERROR(__xludf.DUMMYFUNCTION("""COMPUTED_VALUE"""),"Office Special+ GLERIO (Офис Премиум)")</f>
        <v>Office Special+ GLERIO (Офис Премиум)</v>
      </c>
      <c r="M3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7">
      <c r="A337" s="5" t="str">
        <f>IFERROR(__xludf.DUMMYFUNCTION("""COMPUTED_VALUE"""),"GL8273")</f>
        <v>GL8273</v>
      </c>
      <c r="B337" s="5" t="str">
        <f>IFERROR(__xludf.DUMMYFUNCTION("""COMPUTED_VALUE"""),"GLERIO Line Free 36 Вт 4000К 93P-36D-4P-K")</f>
        <v>GLERIO Line Free 36 Вт 4000К 93P-36D-4P-K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IFERROR(__xludf.DUMMYFUNCTION("""COMPUTED_VALUE"""),1823.9)</f>
        <v>1823.9</v>
      </c>
      <c r="F337" s="2">
        <f>IFERROR(__xludf.DUMMYFUNCTION("""COMPUTED_VALUE"""),2150.0)</f>
        <v>2150</v>
      </c>
      <c r="G337" s="2">
        <f>IFERROR(__xludf.DUMMYFUNCTION("""COMPUTED_VALUE"""),2707.0)</f>
        <v>2707</v>
      </c>
      <c r="H337" s="2">
        <f>IFERROR(__xludf.DUMMYFUNCTION("""COMPUTED_VALUE"""),3040.0)</f>
        <v>3040</v>
      </c>
      <c r="I337" s="2">
        <f>IFERROR(__xludf.DUMMYFUNCTION("""COMPUTED_VALUE"""),3373.0)</f>
        <v>3373</v>
      </c>
      <c r="J337" s="2">
        <f>IFERROR(__xludf.DUMMYFUNCTION("""COMPUTED_VALUE"""),2707.0)</f>
        <v>2707</v>
      </c>
      <c r="K337" s="2">
        <f>IFERROR(__xludf.DUMMYFUNCTION("""COMPUTED_VALUE"""),1.0)</f>
        <v>1</v>
      </c>
      <c r="L337" s="2" t="str">
        <f>IFERROR(__xludf.DUMMYFUNCTION("""COMPUTED_VALUE"""),"Line Shell, Free (Retail) до 10.2025")</f>
        <v>Line Shell, Free (Retail)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IFERROR(__xludf.DUMMYFUNCTION("""COMPUTED_VALUE"""),"4690612042718")</f>
        <v>4690612042718</v>
      </c>
      <c r="B33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8" s="2">
        <f>IFERROR(__xludf.DUMMYFUNCTION("""COMPUTED_VALUE"""),4.800000000000001)</f>
        <v>4.8</v>
      </c>
      <c r="D338" s="2">
        <f>IFERROR(__xludf.DUMMYFUNCTION("""COMPUTED_VALUE"""),0.032)</f>
        <v>0.032</v>
      </c>
      <c r="E338" s="2">
        <f>IFERROR(__xludf.DUMMYFUNCTION("""COMPUTED_VALUE"""),625.2)</f>
        <v>625.2</v>
      </c>
      <c r="F338" s="2">
        <f>IFERROR(__xludf.DUMMYFUNCTION("""COMPUTED_VALUE"""),818.0)</f>
        <v>818</v>
      </c>
      <c r="G338" s="2">
        <f>IFERROR(__xludf.DUMMYFUNCTION("""COMPUTED_VALUE"""),920.0)</f>
        <v>920</v>
      </c>
      <c r="H338" s="2">
        <f>IFERROR(__xludf.DUMMYFUNCTION("""COMPUTED_VALUE"""),1067.0)</f>
        <v>1067</v>
      </c>
      <c r="I338" s="2">
        <f>IFERROR(__xludf.DUMMYFUNCTION("""COMPUTED_VALUE"""),1227.0)</f>
        <v>1227</v>
      </c>
      <c r="J338" s="2">
        <f>IFERROR(__xludf.DUMMYFUNCTION("""COMPUTED_VALUE"""),614.0)</f>
        <v>614</v>
      </c>
      <c r="K338" s="2">
        <f>IFERROR(__xludf.DUMMYFUNCTION("""COMPUTED_VALUE"""),39.0)</f>
        <v>39</v>
      </c>
      <c r="L338" s="2" t="str">
        <f>IFERROR(__xludf.DUMMYFUNCTION("""COMPUTED_VALUE"""),"NEOX Светильники LED ДВО")</f>
        <v>NEOX Светильники LED ДВО</v>
      </c>
      <c r="M33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9">
      <c r="A339" s="5" t="str">
        <f>IFERROR(__xludf.DUMMYFUNCTION("""COMPUTED_VALUE"""),"CS30")</f>
        <v>CS30</v>
      </c>
      <c r="B339" s="5" t="str">
        <f>IFERROR(__xludf.DUMMYFUNCTION("""COMPUTED_VALUE"""),"Лампа светодиодная, 18W 230V G13 4000К ТВ, SBT1218")</f>
        <v>Лампа светодиодная, 18W 230V G13 4000К ТВ, SBT1218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IFERROR(__xludf.DUMMYFUNCTION("""COMPUTED_VALUE"""),92.47)</f>
        <v>92.47</v>
      </c>
      <c r="F339" s="2">
        <f>IFERROR(__xludf.DUMMYFUNCTION("""COMPUTED_VALUE"""),50.0)</f>
        <v>50</v>
      </c>
      <c r="G339" s="2">
        <f>IFERROR(__xludf.DUMMYFUNCTION("""COMPUTED_VALUE"""),53.0)</f>
        <v>53</v>
      </c>
      <c r="H339" s="2">
        <f>IFERROR(__xludf.DUMMYFUNCTION("""COMPUTED_VALUE"""),60.0)</f>
        <v>60</v>
      </c>
      <c r="I339" s="2">
        <f>IFERROR(__xludf.DUMMYFUNCTION("""COMPUTED_VALUE"""),66.24)</f>
        <v>66.24</v>
      </c>
      <c r="J339" s="2">
        <f>IFERROR(__xludf.DUMMYFUNCTION("""COMPUTED_VALUE"""),33.0)</f>
        <v>33</v>
      </c>
      <c r="K339" s="2">
        <f>IFERROR(__xludf.DUMMYFUNCTION("""COMPUTED_VALUE"""),45.0)</f>
        <v>45</v>
      </c>
      <c r="L339" s="2" t="str">
        <f>IFERROR(__xludf.DUMMYFUNCTION("""COMPUTED_VALUE"""),"CS")</f>
        <v>CS</v>
      </c>
      <c r="M339" s="2" t="str">
        <f>IFERROR(__xludf.DUMMYFUNCTION("""COMPUTED_VALUE"""),"LED Светильники")</f>
        <v>LED Светильники</v>
      </c>
    </row>
    <row r="340">
      <c r="A340" s="5" t="str">
        <f>IFERROR(__xludf.DUMMYFUNCTION("""COMPUTED_VALUE"""),"4260652193208")</f>
        <v>4260652193208</v>
      </c>
      <c r="B340" s="5" t="str">
        <f>IFERROR(__xludf.DUMMYFUNCTION("""COMPUTED_VALUE"""),"LCL04-8W-R01-6K")</f>
        <v>LCL04-8W-R01-6K</v>
      </c>
      <c r="C340" s="2">
        <f>IFERROR(__xludf.DUMMYFUNCTION("""COMPUTED_VALUE"""),0.09000000000000001)</f>
        <v>0.09</v>
      </c>
      <c r="D340" s="2">
        <f>IFERROR(__xludf.DUMMYFUNCTION("""COMPUTED_VALUE"""),0.05180000000000001)</f>
        <v>0.0518</v>
      </c>
      <c r="E340" s="2">
        <f>IFERROR(__xludf.DUMMYFUNCTION("""COMPUTED_VALUE"""),192.53)</f>
        <v>192.53</v>
      </c>
      <c r="F340" s="2">
        <f>IFERROR(__xludf.DUMMYFUNCTION("""COMPUTED_VALUE"""),179.0)</f>
        <v>179</v>
      </c>
      <c r="G340" s="2">
        <f>IFERROR(__xludf.DUMMYFUNCTION("""COMPUTED_VALUE"""),185.0)</f>
        <v>185</v>
      </c>
      <c r="H340" s="2">
        <f>IFERROR(__xludf.DUMMYFUNCTION("""COMPUTED_VALUE"""),242.0)</f>
        <v>242</v>
      </c>
      <c r="I340" s="2">
        <f>IFERROR(__xludf.DUMMYFUNCTION("""COMPUTED_VALUE"""),303.0)</f>
        <v>303</v>
      </c>
      <c r="J340" s="2">
        <f>IFERROR(__xludf.DUMMYFUNCTION("""COMPUTED_VALUE"""),185.0)</f>
        <v>185</v>
      </c>
      <c r="K340" s="2">
        <f>IFERROR(__xludf.DUMMYFUNCTION("""COMPUTED_VALUE"""),105.0)</f>
        <v>105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5" t="str">
        <f>IFERROR(__xludf.DUMMYFUNCTION("""COMPUTED_VALUE"""),"V1046")</f>
        <v>V1046</v>
      </c>
      <c r="B341" s="5" t="str">
        <f>IFERROR(__xludf.DUMMYFUNCTION("""COMPUTED_VALUE"""),"VRN-UN-48D-G50K67-UV, 48Вт, Галочка")</f>
        <v>VRN-UN-48D-G50K67-UV, 48Вт, Галочка</v>
      </c>
      <c r="C341" s="2">
        <f>IFERROR(__xludf.DUMMYFUNCTION("""COMPUTED_VALUE"""),1.85)</f>
        <v>1.85</v>
      </c>
      <c r="D341" s="2">
        <f>IFERROR(__xludf.DUMMYFUNCTION("""COMPUTED_VALUE"""),0.0085)</f>
        <v>0.0085</v>
      </c>
      <c r="E341" s="2">
        <f>IFERROR(__xludf.DUMMYFUNCTION("""COMPUTED_VALUE"""),3781.0)</f>
        <v>3781</v>
      </c>
      <c r="F341" s="2">
        <f>IFERROR(__xludf.DUMMYFUNCTION("""COMPUTED_VALUE"""),4465.0)</f>
        <v>4465</v>
      </c>
      <c r="G341" s="2">
        <f>IFERROR(__xludf.DUMMYFUNCTION("""COMPUTED_VALUE"""),5805.0)</f>
        <v>5805</v>
      </c>
      <c r="H341" s="2">
        <f>IFERROR(__xludf.DUMMYFUNCTION("""COMPUTED_VALUE"""),6095.0)</f>
        <v>6095</v>
      </c>
      <c r="I341" s="2">
        <f>IFERROR(__xludf.DUMMYFUNCTION("""COMPUTED_VALUE"""),6385.0)</f>
        <v>6385</v>
      </c>
      <c r="J341" s="2">
        <f>IFERROR(__xludf.DUMMYFUNCTION("""COMPUTED_VALUE"""),6095.0)</f>
        <v>6095</v>
      </c>
      <c r="K341" s="2">
        <f>IFERROR(__xludf.DUMMYFUNCTION("""COMPUTED_VALUE"""),1.0)</f>
        <v>1</v>
      </c>
      <c r="L341" s="2" t="str">
        <f>IFERROR(__xludf.DUMMYFUNCTION("""COMPUTED_VALUE"""),"Универсал")</f>
        <v>Универсал</v>
      </c>
      <c r="M34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2">
      <c r="A342" s="5" t="str">
        <f>IFERROR(__xludf.DUMMYFUNCTION("""COMPUTED_VALUE"""),"4690626067448")</f>
        <v>4690626067448</v>
      </c>
      <c r="B342" s="5" t="str">
        <f>IFERROR(__xludf.DUMMYFUNCTION("""COMPUTED_VALUE"""),"SL3 Smartbuy-70w/6000K/IP65 (SBL-SL3-70-6K)")</f>
        <v>SL3 Smartbuy-70w/6000K/IP65 (SBL-SL3-70-6K)</v>
      </c>
      <c r="C342" s="2">
        <f>IFERROR(__xludf.DUMMYFUNCTION("""COMPUTED_VALUE"""),1.0)</f>
        <v>1</v>
      </c>
      <c r="D342" s="2">
        <f>IFERROR(__xludf.DUMMYFUNCTION("""COMPUTED_VALUE"""),0.0036)</f>
        <v>0.0036</v>
      </c>
      <c r="E342" s="2">
        <f>IFERROR(__xludf.DUMMYFUNCTION("""COMPUTED_VALUE"""),908.46)</f>
        <v>908.46</v>
      </c>
      <c r="F342" s="2">
        <f>IFERROR(__xludf.DUMMYFUNCTION("""COMPUTED_VALUE"""),1009.0)</f>
        <v>1009</v>
      </c>
      <c r="G342" s="2">
        <f>IFERROR(__xludf.DUMMYFUNCTION("""COMPUTED_VALUE"""),1107.0)</f>
        <v>1107</v>
      </c>
      <c r="H342" s="2">
        <f>IFERROR(__xludf.DUMMYFUNCTION("""COMPUTED_VALUE"""),1230.0)</f>
        <v>1230</v>
      </c>
      <c r="I342" s="2">
        <f>IFERROR(__xludf.DUMMYFUNCTION("""COMPUTED_VALUE"""),1353.0)</f>
        <v>1353</v>
      </c>
      <c r="J342" s="2">
        <f>IFERROR(__xludf.DUMMYFUNCTION("""COMPUTED_VALUE"""),1353.0)</f>
        <v>1353</v>
      </c>
      <c r="K342" s="2">
        <f>IFERROR(__xludf.DUMMYFUNCTION("""COMPUTED_VALUE"""),13.0)</f>
        <v>13</v>
      </c>
      <c r="L342" s="2" t="str">
        <f>IFERROR(__xludf.DUMMYFUNCTION("""COMPUTED_VALUE"""),"Smartbuy LED светильники")</f>
        <v>Smartbuy LED светильники</v>
      </c>
      <c r="M34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3">
      <c r="A343" s="5" t="str">
        <f>IFERROR(__xludf.DUMMYFUNCTION("""COMPUTED_VALUE"""),"12-0152")</f>
        <v>12-0152</v>
      </c>
      <c r="B343" s="5" t="str">
        <f>IFERROR(__xludf.DUMMYFUNCTION("""COMPUTED_VALUE"""),"Паяльная станция (160-500 град.) 220 V/48 Вт REXANT")</f>
        <v>Паяльная станция (160-500 град.) 220 V/48 Вт REXANT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IFERROR(__xludf.DUMMYFUNCTION("""COMPUTED_VALUE"""),1.0)</f>
        <v>1</v>
      </c>
      <c r="F343" s="2">
        <f>IFERROR(__xludf.DUMMYFUNCTION("""COMPUTED_VALUE"""),2337.0)</f>
        <v>2337</v>
      </c>
      <c r="G343" s="2">
        <f>IFERROR(__xludf.DUMMYFUNCTION("""COMPUTED_VALUE"""),2493.0)</f>
        <v>2493</v>
      </c>
      <c r="H343" s="2">
        <f>IFERROR(__xludf.DUMMYFUNCTION("""COMPUTED_VALUE"""),2804.0)</f>
        <v>2804</v>
      </c>
      <c r="I343" s="2">
        <f>IFERROR(__xludf.DUMMYFUNCTION("""COMPUTED_VALUE"""),3115.68)</f>
        <v>3115.68</v>
      </c>
      <c r="J343" s="2">
        <f>IFERROR(__xludf.DUMMYFUNCTION("""COMPUTED_VALUE"""),2337.0)</f>
        <v>2337</v>
      </c>
      <c r="K343" s="2">
        <f>IFERROR(__xludf.DUMMYFUNCTION("""COMPUTED_VALUE"""),1.0)</f>
        <v>1</v>
      </c>
      <c r="L343" s="2" t="str">
        <f>IFERROR(__xludf.DUMMYFUNCTION("""COMPUTED_VALUE"""),"Rexant")</f>
        <v>Rexant</v>
      </c>
      <c r="M343" s="2" t="str">
        <f>IFERROR(__xludf.DUMMYFUNCTION("""COMPUTED_VALUE"""),"Прочие товары")</f>
        <v>Прочие товары</v>
      </c>
    </row>
    <row r="344">
      <c r="A344" s="5" t="str">
        <f>IFERROR(__xludf.DUMMYFUNCTION("""COMPUTED_VALUE"""),"ves037")</f>
        <v>ves037</v>
      </c>
      <c r="B344" s="5" t="str">
        <f>IFERROR(__xludf.DUMMYFUNCTION("""COMPUTED_VALUE"""),"Светильник светодиодный AM-PL-36W")</f>
        <v>Светильник светодиодный AM-PL-36W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IFERROR(__xludf.DUMMYFUNCTION("""COMPUTED_VALUE"""),1200.0)</f>
        <v>1200</v>
      </c>
      <c r="F344" s="2">
        <f>IFERROR(__xludf.DUMMYFUNCTION("""COMPUTED_VALUE"""),1485.0)</f>
        <v>1485</v>
      </c>
      <c r="G344" s="2">
        <f>IFERROR(__xludf.DUMMYFUNCTION("""COMPUTED_VALUE"""),1584.0)</f>
        <v>1584</v>
      </c>
      <c r="H344" s="2">
        <f>IFERROR(__xludf.DUMMYFUNCTION("""COMPUTED_VALUE"""),1782.0)</f>
        <v>1782</v>
      </c>
      <c r="I344" s="2">
        <f>IFERROR(__xludf.DUMMYFUNCTION("""COMPUTED_VALUE"""),1980.0)</f>
        <v>1980</v>
      </c>
      <c r="J344" s="2">
        <f>IFERROR(__xludf.DUMMYFUNCTION("""COMPUTED_VALUE"""),990.0)</f>
        <v>990</v>
      </c>
      <c r="K344" s="2">
        <f>IFERROR(__xludf.DUMMYFUNCTION("""COMPUTED_VALUE"""),50.0)</f>
        <v>50</v>
      </c>
      <c r="L344" s="2" t="str">
        <f>IFERROR(__xludf.DUMMYFUNCTION("""COMPUTED_VALUE"""),"ves")</f>
        <v>ves</v>
      </c>
      <c r="M344" s="2" t="str">
        <f>IFERROR(__xludf.DUMMYFUNCTION("""COMPUTED_VALUE"""),"LED Светильники")</f>
        <v>LED Светильники</v>
      </c>
    </row>
    <row r="345">
      <c r="A345" s="5" t="str">
        <f>IFERROR(__xludf.DUMMYFUNCTION("""COMPUTED_VALUE"""),"4690612030791")</f>
        <v>4690612030791</v>
      </c>
      <c r="B345" s="5" t="str">
        <f>IFERROR(__xludf.DUMMYFUNCTION("""COMPUTED_VALUE"""),"LED-GX53-VC 6Вт 230В 4000К 570Лм IN HOME")</f>
        <v>LED-GX53-VC 6Вт 230В 4000К 570Лм IN HOME</v>
      </c>
      <c r="C345" s="2">
        <f>IFERROR(__xludf.DUMMYFUNCTION("""COMPUTED_VALUE"""),0.033)</f>
        <v>0.033</v>
      </c>
      <c r="D345" s="2">
        <f>IFERROR(__xludf.DUMMYFUNCTION("""COMPUTED_VALUE"""),2.1E-4)</f>
        <v>0.00021</v>
      </c>
      <c r="E345" s="2">
        <f>IFERROR(__xludf.DUMMYFUNCTION("""COMPUTED_VALUE"""),32.4)</f>
        <v>32.4</v>
      </c>
      <c r="F345" s="2">
        <f>IFERROR(__xludf.DUMMYFUNCTION("""COMPUTED_VALUE"""),31.0)</f>
        <v>31</v>
      </c>
      <c r="G345" s="2">
        <f>IFERROR(__xludf.DUMMYFUNCTION("""COMPUTED_VALUE"""),35.0)</f>
        <v>35</v>
      </c>
      <c r="H345" s="2">
        <f>IFERROR(__xludf.DUMMYFUNCTION("""COMPUTED_VALUE"""),40.0)</f>
        <v>40</v>
      </c>
      <c r="I345" s="2">
        <f>IFERROR(__xludf.DUMMYFUNCTION("""COMPUTED_VALUE"""),46.5)</f>
        <v>46.5</v>
      </c>
      <c r="J345" s="2">
        <f>IFERROR(__xludf.DUMMYFUNCTION("""COMPUTED_VALUE"""),23.0)</f>
        <v>23</v>
      </c>
      <c r="K345" s="2">
        <f>IFERROR(__xludf.DUMMYFUNCTION("""COMPUTED_VALUE"""),118.0)</f>
        <v>118</v>
      </c>
      <c r="L345" s="2" t="str">
        <f>IFERROR(__xludf.DUMMYFUNCTION("""COMPUTED_VALUE"""),"Лампа светодиодная LED-GX53-standard")</f>
        <v>Лампа светодиодная LED-GX53-standard</v>
      </c>
      <c r="M345" s="2" t="str">
        <f>IFERROR(__xludf.DUMMYFUNCTION("""COMPUTED_VALUE"""),"Лампы")</f>
        <v>Лампы</v>
      </c>
    </row>
    <row r="346">
      <c r="A346" s="5" t="str">
        <f>IFERROR(__xludf.DUMMYFUNCTION("""COMPUTED_VALUE"""),"4690612042336-2")</f>
        <v>4690612042336-2</v>
      </c>
      <c r="B34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6" s="2">
        <f>IFERROR(__xludf.DUMMYFUNCTION("""COMPUTED_VALUE"""),1.36)</f>
        <v>1.36</v>
      </c>
      <c r="D346" s="2">
        <f>IFERROR(__xludf.DUMMYFUNCTION("""COMPUTED_VALUE"""),0.0)</f>
        <v>0</v>
      </c>
      <c r="E346" s="2">
        <f>IFERROR(__xludf.DUMMYFUNCTION("""COMPUTED_VALUE"""),1591.35)</f>
        <v>1591.35</v>
      </c>
      <c r="F346" s="2">
        <f>IFERROR(__xludf.DUMMYFUNCTION("""COMPUTED_VALUE"""),1746.0)</f>
        <v>1746</v>
      </c>
      <c r="G346" s="2">
        <f>IFERROR(__xludf.DUMMYFUNCTION("""COMPUTED_VALUE"""),2037.0)</f>
        <v>2037</v>
      </c>
      <c r="H346" s="2">
        <f>IFERROR(__xludf.DUMMYFUNCTION("""COMPUTED_VALUE"""),2291.0)</f>
        <v>2291</v>
      </c>
      <c r="I346" s="2">
        <f>IFERROR(__xludf.DUMMYFUNCTION("""COMPUTED_VALUE"""),2546.0)</f>
        <v>2546</v>
      </c>
      <c r="J346" s="2">
        <f>IFERROR(__xludf.DUMMYFUNCTION("""COMPUTED_VALUE"""),1273.0)</f>
        <v>1273</v>
      </c>
      <c r="K346" s="2">
        <f>IFERROR(__xludf.DUMMYFUNCTION("""COMPUTED_VALUE"""),10.0)</f>
        <v>10</v>
      </c>
      <c r="L3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7">
      <c r="A347" s="5" t="str">
        <f>IFERROR(__xludf.DUMMYFUNCTION("""COMPUTED_VALUE"""),"G33127T")</f>
        <v>G33127T</v>
      </c>
      <c r="B347" s="5" t="str">
        <f>IFERROR(__xludf.DUMMYFUNCTION("""COMPUTED_VALUE"""),"Elementary Candle 7W E14 4100K 1/40 (3 лампы в упаковке)")</f>
        <v>Elementary Candle 7W E14 4100K 1/40 (3 лампы в упаковке)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IFERROR(__xludf.DUMMYFUNCTION("""COMPUTED_VALUE"""),94.9)</f>
        <v>94.9</v>
      </c>
      <c r="F347" s="2">
        <f>IFERROR(__xludf.DUMMYFUNCTION("""COMPUTED_VALUE"""),128.0)</f>
        <v>128</v>
      </c>
      <c r="G347" s="2">
        <f>IFERROR(__xludf.DUMMYFUNCTION("""COMPUTED_VALUE"""),141.0)</f>
        <v>141</v>
      </c>
      <c r="H347" s="2">
        <f>IFERROR(__xludf.DUMMYFUNCTION("""COMPUTED_VALUE"""),166.0)</f>
        <v>166</v>
      </c>
      <c r="I347" s="2">
        <f>IFERROR(__xludf.DUMMYFUNCTION("""COMPUTED_VALUE"""),210.0)</f>
        <v>210</v>
      </c>
      <c r="J347" s="2">
        <f>IFERROR(__xludf.DUMMYFUNCTION("""COMPUTED_VALUE"""),105.0)</f>
        <v>105</v>
      </c>
      <c r="K347" s="2">
        <f>IFERROR(__xludf.DUMMYFUNCTION("""COMPUTED_VALUE"""),18.0)</f>
        <v>18</v>
      </c>
      <c r="L347" s="2" t="str">
        <f>IFERROR(__xludf.DUMMYFUNCTION("""COMPUTED_VALUE"""),"Комплекты Gauss Elementary (x2, x3)")</f>
        <v>Комплекты Gauss Elementary (x2, x3)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IFERROR(__xludf.DUMMYFUNCTION("""COMPUTED_VALUE"""),"GL8213")</f>
        <v>GL8213</v>
      </c>
      <c r="B348" s="5" t="str">
        <f>IFERROR(__xludf.DUMMYFUNCTION("""COMPUTED_VALUE"""),"GLERIO Line 12 Вт 4000К 91P-12D-4N-K")</f>
        <v>GLERIO Line 12 Вт 4000К 91P-12D-4N-K</v>
      </c>
      <c r="C348" s="2">
        <f>IFERROR(__xludf.DUMMYFUNCTION("""COMPUTED_VALUE"""),0.3)</f>
        <v>0.3</v>
      </c>
      <c r="D348" s="2">
        <f>IFERROR(__xludf.DUMMYFUNCTION("""COMPUTED_VALUE"""),0.00195)</f>
        <v>0.00195</v>
      </c>
      <c r="E348" s="2">
        <f>IFERROR(__xludf.DUMMYFUNCTION("""COMPUTED_VALUE"""),921.5)</f>
        <v>921.5</v>
      </c>
      <c r="F348" s="2">
        <f>IFERROR(__xludf.DUMMYFUNCTION("""COMPUTED_VALUE"""),1070.0)</f>
        <v>1070</v>
      </c>
      <c r="G348" s="2">
        <f>IFERROR(__xludf.DUMMYFUNCTION("""COMPUTED_VALUE"""),1347.0)</f>
        <v>1347</v>
      </c>
      <c r="H348" s="2">
        <f>IFERROR(__xludf.DUMMYFUNCTION("""COMPUTED_VALUE"""),1513.0)</f>
        <v>1513</v>
      </c>
      <c r="I348" s="2">
        <f>IFERROR(__xludf.DUMMYFUNCTION("""COMPUTED_VALUE"""),1679.0)</f>
        <v>1679</v>
      </c>
      <c r="J348" s="2">
        <f>IFERROR(__xludf.DUMMYFUNCTION("""COMPUTED_VALUE"""),1347.0)</f>
        <v>1347</v>
      </c>
      <c r="K348" s="2">
        <f>IFERROR(__xludf.DUMMYFUNCTION("""COMPUTED_VALUE"""),2.0)</f>
        <v>2</v>
      </c>
      <c r="L348" s="2" t="str">
        <f>IFERROR(__xludf.DUMMYFUNCTION("""COMPUTED_VALUE"""),"Line (Айсберг) до 10.2025")</f>
        <v>Line (Айсберг) до 10.2025</v>
      </c>
      <c r="M348" s="2" t="str">
        <f>IFERROR(__xludf.DUMMYFUNCTION("""COMPUTED_VALUE"""),"Пластиковые (линейные), LED Светильники")</f>
        <v>Пластиковые (линейные), LED Светильники</v>
      </c>
    </row>
    <row r="349">
      <c r="A349" s="5" t="str">
        <f>IFERROR(__xludf.DUMMYFUNCTION("""COMPUTED_VALUE"""),"R100629-1")</f>
        <v>R100629-1</v>
      </c>
      <c r="B349" s="5" t="str">
        <f>IFERROR(__xludf.DUMMYFUNCTION("""COMPUTED_VALUE"""),"RSV-SPO-02-100W-6500K OPL (в индивидуальной упаковке)")</f>
        <v>RSV-SPO-02-100W-6500K OPL (в индивидуальной упаковке)</v>
      </c>
      <c r="C349" s="2">
        <f>IFERROR(__xludf.DUMMYFUNCTION("""COMPUTED_VALUE"""),0.0)</f>
        <v>0</v>
      </c>
      <c r="D349" s="2">
        <f>IFERROR(__xludf.DUMMYFUNCTION("""COMPUTED_VALUE"""),0.00293)</f>
        <v>0.00293</v>
      </c>
      <c r="E349" s="2">
        <f>IFERROR(__xludf.DUMMYFUNCTION("""COMPUTED_VALUE"""),503.22)</f>
        <v>503.22</v>
      </c>
      <c r="F349" s="2">
        <f>IFERROR(__xludf.DUMMYFUNCTION("""COMPUTED_VALUE"""),604.0)</f>
        <v>604</v>
      </c>
      <c r="G349" s="2">
        <f>IFERROR(__xludf.DUMMYFUNCTION("""COMPUTED_VALUE"""),644.0)</f>
        <v>644</v>
      </c>
      <c r="H349" s="2">
        <f>IFERROR(__xludf.DUMMYFUNCTION("""COMPUTED_VALUE"""),725.0)</f>
        <v>725</v>
      </c>
      <c r="I349" s="2">
        <f>IFERROR(__xludf.DUMMYFUNCTION("""COMPUTED_VALUE"""),805.0)</f>
        <v>805</v>
      </c>
      <c r="J349" s="2">
        <f>IFERROR(__xludf.DUMMYFUNCTION("""COMPUTED_VALUE"""),403.0)</f>
        <v>403</v>
      </c>
      <c r="K349" s="2">
        <f>IFERROR(__xludf.DUMMYFUNCTION("""COMPUTED_VALUE"""),1.0)</f>
        <v>1</v>
      </c>
      <c r="L34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0">
      <c r="A350" s="5" t="str">
        <f>IFERROR(__xludf.DUMMYFUNCTION("""COMPUTED_VALUE"""),"GL8232")</f>
        <v>GL8232</v>
      </c>
      <c r="B350" s="5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IFERROR(__xludf.DUMMYFUNCTION("""COMPUTED_VALUE"""),"4690612018935")</f>
        <v>4690612018935</v>
      </c>
      <c r="B351" s="5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5" t="str">
        <f>IFERROR(__xludf.DUMMYFUNCTION("""COMPUTED_VALUE"""),"4690612025964")</f>
        <v>4690612025964</v>
      </c>
      <c r="B352" s="5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5" t="str">
        <f>IFERROR(__xludf.DUMMYFUNCTION("""COMPUTED_VALUE"""),"4690612021966")</f>
        <v>4690612021966</v>
      </c>
      <c r="B353" s="5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5" t="str">
        <f>IFERROR(__xludf.DUMMYFUNCTION("""COMPUTED_VALUE"""),"4260760427738")</f>
        <v>4260760427738</v>
      </c>
      <c r="B354" s="5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5" t="str">
        <f>IFERROR(__xludf.DUMMYFUNCTION("""COMPUTED_VALUE"""),"14690612042326")</f>
        <v>14690612042326</v>
      </c>
      <c r="B35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IFERROR(__xludf.DUMMYFUNCTION("""COMPUTED_VALUE"""),2789.0)</f>
        <v>2789</v>
      </c>
      <c r="H355" s="2">
        <f>IFERROR(__xludf.DUMMYFUNCTION("""COMPUTED_VALUE"""),3137.0)</f>
        <v>3137</v>
      </c>
      <c r="I355" s="2">
        <f>IFERROR(__xludf.DUMMYFUNCTION("""COMPUTED_VALUE"""),3486.0)</f>
        <v>3486</v>
      </c>
      <c r="J355" s="2">
        <f>IFERROR(__xludf.DUMMYFUNCTION("""COMPUTED_VALUE"""),1743.0)</f>
        <v>1743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5" t="str">
        <f>IFERROR(__xludf.DUMMYFUNCTION("""COMPUTED_VALUE"""),"ves004")</f>
        <v>ves004</v>
      </c>
      <c r="B35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IFERROR(__xludf.DUMMYFUNCTION("""COMPUTED_VALUE"""),"4690612007250")</f>
        <v>4690612007250</v>
      </c>
      <c r="B35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IFERROR(__xludf.DUMMYFUNCTION("""COMPUTED_VALUE"""),1.0)</f>
        <v>1</v>
      </c>
      <c r="G357" s="2">
        <f>IFERROR(__xludf.DUMMYFUNCTION("""COMPUTED_VALUE"""),1.0)</f>
        <v>1</v>
      </c>
      <c r="H357" s="2">
        <f>IFERROR(__xludf.DUMMYFUNCTION("""COMPUTED_VALUE"""),1.0)</f>
        <v>1</v>
      </c>
      <c r="I357" s="2">
        <f>IFERROR(__xludf.DUMMYFUNCTION("""COMPUTED_VALUE"""),1.5)</f>
        <v>1.5</v>
      </c>
      <c r="J357" s="2">
        <f>IFERROR(__xludf.DUMMYFUNCTION("""COMPUTED_VALUE"""),1.5)</f>
        <v>1.5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IFERROR(__xludf.DUMMYFUNCTION("""COMPUTED_VALUE"""),"4260652193536")</f>
        <v>4260652193536</v>
      </c>
      <c r="B358" s="5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IFERROR(__xludf.DUMMYFUNCTION("""COMPUTED_VALUE"""),20.0)</f>
        <v>20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5" t="str">
        <f>IFERROR(__xludf.DUMMYFUNCTION("""COMPUTED_VALUE"""),"BRAS2216")</f>
        <v>BRAS2216</v>
      </c>
      <c r="B359" s="5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5" t="str">
        <f>IFERROR(__xludf.DUMMYFUNCTION("""COMPUTED_VALUE"""),"4690612032900")</f>
        <v>4690612032900</v>
      </c>
      <c r="B360" s="5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IFERROR(__xludf.DUMMYFUNCTION("""COMPUTED_VALUE"""),"4690612026169")</f>
        <v>4690612026169</v>
      </c>
      <c r="B36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IFERROR(__xludf.DUMMYFUNCTION("""COMPUTED_VALUE"""),"V9046")</f>
        <v>V9046</v>
      </c>
      <c r="B362" s="5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IFERROR(__xludf.DUMMYFUNCTION("""COMPUTED_VALUE"""),"ATS012")</f>
        <v>ATS012</v>
      </c>
      <c r="B363" s="5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5" t="str">
        <f>IFERROR(__xludf.DUMMYFUNCTION("""COMPUTED_VALUE"""),"GL82411")</f>
        <v>GL82411</v>
      </c>
      <c r="B364" s="5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IFERROR(__xludf.DUMMYFUNCTION("""COMPUTED_VALUE"""),"4680005959105")</f>
        <v>4680005959105</v>
      </c>
      <c r="B365" s="5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IFERROR(__xludf.DUMMYFUNCTION("""COMPUTED_VALUE"""),"ms6082")</f>
        <v>ms6082</v>
      </c>
      <c r="B36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5" t="str">
        <f>IFERROR(__xludf.DUMMYFUNCTION("""COMPUTED_VALUE"""),"4260652192560")</f>
        <v>4260652192560</v>
      </c>
      <c r="B367" s="5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IFERROR(__xludf.DUMMYFUNCTION("""COMPUTED_VALUE"""),"4690612015484")</f>
        <v>4690612015484</v>
      </c>
      <c r="B368" s="5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IFERROR(__xludf.DUMMYFUNCTION("""COMPUTED_VALUE"""),"4690612001999")</f>
        <v>4690612001999</v>
      </c>
      <c r="B36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5" t="str">
        <f>IFERROR(__xludf.DUMMYFUNCTION("""COMPUTED_VALUE"""),"4690612040141")</f>
        <v>4690612040141</v>
      </c>
      <c r="B37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5" t="str">
        <f>IFERROR(__xludf.DUMMYFUNCTION("""COMPUTED_VALUE"""),"55097")</f>
        <v>55097</v>
      </c>
      <c r="B37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5" t="str">
        <f>IFERROR(__xludf.DUMMYFUNCTION("""COMPUTED_VALUE"""),"G33117T")</f>
        <v>G33117T</v>
      </c>
      <c r="B372" s="5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IFERROR(__xludf.DUMMYFUNCTION("""COMPUTED_VALUE"""),"R100628-1")</f>
        <v>R100628-1</v>
      </c>
      <c r="B37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IFERROR(__xludf.DUMMYFUNCTION("""COMPUTED_VALUE"""),564.0)</f>
        <v>564</v>
      </c>
      <c r="G373" s="2">
        <f>IFERROR(__xludf.DUMMYFUNCTION("""COMPUTED_VALUE"""),602.0)</f>
        <v>602</v>
      </c>
      <c r="H373" s="2">
        <f>IFERROR(__xludf.DUMMYFUNCTION("""COMPUTED_VALUE"""),677.0)</f>
        <v>677</v>
      </c>
      <c r="I373" s="2">
        <f>IFERROR(__xludf.DUMMYFUNCTION("""COMPUTED_VALUE"""),752.0)</f>
        <v>752</v>
      </c>
      <c r="J373" s="2">
        <f>IFERROR(__xludf.DUMMYFUNCTION("""COMPUTED_VALUE"""),376.0)</f>
        <v>376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5" t="str">
        <f>IFERROR(__xludf.DUMMYFUNCTION("""COMPUTED_VALUE"""),"NL8072")</f>
        <v>NL8072</v>
      </c>
      <c r="B374" s="5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5" t="str">
        <f>IFERROR(__xludf.DUMMYFUNCTION("""COMPUTED_VALUE"""),"GL8292")</f>
        <v>GL8292</v>
      </c>
      <c r="B375" s="5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5" t="str">
        <f>IFERROR(__xludf.DUMMYFUNCTION("""COMPUTED_VALUE"""),"4690612029764")</f>
        <v>4690612029764</v>
      </c>
      <c r="B37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IFERROR(__xludf.DUMMYFUNCTION("""COMPUTED_VALUE"""),"4260652195356")</f>
        <v>4260652195356</v>
      </c>
      <c r="B377" s="5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5" t="str">
        <f>IFERROR(__xludf.DUMMYFUNCTION("""COMPUTED_VALUE"""),"4690612004648")</f>
        <v>4690612004648</v>
      </c>
      <c r="B378" s="5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IFERROR(__xludf.DUMMYFUNCTION("""COMPUTED_VALUE"""),"4690612037646")</f>
        <v>4690612037646</v>
      </c>
      <c r="B37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5" t="str">
        <f>IFERROR(__xludf.DUMMYFUNCTION("""COMPUTED_VALUE"""),"4690612034638")</f>
        <v>4690612034638</v>
      </c>
      <c r="B380" s="5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5" t="str">
        <f>IFERROR(__xludf.DUMMYFUNCTION("""COMPUTED_VALUE"""),"4690612020358")</f>
        <v>4690612020358</v>
      </c>
      <c r="B381" s="5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IFERROR(__xludf.DUMMYFUNCTION("""COMPUTED_VALUE"""),"4690626057722")</f>
        <v>4690626057722</v>
      </c>
      <c r="B382" s="5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IFERROR(__xludf.DUMMYFUNCTION("""COMPUTED_VALUE"""),"GL51401")</f>
        <v>GL51401</v>
      </c>
      <c r="B383" s="5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IFERROR(__xludf.DUMMYFUNCTION("""COMPUTED_VALUE"""),0.0)</f>
        <v>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5" t="str">
        <f>IFERROR(__xludf.DUMMYFUNCTION("""COMPUTED_VALUE"""),"R100701")</f>
        <v>R100701</v>
      </c>
      <c r="B384" s="5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IFERROR(__xludf.DUMMYFUNCTION("""COMPUTED_VALUE"""),239.0)</f>
        <v>239</v>
      </c>
      <c r="G384" s="2">
        <f>IFERROR(__xludf.DUMMYFUNCTION("""COMPUTED_VALUE"""),254.0)</f>
        <v>254</v>
      </c>
      <c r="H384" s="2">
        <f>IFERROR(__xludf.DUMMYFUNCTION("""COMPUTED_VALUE"""),286.0)</f>
        <v>286</v>
      </c>
      <c r="I384" s="2">
        <f>IFERROR(__xludf.DUMMYFUNCTION("""COMPUTED_VALUE"""),318.0)</f>
        <v>318</v>
      </c>
      <c r="J384" s="2">
        <f>IFERROR(__xludf.DUMMYFUNCTION("""COMPUTED_VALUE"""),159.0)</f>
        <v>159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5" t="str">
        <f>IFERROR(__xludf.DUMMYFUNCTION("""COMPUTED_VALUE"""),"4690612030975")</f>
        <v>4690612030975</v>
      </c>
      <c r="B38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IFERROR(__xludf.DUMMYFUNCTION("""COMPUTED_VALUE"""),"4690612029894")</f>
        <v>4690612029894</v>
      </c>
      <c r="B386" s="5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IFERROR(__xludf.DUMMYFUNCTION("""COMPUTED_VALUE"""),"4690612019161")</f>
        <v>4690612019161</v>
      </c>
      <c r="B387" s="5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IFERROR(__xludf.DUMMYFUNCTION("""COMPUTED_VALUE"""),"4690612035321")</f>
        <v>4690612035321</v>
      </c>
      <c r="B38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IFERROR(__xludf.DUMMYFUNCTION("""COMPUTED_VALUE"""),"4690612030777-10")</f>
        <v>4690612030777-10</v>
      </c>
      <c r="B38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IFERROR(__xludf.DUMMYFUNCTION("""COMPUTED_VALUE"""),575.0)</f>
        <v>575</v>
      </c>
      <c r="H389" s="2">
        <f>IFERROR(__xludf.DUMMYFUNCTION("""COMPUTED_VALUE"""),647.0)</f>
        <v>647</v>
      </c>
      <c r="I389" s="2">
        <f>IFERROR(__xludf.DUMMYFUNCTION("""COMPUTED_VALUE"""),719.0)</f>
        <v>719</v>
      </c>
      <c r="J389" s="2">
        <f>IFERROR(__xludf.DUMMYFUNCTION("""COMPUTED_VALUE"""),360.0)</f>
        <v>360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IFERROR(__xludf.DUMMYFUNCTION("""COMPUTED_VALUE"""),"14690612057276")</f>
        <v>14690612057276</v>
      </c>
      <c r="B39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IFERROR(__xludf.DUMMYFUNCTION("""COMPUTED_VALUE"""),3625.0)</f>
        <v>3625</v>
      </c>
      <c r="H390" s="2">
        <f>IFERROR(__xludf.DUMMYFUNCTION("""COMPUTED_VALUE"""),4078.0)</f>
        <v>4078</v>
      </c>
      <c r="I390" s="2">
        <f>IFERROR(__xludf.DUMMYFUNCTION("""COMPUTED_VALUE"""),4531.0)</f>
        <v>4531</v>
      </c>
      <c r="J390" s="2">
        <f>IFERROR(__xludf.DUMMYFUNCTION("""COMPUTED_VALUE"""),2266.0)</f>
        <v>2266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5" t="str">
        <f>IFERROR(__xludf.DUMMYFUNCTION("""COMPUTED_VALUE"""),"13-3021")</f>
        <v>13-3021</v>
      </c>
      <c r="B39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IFERROR(__xludf.DUMMYFUNCTION("""COMPUTED_VALUE"""),"ves2208")</f>
        <v>ves2208</v>
      </c>
      <c r="B392" s="5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IFERROR(__xludf.DUMMYFUNCTION("""COMPUTED_VALUE"""),"4690612033839")</f>
        <v>4690612033839</v>
      </c>
      <c r="B393" s="5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IFERROR(__xludf.DUMMYFUNCTION("""COMPUTED_VALUE"""),"V1013")</f>
        <v>V1013</v>
      </c>
      <c r="B394" s="5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IFERROR(__xludf.DUMMYFUNCTION("""COMPUTED_VALUE"""),62.0)</f>
        <v>62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5" t="str">
        <f>IFERROR(__xludf.DUMMYFUNCTION("""COMPUTED_VALUE"""),"4690612053196")</f>
        <v>4690612053196</v>
      </c>
      <c r="B395" s="5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5" t="str">
        <f>IFERROR(__xludf.DUMMYFUNCTION("""COMPUTED_VALUE"""),"4690612014838")</f>
        <v>4690612014838</v>
      </c>
      <c r="B396" s="5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IFERROR(__xludf.DUMMYFUNCTION("""COMPUTED_VALUE"""),"4690612020518")</f>
        <v>4690612020518</v>
      </c>
      <c r="B397" s="5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IFERROR(__xludf.DUMMYFUNCTION("""COMPUTED_VALUE"""),"4690612010236-5")</f>
        <v>4690612010236-5</v>
      </c>
      <c r="B39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IFERROR(__xludf.DUMMYFUNCTION("""COMPUTED_VALUE"""),376.0)</f>
        <v>376</v>
      </c>
      <c r="H398" s="2">
        <f>IFERROR(__xludf.DUMMYFUNCTION("""COMPUTED_VALUE"""),423.0)</f>
        <v>423</v>
      </c>
      <c r="I398" s="2">
        <f>IFERROR(__xludf.DUMMYFUNCTION("""COMPUTED_VALUE"""),470.0)</f>
        <v>470</v>
      </c>
      <c r="J398" s="2">
        <f>IFERROR(__xludf.DUMMYFUNCTION("""COMPUTED_VALUE"""),235.0)</f>
        <v>235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IFERROR(__xludf.DUMMYFUNCTION("""COMPUTED_VALUE"""),"4690612035772")</f>
        <v>4690612035772</v>
      </c>
      <c r="B39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5" t="str">
        <f>IFERROR(__xludf.DUMMYFUNCTION("""COMPUTED_VALUE"""),"GL8150")</f>
        <v>GL8150</v>
      </c>
      <c r="B400" s="5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5" t="str">
        <f>IFERROR(__xludf.DUMMYFUNCTION("""COMPUTED_VALUE"""),"4690612042589")</f>
        <v>4690612042589</v>
      </c>
      <c r="B401" s="5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IFERROR(__xludf.DUMMYFUNCTION("""COMPUTED_VALUE"""),"4690612030081")</f>
        <v>4690612030081</v>
      </c>
      <c r="B402" s="5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5" t="str">
        <f>IFERROR(__xludf.DUMMYFUNCTION("""COMPUTED_VALUE"""),"GL8250")</f>
        <v>GL8250</v>
      </c>
      <c r="B403" s="5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5" t="str">
        <f>IFERROR(__xludf.DUMMYFUNCTION("""COMPUTED_VALUE"""),"ms2070")</f>
        <v>ms2070</v>
      </c>
      <c r="B404" s="5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5" t="str">
        <f>IFERROR(__xludf.DUMMYFUNCTION("""COMPUTED_VALUE"""),"4690612020600")</f>
        <v>4690612020600</v>
      </c>
      <c r="B405" s="5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5" t="str">
        <f>IFERROR(__xludf.DUMMYFUNCTION("""COMPUTED_VALUE"""),"4690612021843")</f>
        <v>4690612021843</v>
      </c>
      <c r="B406" s="5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IFERROR(__xludf.DUMMYFUNCTION("""COMPUTED_VALUE"""),"G33226")</f>
        <v>G33226</v>
      </c>
      <c r="B407" s="5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IFERROR(__xludf.DUMMYFUNCTION("""COMPUTED_VALUE"""),"4690612038032")</f>
        <v>4690612038032</v>
      </c>
      <c r="B408" s="5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IFERROR(__xludf.DUMMYFUNCTION("""COMPUTED_VALUE"""),"12-0150")</f>
        <v>12-0150</v>
      </c>
      <c r="B40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IFERROR(__xludf.DUMMYFUNCTION("""COMPUTED_VALUE"""),"12-0151")</f>
        <v>12-0151</v>
      </c>
      <c r="B410" s="5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IFERROR(__xludf.DUMMYFUNCTION("""COMPUTED_VALUE"""),"4690612036540")</f>
        <v>4690612036540</v>
      </c>
      <c r="B41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5" t="str">
        <f>IFERROR(__xludf.DUMMYFUNCTION("""COMPUTED_VALUE"""),"4690612038117")</f>
        <v>4690612038117</v>
      </c>
      <c r="B41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5" t="str">
        <f>IFERROR(__xludf.DUMMYFUNCTION("""COMPUTED_VALUE"""),"GL8280-BAP")</f>
        <v>GL8280-BAP</v>
      </c>
      <c r="B413" s="5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IFERROR(__xludf.DUMMYFUNCTION("""COMPUTED_VALUE"""),"13-0003")</f>
        <v>13-0003</v>
      </c>
      <c r="B414" s="5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IFERROR(__xludf.DUMMYFUNCTION("""COMPUTED_VALUE"""),"R100317")</f>
        <v>R100317</v>
      </c>
      <c r="B415" s="5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5" t="str">
        <f>IFERROR(__xludf.DUMMYFUNCTION("""COMPUTED_VALUE"""),"12-4901-2")</f>
        <v>12-4901-2</v>
      </c>
      <c r="B416" s="5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IFERROR(__xludf.DUMMYFUNCTION("""COMPUTED_VALUE"""),"4690612052991")</f>
        <v>4690612052991</v>
      </c>
      <c r="B417" s="5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5" t="str">
        <f>IFERROR(__xludf.DUMMYFUNCTION("""COMPUTED_VALUE"""),"4690612053066-1")</f>
        <v>4690612053066-1</v>
      </c>
      <c r="B41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IFERROR(__xludf.DUMMYFUNCTION("""COMPUTED_VALUE"""),1986.0)</f>
        <v>1986</v>
      </c>
      <c r="H418" s="2">
        <f>IFERROR(__xludf.DUMMYFUNCTION("""COMPUTED_VALUE"""),2235.0)</f>
        <v>2235</v>
      </c>
      <c r="I418" s="2">
        <f>IFERROR(__xludf.DUMMYFUNCTION("""COMPUTED_VALUE"""),2483.0)</f>
        <v>2483</v>
      </c>
      <c r="J418" s="2">
        <f>IFERROR(__xludf.DUMMYFUNCTION("""COMPUTED_VALUE"""),1242.0)</f>
        <v>1242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5" t="str">
        <f>IFERROR(__xludf.DUMMYFUNCTION("""COMPUTED_VALUE"""),"GL8440")</f>
        <v>GL8440</v>
      </c>
      <c r="B419" s="5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5" t="str">
        <f>IFERROR(__xludf.DUMMYFUNCTION("""COMPUTED_VALUE"""),"4690612053134")</f>
        <v>4690612053134</v>
      </c>
      <c r="B420" s="5" t="str">
        <f>IFERROR(__xludf.DUMMYFUNCTION("""COMPUTED_VALUE"""),"ДПО-110 ПРИЗМА 18Вт 6500К 600мм IP40 NEOX")</f>
        <v>ДПО-110 ПРИЗМА 18Вт 6500К 600мм IP40 NEOX</v>
      </c>
      <c r="C420" s="2">
        <f>IFERROR(__xludf.DUMMYFUNCTION("""COMPUTED_VALUE"""),0.17)</f>
        <v>0.17</v>
      </c>
      <c r="D420" s="2">
        <f>IFERROR(__xludf.DUMMYFUNCTION("""COMPUTED_VALUE"""),0.00104)</f>
        <v>0.00104</v>
      </c>
      <c r="E420" s="2">
        <f>IFERROR(__xludf.DUMMYFUNCTION("""COMPUTED_VALUE"""),165.0)</f>
        <v>165</v>
      </c>
      <c r="F420" s="2">
        <f>IFERROR(__xludf.DUMMYFUNCTION("""COMPUTED_VALUE"""),244.0)</f>
        <v>244</v>
      </c>
      <c r="G420" s="2">
        <f>IFERROR(__xludf.DUMMYFUNCTION("""COMPUTED_VALUE"""),275.0)</f>
        <v>275</v>
      </c>
      <c r="H420" s="2">
        <f>IFERROR(__xludf.DUMMYFUNCTION("""COMPUTED_VALUE"""),318.0)</f>
        <v>318</v>
      </c>
      <c r="I420" s="2">
        <f>IFERROR(__xludf.DUMMYFUNCTION("""COMPUTED_VALUE"""),366.0)</f>
        <v>366</v>
      </c>
      <c r="J420" s="2">
        <f>IFERROR(__xludf.DUMMYFUNCTION("""COMPUTED_VALUE"""),183.0)</f>
        <v>183</v>
      </c>
      <c r="K420" s="2">
        <f>IFERROR(__xludf.DUMMYFUNCTION("""COMPUTED_VALUE"""),1.0)</f>
        <v>1</v>
      </c>
      <c r="L420" s="2" t="str">
        <f>IFERROR(__xludf.DUMMYFUNCTION("""COMPUTED_VALUE"""),"NEOX Светильники LED ДПО")</f>
        <v>NEOX Светильники LED ДПО</v>
      </c>
      <c r="M420" s="2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21">
      <c r="A421" s="5" t="str">
        <f>IFERROR(__xludf.DUMMYFUNCTION("""COMPUTED_VALUE"""),"4690612016580")</f>
        <v>4690612016580</v>
      </c>
      <c r="B421" s="5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IFERROR(__xludf.DUMMYFUNCTION("""COMPUTED_VALUE"""),"4690612035444")</f>
        <v>4690612035444</v>
      </c>
      <c r="B42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IFERROR(__xludf.DUMMYFUNCTION("""COMPUTED_VALUE"""),"Fefco/0203-2")</f>
        <v>Fefco/0203-2</v>
      </c>
      <c r="B423" s="5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IFERROR(__xludf.DUMMYFUNCTION("""COMPUTED_VALUE"""),"GL8131")</f>
        <v>GL8131</v>
      </c>
      <c r="B424" s="5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IFERROR(__xludf.DUMMYFUNCTION("""COMPUTED_VALUE"""),"12-4002")</f>
        <v>12-4002</v>
      </c>
      <c r="B42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IFERROR(__xludf.DUMMYFUNCTION("""COMPUTED_VALUE"""),"4690612001456")</f>
        <v>4690612001456</v>
      </c>
      <c r="B426" s="5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IFERROR(__xludf.DUMMYFUNCTION("""COMPUTED_VALUE"""),"4260652193260")</f>
        <v>4260652193260</v>
      </c>
      <c r="B427" s="5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5" t="str">
        <f>IFERROR(__xludf.DUMMYFUNCTION("""COMPUTED_VALUE"""),"4690612025049")</f>
        <v>4690612025049</v>
      </c>
      <c r="B428" s="5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IFERROR(__xludf.DUMMYFUNCTION("""COMPUTED_VALUE"""),"4690612010199")</f>
        <v>4690612010199</v>
      </c>
      <c r="B429" s="5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IFERROR(__xludf.DUMMYFUNCTION("""COMPUTED_VALUE"""),"4690612023427")</f>
        <v>4690612023427</v>
      </c>
      <c r="B430" s="5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IFERROR(__xludf.DUMMYFUNCTION("""COMPUTED_VALUE"""),"4690626076143")</f>
        <v>4690626076143</v>
      </c>
      <c r="B43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IFERROR(__xludf.DUMMYFUNCTION("""COMPUTED_VALUE"""),"4680005959938")</f>
        <v>4680005959938</v>
      </c>
      <c r="B432" s="5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IFERROR(__xludf.DUMMYFUNCTION("""COMPUTED_VALUE"""),"4690612035062")</f>
        <v>4690612035062</v>
      </c>
      <c r="B43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5" t="str">
        <f>IFERROR(__xludf.DUMMYFUNCTION("""COMPUTED_VALUE"""),"4630015264881")</f>
        <v>4630015264881</v>
      </c>
      <c r="B434" s="5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5" t="str">
        <f>IFERROR(__xludf.DUMMYFUNCTION("""COMPUTED_VALUE"""),"Fefco/0201-5")</f>
        <v>Fefco/0201-5</v>
      </c>
      <c r="B435" s="5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IFERROR(__xludf.DUMMYFUNCTION("""COMPUTED_VALUE"""),"ves2013")</f>
        <v>ves2013</v>
      </c>
      <c r="B436" s="5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IFERROR(__xludf.DUMMYFUNCTION("""COMPUTED_VALUE"""),"GL814191")</f>
        <v>GL814191</v>
      </c>
      <c r="B437" s="5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5" t="str">
        <f>IFERROR(__xludf.DUMMYFUNCTION("""COMPUTED_VALUE"""),"4690626033047")</f>
        <v>4690626033047</v>
      </c>
      <c r="B43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IFERROR(__xludf.DUMMYFUNCTION("""COMPUTED_VALUE"""),"4690612029788")</f>
        <v>4690612029788</v>
      </c>
      <c r="B43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5" t="str">
        <f>IFERROR(__xludf.DUMMYFUNCTION("""COMPUTED_VALUE"""),"G103101107")</f>
        <v>G103101107</v>
      </c>
      <c r="B440" s="5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IFERROR(__xludf.DUMMYFUNCTION("""COMPUTED_VALUE"""),"4690612031354")</f>
        <v>4690612031354</v>
      </c>
      <c r="B44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5" t="str">
        <f>IFERROR(__xludf.DUMMYFUNCTION("""COMPUTED_VALUE"""),"V11025")</f>
        <v>V11025</v>
      </c>
      <c r="B442" s="5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5" t="str">
        <f>IFERROR(__xludf.DUMMYFUNCTION("""COMPUTED_VALUE"""),"4690612010229-5")</f>
        <v>4690612010229-5</v>
      </c>
      <c r="B44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IFERROR(__xludf.DUMMYFUNCTION("""COMPUTED_VALUE"""),429.0)</f>
        <v>429</v>
      </c>
      <c r="H443" s="2">
        <f>IFERROR(__xludf.DUMMYFUNCTION("""COMPUTED_VALUE"""),482.0)</f>
        <v>482</v>
      </c>
      <c r="I443" s="2">
        <f>IFERROR(__xludf.DUMMYFUNCTION("""COMPUTED_VALUE"""),536.0)</f>
        <v>536</v>
      </c>
      <c r="J443" s="2">
        <f>IFERROR(__xludf.DUMMYFUNCTION("""COMPUTED_VALUE"""),268.0)</f>
        <v>268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IFERROR(__xludf.DUMMYFUNCTION("""COMPUTED_VALUE"""),"G106001204")</f>
        <v>G106001204</v>
      </c>
      <c r="B444" s="5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IFERROR(__xludf.DUMMYFUNCTION("""COMPUTED_VALUE"""),"4260529292669")</f>
        <v>4260529292669</v>
      </c>
      <c r="B445" s="5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IFERROR(__xludf.DUMMYFUNCTION("""COMPUTED_VALUE"""),14.0)</f>
        <v>14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IFERROR(__xludf.DUMMYFUNCTION("""COMPUTED_VALUE"""),"GL8242")</f>
        <v>GL8242</v>
      </c>
      <c r="B446" s="5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5" t="str">
        <f>IFERROR(__xludf.DUMMYFUNCTION("""COMPUTED_VALUE"""),"GL8230")</f>
        <v>GL8230</v>
      </c>
      <c r="B447" s="5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IFERROR(__xludf.DUMMYFUNCTION("""COMPUTED_VALUE"""),"4690612026121")</f>
        <v>4690612026121</v>
      </c>
      <c r="B44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IFERROR(__xludf.DUMMYFUNCTION("""COMPUTED_VALUE"""),"4690612035383")</f>
        <v>4690612035383</v>
      </c>
      <c r="B44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IFERROR(__xludf.DUMMYFUNCTION("""COMPUTED_VALUE"""),"4690612016399")</f>
        <v>4690612016399</v>
      </c>
      <c r="B45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IFERROR(__xludf.DUMMYFUNCTION("""COMPUTED_VALUE"""),"4690612018737")</f>
        <v>4690612018737</v>
      </c>
      <c r="B451" s="5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5" t="str">
        <f>IFERROR(__xludf.DUMMYFUNCTION("""COMPUTED_VALUE"""),"KRAS021")</f>
        <v>KRAS021</v>
      </c>
      <c r="B452" s="5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5" t="str">
        <f>IFERROR(__xludf.DUMMYFUNCTION("""COMPUTED_VALUE"""),"4262356474690")</f>
        <v>4262356474690</v>
      </c>
      <c r="B453" s="5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5" t="str">
        <f>IFERROR(__xludf.DUMMYFUNCTION("""COMPUTED_VALUE"""),"14690612053025")</f>
        <v>14690612053025</v>
      </c>
      <c r="B45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IFERROR(__xludf.DUMMYFUNCTION("""COMPUTED_VALUE"""),2826.0)</f>
        <v>2826</v>
      </c>
      <c r="H454" s="2">
        <f>IFERROR(__xludf.DUMMYFUNCTION("""COMPUTED_VALUE"""),3179.0)</f>
        <v>3179</v>
      </c>
      <c r="I454" s="2">
        <f>IFERROR(__xludf.DUMMYFUNCTION("""COMPUTED_VALUE"""),3532.0)</f>
        <v>3532</v>
      </c>
      <c r="J454" s="2">
        <f>IFERROR(__xludf.DUMMYFUNCTION("""COMPUTED_VALUE"""),1766.0)</f>
        <v>1766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5" t="str">
        <f>IFERROR(__xludf.DUMMYFUNCTION("""COMPUTED_VALUE"""),"4690612032153-10")</f>
        <v>4690612032153-10</v>
      </c>
      <c r="B45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IFERROR(__xludf.DUMMYFUNCTION("""COMPUTED_VALUE"""),"4690612030029")</f>
        <v>4690612030029</v>
      </c>
      <c r="B456" s="5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5" t="str">
        <f>IFERROR(__xludf.DUMMYFUNCTION("""COMPUTED_VALUE"""),"GL8291")</f>
        <v>GL8291</v>
      </c>
      <c r="B457" s="5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5" t="str">
        <f>IFERROR(__xludf.DUMMYFUNCTION("""COMPUTED_VALUE"""),"4690612020587")</f>
        <v>4690612020587</v>
      </c>
      <c r="B458" s="5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IFERROR(__xludf.DUMMYFUNCTION("""COMPUTED_VALUE"""),"4690612057293")</f>
        <v>4690612057293</v>
      </c>
      <c r="B45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5" t="str">
        <f>IFERROR(__xludf.DUMMYFUNCTION("""COMPUTED_VALUE"""),"4690612029009")</f>
        <v>4690612029009</v>
      </c>
      <c r="B460" s="5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5" t="str">
        <f>IFERROR(__xludf.DUMMYFUNCTION("""COMPUTED_VALUE"""),"GL5141")</f>
        <v>GL5141</v>
      </c>
      <c r="B461" s="5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5" t="str">
        <f>IFERROR(__xludf.DUMMYFUNCTION("""COMPUTED_VALUE"""),"V5019")</f>
        <v>V5019</v>
      </c>
      <c r="B462" s="5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5" t="str">
        <f>IFERROR(__xludf.DUMMYFUNCTION("""COMPUTED_VALUE"""),"4690612020549-10")</f>
        <v>4690612020549-10</v>
      </c>
      <c r="B46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IFERROR(__xludf.DUMMYFUNCTION("""COMPUTED_VALUE"""),499.0)</f>
        <v>499</v>
      </c>
      <c r="H463" s="2">
        <f>IFERROR(__xludf.DUMMYFUNCTION("""COMPUTED_VALUE"""),562.0)</f>
        <v>562</v>
      </c>
      <c r="I463" s="2">
        <f>IFERROR(__xludf.DUMMYFUNCTION("""COMPUTED_VALUE"""),624.0)</f>
        <v>624</v>
      </c>
      <c r="J463" s="2">
        <f>IFERROR(__xludf.DUMMYFUNCTION("""COMPUTED_VALUE"""),312.0)</f>
        <v>312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IFERROR(__xludf.DUMMYFUNCTION("""COMPUTED_VALUE"""),"12-4703")</f>
        <v>12-4703</v>
      </c>
      <c r="B46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5" t="str">
        <f>IFERROR(__xludf.DUMMYFUNCTION("""COMPUTED_VALUE"""),"4690612038803-2")</f>
        <v>4690612038803-2</v>
      </c>
      <c r="B46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IFERROR(__xludf.DUMMYFUNCTION("""COMPUTED_VALUE"""),1860.0)</f>
        <v>1860</v>
      </c>
      <c r="H465" s="2">
        <f>IFERROR(__xludf.DUMMYFUNCTION("""COMPUTED_VALUE"""),2093.0)</f>
        <v>2093</v>
      </c>
      <c r="I465" s="2">
        <f>IFERROR(__xludf.DUMMYFUNCTION("""COMPUTED_VALUE"""),2325.0)</f>
        <v>2325</v>
      </c>
      <c r="J465" s="2">
        <f>IFERROR(__xludf.DUMMYFUNCTION("""COMPUTED_VALUE"""),1163.0)</f>
        <v>1163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5" t="str">
        <f>IFERROR(__xludf.DUMMYFUNCTION("""COMPUTED_VALUE"""),"4690612057309")</f>
        <v>4690612057309</v>
      </c>
      <c r="B46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5" t="str">
        <f>IFERROR(__xludf.DUMMYFUNCTION("""COMPUTED_VALUE"""),"12021")</f>
        <v>12021</v>
      </c>
      <c r="B46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IFERROR(__xludf.DUMMYFUNCTION("""COMPUTED_VALUE"""),"4690612016337")</f>
        <v>4690612016337</v>
      </c>
      <c r="B46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IFERROR(__xludf.DUMMYFUNCTION("""COMPUTED_VALUE"""),"51-0616")</f>
        <v>51-0616</v>
      </c>
      <c r="B46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IFERROR(__xludf.DUMMYFUNCTION("""COMPUTED_VALUE"""),"4690612029627-1")</f>
        <v>4690612029627-1</v>
      </c>
      <c r="B47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IFERROR(__xludf.DUMMYFUNCTION("""COMPUTED_VALUE"""),693.0)</f>
        <v>693</v>
      </c>
      <c r="H470" s="2">
        <f>IFERROR(__xludf.DUMMYFUNCTION("""COMPUTED_VALUE"""),779.0)</f>
        <v>779</v>
      </c>
      <c r="I470" s="2">
        <f>IFERROR(__xludf.DUMMYFUNCTION("""COMPUTED_VALUE"""),866.0)</f>
        <v>866</v>
      </c>
      <c r="J470" s="2">
        <f>IFERROR(__xludf.DUMMYFUNCTION("""COMPUTED_VALUE"""),433.0)</f>
        <v>433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5" t="str">
        <f>IFERROR(__xludf.DUMMYFUNCTION("""COMPUTED_VALUE"""),"14690612053001")</f>
        <v>14690612053001</v>
      </c>
      <c r="B47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IFERROR(__xludf.DUMMYFUNCTION("""COMPUTED_VALUE"""),3866.0)</f>
        <v>3866</v>
      </c>
      <c r="H471" s="2">
        <f>IFERROR(__xludf.DUMMYFUNCTION("""COMPUTED_VALUE"""),4350.0)</f>
        <v>4350</v>
      </c>
      <c r="I471" s="2">
        <f>IFERROR(__xludf.DUMMYFUNCTION("""COMPUTED_VALUE"""),4833.0)</f>
        <v>4833</v>
      </c>
      <c r="J471" s="2">
        <f>IFERROR(__xludf.DUMMYFUNCTION("""COMPUTED_VALUE"""),3866.0)</f>
        <v>3866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IFERROR(__xludf.DUMMYFUNCTION("""COMPUTED_VALUE"""),"4690612036526")</f>
        <v>4690612036526</v>
      </c>
      <c r="B472" s="5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472" s="2">
        <f>IFERROR(__xludf.DUMMYFUNCTION("""COMPUTED_VALUE"""),0.6900000000000001)</f>
        <v>0.69</v>
      </c>
      <c r="D472" s="2">
        <f>IFERROR(__xludf.DUMMYFUNCTION("""COMPUTED_VALUE"""),0.003)</f>
        <v>0.003</v>
      </c>
      <c r="E472" s="2">
        <f>IFERROR(__xludf.DUMMYFUNCTION("""COMPUTED_VALUE"""),764.6700000000001)</f>
        <v>764.67</v>
      </c>
      <c r="F472" s="2">
        <f>IFERROR(__xludf.DUMMYFUNCTION("""COMPUTED_VALUE"""),863.0)</f>
        <v>863</v>
      </c>
      <c r="G472" s="2">
        <f>IFERROR(__xludf.DUMMYFUNCTION("""COMPUTED_VALUE"""),971.0)</f>
        <v>971</v>
      </c>
      <c r="H472" s="2">
        <f>IFERROR(__xludf.DUMMYFUNCTION("""COMPUTED_VALUE"""),1126.0)</f>
        <v>1126</v>
      </c>
      <c r="I472" s="2">
        <f>IFERROR(__xludf.DUMMYFUNCTION("""COMPUTED_VALUE"""),1295.0)</f>
        <v>1295</v>
      </c>
      <c r="J472" s="2">
        <f>IFERROR(__xludf.DUMMYFUNCTION("""COMPUTED_VALUE"""),648.0)</f>
        <v>648</v>
      </c>
      <c r="K472" s="2">
        <f>IFERROR(__xludf.DUMMYFUNCTION("""COMPUTED_VALUE"""),1.0)</f>
        <v>1</v>
      </c>
      <c r="L472" s="2" t="str">
        <f>IFERROR(__xludf.DUMMYFUNCTION("""COMPUTED_VALUE"""),"Светильники настольные светодиодные")</f>
        <v>Светильники настольные светодиодные</v>
      </c>
      <c r="M47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73">
      <c r="A473" s="5" t="str">
        <f>IFERROR(__xludf.DUMMYFUNCTION("""COMPUTED_VALUE"""),"4690612007199")</f>
        <v>4690612007199</v>
      </c>
      <c r="B473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3" s="2">
        <f>IFERROR(__xludf.DUMMYFUNCTION("""COMPUTED_VALUE"""),0.029)</f>
        <v>0.029</v>
      </c>
      <c r="D473" s="2">
        <f>IFERROR(__xludf.DUMMYFUNCTION("""COMPUTED_VALUE"""),2.4E-4)</f>
        <v>0.00024</v>
      </c>
      <c r="E473" s="2">
        <f>IFERROR(__xludf.DUMMYFUNCTION("""COMPUTED_VALUE"""),56.95)</f>
        <v>56.95</v>
      </c>
      <c r="F473" s="2">
        <f>IFERROR(__xludf.DUMMYFUNCTION("""COMPUTED_VALUE"""),57.0)</f>
        <v>57</v>
      </c>
      <c r="G473" s="2">
        <f>IFERROR(__xludf.DUMMYFUNCTION("""COMPUTED_VALUE"""),64.0)</f>
        <v>64</v>
      </c>
      <c r="H473" s="2">
        <f>IFERROR(__xludf.DUMMYFUNCTION("""COMPUTED_VALUE"""),74.0)</f>
        <v>74</v>
      </c>
      <c r="I473" s="2">
        <f>IFERROR(__xludf.DUMMYFUNCTION("""COMPUTED_VALUE"""),85.5)</f>
        <v>85.5</v>
      </c>
      <c r="J473" s="2">
        <f>IFERROR(__xludf.DUMMYFUNCTION("""COMPUTED_VALUE"""),43.0)</f>
        <v>43</v>
      </c>
      <c r="K473" s="2">
        <f>IFERROR(__xludf.DUMMYFUNCTION("""COMPUTED_VALUE"""),48.0)</f>
        <v>48</v>
      </c>
      <c r="L473" s="2" t="str">
        <f>IFERROR(__xludf.DUMMYFUNCTION("""COMPUTED_VALUE"""),"Лампа светодиодная LED-СВЕЧА-DECO")</f>
        <v>Лампа светодиодная LED-СВЕЧА-DECO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IFERROR(__xludf.DUMMYFUNCTION("""COMPUTED_VALUE"""),"4690612035741")</f>
        <v>4690612035741</v>
      </c>
      <c r="B474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4" s="2">
        <f>IFERROR(__xludf.DUMMYFUNCTION("""COMPUTED_VALUE"""),1.52)</f>
        <v>1.52</v>
      </c>
      <c r="D474" s="2">
        <f>IFERROR(__xludf.DUMMYFUNCTION("""COMPUTED_VALUE"""),0.026)</f>
        <v>0.026</v>
      </c>
      <c r="E474" s="2">
        <f>IFERROR(__xludf.DUMMYFUNCTION("""COMPUTED_VALUE"""),1427.5)</f>
        <v>1427.5</v>
      </c>
      <c r="F474" s="2">
        <f>IFERROR(__xludf.DUMMYFUNCTION("""COMPUTED_VALUE"""),2037.0)</f>
        <v>2037</v>
      </c>
      <c r="G474" s="2">
        <f>IFERROR(__xludf.DUMMYFUNCTION("""COMPUTED_VALUE"""),2291.0)</f>
        <v>2291</v>
      </c>
      <c r="H474" s="2">
        <f>IFERROR(__xludf.DUMMYFUNCTION("""COMPUTED_VALUE"""),2658.0)</f>
        <v>2658</v>
      </c>
      <c r="I474" s="2">
        <f>IFERROR(__xludf.DUMMYFUNCTION("""COMPUTED_VALUE"""),3055.0)</f>
        <v>3055</v>
      </c>
      <c r="J474" s="2">
        <f>IFERROR(__xludf.DUMMYFUNCTION("""COMPUTED_VALUE"""),1428.0)</f>
        <v>1428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COMFORT")</f>
        <v>Светильники светодиодные COMFORT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5" t="str">
        <f>IFERROR(__xludf.DUMMYFUNCTION("""COMPUTED_VALUE"""),"4690612020280")</f>
        <v>4690612020280</v>
      </c>
      <c r="B475" s="5" t="str">
        <f>IFERROR(__xludf.DUMMYFUNCTION("""COMPUTED_VALUE"""),"LED-A60-VC 15Вт 230В Е27 6500К 1430Лм IN HOME")</f>
        <v>LED-A60-VC 15Вт 230В Е27 6500К 1430Лм IN HOME</v>
      </c>
      <c r="C475" s="2">
        <f>IFERROR(__xludf.DUMMYFUNCTION("""COMPUTED_VALUE"""),0.05500000000000001)</f>
        <v>0.055</v>
      </c>
      <c r="D475" s="2">
        <f>IFERROR(__xludf.DUMMYFUNCTION("""COMPUTED_VALUE"""),4.0E-4)</f>
        <v>0.0004</v>
      </c>
      <c r="E475" s="2">
        <f>IFERROR(__xludf.DUMMYFUNCTION("""COMPUTED_VALUE"""),36.6)</f>
        <v>36.6</v>
      </c>
      <c r="F475" s="2">
        <f>IFERROR(__xludf.DUMMYFUNCTION("""COMPUTED_VALUE"""),54.0)</f>
        <v>54</v>
      </c>
      <c r="G475" s="2">
        <f>IFERROR(__xludf.DUMMYFUNCTION("""COMPUTED_VALUE"""),60.0)</f>
        <v>60</v>
      </c>
      <c r="H475" s="2">
        <f>IFERROR(__xludf.DUMMYFUNCTION("""COMPUTED_VALUE"""),70.0)</f>
        <v>70</v>
      </c>
      <c r="I475" s="2">
        <f>IFERROR(__xludf.DUMMYFUNCTION("""COMPUTED_VALUE"""),80.8)</f>
        <v>80.8</v>
      </c>
      <c r="J475" s="2">
        <f>IFERROR(__xludf.DUMMYFUNCTION("""COMPUTED_VALUE"""),40.0)</f>
        <v>40</v>
      </c>
      <c r="K475" s="2">
        <f>IFERROR(__xludf.DUMMYFUNCTION("""COMPUTED_VALUE"""),5.0)</f>
        <v>5</v>
      </c>
      <c r="L475" s="2" t="str">
        <f>IFERROR(__xludf.DUMMYFUNCTION("""COMPUTED_VALUE"""),"Лампа светодиодная LED-A60-standard")</f>
        <v>Лампа светодиодная LED-A60-standard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IFERROR(__xludf.DUMMYFUNCTION("""COMPUTED_VALUE"""),"4690612048505")</f>
        <v>4690612048505</v>
      </c>
      <c r="B476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6" s="2">
        <f>IFERROR(__xludf.DUMMYFUNCTION("""COMPUTED_VALUE"""),1.0)</f>
        <v>1</v>
      </c>
      <c r="D476" s="2">
        <f>IFERROR(__xludf.DUMMYFUNCTION("""COMPUTED_VALUE"""),0.0156)</f>
        <v>0.0156</v>
      </c>
      <c r="E476" s="2">
        <f>IFERROR(__xludf.DUMMYFUNCTION("""COMPUTED_VALUE"""),1.0)</f>
        <v>1</v>
      </c>
      <c r="F476" s="2">
        <f>IFERROR(__xludf.DUMMYFUNCTION("""COMPUTED_VALUE"""),1407.0)</f>
        <v>1407</v>
      </c>
      <c r="G476" s="2">
        <f>IFERROR(__xludf.DUMMYFUNCTION("""COMPUTED_VALUE"""),1583.0)</f>
        <v>1583</v>
      </c>
      <c r="H476" s="2">
        <f>IFERROR(__xludf.DUMMYFUNCTION("""COMPUTED_VALUE"""),1837.0)</f>
        <v>1837</v>
      </c>
      <c r="I476" s="2">
        <f>IFERROR(__xludf.DUMMYFUNCTION("""COMPUTED_VALUE"""),2111.0)</f>
        <v>2111</v>
      </c>
      <c r="J476" s="2">
        <f>IFERROR(__xludf.DUMMYFUNCTION("""COMPUTED_VALUE"""),1056.0)</f>
        <v>1056</v>
      </c>
      <c r="K476" s="2">
        <f>IFERROR(__xludf.DUMMYFUNCTION("""COMPUTED_VALUE"""),1.0)</f>
        <v>1</v>
      </c>
      <c r="L476" s="2" t="str">
        <f>IFERROR(__xludf.DUMMYFUNCTION("""COMPUTED_VALUE"""),"Напольные под лампу")</f>
        <v>Напольные под лампу</v>
      </c>
      <c r="M476" s="2" t="str">
        <f>IFERROR(__xludf.DUMMYFUNCTION("""COMPUTED_VALUE"""),"Ламповые светильники")</f>
        <v>Ламповые светильники</v>
      </c>
    </row>
    <row r="477">
      <c r="A477" s="5" t="str">
        <f>IFERROR(__xludf.DUMMYFUNCTION("""COMPUTED_VALUE"""),"R100004")</f>
        <v>R100004</v>
      </c>
      <c r="B477" s="5" t="str">
        <f>IFERROR(__xludf.DUMMYFUNCTION("""COMPUTED_VALUE"""),"RSV-SPP-8W-4000K-IP65")</f>
        <v>RSV-SPP-8W-4000K-IP65</v>
      </c>
      <c r="C477" s="2">
        <f>IFERROR(__xludf.DUMMYFUNCTION("""COMPUTED_VALUE"""),0.175)</f>
        <v>0.175</v>
      </c>
      <c r="D477" s="2">
        <f>IFERROR(__xludf.DUMMYFUNCTION("""COMPUTED_VALUE"""),0.00111)</f>
        <v>0.00111</v>
      </c>
      <c r="E477" s="2">
        <f>IFERROR(__xludf.DUMMYFUNCTION("""COMPUTED_VALUE"""),158.99)</f>
        <v>158.99</v>
      </c>
      <c r="F477" s="2">
        <f>IFERROR(__xludf.DUMMYFUNCTION("""COMPUTED_VALUE"""),78.0)</f>
        <v>78</v>
      </c>
      <c r="G477" s="2">
        <f>IFERROR(__xludf.DUMMYFUNCTION("""COMPUTED_VALUE"""),92.0)</f>
        <v>92</v>
      </c>
      <c r="H477" s="2">
        <f>IFERROR(__xludf.DUMMYFUNCTION("""COMPUTED_VALUE"""),95.0)</f>
        <v>95</v>
      </c>
      <c r="I477" s="2">
        <f>IFERROR(__xludf.DUMMYFUNCTION("""COMPUTED_VALUE"""),109.0)</f>
        <v>109</v>
      </c>
      <c r="J477" s="2">
        <f>IFERROR(__xludf.DUMMYFUNCTION("""COMPUTED_VALUE"""),78.0)</f>
        <v>78</v>
      </c>
      <c r="K477" s="2">
        <f>IFERROR(__xludf.DUMMYFUNCTION("""COMPUTED_VALUE"""),18.0)</f>
        <v>18</v>
      </c>
      <c r="L477" s="2" t="str">
        <f>IFERROR(__xludf.DUMMYFUNCTION("""COMPUTED_VALUE"""),"ЖКХ светильники RSV")</f>
        <v>ЖКХ светильники RSV</v>
      </c>
      <c r="M477" s="2" t="str">
        <f>IFERROR(__xludf.DUMMYFUNCTION("""COMPUTED_VALUE"""),"Без датчиков, LED Светильники")</f>
        <v>Без датчиков, LED Светильники</v>
      </c>
    </row>
    <row r="478">
      <c r="A478" s="5" t="str">
        <f>IFERROR(__xludf.DUMMYFUNCTION("""COMPUTED_VALUE"""),"4690612029825")</f>
        <v>4690612029825</v>
      </c>
      <c r="B478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8" s="2">
        <f>IFERROR(__xludf.DUMMYFUNCTION("""COMPUTED_VALUE"""),0.925)</f>
        <v>0.925</v>
      </c>
      <c r="D478" s="2">
        <f>IFERROR(__xludf.DUMMYFUNCTION("""COMPUTED_VALUE"""),0.00525)</f>
        <v>0.00525</v>
      </c>
      <c r="E478" s="2">
        <f>IFERROR(__xludf.DUMMYFUNCTION("""COMPUTED_VALUE"""),596.37)</f>
        <v>596.37</v>
      </c>
      <c r="F478" s="2">
        <f>IFERROR(__xludf.DUMMYFUNCTION("""COMPUTED_VALUE"""),660.0)</f>
        <v>660</v>
      </c>
      <c r="G478" s="2">
        <f>IFERROR(__xludf.DUMMYFUNCTION("""COMPUTED_VALUE"""),743.0)</f>
        <v>743</v>
      </c>
      <c r="H478" s="2">
        <f>IFERROR(__xludf.DUMMYFUNCTION("""COMPUTED_VALUE"""),861.0)</f>
        <v>861</v>
      </c>
      <c r="I478" s="2">
        <f>IFERROR(__xludf.DUMMYFUNCTION("""COMPUTED_VALUE"""),990.0)</f>
        <v>990</v>
      </c>
      <c r="J478" s="2">
        <f>IFERROR(__xludf.DUMMYFUNCTION("""COMPUTED_VALUE"""),495.0)</f>
        <v>495</v>
      </c>
      <c r="K478" s="2">
        <f>IFERROR(__xludf.DUMMYFUNCTION("""COMPUTED_VALUE"""),2.0)</f>
        <v>2</v>
      </c>
      <c r="L478" s="2" t="str">
        <f>IFERROR(__xludf.DUMMYFUNCTION("""COMPUTED_VALUE"""),"Панели светодиодные LP серии ПРИЗМА")</f>
        <v>Панели светодиодные LP серии ПРИЗМА</v>
      </c>
      <c r="M4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9">
      <c r="A479" s="5" t="str">
        <f>IFERROR(__xludf.DUMMYFUNCTION("""COMPUTED_VALUE"""),"DVO01-27-003-4K-90")</f>
        <v>DVO01-27-003-4K-90</v>
      </c>
      <c r="B479" s="5" t="str">
        <f>IFERROR(__xludf.DUMMYFUNCTION("""COMPUTED_VALUE"""),"ДВО01-27-003-4К-90")</f>
        <v>ДВО01-27-003-4К-90</v>
      </c>
      <c r="C479" s="2">
        <f>IFERROR(__xludf.DUMMYFUNCTION("""COMPUTED_VALUE"""),2.45)</f>
        <v>2.45</v>
      </c>
      <c r="D479" s="2">
        <f>IFERROR(__xludf.DUMMYFUNCTION("""COMPUTED_VALUE"""),0.01485)</f>
        <v>0.01485</v>
      </c>
      <c r="E479" s="2">
        <f>IFERROR(__xludf.DUMMYFUNCTION("""COMPUTED_VALUE"""),4529.52)</f>
        <v>4529.52</v>
      </c>
      <c r="F479" s="2">
        <f>IFERROR(__xludf.DUMMYFUNCTION("""COMPUTED_VALUE"""),5310.0)</f>
        <v>5310</v>
      </c>
      <c r="G479" s="2">
        <f>IFERROR(__xludf.DUMMYFUNCTION("""COMPUTED_VALUE"""),5490.0)</f>
        <v>5490</v>
      </c>
      <c r="H479" s="2">
        <f>IFERROR(__xludf.DUMMYFUNCTION("""COMPUTED_VALUE"""),7200.0)</f>
        <v>7200</v>
      </c>
      <c r="I479" s="2">
        <f>IFERROR(__xludf.DUMMYFUNCTION("""COMPUTED_VALUE"""),9000.0)</f>
        <v>9000</v>
      </c>
      <c r="J479" s="2">
        <f>IFERROR(__xludf.DUMMYFUNCTION("""COMPUTED_VALUE"""),4500.0)</f>
        <v>4500</v>
      </c>
      <c r="K479" s="2">
        <f>IFERROR(__xludf.DUMMYFUNCTION("""COMPUTED_VALUE"""),1.0)</f>
        <v>1</v>
      </c>
      <c r="L479" s="2" t="str">
        <f>IFERROR(__xludf.DUMMYFUNCTION("""COMPUTED_VALUE"""),"Wolta офисные")</f>
        <v>Wolta офисные</v>
      </c>
      <c r="M47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0">
      <c r="A480" s="5" t="str">
        <f>IFERROR(__xludf.DUMMYFUNCTION("""COMPUTED_VALUE"""),"4690612025148")</f>
        <v>4690612025148</v>
      </c>
      <c r="B480" s="5" t="str">
        <f>IFERROR(__xludf.DUMMYFUNCTION("""COMPUTED_VALUE"""),"DECO 24Вт 230В 6500К 1560Лм 300х55мм КАРУСЕЛЬ IN HOME")</f>
        <v>DECO 24Вт 230В 6500К 1560Лм 300х55мм КАРУСЕЛЬ IN HOME</v>
      </c>
      <c r="C480" s="2">
        <f>IFERROR(__xludf.DUMMYFUNCTION("""COMPUTED_VALUE"""),0.43333)</f>
        <v>0.43333</v>
      </c>
      <c r="D480" s="2">
        <f>IFERROR(__xludf.DUMMYFUNCTION("""COMPUTED_VALUE"""),0.006670000000000001)</f>
        <v>0.00667</v>
      </c>
      <c r="E480" s="2">
        <f>IFERROR(__xludf.DUMMYFUNCTION("""COMPUTED_VALUE"""),400.8)</f>
        <v>400.8</v>
      </c>
      <c r="F480" s="2">
        <f>IFERROR(__xludf.DUMMYFUNCTION("""COMPUTED_VALUE"""),421.0)</f>
        <v>421</v>
      </c>
      <c r="G480" s="2">
        <f>IFERROR(__xludf.DUMMYFUNCTION("""COMPUTED_VALUE"""),474.0)</f>
        <v>474</v>
      </c>
      <c r="H480" s="2">
        <f>IFERROR(__xludf.DUMMYFUNCTION("""COMPUTED_VALUE"""),550.0)</f>
        <v>550</v>
      </c>
      <c r="I480" s="2">
        <f>IFERROR(__xludf.DUMMYFUNCTION("""COMPUTED_VALUE"""),632.0)</f>
        <v>632</v>
      </c>
      <c r="J480" s="2">
        <f>IFERROR(__xludf.DUMMYFUNCTION("""COMPUTED_VALUE"""),316.0)</f>
        <v>316</v>
      </c>
      <c r="K480" s="2">
        <f>IFERROR(__xludf.DUMMYFUNCTION("""COMPUTED_VALUE"""),1.0)</f>
        <v>1</v>
      </c>
      <c r="L480" s="2" t="str">
        <f>IFERROR(__xludf.DUMMYFUNCTION("""COMPUTED_VALUE"""),"Светильник светодиодный серии DECO")</f>
        <v>Светильник светодиодный серии DECO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5" t="str">
        <f>IFERROR(__xludf.DUMMYFUNCTION("""COMPUTED_VALUE"""),"4690612012728")</f>
        <v>4690612012728</v>
      </c>
      <c r="B481" s="5" t="str">
        <f>IFERROR(__xludf.DUMMYFUNCTION("""COMPUTED_VALUE"""),"СНС 13Б 60Вт E27 230В БЕЛЫЙ (коробка) IN HOME")</f>
        <v>СНС 13Б 60Вт E27 230В БЕЛЫЙ (коробка) IN HOME</v>
      </c>
      <c r="C481" s="2">
        <f>IFERROR(__xludf.DUMMYFUNCTION("""COMPUTED_VALUE"""),0.9)</f>
        <v>0.9</v>
      </c>
      <c r="D481" s="2">
        <f>IFERROR(__xludf.DUMMYFUNCTION("""COMPUTED_VALUE"""),0.007500000000000001)</f>
        <v>0.0075</v>
      </c>
      <c r="E481" s="2">
        <f>IFERROR(__xludf.DUMMYFUNCTION("""COMPUTED_VALUE"""),545.58)</f>
        <v>545.58</v>
      </c>
      <c r="F481" s="2">
        <f>IFERROR(__xludf.DUMMYFUNCTION("""COMPUTED_VALUE"""),932.0)</f>
        <v>932</v>
      </c>
      <c r="G481" s="2">
        <f>IFERROR(__xludf.DUMMYFUNCTION("""COMPUTED_VALUE"""),1049.0)</f>
        <v>1049</v>
      </c>
      <c r="H481" s="2">
        <f>IFERROR(__xludf.DUMMYFUNCTION("""COMPUTED_VALUE"""),1216.0)</f>
        <v>1216</v>
      </c>
      <c r="I481" s="2">
        <f>IFERROR(__xludf.DUMMYFUNCTION("""COMPUTED_VALUE"""),1398.0)</f>
        <v>1398</v>
      </c>
      <c r="J481" s="2">
        <f>IFERROR(__xludf.DUMMYFUNCTION("""COMPUTED_VALUE"""),699.0)</f>
        <v>699</v>
      </c>
      <c r="K481" s="2">
        <f>IFERROR(__xludf.DUMMYFUNCTION("""COMPUTED_VALUE"""),1.0)</f>
        <v>1</v>
      </c>
      <c r="L481" s="2" t="str">
        <f>IFERROR(__xludf.DUMMYFUNCTION("""COMPUTED_VALUE"""),"Настольные под лампу")</f>
        <v>Настольные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IFERROR(__xludf.DUMMYFUNCTION("""COMPUTED_VALUE"""),"4690612045481")</f>
        <v>4690612045481</v>
      </c>
      <c r="B482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2" s="2">
        <f>IFERROR(__xludf.DUMMYFUNCTION("""COMPUTED_VALUE"""),0.16)</f>
        <v>0.16</v>
      </c>
      <c r="D482" s="2">
        <f>IFERROR(__xludf.DUMMYFUNCTION("""COMPUTED_VALUE"""),8.600000000000001E-4)</f>
        <v>0.00086</v>
      </c>
      <c r="E482" s="2">
        <f>IFERROR(__xludf.DUMMYFUNCTION("""COMPUTED_VALUE"""),202.0)</f>
        <v>202</v>
      </c>
      <c r="F482" s="2">
        <f>IFERROR(__xludf.DUMMYFUNCTION("""COMPUTED_VALUE"""),271.0)</f>
        <v>271</v>
      </c>
      <c r="G482" s="2">
        <f>IFERROR(__xludf.DUMMYFUNCTION("""COMPUTED_VALUE"""),305.0)</f>
        <v>305</v>
      </c>
      <c r="H482" s="2">
        <f>IFERROR(__xludf.DUMMYFUNCTION("""COMPUTED_VALUE"""),353.0)</f>
        <v>353</v>
      </c>
      <c r="I482" s="2">
        <f>IFERROR(__xludf.DUMMYFUNCTION("""COMPUTED_VALUE"""),406.0)</f>
        <v>406</v>
      </c>
      <c r="J482" s="2">
        <f>IFERROR(__xludf.DUMMYFUNCTION("""COMPUTED_VALUE"""),202.0)</f>
        <v>202</v>
      </c>
      <c r="K482" s="2">
        <f>IFERROR(__xludf.DUMMYFUNCTION("""COMPUTED_VALUE"""),1.0)</f>
        <v>1</v>
      </c>
      <c r="L482" s="2" t="str">
        <f>IFERROR(__xludf.DUMMYFUNCTION("""COMPUTED_VALUE"""),"НБУ, НПБ под лампу")</f>
        <v>НБУ, НПБ под лампу</v>
      </c>
      <c r="M482" s="2" t="str">
        <f>IFERROR(__xludf.DUMMYFUNCTION("""COMPUTED_VALUE"""),"Ламповые светильники")</f>
        <v>Ламповые светильники</v>
      </c>
    </row>
    <row r="483">
      <c r="A483" s="5" t="str">
        <f>IFERROR(__xludf.DUMMYFUNCTION("""COMPUTED_VALUE"""),"4690612020396")</f>
        <v>4690612020396</v>
      </c>
      <c r="B483" s="5" t="str">
        <f>IFERROR(__xludf.DUMMYFUNCTION("""COMPUTED_VALUE"""),"LED-СВЕЧА-VC 6Вт 230В Е14 4000К 570Лм IN HOME")</f>
        <v>LED-СВЕЧА-VC 6Вт 230В Е14 4000К 570Лм IN HOME</v>
      </c>
      <c r="C483" s="2">
        <f>IFERROR(__xludf.DUMMYFUNCTION("""COMPUTED_VALUE"""),0.03)</f>
        <v>0.03</v>
      </c>
      <c r="D483" s="2">
        <f>IFERROR(__xludf.DUMMYFUNCTION("""COMPUTED_VALUE"""),1.9E-4)</f>
        <v>0.00019</v>
      </c>
      <c r="E483" s="2">
        <f>IFERROR(__xludf.DUMMYFUNCTION("""COMPUTED_VALUE"""),37.2)</f>
        <v>37.2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IFERROR(__xludf.DUMMYFUNCTION("""COMPUTED_VALUE"""),2.0)</f>
        <v>2</v>
      </c>
      <c r="L483" s="2" t="str">
        <f>IFERROR(__xludf.DUMMYFUNCTION("""COMPUTED_VALUE"""),"Лампа светодиодная LED-СВЕЧА-standard")</f>
        <v>Лампа светодиодная LED-СВЕЧА-standard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IFERROR(__xludf.DUMMYFUNCTION("""COMPUTED_VALUE"""),"R100729-2-pvh")</f>
        <v>R100729-2-pvh</v>
      </c>
      <c r="B484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IFERROR(__xludf.DUMMYFUNCTION("""COMPUTED_VALUE"""),754.89)</f>
        <v>754.89</v>
      </c>
      <c r="F484" s="2">
        <f>IFERROR(__xludf.DUMMYFUNCTION("""COMPUTED_VALUE"""),906.0)</f>
        <v>906</v>
      </c>
      <c r="G484" s="2">
        <f>IFERROR(__xludf.DUMMYFUNCTION("""COMPUTED_VALUE"""),966.0)</f>
        <v>966</v>
      </c>
      <c r="H484" s="2">
        <f>IFERROR(__xludf.DUMMYFUNCTION("""COMPUTED_VALUE"""),1087.0)</f>
        <v>1087</v>
      </c>
      <c r="I484" s="2">
        <f>IFERROR(__xludf.DUMMYFUNCTION("""COMPUTED_VALUE"""),1208.0)</f>
        <v>1208</v>
      </c>
      <c r="J484" s="2">
        <f>IFERROR(__xludf.DUMMYFUNCTION("""COMPUTED_VALUE"""),604.0)</f>
        <v>604</v>
      </c>
      <c r="K484" s="2">
        <f>IFERROR(__xludf.DUMMYFUNCTION("""COMPUTED_VALUE"""),1.0)</f>
        <v>1</v>
      </c>
      <c r="L48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5">
      <c r="A485" s="5" t="str">
        <f>IFERROR(__xludf.DUMMYFUNCTION("""COMPUTED_VALUE"""),"4690612042329-1")</f>
        <v>4690612042329-1</v>
      </c>
      <c r="B485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IFERROR(__xludf.DUMMYFUNCTION("""COMPUTED_VALUE"""),553.84)</f>
        <v>553.84</v>
      </c>
      <c r="F485" s="2">
        <f>IFERROR(__xludf.DUMMYFUNCTION("""COMPUTED_VALUE"""),608.0)</f>
        <v>608</v>
      </c>
      <c r="G485" s="2">
        <f>IFERROR(__xludf.DUMMYFUNCTION("""COMPUTED_VALUE"""),709.0)</f>
        <v>709</v>
      </c>
      <c r="H485" s="2">
        <f>IFERROR(__xludf.DUMMYFUNCTION("""COMPUTED_VALUE"""),797.0)</f>
        <v>797</v>
      </c>
      <c r="I485" s="2">
        <f>IFERROR(__xludf.DUMMYFUNCTION("""COMPUTED_VALUE"""),886.0)</f>
        <v>886</v>
      </c>
      <c r="J485" s="2">
        <f>IFERROR(__xludf.DUMMYFUNCTION("""COMPUTED_VALUE"""),443.0)</f>
        <v>443</v>
      </c>
      <c r="K485" s="2">
        <f>IFERROR(__xludf.DUMMYFUNCTION("""COMPUTED_VALUE"""),15.0)</f>
        <v>15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5" t="str">
        <f>IFERROR(__xludf.DUMMYFUNCTION("""COMPUTED_VALUE"""),"V90491")</f>
        <v>V90491</v>
      </c>
      <c r="B486" s="5" t="str">
        <f>IFERROR(__xludf.DUMMYFUNCTION("""COMPUTED_VALUE"""),"VRN-UNE-160D-G40K67-UV, 160Вт, Галочка")</f>
        <v>VRN-UNE-160D-G40K67-UV, 160Вт, Галочка</v>
      </c>
      <c r="C486" s="2">
        <f>IFERROR(__xludf.DUMMYFUNCTION("""COMPUTED_VALUE"""),3.5)</f>
        <v>3.5</v>
      </c>
      <c r="D486" s="2">
        <f>IFERROR(__xludf.DUMMYFUNCTION("""COMPUTED_VALUE"""),0.0366)</f>
        <v>0.0366</v>
      </c>
      <c r="E486" s="2">
        <f>IFERROR(__xludf.DUMMYFUNCTION("""COMPUTED_VALUE"""),7000.0)</f>
        <v>7000</v>
      </c>
      <c r="F486" s="2">
        <f>IFERROR(__xludf.DUMMYFUNCTION("""COMPUTED_VALUE"""),7855.0)</f>
        <v>7855</v>
      </c>
      <c r="G486" s="2">
        <f>IFERROR(__xludf.DUMMYFUNCTION("""COMPUTED_VALUE"""),10212.0)</f>
        <v>10212</v>
      </c>
      <c r="H486" s="2">
        <f>IFERROR(__xludf.DUMMYFUNCTION("""COMPUTED_VALUE"""),10722.0)</f>
        <v>10722</v>
      </c>
      <c r="I486" s="2">
        <f>IFERROR(__xludf.DUMMYFUNCTION("""COMPUTED_VALUE"""),11233.0)</f>
        <v>11233</v>
      </c>
      <c r="J486" s="2">
        <f>IFERROR(__xludf.DUMMYFUNCTION("""COMPUTED_VALUE"""),5617.0)</f>
        <v>5617</v>
      </c>
      <c r="K486" s="2">
        <f>IFERROR(__xludf.DUMMYFUNCTION("""COMPUTED_VALUE"""),1.0)</f>
        <v>1</v>
      </c>
      <c r="L486" s="2" t="str">
        <f>IFERROR(__xludf.DUMMYFUNCTION("""COMPUTED_VALUE"""),"Универсал Эконом")</f>
        <v>Универсал Эконом</v>
      </c>
      <c r="M4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7">
      <c r="A487" s="5" t="str">
        <f>IFERROR(__xludf.DUMMYFUNCTION("""COMPUTED_VALUE"""),"4690612051987")</f>
        <v>4690612051987</v>
      </c>
      <c r="B487" s="5" t="str">
        <f>IFERROR(__xludf.DUMMYFUNCTION("""COMPUTED_VALUE"""),"ДБУ ROMB-1230BL 12Вт 3000К IP54 черный IN HOME")</f>
        <v>ДБУ ROMB-1230BL 12Вт 3000К IP54 черный IN HOME</v>
      </c>
      <c r="C487" s="2">
        <f>IFERROR(__xludf.DUMMYFUNCTION("""COMPUTED_VALUE"""),0.388)</f>
        <v>0.388</v>
      </c>
      <c r="D487" s="2">
        <f>IFERROR(__xludf.DUMMYFUNCTION("""COMPUTED_VALUE"""),0.00233)</f>
        <v>0.00233</v>
      </c>
      <c r="E487" s="2">
        <f>IFERROR(__xludf.DUMMYFUNCTION("""COMPUTED_VALUE"""),754.2)</f>
        <v>754.2</v>
      </c>
      <c r="F487" s="2">
        <f>IFERROR(__xludf.DUMMYFUNCTION("""COMPUTED_VALUE"""),817.0)</f>
        <v>817</v>
      </c>
      <c r="G487" s="2">
        <f>IFERROR(__xludf.DUMMYFUNCTION("""COMPUTED_VALUE"""),920.0)</f>
        <v>920</v>
      </c>
      <c r="H487" s="2">
        <f>IFERROR(__xludf.DUMMYFUNCTION("""COMPUTED_VALUE"""),1067.0)</f>
        <v>1067</v>
      </c>
      <c r="I487" s="2">
        <f>IFERROR(__xludf.DUMMYFUNCTION("""COMPUTED_VALUE"""),1226.0)</f>
        <v>1226</v>
      </c>
      <c r="J487" s="2">
        <f>IFERROR(__xludf.DUMMYFUNCTION("""COMPUTED_VALUE"""),613.0)</f>
        <v>613</v>
      </c>
      <c r="K487" s="2">
        <f>IFERROR(__xludf.DUMMYFUNCTION("""COMPUTED_VALUE"""),11.0)</f>
        <v>11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IFERROR(__xludf.DUMMYFUNCTION("""COMPUTED_VALUE"""),"4690612008431")</f>
        <v>4690612008431</v>
      </c>
      <c r="B488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8" s="2">
        <f>IFERROR(__xludf.DUMMYFUNCTION("""COMPUTED_VALUE"""),0.05300000000000001)</f>
        <v>0.053</v>
      </c>
      <c r="D488" s="2">
        <f>IFERROR(__xludf.DUMMYFUNCTION("""COMPUTED_VALUE"""),2.5E-4)</f>
        <v>0.00025</v>
      </c>
      <c r="E488" s="2">
        <f>IFERROR(__xludf.DUMMYFUNCTION("""COMPUTED_VALUE"""),42.73)</f>
        <v>42.73</v>
      </c>
      <c r="F488" s="2">
        <f>IFERROR(__xludf.DUMMYFUNCTION("""COMPUTED_VALUE"""),47.0)</f>
        <v>47</v>
      </c>
      <c r="G488" s="2">
        <f>IFERROR(__xludf.DUMMYFUNCTION("""COMPUTED_VALUE"""),53.0)</f>
        <v>53</v>
      </c>
      <c r="H488" s="2">
        <f>IFERROR(__xludf.DUMMYFUNCTION("""COMPUTED_VALUE"""),62.0)</f>
        <v>62</v>
      </c>
      <c r="I488" s="2">
        <f>IFERROR(__xludf.DUMMYFUNCTION("""COMPUTED_VALUE"""),71.0)</f>
        <v>71</v>
      </c>
      <c r="J488" s="2">
        <f>IFERROR(__xludf.DUMMYFUNCTION("""COMPUTED_VALUE"""),36.0)</f>
        <v>36</v>
      </c>
      <c r="K488" s="2">
        <f>IFERROR(__xludf.DUMMYFUNCTION("""COMPUTED_VALUE"""),2.0)</f>
        <v>2</v>
      </c>
      <c r="L488" s="2" t="str">
        <f>IFERROR(__xludf.DUMMYFUNCTION("""COMPUTED_VALUE"""),"Под лампу GX53")</f>
        <v>Под лампу GX53</v>
      </c>
      <c r="M48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9">
      <c r="A489" s="5" t="str">
        <f>IFERROR(__xludf.DUMMYFUNCTION("""COMPUTED_VALUE"""),"4690612020495")</f>
        <v>4690612020495</v>
      </c>
      <c r="B489" s="5" t="str">
        <f>IFERROR(__xludf.DUMMYFUNCTION("""COMPUTED_VALUE"""),"LED-СВЕЧА-VC 11Вт 230В Е27 4000К 1050Лм IN HOME")</f>
        <v>LED-СВЕЧА-VC 11Вт 230В Е27 4000К 1050Лм IN HOME</v>
      </c>
      <c r="C489" s="2">
        <f>IFERROR(__xludf.DUMMYFUNCTION("""COMPUTED_VALUE"""),0.036)</f>
        <v>0.036</v>
      </c>
      <c r="D489" s="2">
        <f>IFERROR(__xludf.DUMMYFUNCTION("""COMPUTED_VALUE"""),1.9E-4)</f>
        <v>0.00019</v>
      </c>
      <c r="E489" s="2">
        <f>IFERROR(__xludf.DUMMYFUNCTION("""COMPUTED_VALUE"""),40.2)</f>
        <v>40.2</v>
      </c>
      <c r="F489" s="2">
        <f>IFERROR(__xludf.DUMMYFUNCTION("""COMPUTED_VALUE"""),46.0)</f>
        <v>46</v>
      </c>
      <c r="G489" s="2">
        <f>IFERROR(__xludf.DUMMYFUNCTION("""COMPUTED_VALUE"""),52.0)</f>
        <v>52</v>
      </c>
      <c r="H489" s="2">
        <f>IFERROR(__xludf.DUMMYFUNCTION("""COMPUTED_VALUE"""),60.0)</f>
        <v>60</v>
      </c>
      <c r="I489" s="2">
        <f>IFERROR(__xludf.DUMMYFUNCTION("""COMPUTED_VALUE"""),69.8)</f>
        <v>69.8</v>
      </c>
      <c r="J489" s="2">
        <f>IFERROR(__xludf.DUMMYFUNCTION("""COMPUTED_VALUE"""),35.0)</f>
        <v>35</v>
      </c>
      <c r="K489" s="2">
        <f>IFERROR(__xludf.DUMMYFUNCTION("""COMPUTED_VALUE"""),12.0)</f>
        <v>12</v>
      </c>
      <c r="L489" s="2" t="str">
        <f>IFERROR(__xludf.DUMMYFUNCTION("""COMPUTED_VALUE"""),"Лампа светодиодная LED-СВЕЧА-standard")</f>
        <v>Лампа светодиодная LED-СВЕЧА-standard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IFERROR(__xludf.DUMMYFUNCTION("""COMPUTED_VALUE"""),"4690612033853")</f>
        <v>4690612033853</v>
      </c>
      <c r="B490" s="5" t="str">
        <f>IFERROR(__xludf.DUMMYFUNCTION("""COMPUTED_VALUE"""),"ДД 009 1200Вт 180 гр.12м IP44 белый IN HOME")</f>
        <v>ДД 009 1200Вт 180 гр.12м IP44 белый IN HOME</v>
      </c>
      <c r="C490" s="2">
        <f>IFERROR(__xludf.DUMMYFUNCTION("""COMPUTED_VALUE"""),0.184)</f>
        <v>0.184</v>
      </c>
      <c r="D490" s="2">
        <f>IFERROR(__xludf.DUMMYFUNCTION("""COMPUTED_VALUE"""),8.0E-4)</f>
        <v>0.0008</v>
      </c>
      <c r="E490" s="2">
        <f>IFERROR(__xludf.DUMMYFUNCTION("""COMPUTED_VALUE"""),260.5)</f>
        <v>260.5</v>
      </c>
      <c r="F490" s="2">
        <f>IFERROR(__xludf.DUMMYFUNCTION("""COMPUTED_VALUE"""),397.0)</f>
        <v>397</v>
      </c>
      <c r="G490" s="2">
        <f>IFERROR(__xludf.DUMMYFUNCTION("""COMPUTED_VALUE"""),446.0)</f>
        <v>446</v>
      </c>
      <c r="H490" s="2">
        <f>IFERROR(__xludf.DUMMYFUNCTION("""COMPUTED_VALUE"""),518.0)</f>
        <v>518</v>
      </c>
      <c r="I490" s="2">
        <f>IFERROR(__xludf.DUMMYFUNCTION("""COMPUTED_VALUE"""),595.0)</f>
        <v>595</v>
      </c>
      <c r="J490" s="2">
        <f>IFERROR(__xludf.DUMMYFUNCTION("""COMPUTED_VALUE"""),261.0)</f>
        <v>261</v>
      </c>
      <c r="K490" s="2">
        <f>IFERROR(__xludf.DUMMYFUNCTION("""COMPUTED_VALUE"""),1.0)</f>
        <v>1</v>
      </c>
      <c r="L490" s="2" t="str">
        <f>IFERROR(__xludf.DUMMYFUNCTION("""COMPUTED_VALUE"""),"ASD Комплектующие")</f>
        <v>ASD Комплектующие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IFERROR(__xludf.DUMMYFUNCTION("""COMPUTED_VALUE"""),"GL8361")</f>
        <v>GL8361</v>
      </c>
      <c r="B491" s="5" t="str">
        <f>IFERROR(__xludf.DUMMYFUNCTION("""COMPUTED_VALUE"""),"GLERIO Line Fito+ 24 Вт 4000К 97P-24D-4P-P")</f>
        <v>GLERIO Line Fito+ 24 Вт 4000К 97P-24D-4P-P</v>
      </c>
      <c r="C491" s="2">
        <f>IFERROR(__xludf.DUMMYFUNCTION("""COMPUTED_VALUE"""),1.575)</f>
        <v>1.575</v>
      </c>
      <c r="D491" s="2">
        <f>IFERROR(__xludf.DUMMYFUNCTION("""COMPUTED_VALUE"""),0.004410000000000001)</f>
        <v>0.00441</v>
      </c>
      <c r="E491" s="2">
        <f>IFERROR(__xludf.DUMMYFUNCTION("""COMPUTED_VALUE"""),1940.0)</f>
        <v>1940</v>
      </c>
      <c r="F491" s="2">
        <f>IFERROR(__xludf.DUMMYFUNCTION("""COMPUTED_VALUE"""),2470.0)</f>
        <v>2470</v>
      </c>
      <c r="G491" s="2">
        <f>IFERROR(__xludf.DUMMYFUNCTION("""COMPUTED_VALUE"""),3110.0)</f>
        <v>3110</v>
      </c>
      <c r="H491" s="2">
        <f>IFERROR(__xludf.DUMMYFUNCTION("""COMPUTED_VALUE"""),3492.0)</f>
        <v>3492</v>
      </c>
      <c r="I491" s="2">
        <f>IFERROR(__xludf.DUMMYFUNCTION("""COMPUTED_VALUE"""),3875.0)</f>
        <v>3875</v>
      </c>
      <c r="J491" s="2">
        <f>IFERROR(__xludf.DUMMYFUNCTION("""COMPUTED_VALUE"""),1938.0)</f>
        <v>1938</v>
      </c>
      <c r="K491" s="2">
        <f>IFERROR(__xludf.DUMMYFUNCTION("""COMPUTED_VALUE"""),1.0)</f>
        <v>1</v>
      </c>
      <c r="L491" s="2" t="str">
        <f>IFERROR(__xludf.DUMMYFUNCTION("""COMPUTED_VALUE"""),"Line Fito до 10.2025")</f>
        <v>Line Fito до 10.2025</v>
      </c>
      <c r="M49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2">
      <c r="A492" s="5" t="str">
        <f>IFERROR(__xludf.DUMMYFUNCTION("""COMPUTED_VALUE"""),"13-2060")</f>
        <v>13-2060</v>
      </c>
      <c r="B492" s="5" t="str">
        <f>IFERROR(__xludf.DUMMYFUNCTION("""COMPUTED_VALUE"""),"Профессиональный мультиметр MS8265 MASTECH")</f>
        <v>Профессиональный мультиметр MS8265 MASTECH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IFERROR(__xludf.DUMMYFUNCTION("""COMPUTED_VALUE"""),6300.0)</f>
        <v>6300</v>
      </c>
      <c r="G492" s="2">
        <f>IFERROR(__xludf.DUMMYFUNCTION("""COMPUTED_VALUE"""),6720.0)</f>
        <v>6720</v>
      </c>
      <c r="H492" s="2">
        <f>IFERROR(__xludf.DUMMYFUNCTION("""COMPUTED_VALUE"""),7560.0)</f>
        <v>7560</v>
      </c>
      <c r="I492" s="2">
        <f>IFERROR(__xludf.DUMMYFUNCTION("""COMPUTED_VALUE"""),8400.5)</f>
        <v>8400.5</v>
      </c>
      <c r="J492" s="2">
        <f>IFERROR(__xludf.DUMMYFUNCTION("""COMPUTED_VALUE"""),6720.0)</f>
        <v>6720</v>
      </c>
      <c r="K492" s="2">
        <f>IFERROR(__xludf.DUMMYFUNCTION("""COMPUTED_VALUE"""),1.0)</f>
        <v>1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IFERROR(__xludf.DUMMYFUNCTION("""COMPUTED_VALUE"""),"14690612042708")</f>
        <v>14690612042708</v>
      </c>
      <c r="B493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IFERROR(__xludf.DUMMYFUNCTION("""COMPUTED_VALUE"""),2223.28)</f>
        <v>2223.28</v>
      </c>
      <c r="F493" s="2">
        <f>IFERROR(__xludf.DUMMYFUNCTION("""COMPUTED_VALUE"""),2439.0)</f>
        <v>2439</v>
      </c>
      <c r="G493" s="2">
        <f>IFERROR(__xludf.DUMMYFUNCTION("""COMPUTED_VALUE"""),2846.0)</f>
        <v>2846</v>
      </c>
      <c r="H493" s="2">
        <f>IFERROR(__xludf.DUMMYFUNCTION("""COMPUTED_VALUE"""),3201.0)</f>
        <v>3201</v>
      </c>
      <c r="I493" s="2">
        <f>IFERROR(__xludf.DUMMYFUNCTION("""COMPUTED_VALUE"""),3557.0)</f>
        <v>3557</v>
      </c>
      <c r="J493" s="2">
        <f>IFERROR(__xludf.DUMMYFUNCTION("""COMPUTED_VALUE"""),1779.0)</f>
        <v>1779</v>
      </c>
      <c r="K493" s="2">
        <f>IFERROR(__xludf.DUMMYFUNCTION("""COMPUTED_VALUE"""),8.0)</f>
        <v>8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IFERROR(__xludf.DUMMYFUNCTION("""COMPUTED_VALUE"""),"GL8271")</f>
        <v>GL8271</v>
      </c>
      <c r="B494" s="5" t="str">
        <f>IFERROR(__xludf.DUMMYFUNCTION("""COMPUTED_VALUE"""),"GLERIO Line Free 36 Вт 4000К 93P-36D-4P-P")</f>
        <v>GLERIO Line Free 36 Вт 4000К 93P-36D-4P-P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IFERROR(__xludf.DUMMYFUNCTION("""COMPUTED_VALUE"""),1.0)</f>
        <v>1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5" t="str">
        <f>IFERROR(__xludf.DUMMYFUNCTION("""COMPUTED_VALUE"""),"V9047")</f>
        <v>V9047</v>
      </c>
      <c r="B495" s="5" t="str">
        <f>IFERROR(__xludf.DUMMYFUNCTION("""COMPUTED_VALUE"""),"VRN-UNE-64D-G40K67-UV, 64Вт, Галочка")</f>
        <v>VRN-UNE-64D-G40K67-UV, 64Вт, Галочка</v>
      </c>
      <c r="C495" s="2">
        <f>IFERROR(__xludf.DUMMYFUNCTION("""COMPUTED_VALUE"""),2.0)</f>
        <v>2</v>
      </c>
      <c r="D495" s="2">
        <f>IFERROR(__xludf.DUMMYFUNCTION("""COMPUTED_VALUE"""),0.00842)</f>
        <v>0.00842</v>
      </c>
      <c r="E495" s="2">
        <f>IFERROR(__xludf.DUMMYFUNCTION("""COMPUTED_VALUE"""),3683.0)</f>
        <v>3683</v>
      </c>
      <c r="F495" s="2">
        <f>IFERROR(__xludf.DUMMYFUNCTION("""COMPUTED_VALUE"""),4050.0)</f>
        <v>4050</v>
      </c>
      <c r="G495" s="2">
        <f>IFERROR(__xludf.DUMMYFUNCTION("""COMPUTED_VALUE"""),5265.0)</f>
        <v>5265</v>
      </c>
      <c r="H495" s="2">
        <f>IFERROR(__xludf.DUMMYFUNCTION("""COMPUTED_VALUE"""),5528.0)</f>
        <v>5528</v>
      </c>
      <c r="I495" s="2">
        <f>IFERROR(__xludf.DUMMYFUNCTION("""COMPUTED_VALUE"""),5792.0)</f>
        <v>5792</v>
      </c>
      <c r="J495" s="2">
        <f>IFERROR(__xludf.DUMMYFUNCTION("""COMPUTED_VALUE"""),5792.0)</f>
        <v>5792</v>
      </c>
      <c r="K495" s="2">
        <f>IFERROR(__xludf.DUMMYFUNCTION("""COMPUTED_VALUE"""),1.0)</f>
        <v>1</v>
      </c>
      <c r="L495" s="2" t="str">
        <f>IFERROR(__xludf.DUMMYFUNCTION("""COMPUTED_VALUE"""),"Универсал Эконом")</f>
        <v>Универсал Эконом</v>
      </c>
      <c r="M4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6">
      <c r="A496" s="5" t="str">
        <f>IFERROR(__xludf.DUMMYFUNCTION("""COMPUTED_VALUE"""),"4690626002869")</f>
        <v>4690626002869</v>
      </c>
      <c r="B496" s="5" t="str">
        <f>IFERROR(__xludf.DUMMYFUNCTION("""COMPUTED_VALUE"""),"SBL-UFO-18-4K-E27")</f>
        <v>SBL-UFO-18-4K-E27</v>
      </c>
      <c r="C496" s="2">
        <f>IFERROR(__xludf.DUMMYFUNCTION("""COMPUTED_VALUE"""),0.2)</f>
        <v>0.2</v>
      </c>
      <c r="D496" s="2">
        <f>IFERROR(__xludf.DUMMYFUNCTION("""COMPUTED_VALUE"""),0.00211)</f>
        <v>0.00211</v>
      </c>
      <c r="E496" s="2">
        <f>IFERROR(__xludf.DUMMYFUNCTION("""COMPUTED_VALUE"""),176.98)</f>
        <v>176.98</v>
      </c>
      <c r="F496" s="2">
        <f>IFERROR(__xludf.DUMMYFUNCTION("""COMPUTED_VALUE"""),203.0)</f>
        <v>203</v>
      </c>
      <c r="G496" s="2">
        <f>IFERROR(__xludf.DUMMYFUNCTION("""COMPUTED_VALUE"""),223.0)</f>
        <v>223</v>
      </c>
      <c r="H496" s="2">
        <f>IFERROR(__xludf.DUMMYFUNCTION("""COMPUTED_VALUE"""),248.0)</f>
        <v>248</v>
      </c>
      <c r="I496" s="2">
        <f>IFERROR(__xludf.DUMMYFUNCTION("""COMPUTED_VALUE"""),273.0)</f>
        <v>273</v>
      </c>
      <c r="J496" s="2">
        <f>IFERROR(__xludf.DUMMYFUNCTION("""COMPUTED_VALUE"""),137.0)</f>
        <v>137</v>
      </c>
      <c r="K496" s="2">
        <f>IFERROR(__xludf.DUMMYFUNCTION("""COMPUTED_VALUE"""),7.0)</f>
        <v>7</v>
      </c>
      <c r="L496" s="2" t="str">
        <f>IFERROR(__xludf.DUMMYFUNCTION("""COMPUTED_VALUE"""),"Smartbuy лампы LED")</f>
        <v>Smartbuy лампы LED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IFERROR(__xludf.DUMMYFUNCTION("""COMPUTED_VALUE"""),"4690612035406")</f>
        <v>4690612035406</v>
      </c>
      <c r="B497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7" s="2">
        <f>IFERROR(__xludf.DUMMYFUNCTION("""COMPUTED_VALUE"""),2.24)</f>
        <v>2.24</v>
      </c>
      <c r="D497" s="2">
        <f>IFERROR(__xludf.DUMMYFUNCTION("""COMPUTED_VALUE"""),0.012)</f>
        <v>0.012</v>
      </c>
      <c r="E497" s="2">
        <f>IFERROR(__xludf.DUMMYFUNCTION("""COMPUTED_VALUE"""),3856.6)</f>
        <v>3856.6</v>
      </c>
      <c r="F497" s="2">
        <f>IFERROR(__xludf.DUMMYFUNCTION("""COMPUTED_VALUE"""),2482.0)</f>
        <v>2482</v>
      </c>
      <c r="G497" s="2">
        <f>IFERROR(__xludf.DUMMYFUNCTION("""COMPUTED_VALUE"""),2792.0)</f>
        <v>2792</v>
      </c>
      <c r="H497" s="2">
        <f>IFERROR(__xludf.DUMMYFUNCTION("""COMPUTED_VALUE"""),3239.0)</f>
        <v>3239</v>
      </c>
      <c r="I497" s="2">
        <f>IFERROR(__xludf.DUMMYFUNCTION("""COMPUTED_VALUE"""),3723.0)</f>
        <v>3723</v>
      </c>
      <c r="J497" s="2">
        <f>IFERROR(__xludf.DUMMYFUNCTION("""COMPUTED_VALUE"""),1862.0)</f>
        <v>1862</v>
      </c>
      <c r="K497" s="2">
        <f>IFERROR(__xludf.DUMMYFUNCTION("""COMPUTED_VALUE"""),5.0)</f>
        <v>5</v>
      </c>
      <c r="L497" s="2" t="str">
        <f>IFERROR(__xludf.DUMMYFUNCTION("""COMPUTED_VALUE"""),"Светильники светодиодные серии ELEGANT IN HOME")</f>
        <v>Светильники светодиодные серии ELEGANT IN HOME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IFERROR(__xludf.DUMMYFUNCTION("""COMPUTED_VALUE"""),"ves018")</f>
        <v>ves018</v>
      </c>
      <c r="B498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IFERROR(__xludf.DUMMYFUNCTION("""COMPUTED_VALUE"""),207.97)</f>
        <v>207.97</v>
      </c>
      <c r="F498" s="2">
        <f>IFERROR(__xludf.DUMMYFUNCTION("""COMPUTED_VALUE"""),218.0)</f>
        <v>218</v>
      </c>
      <c r="G498" s="2">
        <f>IFERROR(__xludf.DUMMYFUNCTION("""COMPUTED_VALUE"""),232.0)</f>
        <v>232</v>
      </c>
      <c r="H498" s="2">
        <f>IFERROR(__xludf.DUMMYFUNCTION("""COMPUTED_VALUE"""),261.0)</f>
        <v>261</v>
      </c>
      <c r="I498" s="2">
        <f>IFERROR(__xludf.DUMMYFUNCTION("""COMPUTED_VALUE"""),290.0)</f>
        <v>290</v>
      </c>
      <c r="J498" s="2">
        <f>IFERROR(__xludf.DUMMYFUNCTION("""COMPUTED_VALUE"""),145.0)</f>
        <v>145</v>
      </c>
      <c r="K498" s="2">
        <f>IFERROR(__xludf.DUMMYFUNCTION("""COMPUTED_VALUE"""),2.0)</f>
        <v>2</v>
      </c>
      <c r="L498" s="2" t="str">
        <f>IFERROR(__xludf.DUMMYFUNCTION("""COMPUTED_VALUE"""),"ves")</f>
        <v>ves</v>
      </c>
      <c r="M498" s="2" t="str">
        <f>IFERROR(__xludf.DUMMYFUNCTION("""COMPUTED_VALUE"""),"LED Светильники")</f>
        <v>LED Светильники</v>
      </c>
    </row>
    <row r="499">
      <c r="A499" s="5" t="str">
        <f>IFERROR(__xludf.DUMMYFUNCTION("""COMPUTED_VALUE"""),"4690612056135")</f>
        <v>4690612056135</v>
      </c>
      <c r="B499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9" s="2">
        <f>IFERROR(__xludf.DUMMYFUNCTION("""COMPUTED_VALUE"""),0.62)</f>
        <v>0.62</v>
      </c>
      <c r="D499" s="2">
        <f>IFERROR(__xludf.DUMMYFUNCTION("""COMPUTED_VALUE"""),0.00174)</f>
        <v>0.00174</v>
      </c>
      <c r="E499" s="2">
        <f>IFERROR(__xludf.DUMMYFUNCTION("""COMPUTED_VALUE"""),1.0)</f>
        <v>1</v>
      </c>
      <c r="F499" s="2">
        <f>IFERROR(__xludf.DUMMYFUNCTION("""COMPUTED_VALUE"""),1041.0)</f>
        <v>1041</v>
      </c>
      <c r="G499" s="2">
        <f>IFERROR(__xludf.DUMMYFUNCTION("""COMPUTED_VALUE"""),1171.0)</f>
        <v>1171</v>
      </c>
      <c r="H499" s="2">
        <f>IFERROR(__xludf.DUMMYFUNCTION("""COMPUTED_VALUE"""),1358.0)</f>
        <v>1358</v>
      </c>
      <c r="I499" s="2">
        <f>IFERROR(__xludf.DUMMYFUNCTION("""COMPUTED_VALUE"""),1561.0)</f>
        <v>1561</v>
      </c>
      <c r="J499" s="2">
        <f>IFERROR(__xludf.DUMMYFUNCTION("""COMPUTED_VALUE"""),781.0)</f>
        <v>781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уличные ДБУ")</f>
        <v>Светильники светодиодные уличные ДБУ</v>
      </c>
      <c r="M49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0">
      <c r="A500" s="5" t="str">
        <f>IFERROR(__xludf.DUMMYFUNCTION("""COMPUTED_VALUE"""),"4690612022239")</f>
        <v>4690612022239</v>
      </c>
      <c r="B500" s="5" t="str">
        <f>IFERROR(__xludf.DUMMYFUNCTION("""COMPUTED_VALUE"""),"DECO 18Вт 230В 6500К 1170Лм 230х55мм СОЗВЕЗДИЕ IN HOME")</f>
        <v>DECO 18Вт 230В 6500К 1170Лм 230х55мм СОЗВЕЗДИЕ IN HOME</v>
      </c>
      <c r="C500" s="2">
        <f>IFERROR(__xludf.DUMMYFUNCTION("""COMPUTED_VALUE"""),0.30833)</f>
        <v>0.30833</v>
      </c>
      <c r="D500" s="2">
        <f>IFERROR(__xludf.DUMMYFUNCTION("""COMPUTED_VALUE"""),0.00417)</f>
        <v>0.00417</v>
      </c>
      <c r="E500" s="2">
        <f>IFERROR(__xludf.DUMMYFUNCTION("""COMPUTED_VALUE"""),296.21)</f>
        <v>296.21</v>
      </c>
      <c r="F500" s="2">
        <f>IFERROR(__xludf.DUMMYFUNCTION("""COMPUTED_VALUE"""),365.0)</f>
        <v>365</v>
      </c>
      <c r="G500" s="2">
        <f>IFERROR(__xludf.DUMMYFUNCTION("""COMPUTED_VALUE"""),411.0)</f>
        <v>411</v>
      </c>
      <c r="H500" s="2">
        <f>IFERROR(__xludf.DUMMYFUNCTION("""COMPUTED_VALUE"""),477.0)</f>
        <v>477</v>
      </c>
      <c r="I500" s="2">
        <f>IFERROR(__xludf.DUMMYFUNCTION("""COMPUTED_VALUE"""),548.0)</f>
        <v>548</v>
      </c>
      <c r="J500" s="2">
        <f>IFERROR(__xludf.DUMMYFUNCTION("""COMPUTED_VALUE"""),274.0)</f>
        <v>274</v>
      </c>
      <c r="K500" s="2">
        <f>IFERROR(__xludf.DUMMYFUNCTION("""COMPUTED_VALUE"""),11.0)</f>
        <v>11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5" t="str">
        <f>IFERROR(__xludf.DUMMYFUNCTION("""COMPUTED_VALUE"""),"4260652195332")</f>
        <v>4260652195332</v>
      </c>
      <c r="B501" s="5" t="str">
        <f>IFERROR(__xludf.DUMMYFUNCTION("""COMPUTED_VALUE"""),"WTL-PI/02W")</f>
        <v>WTL-PI/02W</v>
      </c>
      <c r="C501" s="2">
        <f>IFERROR(__xludf.DUMMYFUNCTION("""COMPUTED_VALUE"""),0.056)</f>
        <v>0.056</v>
      </c>
      <c r="D501" s="2">
        <f>IFERROR(__xludf.DUMMYFUNCTION("""COMPUTED_VALUE"""),2.5E-4)</f>
        <v>0.00025</v>
      </c>
      <c r="E501" s="2">
        <f>IFERROR(__xludf.DUMMYFUNCTION("""COMPUTED_VALUE"""),91.3)</f>
        <v>91.3</v>
      </c>
      <c r="F501" s="2">
        <f>IFERROR(__xludf.DUMMYFUNCTION("""COMPUTED_VALUE"""),113.0)</f>
        <v>113</v>
      </c>
      <c r="G501" s="2">
        <f>IFERROR(__xludf.DUMMYFUNCTION("""COMPUTED_VALUE"""),117.0)</f>
        <v>117</v>
      </c>
      <c r="H501" s="2">
        <f>IFERROR(__xludf.DUMMYFUNCTION("""COMPUTED_VALUE"""),154.0)</f>
        <v>154</v>
      </c>
      <c r="I501" s="2">
        <f>IFERROR(__xludf.DUMMYFUNCTION("""COMPUTED_VALUE"""),192.0)</f>
        <v>192</v>
      </c>
      <c r="J501" s="2">
        <f>IFERROR(__xludf.DUMMYFUNCTION("""COMPUTED_VALUE"""),96.0)</f>
        <v>96</v>
      </c>
      <c r="K501" s="2">
        <f>IFERROR(__xludf.DUMMYFUNCTION("""COMPUTED_VALUE"""),4.0)</f>
        <v>4</v>
      </c>
      <c r="L501" s="2" t="str">
        <f>IFERROR(__xludf.DUMMYFUNCTION("""COMPUTED_VALUE"""),"Wolta трековые")</f>
        <v>Wolta трековые</v>
      </c>
      <c r="M501" s="2" t="str">
        <f>IFERROR(__xludf.DUMMYFUNCTION("""COMPUTED_VALUE"""),"Трековые, LED Светильники")</f>
        <v>Трековые, LED Светильники</v>
      </c>
    </row>
    <row r="502">
      <c r="A502" s="5" t="str">
        <f>IFERROR(__xludf.DUMMYFUNCTION("""COMPUTED_VALUE"""),"GL8270")</f>
        <v>GL8270</v>
      </c>
      <c r="B502" s="5" t="str">
        <f>IFERROR(__xludf.DUMMYFUNCTION("""COMPUTED_VALUE"""),"GLERIO Line Free 36 Вт 4000К 93P-36D-4P-M")</f>
        <v>GLERIO Line Free 36 Вт 4000К 93P-36D-4P-M</v>
      </c>
      <c r="C502" s="2">
        <f>IFERROR(__xludf.DUMMYFUNCTION("""COMPUTED_VALUE"""),0.5)</f>
        <v>0.5</v>
      </c>
      <c r="D502" s="2">
        <f>IFERROR(__xludf.DUMMYFUNCTION("""COMPUTED_VALUE"""),0.00396)</f>
        <v>0.00396</v>
      </c>
      <c r="E502" s="2">
        <f>IFERROR(__xludf.DUMMYFUNCTION("""COMPUTED_VALUE"""),1687.8)</f>
        <v>1687.8</v>
      </c>
      <c r="F502" s="2">
        <f>IFERROR(__xludf.DUMMYFUNCTION("""COMPUTED_VALUE"""),2150.0)</f>
        <v>2150</v>
      </c>
      <c r="G502" s="2">
        <f>IFERROR(__xludf.DUMMYFUNCTION("""COMPUTED_VALUE"""),2707.0)</f>
        <v>2707</v>
      </c>
      <c r="H502" s="2">
        <f>IFERROR(__xludf.DUMMYFUNCTION("""COMPUTED_VALUE"""),3040.0)</f>
        <v>3040</v>
      </c>
      <c r="I502" s="2">
        <f>IFERROR(__xludf.DUMMYFUNCTION("""COMPUTED_VALUE"""),3373.0)</f>
        <v>3373</v>
      </c>
      <c r="J502" s="2">
        <f>IFERROR(__xludf.DUMMYFUNCTION("""COMPUTED_VALUE"""),1687.0)</f>
        <v>1687</v>
      </c>
      <c r="K502" s="2">
        <f>IFERROR(__xludf.DUMMYFUNCTION("""COMPUTED_VALUE"""),2.0)</f>
        <v>2</v>
      </c>
      <c r="L502" s="2" t="str">
        <f>IFERROR(__xludf.DUMMYFUNCTION("""COMPUTED_VALUE"""),"Line Shell, Free (Retail) до 10.2025")</f>
        <v>Line Shell, Free (Retail) до 10.2025</v>
      </c>
      <c r="M502" s="2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5" t="str">
        <f>IFERROR(__xludf.DUMMYFUNCTION("""COMPUTED_VALUE"""),"4690612031002")</f>
        <v>4690612031002</v>
      </c>
      <c r="B503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3" s="2">
        <f>IFERROR(__xludf.DUMMYFUNCTION("""COMPUTED_VALUE"""),0.188)</f>
        <v>0.188</v>
      </c>
      <c r="D503" s="2">
        <f>IFERROR(__xludf.DUMMYFUNCTION("""COMPUTED_VALUE"""),0.00144)</f>
        <v>0.00144</v>
      </c>
      <c r="E503" s="2">
        <f>IFERROR(__xludf.DUMMYFUNCTION("""COMPUTED_VALUE"""),84.0)</f>
        <v>84</v>
      </c>
      <c r="F503" s="2">
        <f>IFERROR(__xludf.DUMMYFUNCTION("""COMPUTED_VALUE"""),109.0)</f>
        <v>109</v>
      </c>
      <c r="G503" s="2">
        <f>IFERROR(__xludf.DUMMYFUNCTION("""COMPUTED_VALUE"""),123.0)</f>
        <v>123</v>
      </c>
      <c r="H503" s="2">
        <f>IFERROR(__xludf.DUMMYFUNCTION("""COMPUTED_VALUE"""),143.0)</f>
        <v>143</v>
      </c>
      <c r="I503" s="2">
        <f>IFERROR(__xludf.DUMMYFUNCTION("""COMPUTED_VALUE"""),164.4)</f>
        <v>164.4</v>
      </c>
      <c r="J503" s="2">
        <f>IFERROR(__xludf.DUMMYFUNCTION("""COMPUTED_VALUE"""),82.0)</f>
        <v>82</v>
      </c>
      <c r="K503" s="2">
        <f>IFERROR(__xludf.DUMMYFUNCTION("""COMPUTED_VALUE"""),25.0)</f>
        <v>25</v>
      </c>
      <c r="L503" s="2" t="str">
        <f>IFERROR(__xludf.DUMMYFUNCTION("""COMPUTED_VALUE"""),"Лампа светодиодная LED-T8")</f>
        <v>Лампа светодиодная LED-T8</v>
      </c>
      <c r="M503" s="2" t="str">
        <f>IFERROR(__xludf.DUMMYFUNCTION("""COMPUTED_VALUE"""),"Лампы")</f>
        <v>Лампы</v>
      </c>
    </row>
    <row r="504">
      <c r="A504" s="5" t="str">
        <f>IFERROR(__xludf.DUMMYFUNCTION("""COMPUTED_VALUE"""),"4690612027227")</f>
        <v>4690612027227</v>
      </c>
      <c r="B504" s="5" t="str">
        <f>IFERROR(__xludf.DUMMYFUNCTION("""COMPUTED_VALUE"""),"СМК 222-412 (25шт./упак.) IN HOME")</f>
        <v>СМК 222-412 (25шт./упак.) IN HOME</v>
      </c>
      <c r="C504" s="2">
        <f>IFERROR(__xludf.DUMMYFUNCTION("""COMPUTED_VALUE"""),0.09300000000000001)</f>
        <v>0.093</v>
      </c>
      <c r="D504" s="2">
        <f>IFERROR(__xludf.DUMMYFUNCTION("""COMPUTED_VALUE"""),2.5E-4)</f>
        <v>0.00025</v>
      </c>
      <c r="E504" s="2">
        <f>IFERROR(__xludf.DUMMYFUNCTION("""COMPUTED_VALUE"""),161.69)</f>
        <v>161.69</v>
      </c>
      <c r="F504" s="2">
        <f>IFERROR(__xludf.DUMMYFUNCTION("""COMPUTED_VALUE"""),194.0)</f>
        <v>194</v>
      </c>
      <c r="G504" s="2">
        <f>IFERROR(__xludf.DUMMYFUNCTION("""COMPUTED_VALUE"""),218.0)</f>
        <v>218</v>
      </c>
      <c r="H504" s="2">
        <f>IFERROR(__xludf.DUMMYFUNCTION("""COMPUTED_VALUE"""),253.0)</f>
        <v>253</v>
      </c>
      <c r="I504" s="2">
        <f>IFERROR(__xludf.DUMMYFUNCTION("""COMPUTED_VALUE"""),290.0)</f>
        <v>290</v>
      </c>
      <c r="J504" s="2">
        <f>IFERROR(__xludf.DUMMYFUNCTION("""COMPUTED_VALUE"""),218.0)</f>
        <v>218</v>
      </c>
      <c r="K504" s="2">
        <f>IFERROR(__xludf.DUMMYFUNCTION("""COMPUTED_VALUE"""),24.0)</f>
        <v>24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IFERROR(__xludf.DUMMYFUNCTION("""COMPUTED_VALUE"""),"12-4832")</f>
        <v>12-4832</v>
      </c>
      <c r="B505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IFERROR(__xludf.DUMMYFUNCTION("""COMPUTED_VALUE"""),1.0)</f>
        <v>1</v>
      </c>
      <c r="F505" s="2">
        <f>IFERROR(__xludf.DUMMYFUNCTION("""COMPUTED_VALUE"""),568.0)</f>
        <v>568</v>
      </c>
      <c r="G505" s="2">
        <f>IFERROR(__xludf.DUMMYFUNCTION("""COMPUTED_VALUE"""),605.0)</f>
        <v>605</v>
      </c>
      <c r="H505" s="2">
        <f>IFERROR(__xludf.DUMMYFUNCTION("""COMPUTED_VALUE"""),681.0)</f>
        <v>681</v>
      </c>
      <c r="I505" s="2">
        <f>IFERROR(__xludf.DUMMYFUNCTION("""COMPUTED_VALUE"""),756.71)</f>
        <v>756.71</v>
      </c>
      <c r="J505" s="2">
        <f>IFERROR(__xludf.DUMMYFUNCTION("""COMPUTED_VALUE"""),568.0)</f>
        <v>568</v>
      </c>
      <c r="K505" s="2">
        <f>IFERROR(__xludf.DUMMYFUNCTION("""COMPUTED_VALUE"""),6.0)</f>
        <v>6</v>
      </c>
      <c r="L505" s="2" t="str">
        <f>IFERROR(__xludf.DUMMYFUNCTION("""COMPUTED_VALUE"""),"Rexant")</f>
        <v>Rexant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IFERROR(__xludf.DUMMYFUNCTION("""COMPUTED_VALUE"""),"14690612052998")</f>
        <v>14690612052998</v>
      </c>
      <c r="B506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6" s="2">
        <f>IFERROR(__xludf.DUMMYFUNCTION("""COMPUTED_VALUE"""),1.275)</f>
        <v>1.275</v>
      </c>
      <c r="D506" s="2">
        <f>IFERROR(__xludf.DUMMYFUNCTION("""COMPUTED_VALUE"""),0.0)</f>
        <v>0</v>
      </c>
      <c r="E506" s="2">
        <f>IFERROR(__xludf.DUMMYFUNCTION("""COMPUTED_VALUE"""),2568.52)</f>
        <v>2568.52</v>
      </c>
      <c r="F506" s="2">
        <f>IFERROR(__xludf.DUMMYFUNCTION("""COMPUTED_VALUE"""),2818.0)</f>
        <v>2818</v>
      </c>
      <c r="G506" s="2">
        <f>IFERROR(__xludf.DUMMYFUNCTION("""COMPUTED_VALUE"""),3288.0)</f>
        <v>3288</v>
      </c>
      <c r="H506" s="2">
        <f>IFERROR(__xludf.DUMMYFUNCTION("""COMPUTED_VALUE"""),3699.0)</f>
        <v>3699</v>
      </c>
      <c r="I506" s="2">
        <f>IFERROR(__xludf.DUMMYFUNCTION("""COMPUTED_VALUE"""),4110.0)</f>
        <v>4110</v>
      </c>
      <c r="J506" s="2">
        <f>IFERROR(__xludf.DUMMYFUNCTION("""COMPUTED_VALUE"""),2055.0)</f>
        <v>2055</v>
      </c>
      <c r="K506" s="2">
        <f>IFERROR(__xludf.DUMMYFUNCTION("""COMPUTED_VALUE"""),5.0)</f>
        <v>5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5" t="str">
        <f>IFERROR(__xludf.DUMMYFUNCTION("""COMPUTED_VALUE"""),"Fefco/0201-2")</f>
        <v>Fefco/0201-2</v>
      </c>
      <c r="B507" s="5" t="str">
        <f>IFERROR(__xludf.DUMMYFUNCTION("""COMPUTED_VALUE"""),"Короб 1220х80х60 (картон Т-24 бурый 3мм)")</f>
        <v>Короб 1220х80х60 (картон Т-24 бурый 3мм)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IFERROR(__xludf.DUMMYFUNCTION("""COMPUTED_VALUE"""),44.3)</f>
        <v>44.3</v>
      </c>
      <c r="F507" s="2">
        <f>IFERROR(__xludf.DUMMYFUNCTION("""COMPUTED_VALUE"""),1.0)</f>
        <v>1</v>
      </c>
      <c r="G507" s="2">
        <f>IFERROR(__xludf.DUMMYFUNCTION("""COMPUTED_VALUE"""),1.0)</f>
        <v>1</v>
      </c>
      <c r="H507" s="2">
        <f>IFERROR(__xludf.DUMMYFUNCTION("""COMPUTED_VALUE"""),1.0)</f>
        <v>1</v>
      </c>
      <c r="I507" s="2">
        <f>IFERROR(__xludf.DUMMYFUNCTION("""COMPUTED_VALUE"""),1.5)</f>
        <v>1.5</v>
      </c>
      <c r="J507" s="2">
        <f>IFERROR(__xludf.DUMMYFUNCTION("""COMPUTED_VALUE"""),1.5)</f>
        <v>1.5</v>
      </c>
      <c r="K507" s="2">
        <f>IFERROR(__xludf.DUMMYFUNCTION("""COMPUTED_VALUE"""),110.0)</f>
        <v>110</v>
      </c>
      <c r="L507" s="2" t="str">
        <f>IFERROR(__xludf.DUMMYFUNCTION("""COMPUTED_VALUE"""),"Упаковка")</f>
        <v>Упаковка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IFERROR(__xludf.DUMMYFUNCTION("""COMPUTED_VALUE"""),"4690612020525")</f>
        <v>4690612020525</v>
      </c>
      <c r="B508" s="5" t="str">
        <f>IFERROR(__xludf.DUMMYFUNCTION("""COMPUTED_VALUE"""),"LED-ШАР-VC 6Вт 230В Е27 3000К 570Лм IN HOME")</f>
        <v>LED-ШАР-VC 6Вт 230В Е27 3000К 570Лм IN HOME</v>
      </c>
      <c r="C508" s="2">
        <f>IFERROR(__xludf.DUMMYFUNCTION("""COMPUTED_VALUE"""),0.031)</f>
        <v>0.031</v>
      </c>
      <c r="D508" s="2">
        <f>IFERROR(__xludf.DUMMYFUNCTION("""COMPUTED_VALUE"""),2.3E-4)</f>
        <v>0.00023</v>
      </c>
      <c r="E508" s="2">
        <f>IFERROR(__xludf.DUMMYFUNCTION("""COMPUTED_VALUE"""),38.4)</f>
        <v>38.4</v>
      </c>
      <c r="F508" s="2">
        <f>IFERROR(__xludf.DUMMYFUNCTION("""COMPUTED_VALUE"""),44.0)</f>
        <v>44</v>
      </c>
      <c r="G508" s="2">
        <f>IFERROR(__xludf.DUMMYFUNCTION("""COMPUTED_VALUE"""),50.0)</f>
        <v>50</v>
      </c>
      <c r="H508" s="2">
        <f>IFERROR(__xludf.DUMMYFUNCTION("""COMPUTED_VALUE"""),57.0)</f>
        <v>57</v>
      </c>
      <c r="I508" s="2">
        <f>IFERROR(__xludf.DUMMYFUNCTION("""COMPUTED_VALUE"""),66.5)</f>
        <v>66.5</v>
      </c>
      <c r="J508" s="2">
        <f>IFERROR(__xludf.DUMMYFUNCTION("""COMPUTED_VALUE"""),33.0)</f>
        <v>33</v>
      </c>
      <c r="K508" s="2">
        <f>IFERROR(__xludf.DUMMYFUNCTION("""COMPUTED_VALUE"""),7.0)</f>
        <v>7</v>
      </c>
      <c r="L508" s="2" t="str">
        <f>IFERROR(__xludf.DUMMYFUNCTION("""COMPUTED_VALUE"""),"Лампа светодиодная LED-ШАР-standard")</f>
        <v>Лампа светодиодная LED-ШАР-standard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IFERROR(__xludf.DUMMYFUNCTION("""COMPUTED_VALUE"""),"4690612035130")</f>
        <v>4690612035130</v>
      </c>
      <c r="B509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9" s="2">
        <f>IFERROR(__xludf.DUMMYFUNCTION("""COMPUTED_VALUE"""),1.5)</f>
        <v>1.5</v>
      </c>
      <c r="D509" s="2">
        <f>IFERROR(__xludf.DUMMYFUNCTION("""COMPUTED_VALUE"""),0.03)</f>
        <v>0.03</v>
      </c>
      <c r="E509" s="2">
        <f>IFERROR(__xludf.DUMMYFUNCTION("""COMPUTED_VALUE"""),1355.5)</f>
        <v>1355.5</v>
      </c>
      <c r="F509" s="2">
        <f>IFERROR(__xludf.DUMMYFUNCTION("""COMPUTED_VALUE"""),1844.0)</f>
        <v>1844</v>
      </c>
      <c r="G509" s="2">
        <f>IFERROR(__xludf.DUMMYFUNCTION("""COMPUTED_VALUE"""),2075.0)</f>
        <v>2075</v>
      </c>
      <c r="H509" s="2">
        <f>IFERROR(__xludf.DUMMYFUNCTION("""COMPUTED_VALUE"""),2406.0)</f>
        <v>2406</v>
      </c>
      <c r="I509" s="2">
        <f>IFERROR(__xludf.DUMMYFUNCTION("""COMPUTED_VALUE"""),2766.0)</f>
        <v>2766</v>
      </c>
      <c r="J509" s="2">
        <f>IFERROR(__xludf.DUMMYFUNCTION("""COMPUTED_VALUE"""),1356.0)</f>
        <v>1356</v>
      </c>
      <c r="K509" s="2">
        <f>IFERROR(__xludf.DUMMYFUNCTION("""COMPUTED_VALUE"""),1.0)</f>
        <v>1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5" t="str">
        <f>IFERROR(__xludf.DUMMYFUNCTION("""COMPUTED_VALUE"""),"Fefco/0203-3")</f>
        <v>Fefco/0203-3</v>
      </c>
      <c r="B510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0" s="2">
        <f>IFERROR(__xludf.DUMMYFUNCTION("""COMPUTED_VALUE"""),0.28)</f>
        <v>0.28</v>
      </c>
      <c r="D510" s="2">
        <f>IFERROR(__xludf.DUMMYFUNCTION("""COMPUTED_VALUE"""),0.002)</f>
        <v>0.002</v>
      </c>
      <c r="E510" s="2">
        <f>IFERROR(__xludf.DUMMYFUNCTION("""COMPUTED_VALUE"""),48.41)</f>
        <v>48.41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IFERROR(__xludf.DUMMYFUNCTION("""COMPUTED_VALUE"""),-41.0)</f>
        <v>-41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IFERROR(__xludf.DUMMYFUNCTION("""COMPUTED_VALUE"""),"4690612005089")</f>
        <v>4690612005089</v>
      </c>
      <c r="B511" s="5" t="str">
        <f>IFERROR(__xludf.DUMMYFUNCTION("""COMPUTED_VALUE"""),"LED-GX53-standard 6Вт 160-260В 4000К 480Лм ASD")</f>
        <v>LED-GX53-standard 6Вт 160-260В 4000К 480Лм ASD</v>
      </c>
      <c r="C511" s="2">
        <f>IFERROR(__xludf.DUMMYFUNCTION("""COMPUTED_VALUE"""),0.03700000000000001)</f>
        <v>0.037</v>
      </c>
      <c r="D511" s="2">
        <f>IFERROR(__xludf.DUMMYFUNCTION("""COMPUTED_VALUE"""),1.8E-4)</f>
        <v>0.00018</v>
      </c>
      <c r="E511" s="2">
        <f>IFERROR(__xludf.DUMMYFUNCTION("""COMPUTED_VALUE"""),37.52)</f>
        <v>37.52</v>
      </c>
      <c r="F511" s="2">
        <f>IFERROR(__xludf.DUMMYFUNCTION("""COMPUTED_VALUE"""),27.0)</f>
        <v>27</v>
      </c>
      <c r="G511" s="2">
        <f>IFERROR(__xludf.DUMMYFUNCTION("""COMPUTED_VALUE"""),31.0)</f>
        <v>31</v>
      </c>
      <c r="H511" s="2">
        <f>IFERROR(__xludf.DUMMYFUNCTION("""COMPUTED_VALUE"""),36.0)</f>
        <v>36</v>
      </c>
      <c r="I511" s="2">
        <f>IFERROR(__xludf.DUMMYFUNCTION("""COMPUTED_VALUE"""),41.35)</f>
        <v>41.35</v>
      </c>
      <c r="J511" s="2">
        <f>IFERROR(__xludf.DUMMYFUNCTION("""COMPUTED_VALUE"""),21.0)</f>
        <v>21</v>
      </c>
      <c r="K511" s="2">
        <f>IFERROR(__xludf.DUMMYFUNCTION("""COMPUTED_VALUE"""),1.0)</f>
        <v>1</v>
      </c>
      <c r="L511" s="2" t="str">
        <f>IFERROR(__xludf.DUMMYFUNCTION("""COMPUTED_VALUE"""),"Лампа светодиодная LED-GX53-standard")</f>
        <v>Лампа светодиодная LED-GX53-standard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IFERROR(__xludf.DUMMYFUNCTION("""COMPUTED_VALUE"""),"14690612057283")</f>
        <v>14690612057283</v>
      </c>
      <c r="B512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IFERROR(__xludf.DUMMYFUNCTION("""COMPUTED_VALUE"""),3300.66)</f>
        <v>3300.66</v>
      </c>
      <c r="F512" s="2">
        <f>IFERROR(__xludf.DUMMYFUNCTION("""COMPUTED_VALUE"""),3621.0)</f>
        <v>3621</v>
      </c>
      <c r="G512" s="2">
        <f>IFERROR(__xludf.DUMMYFUNCTION("""COMPUTED_VALUE"""),4225.0)</f>
        <v>4225</v>
      </c>
      <c r="H512" s="2">
        <f>IFERROR(__xludf.DUMMYFUNCTION("""COMPUTED_VALUE"""),4753.0)</f>
        <v>4753</v>
      </c>
      <c r="I512" s="2">
        <f>IFERROR(__xludf.DUMMYFUNCTION("""COMPUTED_VALUE"""),5281.0)</f>
        <v>5281</v>
      </c>
      <c r="J512" s="2">
        <f>IFERROR(__xludf.DUMMYFUNCTION("""COMPUTED_VALUE"""),2641.0)</f>
        <v>2641</v>
      </c>
      <c r="K512" s="2">
        <f>IFERROR(__xludf.DUMMYFUNCTION("""COMPUTED_VALUE"""),5.0)</f>
        <v>5</v>
      </c>
      <c r="L5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5" t="str">
        <f>IFERROR(__xludf.DUMMYFUNCTION("""COMPUTED_VALUE"""),"4690612021546")</f>
        <v>4690612021546</v>
      </c>
      <c r="B513" s="5" t="str">
        <f>IFERROR(__xludf.DUMMYFUNCTION("""COMPUTED_VALUE"""),"LED-GX70-VC 16Вт 230В 4000К 1520Лм IN HOME")</f>
        <v>LED-GX70-VC 16Вт 230В 4000К 1520Лм IN HOME</v>
      </c>
      <c r="C513" s="2">
        <f>IFERROR(__xludf.DUMMYFUNCTION("""COMPUTED_VALUE"""),0.15)</f>
        <v>0.15</v>
      </c>
      <c r="D513" s="2">
        <f>IFERROR(__xludf.DUMMYFUNCTION("""COMPUTED_VALUE"""),7.000000000000001E-4)</f>
        <v>0.0007</v>
      </c>
      <c r="E513" s="2">
        <f>IFERROR(__xludf.DUMMYFUNCTION("""COMPUTED_VALUE"""),167.0)</f>
        <v>167</v>
      </c>
      <c r="F513" s="2">
        <f>IFERROR(__xludf.DUMMYFUNCTION("""COMPUTED_VALUE"""),147.0)</f>
        <v>147</v>
      </c>
      <c r="G513" s="2">
        <f>IFERROR(__xludf.DUMMYFUNCTION("""COMPUTED_VALUE"""),166.0)</f>
        <v>166</v>
      </c>
      <c r="H513" s="2">
        <f>IFERROR(__xludf.DUMMYFUNCTION("""COMPUTED_VALUE"""),192.0)</f>
        <v>192</v>
      </c>
      <c r="I513" s="2">
        <f>IFERROR(__xludf.DUMMYFUNCTION("""COMPUTED_VALUE"""),221.5)</f>
        <v>221.5</v>
      </c>
      <c r="J513" s="2">
        <f>IFERROR(__xludf.DUMMYFUNCTION("""COMPUTED_VALUE"""),111.0)</f>
        <v>111</v>
      </c>
      <c r="K513" s="2">
        <f>IFERROR(__xludf.DUMMYFUNCTION("""COMPUTED_VALUE"""),4.0)</f>
        <v>4</v>
      </c>
      <c r="L513" s="2" t="str">
        <f>IFERROR(__xludf.DUMMYFUNCTION("""COMPUTED_VALUE"""),"ASD лампы LED")</f>
        <v>ASD лампы LED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IFERROR(__xludf.DUMMYFUNCTION("""COMPUTED_VALUE"""),"4690612053332")</f>
        <v>4690612053332</v>
      </c>
      <c r="B514" s="5" t="str">
        <f>IFERROR(__xludf.DUMMYFUNCTION("""COMPUTED_VALUE"""),"ДД 08Ч 1200Вт 180 гр.12м IP44 черный")</f>
        <v>ДД 08Ч 1200Вт 180 гр.12м IP44 черный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IFERROR(__xludf.DUMMYFUNCTION("""COMPUTED_VALUE"""),420.6)</f>
        <v>420.6</v>
      </c>
      <c r="F514" s="2">
        <f>IFERROR(__xludf.DUMMYFUNCTION("""COMPUTED_VALUE"""),475.0)</f>
        <v>475</v>
      </c>
      <c r="G514" s="2">
        <f>IFERROR(__xludf.DUMMYFUNCTION("""COMPUTED_VALUE"""),535.0)</f>
        <v>535</v>
      </c>
      <c r="H514" s="2">
        <f>IFERROR(__xludf.DUMMYFUNCTION("""COMPUTED_VALUE"""),620.0)</f>
        <v>620</v>
      </c>
      <c r="I514" s="2">
        <f>IFERROR(__xludf.DUMMYFUNCTION("""COMPUTED_VALUE"""),713.0)</f>
        <v>713</v>
      </c>
      <c r="J514" s="2">
        <f>IFERROR(__xludf.DUMMYFUNCTION("""COMPUTED_VALUE"""),357.0)</f>
        <v>357</v>
      </c>
      <c r="K514" s="2">
        <f>IFERROR(__xludf.DUMMYFUNCTION("""COMPUTED_VALUE"""),1.0)</f>
        <v>1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IFERROR(__xludf.DUMMYFUNCTION("""COMPUTED_VALUE"""),"4690612010205")</f>
        <v>4690612010205</v>
      </c>
      <c r="B515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5" s="2">
        <f>IFERROR(__xludf.DUMMYFUNCTION("""COMPUTED_VALUE"""),0.13903)</f>
        <v>0.13903</v>
      </c>
      <c r="D515" s="2">
        <f>IFERROR(__xludf.DUMMYFUNCTION("""COMPUTED_VALUE"""),4.900000000000001E-4)</f>
        <v>0.00049</v>
      </c>
      <c r="E515" s="2">
        <f>IFERROR(__xludf.DUMMYFUNCTION("""COMPUTED_VALUE"""),107.63)</f>
        <v>107.63</v>
      </c>
      <c r="F515" s="2">
        <f>IFERROR(__xludf.DUMMYFUNCTION("""COMPUTED_VALUE"""),158.0)</f>
        <v>158</v>
      </c>
      <c r="G515" s="2">
        <f>IFERROR(__xludf.DUMMYFUNCTION("""COMPUTED_VALUE"""),178.0)</f>
        <v>178</v>
      </c>
      <c r="H515" s="2">
        <f>IFERROR(__xludf.DUMMYFUNCTION("""COMPUTED_VALUE"""),206.0)</f>
        <v>206</v>
      </c>
      <c r="I515" s="2">
        <f>IFERROR(__xludf.DUMMYFUNCTION("""COMPUTED_VALUE"""),237.0)</f>
        <v>237</v>
      </c>
      <c r="J515" s="2">
        <f>IFERROR(__xludf.DUMMYFUNCTION("""COMPUTED_VALUE"""),119.0)</f>
        <v>119</v>
      </c>
      <c r="K515" s="2">
        <f>IFERROR(__xludf.DUMMYFUNCTION("""COMPUTED_VALUE"""),4.0)</f>
        <v>4</v>
      </c>
      <c r="L515" s="2" t="str">
        <f>IFERROR(__xludf.DUMMYFUNCTION("""COMPUTED_VALUE"""),"Розетки, вилки и колодки")</f>
        <v>Розетки, вилки и колодки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IFERROR(__xludf.DUMMYFUNCTION("""COMPUTED_VALUE"""),"ves013")</f>
        <v>ves013</v>
      </c>
      <c r="B516" s="5" t="str">
        <f>IFERROR(__xludf.DUMMYFUNCTION("""COMPUTED_VALUE"""),"Фонарь налобный NPT-H04-3AAA")</f>
        <v>Фонарь налобный NPT-H04-3AAA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IFERROR(__xludf.DUMMYFUNCTION("""COMPUTED_VALUE"""),203.8)</f>
        <v>203.8</v>
      </c>
      <c r="F516" s="2">
        <f>IFERROR(__xludf.DUMMYFUNCTION("""COMPUTED_VALUE"""),203.0)</f>
        <v>203</v>
      </c>
      <c r="G516" s="2">
        <f>IFERROR(__xludf.DUMMYFUNCTION("""COMPUTED_VALUE"""),216.0)</f>
        <v>216</v>
      </c>
      <c r="H516" s="2">
        <f>IFERROR(__xludf.DUMMYFUNCTION("""COMPUTED_VALUE"""),243.0)</f>
        <v>243</v>
      </c>
      <c r="I516" s="2">
        <f>IFERROR(__xludf.DUMMYFUNCTION("""COMPUTED_VALUE"""),270.0)</f>
        <v>270</v>
      </c>
      <c r="J516" s="2">
        <f>IFERROR(__xludf.DUMMYFUNCTION("""COMPUTED_VALUE"""),135.0)</f>
        <v>135</v>
      </c>
      <c r="K516" s="2">
        <f>IFERROR(__xludf.DUMMYFUNCTION("""COMPUTED_VALUE"""),4.0)</f>
        <v>4</v>
      </c>
      <c r="L516" s="2" t="str">
        <f>IFERROR(__xludf.DUMMYFUNCTION("""COMPUTED_VALUE"""),"ves")</f>
        <v>ves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IFERROR(__xludf.DUMMYFUNCTION("""COMPUTED_VALUE"""),"GL81509")</f>
        <v>GL81509</v>
      </c>
      <c r="B517" s="5" t="str">
        <f>IFERROR(__xludf.DUMMYFUNCTION("""COMPUTED_VALUE"""),"GLERIO Office Special 48 Вт 4000К 82P-48D-4G-M")</f>
        <v>GLERIO Office Special 48 Вт 4000К 82P-48D-4G-M</v>
      </c>
      <c r="C517" s="2">
        <f>IFERROR(__xludf.DUMMYFUNCTION("""COMPUTED_VALUE"""),1.14)</f>
        <v>1.14</v>
      </c>
      <c r="D517" s="2">
        <f>IFERROR(__xludf.DUMMYFUNCTION("""COMPUTED_VALUE"""),0.008190000000000001)</f>
        <v>0.00819</v>
      </c>
      <c r="E517" s="2">
        <f>IFERROR(__xludf.DUMMYFUNCTION("""COMPUTED_VALUE"""),2366.8)</f>
        <v>2366.8</v>
      </c>
      <c r="F517" s="2">
        <f>IFERROR(__xludf.DUMMYFUNCTION("""COMPUTED_VALUE"""),2730.0)</f>
        <v>2730</v>
      </c>
      <c r="G517" s="2">
        <f>IFERROR(__xludf.DUMMYFUNCTION("""COMPUTED_VALUE"""),3437.0)</f>
        <v>3437</v>
      </c>
      <c r="H517" s="2">
        <f>IFERROR(__xludf.DUMMYFUNCTION("""COMPUTED_VALUE"""),3860.0)</f>
        <v>3860</v>
      </c>
      <c r="I517" s="2">
        <f>IFERROR(__xludf.DUMMYFUNCTION("""COMPUTED_VALUE"""),4283.0)</f>
        <v>4283</v>
      </c>
      <c r="J517" s="2">
        <f>IFERROR(__xludf.DUMMYFUNCTION("""COMPUTED_VALUE"""),4283.0)</f>
        <v>4283</v>
      </c>
      <c r="K517" s="2">
        <f>IFERROR(__xludf.DUMMYFUNCTION("""COMPUTED_VALUE"""),2.0)</f>
        <v>2</v>
      </c>
      <c r="L517" s="2" t="str">
        <f>IFERROR(__xludf.DUMMYFUNCTION("""COMPUTED_VALUE"""),"Office Special (Офис Премиум) до 10.2025")</f>
        <v>Office Special (Офис Премиум) до 10.2025</v>
      </c>
      <c r="M5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8">
      <c r="A518" s="5" t="str">
        <f>IFERROR(__xludf.DUMMYFUNCTION("""COMPUTED_VALUE"""),"sra059")</f>
        <v>sra059</v>
      </c>
      <c r="B518" s="5" t="str">
        <f>IFERROR(__xludf.DUMMYFUNCTION("""COMPUTED_VALUE"""),"Лампасветодиодная ЛСО")</f>
        <v>Лампасветодиодная ЛСО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IFERROR(__xludf.DUMMYFUNCTION("""COMPUTED_VALUE"""),293.71)</f>
        <v>293.71</v>
      </c>
      <c r="F518" s="2">
        <f>IFERROR(__xludf.DUMMYFUNCTION("""COMPUTED_VALUE"""),91.0)</f>
        <v>91</v>
      </c>
      <c r="G518" s="2">
        <f>IFERROR(__xludf.DUMMYFUNCTION("""COMPUTED_VALUE"""),97.0)</f>
        <v>97</v>
      </c>
      <c r="H518" s="2">
        <f>IFERROR(__xludf.DUMMYFUNCTION("""COMPUTED_VALUE"""),109.0)</f>
        <v>109</v>
      </c>
      <c r="I518" s="2">
        <f>IFERROR(__xludf.DUMMYFUNCTION("""COMPUTED_VALUE"""),121.2)</f>
        <v>121.2</v>
      </c>
      <c r="J518" s="2">
        <f>IFERROR(__xludf.DUMMYFUNCTION("""COMPUTED_VALUE"""),61.0)</f>
        <v>61</v>
      </c>
      <c r="K518" s="2">
        <f>IFERROR(__xludf.DUMMYFUNCTION("""COMPUTED_VALUE"""),15.0)</f>
        <v>15</v>
      </c>
      <c r="L518" s="2" t="str">
        <f>IFERROR(__xludf.DUMMYFUNCTION("""COMPUTED_VALUE"""),"SRA")</f>
        <v>SRA</v>
      </c>
      <c r="M518" s="2" t="str">
        <f>IFERROR(__xludf.DUMMYFUNCTION("""COMPUTED_VALUE"""),"LED Светильники")</f>
        <v>LED Светильники</v>
      </c>
    </row>
    <row r="519">
      <c r="A519" s="5" t="str">
        <f>IFERROR(__xludf.DUMMYFUNCTION("""COMPUTED_VALUE"""),"4690612008073")</f>
        <v>4690612008073</v>
      </c>
      <c r="B519" s="5" t="str">
        <f>IFERROR(__xludf.DUMMYFUNCTION("""COMPUTED_VALUE"""),"LED-A60-deco 9Вт 230В Е27 4000К 1040Лм прозрачная IN HOME")</f>
        <v>LED-A60-deco 9Вт 230В Е27 4000К 1040Лм прозрачная IN HOME</v>
      </c>
      <c r="C519" s="2">
        <f>IFERROR(__xludf.DUMMYFUNCTION("""COMPUTED_VALUE"""),0.044)</f>
        <v>0.044</v>
      </c>
      <c r="D519" s="2">
        <f>IFERROR(__xludf.DUMMYFUNCTION("""COMPUTED_VALUE"""),5.600000000000001E-4)</f>
        <v>0.00056</v>
      </c>
      <c r="E519" s="2">
        <f>IFERROR(__xludf.DUMMYFUNCTION("""COMPUTED_VALUE"""),79.2)</f>
        <v>79.2</v>
      </c>
      <c r="F519" s="2">
        <f>IFERROR(__xludf.DUMMYFUNCTION("""COMPUTED_VALUE"""),77.0)</f>
        <v>77</v>
      </c>
      <c r="G519" s="2">
        <f>IFERROR(__xludf.DUMMYFUNCTION("""COMPUTED_VALUE"""),87.0)</f>
        <v>87</v>
      </c>
      <c r="H519" s="2">
        <f>IFERROR(__xludf.DUMMYFUNCTION("""COMPUTED_VALUE"""),100.0)</f>
        <v>100</v>
      </c>
      <c r="I519" s="2">
        <f>IFERROR(__xludf.DUMMYFUNCTION("""COMPUTED_VALUE"""),116.0)</f>
        <v>116</v>
      </c>
      <c r="J519" s="2">
        <f>IFERROR(__xludf.DUMMYFUNCTION("""COMPUTED_VALUE"""),58.0)</f>
        <v>58</v>
      </c>
      <c r="K519" s="2">
        <f>IFERROR(__xludf.DUMMYFUNCTION("""COMPUTED_VALUE"""),6.0)</f>
        <v>6</v>
      </c>
      <c r="L519" s="2" t="str">
        <f>IFERROR(__xludf.DUMMYFUNCTION("""COMPUTED_VALUE"""),"Лампа светодиодная LED-A60 DECO")</f>
        <v>Лампа светодиодная LED-A60 DECO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IFERROR(__xludf.DUMMYFUNCTION("""COMPUTED_VALUE"""),"GL5131")</f>
        <v>GL5131</v>
      </c>
      <c r="B520" s="5" t="str">
        <f>IFERROR(__xludf.DUMMYFUNCTION("""COMPUTED_VALUE"""),"GLERIO Practical 64 Вт 5000K 6A-64D-5K")</f>
        <v>GLERIO Practical 64 Вт 5000K 6A-64D-5K</v>
      </c>
      <c r="C520" s="2">
        <f>IFERROR(__xludf.DUMMYFUNCTION("""COMPUTED_VALUE"""),1.2)</f>
        <v>1.2</v>
      </c>
      <c r="D520" s="2">
        <f>IFERROR(__xludf.DUMMYFUNCTION("""COMPUTED_VALUE"""),0.004200000000000001)</f>
        <v>0.0042</v>
      </c>
      <c r="E520" s="2">
        <f>IFERROR(__xludf.DUMMYFUNCTION("""COMPUTED_VALUE"""),2160.0)</f>
        <v>2160</v>
      </c>
      <c r="F520" s="2">
        <f>IFERROR(__xludf.DUMMYFUNCTION("""COMPUTED_VALUE"""),2400.0)</f>
        <v>2400</v>
      </c>
      <c r="G520" s="2">
        <f>IFERROR(__xludf.DUMMYFUNCTION("""COMPUTED_VALUE"""),3000.0)</f>
        <v>3000</v>
      </c>
      <c r="H520" s="2">
        <f>IFERROR(__xludf.DUMMYFUNCTION("""COMPUTED_VALUE"""),3375.0)</f>
        <v>3375</v>
      </c>
      <c r="I520" s="2">
        <f>IFERROR(__xludf.DUMMYFUNCTION("""COMPUTED_VALUE"""),3750.0)</f>
        <v>3750</v>
      </c>
      <c r="J520" s="2">
        <f>IFERROR(__xludf.DUMMYFUNCTION("""COMPUTED_VALUE"""),1875.0)</f>
        <v>1875</v>
      </c>
      <c r="K520" s="2">
        <f>IFERROR(__xludf.DUMMYFUNCTION("""COMPUTED_VALUE"""),1.0)</f>
        <v>1</v>
      </c>
      <c r="L520" s="2" t="str">
        <f>IFERROR(__xludf.DUMMYFUNCTION("""COMPUTED_VALUE"""),"Practical Уличные GLERIO до 10.2025")</f>
        <v>Practical Уличные GLERIO до 10.2025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IFERROR(__xludf.DUMMYFUNCTION("""COMPUTED_VALUE"""),"4690612042336-1")</f>
        <v>4690612042336-1</v>
      </c>
      <c r="B521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IFERROR(__xludf.DUMMYFUNCTION("""COMPUTED_VALUE"""),809.97)</f>
        <v>809.97</v>
      </c>
      <c r="F521" s="2">
        <f>IFERROR(__xludf.DUMMYFUNCTION("""COMPUTED_VALUE"""),889.0)</f>
        <v>889</v>
      </c>
      <c r="G521" s="2">
        <f>IFERROR(__xludf.DUMMYFUNCTION("""COMPUTED_VALUE"""),1037.0)</f>
        <v>1037</v>
      </c>
      <c r="H521" s="2">
        <f>IFERROR(__xludf.DUMMYFUNCTION("""COMPUTED_VALUE"""),1166.0)</f>
        <v>1166</v>
      </c>
      <c r="I521" s="2">
        <f>IFERROR(__xludf.DUMMYFUNCTION("""COMPUTED_VALUE"""),1296.0)</f>
        <v>1296</v>
      </c>
      <c r="J521" s="2">
        <f>IFERROR(__xludf.DUMMYFUNCTION("""COMPUTED_VALUE"""),648.0)</f>
        <v>648</v>
      </c>
      <c r="K521" s="2">
        <f>IFERROR(__xludf.DUMMYFUNCTION("""COMPUTED_VALUE"""),27.0)</f>
        <v>27</v>
      </c>
      <c r="L5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2">
      <c r="A522" s="5" t="str">
        <f>IFERROR(__xludf.DUMMYFUNCTION("""COMPUTED_VALUE"""),"4690612052984-2")</f>
        <v>4690612052984-2</v>
      </c>
      <c r="B522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2" s="2">
        <f>IFERROR(__xludf.DUMMYFUNCTION("""COMPUTED_VALUE"""),1.35)</f>
        <v>1.35</v>
      </c>
      <c r="D522" s="2">
        <f>IFERROR(__xludf.DUMMYFUNCTION("""COMPUTED_VALUE"""),0.0)</f>
        <v>0</v>
      </c>
      <c r="E522" s="2">
        <f>IFERROR(__xludf.DUMMYFUNCTION("""COMPUTED_VALUE"""),1611.58)</f>
        <v>1611.58</v>
      </c>
      <c r="F522" s="2">
        <f>IFERROR(__xludf.DUMMYFUNCTION("""COMPUTED_VALUE"""),1768.0)</f>
        <v>1768</v>
      </c>
      <c r="G522" s="2">
        <f>IFERROR(__xludf.DUMMYFUNCTION("""COMPUTED_VALUE"""),2063.0)</f>
        <v>2063</v>
      </c>
      <c r="H522" s="2">
        <f>IFERROR(__xludf.DUMMYFUNCTION("""COMPUTED_VALUE"""),2321.0)</f>
        <v>2321</v>
      </c>
      <c r="I522" s="2">
        <f>IFERROR(__xludf.DUMMYFUNCTION("""COMPUTED_VALUE"""),2579.0)</f>
        <v>2579</v>
      </c>
      <c r="J522" s="2">
        <f>IFERROR(__xludf.DUMMYFUNCTION("""COMPUTED_VALUE"""),1290.0)</f>
        <v>1290</v>
      </c>
      <c r="K522" s="2">
        <f>IFERROR(__xludf.DUMMYFUNCTION("""COMPUTED_VALUE"""),1.0)</f>
        <v>1</v>
      </c>
      <c r="L5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3">
      <c r="A523" s="5" t="str">
        <f>IFERROR(__xludf.DUMMYFUNCTION("""COMPUTED_VALUE"""),"4690626040342")</f>
        <v>4690626040342</v>
      </c>
      <c r="B523" s="5" t="str">
        <f>IFERROR(__xludf.DUMMYFUNCTION("""COMPUTED_VALUE"""),"SBF-500S")</f>
        <v>SBF-500S</v>
      </c>
      <c r="C523" s="2">
        <f>IFERROR(__xludf.DUMMYFUNCTION("""COMPUTED_VALUE"""),0.525)</f>
        <v>0.525</v>
      </c>
      <c r="D523" s="2">
        <f>IFERROR(__xludf.DUMMYFUNCTION("""COMPUTED_VALUE"""),2.0E-5)</f>
        <v>0.00002</v>
      </c>
      <c r="E523" s="2">
        <f>IFERROR(__xludf.DUMMYFUNCTION("""COMPUTED_VALUE"""),282.87)</f>
        <v>282.87</v>
      </c>
      <c r="F523" s="2">
        <f>IFERROR(__xludf.DUMMYFUNCTION("""COMPUTED_VALUE"""),296.0)</f>
        <v>296</v>
      </c>
      <c r="G523" s="2">
        <f>IFERROR(__xludf.DUMMYFUNCTION("""COMPUTED_VALUE"""),325.0)</f>
        <v>325</v>
      </c>
      <c r="H523" s="2">
        <f>IFERROR(__xludf.DUMMYFUNCTION("""COMPUTED_VALUE"""),361.0)</f>
        <v>361</v>
      </c>
      <c r="I523" s="2">
        <f>IFERROR(__xludf.DUMMYFUNCTION("""COMPUTED_VALUE"""),397.0)</f>
        <v>397</v>
      </c>
      <c r="J523" s="2">
        <f>IFERROR(__xludf.DUMMYFUNCTION("""COMPUTED_VALUE"""),199.0)</f>
        <v>199</v>
      </c>
      <c r="K523" s="2">
        <f>IFERROR(__xludf.DUMMYFUNCTION("""COMPUTED_VALUE"""),1.0)</f>
        <v>1</v>
      </c>
      <c r="L523" s="2" t="str">
        <f>IFERROR(__xludf.DUMMYFUNCTION("""COMPUTED_VALUE"""),"Smartbuy фонари")</f>
        <v>Smartbuy фонари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IFERROR(__xludf.DUMMYFUNCTION("""COMPUTED_VALUE"""),"4690612031224")</f>
        <v>4690612031224</v>
      </c>
      <c r="B524" s="5" t="str">
        <f>IFERROR(__xludf.DUMMYFUNCTION("""COMPUTED_VALUE"""),"ЭПРА-36-SLIM 36Вт ЕМС")</f>
        <v>ЭПРА-36-SLIM 36Вт ЕМС</v>
      </c>
      <c r="C524" s="2">
        <f>IFERROR(__xludf.DUMMYFUNCTION("""COMPUTED_VALUE"""),0.084)</f>
        <v>0.084</v>
      </c>
      <c r="D524" s="2">
        <f>IFERROR(__xludf.DUMMYFUNCTION("""COMPUTED_VALUE"""),3.8E-4)</f>
        <v>0.00038</v>
      </c>
      <c r="E524" s="2">
        <f>IFERROR(__xludf.DUMMYFUNCTION("""COMPUTED_VALUE"""),202.76)</f>
        <v>202.76</v>
      </c>
      <c r="F524" s="2">
        <f>IFERROR(__xludf.DUMMYFUNCTION("""COMPUTED_VALUE"""),233.0)</f>
        <v>233</v>
      </c>
      <c r="G524" s="2">
        <f>IFERROR(__xludf.DUMMYFUNCTION("""COMPUTED_VALUE"""),263.0)</f>
        <v>263</v>
      </c>
      <c r="H524" s="2">
        <f>IFERROR(__xludf.DUMMYFUNCTION("""COMPUTED_VALUE"""),305.0)</f>
        <v>305</v>
      </c>
      <c r="I524" s="2">
        <f>IFERROR(__xludf.DUMMYFUNCTION("""COMPUTED_VALUE"""),350.0)</f>
        <v>350</v>
      </c>
      <c r="J524" s="2">
        <f>IFERROR(__xludf.DUMMYFUNCTION("""COMPUTED_VALUE"""),175.0)</f>
        <v>175</v>
      </c>
      <c r="K524" s="2">
        <f>IFERROR(__xludf.DUMMYFUNCTION("""COMPUTED_VALUE"""),21.0)</f>
        <v>21</v>
      </c>
      <c r="L524" s="2" t="str">
        <f>IFERROR(__xludf.DUMMYFUNCTION("""COMPUTED_VALUE"""),"ASD ЭПРА")</f>
        <v>ASD ЭПРА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IFERROR(__xludf.DUMMYFUNCTION("""COMPUTED_VALUE"""),"4690612033693")</f>
        <v>4690612033693</v>
      </c>
      <c r="B525" s="5" t="str">
        <f>IFERROR(__xludf.DUMMYFUNCTION("""COMPUTED_VALUE"""),"DECO 24Вт 230В 6500К 1560Лм 300х55мм ДАЙМОНД IN HOME")</f>
        <v>DECO 24Вт 230В 6500К 1560Лм 300х55мм ДАЙМОНД IN HOME</v>
      </c>
      <c r="C525" s="2">
        <f>IFERROR(__xludf.DUMMYFUNCTION("""COMPUTED_VALUE"""),0.4400000000000001)</f>
        <v>0.44</v>
      </c>
      <c r="D525" s="2">
        <f>IFERROR(__xludf.DUMMYFUNCTION("""COMPUTED_VALUE"""),0.007)</f>
        <v>0.007</v>
      </c>
      <c r="E525" s="2">
        <f>IFERROR(__xludf.DUMMYFUNCTION("""COMPUTED_VALUE"""),382.03)</f>
        <v>382.03</v>
      </c>
      <c r="F525" s="2">
        <f>IFERROR(__xludf.DUMMYFUNCTION("""COMPUTED_VALUE"""),473.0)</f>
        <v>473</v>
      </c>
      <c r="G525" s="2">
        <f>IFERROR(__xludf.DUMMYFUNCTION("""COMPUTED_VALUE"""),533.0)</f>
        <v>533</v>
      </c>
      <c r="H525" s="2">
        <f>IFERROR(__xludf.DUMMYFUNCTION("""COMPUTED_VALUE"""),618.0)</f>
        <v>618</v>
      </c>
      <c r="I525" s="2">
        <f>IFERROR(__xludf.DUMMYFUNCTION("""COMPUTED_VALUE"""),710.0)</f>
        <v>710</v>
      </c>
      <c r="J525" s="2">
        <f>IFERROR(__xludf.DUMMYFUNCTION("""COMPUTED_VALUE"""),355.0)</f>
        <v>355</v>
      </c>
      <c r="K525" s="2">
        <f>IFERROR(__xludf.DUMMYFUNCTION("""COMPUTED_VALUE"""),32.0)</f>
        <v>32</v>
      </c>
      <c r="L525" s="2" t="str">
        <f>IFERROR(__xludf.DUMMYFUNCTION("""COMPUTED_VALUE"""),"Светильник светодиодный серии DECO")</f>
        <v>Светильник светодиодный серии DECO</v>
      </c>
      <c r="M5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6">
      <c r="A526" s="5" t="str">
        <f>IFERROR(__xludf.DUMMYFUNCTION("""COMPUTED_VALUE"""),"Fefco/0201-7")</f>
        <v>Fefco/0201-7</v>
      </c>
      <c r="B526" s="5" t="str">
        <f>IFERROR(__xludf.DUMMYFUNCTION("""COMPUTED_VALUE"""),"Короб 1220х540х330 (картон Т-24 ""В"" бурый)")</f>
        <v>Короб 1220х540х330 (картон Т-24 "В" бурый)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IFERROR(__xludf.DUMMYFUNCTION("""COMPUTED_VALUE"""),307.8)</f>
        <v>307.8</v>
      </c>
      <c r="F526" s="2">
        <f>IFERROR(__xludf.DUMMYFUNCTION("""COMPUTED_VALUE"""),1.0)</f>
        <v>1</v>
      </c>
      <c r="G526" s="2">
        <f>IFERROR(__xludf.DUMMYFUNCTION("""COMPUTED_VALUE"""),1.0)</f>
        <v>1</v>
      </c>
      <c r="H526" s="2">
        <f>IFERROR(__xludf.DUMMYFUNCTION("""COMPUTED_VALUE"""),1.0)</f>
        <v>1</v>
      </c>
      <c r="I526" s="2">
        <f>IFERROR(__xludf.DUMMYFUNCTION("""COMPUTED_VALUE"""),1.5)</f>
        <v>1.5</v>
      </c>
      <c r="J526" s="2">
        <f>IFERROR(__xludf.DUMMYFUNCTION("""COMPUTED_VALUE"""),1.5)</f>
        <v>1.5</v>
      </c>
      <c r="K526" s="2">
        <f>IFERROR(__xludf.DUMMYFUNCTION("""COMPUTED_VALUE"""),1.0)</f>
        <v>1</v>
      </c>
      <c r="L526" s="2" t="str">
        <f>IFERROR(__xludf.DUMMYFUNCTION("""COMPUTED_VALUE"""),"Упаковка")</f>
        <v>Упаковка</v>
      </c>
      <c r="M526" s="2" t="str">
        <f>IFERROR(__xludf.DUMMYFUNCTION("""COMPUTED_VALUE"""),"Прочие товары")</f>
        <v>Прочие товары</v>
      </c>
    </row>
    <row r="527">
      <c r="A527" s="5" t="str">
        <f>IFERROR(__xludf.DUMMYFUNCTION("""COMPUTED_VALUE"""),"GL51201")</f>
        <v>GL51201</v>
      </c>
      <c r="B527" s="5" t="str">
        <f>IFERROR(__xludf.DUMMYFUNCTION("""COMPUTED_VALUE"""),"GLERIO Practical 48 Вт 5000К 6A-48D-5U+")</f>
        <v>GLERIO Practical 48 Вт 5000К 6A-48D-5U+</v>
      </c>
      <c r="C527" s="2">
        <f>IFERROR(__xludf.DUMMYFUNCTION("""COMPUTED_VALUE"""),1.0)</f>
        <v>1</v>
      </c>
      <c r="D527" s="2">
        <f>IFERROR(__xludf.DUMMYFUNCTION("""COMPUTED_VALUE"""),0.00281)</f>
        <v>0.00281</v>
      </c>
      <c r="E527" s="2">
        <f>IFERROR(__xludf.DUMMYFUNCTION("""COMPUTED_VALUE"""),1746.0)</f>
        <v>1746</v>
      </c>
      <c r="F527" s="2">
        <f>IFERROR(__xludf.DUMMYFUNCTION("""COMPUTED_VALUE"""),2000.0)</f>
        <v>2000</v>
      </c>
      <c r="G527" s="2">
        <f>IFERROR(__xludf.DUMMYFUNCTION("""COMPUTED_VALUE"""),2500.0)</f>
        <v>2500</v>
      </c>
      <c r="H527" s="2">
        <f>IFERROR(__xludf.DUMMYFUNCTION("""COMPUTED_VALUE"""),2813.0)</f>
        <v>2813</v>
      </c>
      <c r="I527" s="2">
        <f>IFERROR(__xludf.DUMMYFUNCTION("""COMPUTED_VALUE"""),3125.0)</f>
        <v>3125</v>
      </c>
      <c r="J527" s="2">
        <f>IFERROR(__xludf.DUMMYFUNCTION("""COMPUTED_VALUE"""),3125.0)</f>
        <v>3125</v>
      </c>
      <c r="K527" s="2">
        <f>IFERROR(__xludf.DUMMYFUNCTION("""COMPUTED_VALUE"""),18.0)</f>
        <v>18</v>
      </c>
      <c r="L527" s="2" t="str">
        <f>IFERROR(__xludf.DUMMYFUNCTION("""COMPUTED_VALUE"""),"Practical+ Уличные GLERIO")</f>
        <v>Practical+ Уличные GLERIO</v>
      </c>
      <c r="M527" s="2" t="str">
        <f>IFERROR(__xludf.DUMMYFUNCTION("""COMPUTED_VALUE"""),"Для обычных дорог, LED Светильники")</f>
        <v>Для обычных дорог, LED Светильники</v>
      </c>
    </row>
    <row r="528">
      <c r="A528" s="5" t="str">
        <f>IFERROR(__xludf.DUMMYFUNCTION("""COMPUTED_VALUE"""),"03697")</f>
        <v>03697</v>
      </c>
      <c r="B528" s="5" t="str">
        <f>IFERROR(__xludf.DUMMYFUNCTION("""COMPUTED_VALUE"""),"TLPL236 ECP")</f>
        <v>TLPL236 ECP</v>
      </c>
      <c r="C528" s="2">
        <f>IFERROR(__xludf.DUMMYFUNCTION("""COMPUTED_VALUE"""),2.1)</f>
        <v>2.1</v>
      </c>
      <c r="D528" s="2">
        <f>IFERROR(__xludf.DUMMYFUNCTION("""COMPUTED_VALUE"""),0.01384)</f>
        <v>0.01384</v>
      </c>
      <c r="E528" s="2">
        <f>IFERROR(__xludf.DUMMYFUNCTION("""COMPUTED_VALUE"""),411.02)</f>
        <v>411.02</v>
      </c>
      <c r="F528" s="2">
        <f>IFERROR(__xludf.DUMMYFUNCTION("""COMPUTED_VALUE"""),561.0)</f>
        <v>561</v>
      </c>
      <c r="G528" s="2">
        <f>IFERROR(__xludf.DUMMYFUNCTION("""COMPUTED_VALUE"""),633.0)</f>
        <v>633</v>
      </c>
      <c r="H528" s="2">
        <f>IFERROR(__xludf.DUMMYFUNCTION("""COMPUTED_VALUE"""),648.0)</f>
        <v>648</v>
      </c>
      <c r="I528" s="2">
        <f>IFERROR(__xludf.DUMMYFUNCTION("""COMPUTED_VALUE"""),790.0)</f>
        <v>790</v>
      </c>
      <c r="J528" s="2">
        <f>IFERROR(__xludf.DUMMYFUNCTION("""COMPUTED_VALUE"""),395.0)</f>
        <v>395</v>
      </c>
      <c r="K528" s="2">
        <f>IFERROR(__xludf.DUMMYFUNCTION("""COMPUTED_VALUE"""),4.0)</f>
        <v>4</v>
      </c>
      <c r="L528" s="2" t="str">
        <f>IFERROR(__xludf.DUMMYFUNCTION("""COMPUTED_VALUE"""),"Технолюкс Ламповые TLPL (IP20)")</f>
        <v>Технолюкс Ламповые TLPL (IP20)</v>
      </c>
      <c r="M528" s="2" t="str">
        <f>IFERROR(__xludf.DUMMYFUNCTION("""COMPUTED_VALUE"""),"Ламповые светильники")</f>
        <v>Ламповые светильники</v>
      </c>
    </row>
    <row r="529">
      <c r="A529" s="5" t="str">
        <f>IFERROR(__xludf.DUMMYFUNCTION("""COMPUTED_VALUE"""),"ves2014")</f>
        <v>ves2014</v>
      </c>
      <c r="B529" s="5" t="str">
        <f>IFERROR(__xludf.DUMMYFUNCTION("""COMPUTED_VALUE"""),"Вилка переносная 024 3Р+РЕ 32А 380В IP44")</f>
        <v>Вилка переносная 024 3Р+РЕ 32А 380В IP44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IFERROR(__xludf.DUMMYFUNCTION("""COMPUTED_VALUE"""),197.74)</f>
        <v>197.74</v>
      </c>
      <c r="F529" s="2">
        <f>IFERROR(__xludf.DUMMYFUNCTION("""COMPUTED_VALUE"""),271.0)</f>
        <v>271</v>
      </c>
      <c r="G529" s="2">
        <f>IFERROR(__xludf.DUMMYFUNCTION("""COMPUTED_VALUE"""),289.0)</f>
        <v>289</v>
      </c>
      <c r="H529" s="2">
        <f>IFERROR(__xludf.DUMMYFUNCTION("""COMPUTED_VALUE"""),325.0)</f>
        <v>325</v>
      </c>
      <c r="I529" s="2">
        <f>IFERROR(__xludf.DUMMYFUNCTION("""COMPUTED_VALUE"""),361.25)</f>
        <v>361.25</v>
      </c>
      <c r="J529" s="2">
        <f>IFERROR(__xludf.DUMMYFUNCTION("""COMPUTED_VALUE"""),181.0)</f>
        <v>181</v>
      </c>
      <c r="K529" s="2">
        <f>IFERROR(__xludf.DUMMYFUNCTION("""COMPUTED_VALUE"""),4.0)</f>
        <v>4</v>
      </c>
      <c r="L529" s="2" t="str">
        <f>IFERROR(__xludf.DUMMYFUNCTION("""COMPUTED_VALUE"""),"ves2 (тендер)")</f>
        <v>ves2 (тендер)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IFERROR(__xludf.DUMMYFUNCTION("""COMPUTED_VALUE"""),"19938")</f>
        <v>19938</v>
      </c>
      <c r="B530" s="5" t="str">
        <f>IFERROR(__xludf.DUMMYFUNCTION("""COMPUTED_VALUE"""),"TLGR03 CL")</f>
        <v>TLGR03 CL</v>
      </c>
      <c r="C530" s="2">
        <f>IFERROR(__xludf.DUMMYFUNCTION("""COMPUTED_VALUE"""),3.15)</f>
        <v>3.15</v>
      </c>
      <c r="D530" s="2">
        <f>IFERROR(__xludf.DUMMYFUNCTION("""COMPUTED_VALUE"""),0.03488)</f>
        <v>0.03488</v>
      </c>
      <c r="E530" s="2">
        <f>IFERROR(__xludf.DUMMYFUNCTION("""COMPUTED_VALUE"""),1400.0)</f>
        <v>1400</v>
      </c>
      <c r="F530" s="2">
        <f>IFERROR(__xludf.DUMMYFUNCTION("""COMPUTED_VALUE"""),1910.0)</f>
        <v>1910</v>
      </c>
      <c r="G530" s="2">
        <f>IFERROR(__xludf.DUMMYFUNCTION("""COMPUTED_VALUE"""),2157.0)</f>
        <v>2157</v>
      </c>
      <c r="H530" s="2">
        <f>IFERROR(__xludf.DUMMYFUNCTION("""COMPUTED_VALUE"""),2206.0)</f>
        <v>2206</v>
      </c>
      <c r="I530" s="2">
        <f>IFERROR(__xludf.DUMMYFUNCTION("""COMPUTED_VALUE"""),2690.0)</f>
        <v>2690</v>
      </c>
      <c r="J530" s="2">
        <f>IFERROR(__xludf.DUMMYFUNCTION("""COMPUTED_VALUE"""),1345.0)</f>
        <v>1345</v>
      </c>
      <c r="K530" s="2">
        <f>IFERROR(__xludf.DUMMYFUNCTION("""COMPUTED_VALUE"""),1.0)</f>
        <v>1</v>
      </c>
      <c r="L53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0" s="2" t="str">
        <f>IFERROR(__xludf.DUMMYFUNCTION("""COMPUTED_VALUE"""),"Встраиваемые, LED Светильники")</f>
        <v>Встраиваемые, LED Светильники</v>
      </c>
    </row>
    <row r="531">
      <c r="A531" s="5" t="str">
        <f>IFERROR(__xludf.DUMMYFUNCTION("""COMPUTED_VALUE"""),"4690612025087")</f>
        <v>4690612025087</v>
      </c>
      <c r="B531" s="5" t="str">
        <f>IFERROR(__xludf.DUMMYFUNCTION("""COMPUTED_VALUE"""),"DECO 36Вт 230В 6500К 2340Лм 350х55мм ОРИОН IN HOME")</f>
        <v>DECO 36Вт 230В 6500К 2340Лм 350х55мм ОРИОН IN HOME</v>
      </c>
      <c r="C531" s="2">
        <f>IFERROR(__xludf.DUMMYFUNCTION("""COMPUTED_VALUE"""),0.5800000000000001)</f>
        <v>0.58</v>
      </c>
      <c r="D531" s="2">
        <f>IFERROR(__xludf.DUMMYFUNCTION("""COMPUTED_VALUE"""),0.009000000000000001)</f>
        <v>0.009</v>
      </c>
      <c r="E531" s="2">
        <f>IFERROR(__xludf.DUMMYFUNCTION("""COMPUTED_VALUE"""),572.85)</f>
        <v>572.85</v>
      </c>
      <c r="F531" s="2">
        <f>IFERROR(__xludf.DUMMYFUNCTION("""COMPUTED_VALUE"""),600.0)</f>
        <v>600</v>
      </c>
      <c r="G531" s="2">
        <f>IFERROR(__xludf.DUMMYFUNCTION("""COMPUTED_VALUE"""),675.0)</f>
        <v>675</v>
      </c>
      <c r="H531" s="2">
        <f>IFERROR(__xludf.DUMMYFUNCTION("""COMPUTED_VALUE"""),783.0)</f>
        <v>783</v>
      </c>
      <c r="I531" s="2">
        <f>IFERROR(__xludf.DUMMYFUNCTION("""COMPUTED_VALUE"""),900.0)</f>
        <v>900</v>
      </c>
      <c r="J531" s="2">
        <f>IFERROR(__xludf.DUMMYFUNCTION("""COMPUTED_VALUE"""),450.0)</f>
        <v>450</v>
      </c>
      <c r="K531" s="2">
        <f>IFERROR(__xludf.DUMMYFUNCTION("""COMPUTED_VALUE"""),1.0)</f>
        <v>1</v>
      </c>
      <c r="L531" s="2" t="str">
        <f>IFERROR(__xludf.DUMMYFUNCTION("""COMPUTED_VALUE"""),"Светильник светодиодный серии DECO")</f>
        <v>Светильник светодиодный серии DECO</v>
      </c>
      <c r="M5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2">
      <c r="A532" s="5" t="str">
        <f>IFERROR(__xludf.DUMMYFUNCTION("""COMPUTED_VALUE"""),"4690612016573")</f>
        <v>4690612016573</v>
      </c>
      <c r="B532" s="5" t="str">
        <f>IFERROR(__xludf.DUMMYFUNCTION("""COMPUTED_VALUE"""),"Е27-П-deco подвесной Медь IN HOME")</f>
        <v>Е27-П-deco подвесной Медь IN HOME</v>
      </c>
      <c r="C532" s="2">
        <f>IFERROR(__xludf.DUMMYFUNCTION("""COMPUTED_VALUE"""),0.112)</f>
        <v>0.112</v>
      </c>
      <c r="D532" s="2">
        <f>IFERROR(__xludf.DUMMYFUNCTION("""COMPUTED_VALUE"""),2.8E-4)</f>
        <v>0.00028</v>
      </c>
      <c r="E532" s="2">
        <f>IFERROR(__xludf.DUMMYFUNCTION("""COMPUTED_VALUE"""),144.05)</f>
        <v>144.05</v>
      </c>
      <c r="F532" s="2">
        <f>IFERROR(__xludf.DUMMYFUNCTION("""COMPUTED_VALUE"""),165.0)</f>
        <v>165</v>
      </c>
      <c r="G532" s="2">
        <f>IFERROR(__xludf.DUMMYFUNCTION("""COMPUTED_VALUE"""),186.0)</f>
        <v>186</v>
      </c>
      <c r="H532" s="2">
        <f>IFERROR(__xludf.DUMMYFUNCTION("""COMPUTED_VALUE"""),216.0)</f>
        <v>216</v>
      </c>
      <c r="I532" s="2">
        <f>IFERROR(__xludf.DUMMYFUNCTION("""COMPUTED_VALUE"""),248.0)</f>
        <v>248</v>
      </c>
      <c r="J532" s="2">
        <f>IFERROR(__xludf.DUMMYFUNCTION("""COMPUTED_VALUE"""),124.0)</f>
        <v>124</v>
      </c>
      <c r="K532" s="2">
        <f>IFERROR(__xludf.DUMMYFUNCTION("""COMPUTED_VALUE"""),2.0)</f>
        <v>2</v>
      </c>
      <c r="L532" s="2" t="str">
        <f>IFERROR(__xludf.DUMMYFUNCTION("""COMPUTED_VALUE"""),"ASD электромонтажные изделия")</f>
        <v>ASD электромонтажные изделия</v>
      </c>
      <c r="M532" s="2" t="str">
        <f>IFERROR(__xludf.DUMMYFUNCTION("""COMPUTED_VALUE"""),"Прочие товары")</f>
        <v>Прочие товары</v>
      </c>
    </row>
    <row r="533">
      <c r="A533" s="5" t="str">
        <f>IFERROR(__xludf.DUMMYFUNCTION("""COMPUTED_VALUE"""),"4690612020433")</f>
        <v>4690612020433</v>
      </c>
      <c r="B533" s="5" t="str">
        <f>IFERROR(__xludf.DUMMYFUNCTION("""COMPUTED_VALUE"""),"LED-СВЕЧА-VC 8Вт 230В Е14 4000К 760Лм IN HOME")</f>
        <v>LED-СВЕЧА-VC 8Вт 230В Е14 4000К 760Лм IN HOME</v>
      </c>
      <c r="C533" s="2">
        <f>IFERROR(__xludf.DUMMYFUNCTION("""COMPUTED_VALUE"""),0.028)</f>
        <v>0.028</v>
      </c>
      <c r="D533" s="2">
        <f>IFERROR(__xludf.DUMMYFUNCTION("""COMPUTED_VALUE"""),1.9E-4)</f>
        <v>0.00019</v>
      </c>
      <c r="E533" s="2">
        <f>IFERROR(__xludf.DUMMYFUNCTION("""COMPUTED_VALUE"""),39.0)</f>
        <v>39</v>
      </c>
      <c r="F533" s="2">
        <f>IFERROR(__xludf.DUMMYFUNCTION("""COMPUTED_VALUE"""),45.0)</f>
        <v>45</v>
      </c>
      <c r="G533" s="2">
        <f>IFERROR(__xludf.DUMMYFUNCTION("""COMPUTED_VALUE"""),50.0)</f>
        <v>50</v>
      </c>
      <c r="H533" s="2">
        <f>IFERROR(__xludf.DUMMYFUNCTION("""COMPUTED_VALUE"""),58.0)</f>
        <v>58</v>
      </c>
      <c r="I533" s="2">
        <f>IFERROR(__xludf.DUMMYFUNCTION("""COMPUTED_VALUE"""),67.6)</f>
        <v>67.6</v>
      </c>
      <c r="J533" s="2">
        <f>IFERROR(__xludf.DUMMYFUNCTION("""COMPUTED_VALUE"""),34.0)</f>
        <v>34</v>
      </c>
      <c r="K533" s="2">
        <f>IFERROR(__xludf.DUMMYFUNCTION("""COMPUTED_VALUE"""),28.0)</f>
        <v>28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IFERROR(__xludf.DUMMYFUNCTION("""COMPUTED_VALUE"""),"4690612035727")</f>
        <v>4690612035727</v>
      </c>
      <c r="B534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4" s="2">
        <f>IFERROR(__xludf.DUMMYFUNCTION("""COMPUTED_VALUE"""),1.54)</f>
        <v>1.54</v>
      </c>
      <c r="D534" s="2">
        <f>IFERROR(__xludf.DUMMYFUNCTION("""COMPUTED_VALUE"""),0.03)</f>
        <v>0.03</v>
      </c>
      <c r="E534" s="2">
        <f>IFERROR(__xludf.DUMMYFUNCTION("""COMPUTED_VALUE"""),2431.0)</f>
        <v>2431</v>
      </c>
      <c r="F534" s="2">
        <f>IFERROR(__xludf.DUMMYFUNCTION("""COMPUTED_VALUE"""),2431.0)</f>
        <v>2431</v>
      </c>
      <c r="G534" s="2">
        <f>IFERROR(__xludf.DUMMYFUNCTION("""COMPUTED_VALUE"""),2735.0)</f>
        <v>2735</v>
      </c>
      <c r="H534" s="2">
        <f>IFERROR(__xludf.DUMMYFUNCTION("""COMPUTED_VALUE"""),3173.0)</f>
        <v>3173</v>
      </c>
      <c r="I534" s="2">
        <f>IFERROR(__xludf.DUMMYFUNCTION("""COMPUTED_VALUE"""),3647.0)</f>
        <v>3647</v>
      </c>
      <c r="J534" s="2">
        <f>IFERROR(__xludf.DUMMYFUNCTION("""COMPUTED_VALUE"""),1824.0)</f>
        <v>1824</v>
      </c>
      <c r="K534" s="2">
        <f>IFERROR(__xludf.DUMMYFUNCTION("""COMPUTED_VALUE"""),3.0)</f>
        <v>3</v>
      </c>
      <c r="L534" s="2" t="str">
        <f>IFERROR(__xludf.DUMMYFUNCTION("""COMPUTED_VALUE"""),"Светильники светодиодные COMFORT")</f>
        <v>Светильники светодиодные COMFORT</v>
      </c>
      <c r="M5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5">
      <c r="A535" s="5" t="str">
        <f>IFERROR(__xludf.DUMMYFUNCTION("""COMPUTED_VALUE"""),"4690612004310")</f>
        <v>4690612004310</v>
      </c>
      <c r="B535" s="5" t="str">
        <f>IFERROR(__xludf.DUMMYFUNCTION("""COMPUTED_VALUE"""),"RLP-eco 8Вт 230В 4000К 560Лм 120/105мм белая IP40 LLT")</f>
        <v>RLP-eco 8Вт 230В 4000К 560Лм 120/105мм белая IP40 LLT</v>
      </c>
      <c r="C535" s="2">
        <f>IFERROR(__xludf.DUMMYFUNCTION("""COMPUTED_VALUE"""),0.103)</f>
        <v>0.103</v>
      </c>
      <c r="D535" s="2">
        <f>IFERROR(__xludf.DUMMYFUNCTION("""COMPUTED_VALUE"""),8.200000000000001E-4)</f>
        <v>0.00082</v>
      </c>
      <c r="E535" s="2">
        <f>IFERROR(__xludf.DUMMYFUNCTION("""COMPUTED_VALUE"""),110.71)</f>
        <v>110.71</v>
      </c>
      <c r="F535" s="2">
        <f>IFERROR(__xludf.DUMMYFUNCTION("""COMPUTED_VALUE"""),1.0)</f>
        <v>1</v>
      </c>
      <c r="G535" s="2">
        <f>IFERROR(__xludf.DUMMYFUNCTION("""COMPUTED_VALUE"""),1.0)</f>
        <v>1</v>
      </c>
      <c r="H535" s="2">
        <f>IFERROR(__xludf.DUMMYFUNCTION("""COMPUTED_VALUE"""),1.0)</f>
        <v>1</v>
      </c>
      <c r="I535" s="2">
        <f>IFERROR(__xludf.DUMMYFUNCTION("""COMPUTED_VALUE"""),1.0)</f>
        <v>1</v>
      </c>
      <c r="J535" s="2">
        <f>IFERROR(__xludf.DUMMYFUNCTION("""COMPUTED_VALUE"""),1.0)</f>
        <v>1</v>
      </c>
      <c r="K535" s="2">
        <f>IFERROR(__xludf.DUMMYFUNCTION("""COMPUTED_VALUE"""),1.0)</f>
        <v>1</v>
      </c>
      <c r="L53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5" s="2" t="str">
        <f>IFERROR(__xludf.DUMMYFUNCTION("""COMPUTED_VALUE"""),"Точечные круглые Downlight, LED Светильники")</f>
        <v>Точечные круглые Downlight, LED Светильники</v>
      </c>
    </row>
    <row r="536">
      <c r="A536" s="5" t="str">
        <f>IFERROR(__xludf.DUMMYFUNCTION("""COMPUTED_VALUE"""),"12-3212")</f>
        <v>12-3212</v>
      </c>
      <c r="B536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IFERROR(__xludf.DUMMYFUNCTION("""COMPUTED_VALUE"""),1.0)</f>
        <v>1</v>
      </c>
      <c r="F536" s="2">
        <f>IFERROR(__xludf.DUMMYFUNCTION("""COMPUTED_VALUE"""),1645.0)</f>
        <v>1645</v>
      </c>
      <c r="G536" s="2">
        <f>IFERROR(__xludf.DUMMYFUNCTION("""COMPUTED_VALUE"""),1755.0)</f>
        <v>1755</v>
      </c>
      <c r="H536" s="2">
        <f>IFERROR(__xludf.DUMMYFUNCTION("""COMPUTED_VALUE"""),1974.0)</f>
        <v>1974</v>
      </c>
      <c r="I536" s="2">
        <f>IFERROR(__xludf.DUMMYFUNCTION("""COMPUTED_VALUE"""),2193.68)</f>
        <v>2193.68</v>
      </c>
      <c r="J536" s="2">
        <f>IFERROR(__xludf.DUMMYFUNCTION("""COMPUTED_VALUE"""),1097.0)</f>
        <v>1097</v>
      </c>
      <c r="K536" s="2">
        <f>IFERROR(__xludf.DUMMYFUNCTION("""COMPUTED_VALUE"""),2.0)</f>
        <v>2</v>
      </c>
      <c r="L536" s="2" t="str">
        <f>IFERROR(__xludf.DUMMYFUNCTION("""COMPUTED_VALUE"""),"Rexant")</f>
        <v>Rexant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IFERROR(__xludf.DUMMYFUNCTION("""COMPUTED_VALUE"""),"4260652193369")</f>
        <v>4260652193369</v>
      </c>
      <c r="B537" s="5" t="str">
        <f>IFERROR(__xludf.DUMMYFUNCTION("""COMPUTED_VALUE"""),"LCL04-12W-R21-6K-SM")</f>
        <v>LCL04-12W-R21-6K-SM</v>
      </c>
      <c r="C537" s="2">
        <f>IFERROR(__xludf.DUMMYFUNCTION("""COMPUTED_VALUE"""),0.11)</f>
        <v>0.11</v>
      </c>
      <c r="D537" s="2">
        <f>IFERROR(__xludf.DUMMYFUNCTION("""COMPUTED_VALUE"""),0.0)</f>
        <v>0</v>
      </c>
      <c r="E537" s="2">
        <f>IFERROR(__xludf.DUMMYFUNCTION("""COMPUTED_VALUE"""),322.94)</f>
        <v>322.94</v>
      </c>
      <c r="F537" s="2">
        <f>IFERROR(__xludf.DUMMYFUNCTION("""COMPUTED_VALUE"""),465.0)</f>
        <v>465</v>
      </c>
      <c r="G537" s="2">
        <f>IFERROR(__xludf.DUMMYFUNCTION("""COMPUTED_VALUE"""),481.0)</f>
        <v>481</v>
      </c>
      <c r="H537" s="2">
        <f>IFERROR(__xludf.DUMMYFUNCTION("""COMPUTED_VALUE"""),630.0)</f>
        <v>630</v>
      </c>
      <c r="I537" s="2">
        <f>IFERROR(__xludf.DUMMYFUNCTION("""COMPUTED_VALUE"""),788.0)</f>
        <v>788</v>
      </c>
      <c r="J537" s="2">
        <f>IFERROR(__xludf.DUMMYFUNCTION("""COMPUTED_VALUE"""),465.0)</f>
        <v>465</v>
      </c>
      <c r="K537" s="2">
        <f>IFERROR(__xludf.DUMMYFUNCTION("""COMPUTED_VALUE"""),38.0)</f>
        <v>38</v>
      </c>
      <c r="L537" s="2" t="str">
        <f>IFERROR(__xludf.DUMMYFUNCTION("""COMPUTED_VALUE"""),"Wolta ЖКХ")</f>
        <v>Wolta ЖКХ</v>
      </c>
      <c r="M537" s="2" t="str">
        <f>IFERROR(__xludf.DUMMYFUNCTION("""COMPUTED_VALUE"""),"Для ЖКХ, дома, дачи, LED Светильники")</f>
        <v>Для ЖКХ, дома, дачи, LED Светильники</v>
      </c>
    </row>
    <row r="538">
      <c r="A538" s="5" t="str">
        <f>IFERROR(__xludf.DUMMYFUNCTION("""COMPUTED_VALUE"""),"4690612031019")</f>
        <v>4690612031019</v>
      </c>
      <c r="B538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8" s="2">
        <f>IFERROR(__xludf.DUMMYFUNCTION("""COMPUTED_VALUE"""),0.2)</f>
        <v>0.2</v>
      </c>
      <c r="D538" s="2">
        <f>IFERROR(__xludf.DUMMYFUNCTION("""COMPUTED_VALUE"""),0.00144)</f>
        <v>0.00144</v>
      </c>
      <c r="E538" s="2">
        <f>IFERROR(__xludf.DUMMYFUNCTION("""COMPUTED_VALUE"""),105.0)</f>
        <v>105</v>
      </c>
      <c r="F538" s="2">
        <f>IFERROR(__xludf.DUMMYFUNCTION("""COMPUTED_VALUE"""),132.0)</f>
        <v>132</v>
      </c>
      <c r="G538" s="2">
        <f>IFERROR(__xludf.DUMMYFUNCTION("""COMPUTED_VALUE"""),149.0)</f>
        <v>149</v>
      </c>
      <c r="H538" s="2">
        <f>IFERROR(__xludf.DUMMYFUNCTION("""COMPUTED_VALUE"""),172.0)</f>
        <v>172</v>
      </c>
      <c r="I538" s="2">
        <f>IFERROR(__xludf.DUMMYFUNCTION("""COMPUTED_VALUE"""),198.5)</f>
        <v>198.5</v>
      </c>
      <c r="J538" s="2">
        <f>IFERROR(__xludf.DUMMYFUNCTION("""COMPUTED_VALUE"""),99.0)</f>
        <v>99</v>
      </c>
      <c r="K538" s="2">
        <f>IFERROR(__xludf.DUMMYFUNCTION("""COMPUTED_VALUE"""),21.0)</f>
        <v>21</v>
      </c>
      <c r="L538" s="2" t="str">
        <f>IFERROR(__xludf.DUMMYFUNCTION("""COMPUTED_VALUE"""),"Лампа светодиодная LED-T8")</f>
        <v>Лампа светодиодная LED-T8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IFERROR(__xludf.DUMMYFUNCTION("""COMPUTED_VALUE"""),"V12012")</f>
        <v>V12012</v>
      </c>
      <c r="B539" s="5" t="str">
        <f>IFERROR(__xludf.DUMMYFUNCTION("""COMPUTED_VALUE"""),"VRN-LME136X78-89-A50K67-K, 89Вт, Консольный")</f>
        <v>VRN-LME136X78-89-A50K67-K, 89Вт, Консольный</v>
      </c>
      <c r="C539" s="2">
        <f>IFERROR(__xludf.DUMMYFUNCTION("""COMPUTED_VALUE"""),2.65)</f>
        <v>2.65</v>
      </c>
      <c r="D539" s="2">
        <f>IFERROR(__xludf.DUMMYFUNCTION("""COMPUTED_VALUE"""),0.0115)</f>
        <v>0.0115</v>
      </c>
      <c r="E539" s="2">
        <f>IFERROR(__xludf.DUMMYFUNCTION("""COMPUTED_VALUE"""),5100.0)</f>
        <v>5100</v>
      </c>
      <c r="F539" s="2">
        <f>IFERROR(__xludf.DUMMYFUNCTION("""COMPUTED_VALUE"""),5720.0)</f>
        <v>5720</v>
      </c>
      <c r="G539" s="2">
        <f>IFERROR(__xludf.DUMMYFUNCTION("""COMPUTED_VALUE"""),7436.0)</f>
        <v>7436</v>
      </c>
      <c r="H539" s="2">
        <f>IFERROR(__xludf.DUMMYFUNCTION("""COMPUTED_VALUE"""),7808.0)</f>
        <v>7808</v>
      </c>
      <c r="I539" s="2">
        <f>IFERROR(__xludf.DUMMYFUNCTION("""COMPUTED_VALUE"""),8180.0)</f>
        <v>8180</v>
      </c>
      <c r="J539" s="2">
        <f>IFERROR(__xludf.DUMMYFUNCTION("""COMPUTED_VALUE"""),4090.0)</f>
        <v>4090</v>
      </c>
      <c r="K539" s="2">
        <f>IFERROR(__xludf.DUMMYFUNCTION("""COMPUTED_VALUE"""),1.0)</f>
        <v>1</v>
      </c>
      <c r="L539" s="2" t="str">
        <f>IFERROR(__xludf.DUMMYFUNCTION("""COMPUTED_VALUE"""),"Магистраль Эконом")</f>
        <v>Магистраль Эконом</v>
      </c>
      <c r="M539" s="2" t="str">
        <f>IFERROR(__xludf.DUMMYFUNCTION("""COMPUTED_VALUE"""),"Для автомагистралей, LED Светильники")</f>
        <v>Для автомагистралей, LED Светильники</v>
      </c>
    </row>
    <row r="540">
      <c r="A540" s="5" t="str">
        <f>IFERROR(__xludf.DUMMYFUNCTION("""COMPUTED_VALUE"""),"sra058")</f>
        <v>sra058</v>
      </c>
      <c r="B540" s="5" t="str">
        <f>IFERROR(__xludf.DUMMYFUNCTION("""COMPUTED_VALUE"""),"Лампасветодиодная ЛСО")</f>
        <v>Лампасветодиодная ЛСО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IFERROR(__xludf.DUMMYFUNCTION("""COMPUTED_VALUE"""),293.71)</f>
        <v>293.71</v>
      </c>
      <c r="F540" s="2">
        <f>IFERROR(__xludf.DUMMYFUNCTION("""COMPUTED_VALUE"""),91.0)</f>
        <v>91</v>
      </c>
      <c r="G540" s="2">
        <f>IFERROR(__xludf.DUMMYFUNCTION("""COMPUTED_VALUE"""),97.0)</f>
        <v>97</v>
      </c>
      <c r="H540" s="2">
        <f>IFERROR(__xludf.DUMMYFUNCTION("""COMPUTED_VALUE"""),109.0)</f>
        <v>109</v>
      </c>
      <c r="I540" s="2">
        <f>IFERROR(__xludf.DUMMYFUNCTION("""COMPUTED_VALUE"""),121.2)</f>
        <v>121.2</v>
      </c>
      <c r="J540" s="2">
        <f>IFERROR(__xludf.DUMMYFUNCTION("""COMPUTED_VALUE"""),61.0)</f>
        <v>61</v>
      </c>
      <c r="K540" s="2">
        <f>IFERROR(__xludf.DUMMYFUNCTION("""COMPUTED_VALUE"""),15.0)</f>
        <v>15</v>
      </c>
      <c r="L540" s="2" t="str">
        <f>IFERROR(__xludf.DUMMYFUNCTION("""COMPUTED_VALUE"""),"SRA")</f>
        <v>SRA</v>
      </c>
      <c r="M540" s="2" t="str">
        <f>IFERROR(__xludf.DUMMYFUNCTION("""COMPUTED_VALUE"""),"LED Светильники")</f>
        <v>LED Светильники</v>
      </c>
    </row>
    <row r="541">
      <c r="A541" s="5" t="str">
        <f>IFERROR(__xludf.DUMMYFUNCTION("""COMPUTED_VALUE"""),"4690612002309")</f>
        <v>4690612002309</v>
      </c>
      <c r="B541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1" s="2">
        <f>IFERROR(__xludf.DUMMYFUNCTION("""COMPUTED_VALUE"""),0.044)</f>
        <v>0.044</v>
      </c>
      <c r="D541" s="2">
        <f>IFERROR(__xludf.DUMMYFUNCTION("""COMPUTED_VALUE"""),2.2E-4)</f>
        <v>0.00022</v>
      </c>
      <c r="E541" s="2">
        <f>IFERROR(__xludf.DUMMYFUNCTION("""COMPUTED_VALUE"""),32.83)</f>
        <v>32.83</v>
      </c>
      <c r="F541" s="2">
        <f>IFERROR(__xludf.DUMMYFUNCTION("""COMPUTED_VALUE"""),33.0)</f>
        <v>33</v>
      </c>
      <c r="G541" s="2">
        <f>IFERROR(__xludf.DUMMYFUNCTION("""COMPUTED_VALUE"""),38.0)</f>
        <v>38</v>
      </c>
      <c r="H541" s="2">
        <f>IFERROR(__xludf.DUMMYFUNCTION("""COMPUTED_VALUE"""),44.0)</f>
        <v>44</v>
      </c>
      <c r="I541" s="2">
        <f>IFERROR(__xludf.DUMMYFUNCTION("""COMPUTED_VALUE"""),50.5)</f>
        <v>50.5</v>
      </c>
      <c r="J541" s="2">
        <f>IFERROR(__xludf.DUMMYFUNCTION("""COMPUTED_VALUE"""),25.0)</f>
        <v>25</v>
      </c>
      <c r="K541" s="2">
        <f>IFERROR(__xludf.DUMMYFUNCTION("""COMPUTED_VALUE"""),1.0)</f>
        <v>1</v>
      </c>
      <c r="L541" s="2" t="str">
        <f>IFERROR(__xludf.DUMMYFUNCTION("""COMPUTED_VALUE"""),"Лампа светодиодная LED-JCDRC-standard")</f>
        <v>Лампа светодиодная LED-JCDRC-standard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IFERROR(__xludf.DUMMYFUNCTION("""COMPUTED_VALUE"""),"4690626045989")</f>
        <v>4690626045989</v>
      </c>
      <c r="B542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IFERROR(__xludf.DUMMYFUNCTION("""COMPUTED_VALUE"""),434.63)</f>
        <v>434.63</v>
      </c>
      <c r="F542" s="2">
        <f>IFERROR(__xludf.DUMMYFUNCTION("""COMPUTED_VALUE"""),475.0)</f>
        <v>475</v>
      </c>
      <c r="G542" s="2">
        <f>IFERROR(__xludf.DUMMYFUNCTION("""COMPUTED_VALUE"""),522.0)</f>
        <v>522</v>
      </c>
      <c r="H542" s="2">
        <f>IFERROR(__xludf.DUMMYFUNCTION("""COMPUTED_VALUE"""),580.0)</f>
        <v>580</v>
      </c>
      <c r="I542" s="2">
        <f>IFERROR(__xludf.DUMMYFUNCTION("""COMPUTED_VALUE"""),637.0)</f>
        <v>637</v>
      </c>
      <c r="J542" s="2">
        <f>IFERROR(__xludf.DUMMYFUNCTION("""COMPUTED_VALUE"""),319.0)</f>
        <v>319</v>
      </c>
      <c r="K542" s="2">
        <f>IFERROR(__xludf.DUMMYFUNCTION("""COMPUTED_VALUE"""),4.0)</f>
        <v>4</v>
      </c>
      <c r="L542" s="2" t="str">
        <f>IFERROR(__xludf.DUMMYFUNCTION("""COMPUTED_VALUE"""),"Smartbuy")</f>
        <v>Smartbuy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IFERROR(__xludf.DUMMYFUNCTION("""COMPUTED_VALUE"""),"14690612057290")</f>
        <v>14690612057290</v>
      </c>
      <c r="B543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IFERROR(__xludf.DUMMYFUNCTION("""COMPUTED_VALUE"""),3192.0)</f>
        <v>3192</v>
      </c>
      <c r="F543" s="2">
        <f>IFERROR(__xludf.DUMMYFUNCTION("""COMPUTED_VALUE"""),3502.0)</f>
        <v>3502</v>
      </c>
      <c r="G543" s="2">
        <f>IFERROR(__xludf.DUMMYFUNCTION("""COMPUTED_VALUE"""),4086.0)</f>
        <v>4086</v>
      </c>
      <c r="H543" s="2">
        <f>IFERROR(__xludf.DUMMYFUNCTION("""COMPUTED_VALUE"""),4596.0)</f>
        <v>4596</v>
      </c>
      <c r="I543" s="2">
        <f>IFERROR(__xludf.DUMMYFUNCTION("""COMPUTED_VALUE"""),5107.0)</f>
        <v>5107</v>
      </c>
      <c r="J543" s="2">
        <f>IFERROR(__xludf.DUMMYFUNCTION("""COMPUTED_VALUE"""),2554.0)</f>
        <v>2554</v>
      </c>
      <c r="K543" s="2">
        <f>IFERROR(__xludf.DUMMYFUNCTION("""COMPUTED_VALUE"""),2.0)</f>
        <v>2</v>
      </c>
      <c r="L54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4">
      <c r="A544" s="5" t="str">
        <f>IFERROR(__xludf.DUMMYFUNCTION("""COMPUTED_VALUE"""),"4690612027142")</f>
        <v>4690612027142</v>
      </c>
      <c r="B544" s="5" t="str">
        <f>IFERROR(__xludf.DUMMYFUNCTION("""COMPUTED_VALUE"""),"СКУ-02 PRO 125Вт 230В 5000К IP65 LLT")</f>
        <v>СКУ-02 PRO 125Вт 230В 5000К IP65 LLT</v>
      </c>
      <c r="C544" s="2">
        <f>IFERROR(__xludf.DUMMYFUNCTION("""COMPUTED_VALUE"""),2.35)</f>
        <v>2.35</v>
      </c>
      <c r="D544" s="2">
        <f>IFERROR(__xludf.DUMMYFUNCTION("""COMPUTED_VALUE"""),0.013)</f>
        <v>0.013</v>
      </c>
      <c r="E544" s="2">
        <f>IFERROR(__xludf.DUMMYFUNCTION("""COMPUTED_VALUE"""),2224.4)</f>
        <v>2224.4</v>
      </c>
      <c r="F544" s="2">
        <f>IFERROR(__xludf.DUMMYFUNCTION("""COMPUTED_VALUE"""),2167.0)</f>
        <v>2167</v>
      </c>
      <c r="G544" s="2">
        <f>IFERROR(__xludf.DUMMYFUNCTION("""COMPUTED_VALUE"""),2438.0)</f>
        <v>2438</v>
      </c>
      <c r="H544" s="2">
        <f>IFERROR(__xludf.DUMMYFUNCTION("""COMPUTED_VALUE"""),2828.0)</f>
        <v>2828</v>
      </c>
      <c r="I544" s="2">
        <f>IFERROR(__xludf.DUMMYFUNCTION("""COMPUTED_VALUE"""),3250.0)</f>
        <v>3250</v>
      </c>
      <c r="J544" s="2">
        <f>IFERROR(__xludf.DUMMYFUNCTION("""COMPUTED_VALUE"""),1625.0)</f>
        <v>1625</v>
      </c>
      <c r="K544" s="2">
        <f>IFERROR(__xludf.DUMMYFUNCTION("""COMPUTED_VALUE"""),1.0)</f>
        <v>1</v>
      </c>
      <c r="L544" s="2" t="str">
        <f>IFERROR(__xludf.DUMMYFUNCTION("""COMPUTED_VALUE"""),"Светильники светодиодные уличные СКУ")</f>
        <v>Светильники светодиодные уличные СКУ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IFERROR(__xludf.DUMMYFUNCTION("""COMPUTED_VALUE"""),"GL8220")</f>
        <v>GL8220</v>
      </c>
      <c r="B545" s="5" t="str">
        <f>IFERROR(__xludf.DUMMYFUNCTION("""COMPUTED_VALUE"""),"GLERIO Line 24 Вт 4000К 91P-24D-4N-M")</f>
        <v>GLERIO Line 24 Вт 4000К 91P-24D-4N-M</v>
      </c>
      <c r="C545" s="2">
        <f>IFERROR(__xludf.DUMMYFUNCTION("""COMPUTED_VALUE"""),0.5)</f>
        <v>0.5</v>
      </c>
      <c r="D545" s="2">
        <f>IFERROR(__xludf.DUMMYFUNCTION("""COMPUTED_VALUE"""),0.00396)</f>
        <v>0.00396</v>
      </c>
      <c r="E545" s="2">
        <f>IFERROR(__xludf.DUMMYFUNCTION("""COMPUTED_VALUE"""),1406.0)</f>
        <v>1406</v>
      </c>
      <c r="F545" s="2">
        <f>IFERROR(__xludf.DUMMYFUNCTION("""COMPUTED_VALUE"""),1660.0)</f>
        <v>1660</v>
      </c>
      <c r="G545" s="2">
        <f>IFERROR(__xludf.DUMMYFUNCTION("""COMPUTED_VALUE"""),2090.0)</f>
        <v>2090</v>
      </c>
      <c r="H545" s="2">
        <f>IFERROR(__xludf.DUMMYFUNCTION("""COMPUTED_VALUE"""),2347.0)</f>
        <v>2347</v>
      </c>
      <c r="I545" s="2">
        <f>IFERROR(__xludf.DUMMYFUNCTION("""COMPUTED_VALUE"""),2604.0)</f>
        <v>2604</v>
      </c>
      <c r="J545" s="2">
        <f>IFERROR(__xludf.DUMMYFUNCTION("""COMPUTED_VALUE"""),2090.0)</f>
        <v>2090</v>
      </c>
      <c r="K545" s="2">
        <f>IFERROR(__xludf.DUMMYFUNCTION("""COMPUTED_VALUE"""),45.0)</f>
        <v>45</v>
      </c>
      <c r="L545" s="2" t="str">
        <f>IFERROR(__xludf.DUMMYFUNCTION("""COMPUTED_VALUE"""),"Line (Айсберг) до 10.2025")</f>
        <v>Line (Айсберг) до 10.2025</v>
      </c>
      <c r="M545" s="2" t="str">
        <f>IFERROR(__xludf.DUMMYFUNCTION("""COMPUTED_VALUE"""),"Пластиковые (линейные), LED Светильники")</f>
        <v>Пластиковые (линейные), LED Светильники</v>
      </c>
    </row>
    <row r="546">
      <c r="A546" s="5" t="str">
        <f>IFERROR(__xludf.DUMMYFUNCTION("""COMPUTED_VALUE"""),"4690612020471")</f>
        <v>4690612020471</v>
      </c>
      <c r="B546" s="5" t="str">
        <f>IFERROR(__xludf.DUMMYFUNCTION("""COMPUTED_VALUE"""),"LED-СВЕЧА-VC 11Вт 230В Е14 4000К 1050Лм IN HOME")</f>
        <v>LED-СВЕЧА-VC 11Вт 230В Е14 4000К 1050Лм IN HOME</v>
      </c>
      <c r="C546" s="2">
        <f>IFERROR(__xludf.DUMMYFUNCTION("""COMPUTED_VALUE"""),0.035)</f>
        <v>0.035</v>
      </c>
      <c r="D546" s="2">
        <f>IFERROR(__xludf.DUMMYFUNCTION("""COMPUTED_VALUE"""),1.9E-4)</f>
        <v>0.00019</v>
      </c>
      <c r="E546" s="2">
        <f>IFERROR(__xludf.DUMMYFUNCTION("""COMPUTED_VALUE"""),40.2)</f>
        <v>40.2</v>
      </c>
      <c r="F546" s="2">
        <f>IFERROR(__xludf.DUMMYFUNCTION("""COMPUTED_VALUE"""),46.0)</f>
        <v>46</v>
      </c>
      <c r="G546" s="2">
        <f>IFERROR(__xludf.DUMMYFUNCTION("""COMPUTED_VALUE"""),52.0)</f>
        <v>52</v>
      </c>
      <c r="H546" s="2">
        <f>IFERROR(__xludf.DUMMYFUNCTION("""COMPUTED_VALUE"""),60.0)</f>
        <v>60</v>
      </c>
      <c r="I546" s="2">
        <f>IFERROR(__xludf.DUMMYFUNCTION("""COMPUTED_VALUE"""),69.8)</f>
        <v>69.8</v>
      </c>
      <c r="J546" s="2">
        <f>IFERROR(__xludf.DUMMYFUNCTION("""COMPUTED_VALUE"""),35.0)</f>
        <v>35</v>
      </c>
      <c r="K546" s="2">
        <f>IFERROR(__xludf.DUMMYFUNCTION("""COMPUTED_VALUE"""),32.0)</f>
        <v>32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IFERROR(__xludf.DUMMYFUNCTION("""COMPUTED_VALUE"""),"4690612019765")</f>
        <v>4690612019765</v>
      </c>
      <c r="B547" s="5" t="str">
        <f>IFERROR(__xludf.DUMMYFUNCTION("""COMPUTED_VALUE"""),"LED-JC-VC 1.5Вт 12В G4 6500К 135Лм IN HOME")</f>
        <v>LED-JC-VC 1.5Вт 12В G4 6500К 135Лм IN HOME</v>
      </c>
      <c r="C547" s="2">
        <f>IFERROR(__xludf.DUMMYFUNCTION("""COMPUTED_VALUE"""),0.004)</f>
        <v>0.004</v>
      </c>
      <c r="D547" s="2">
        <f>IFERROR(__xludf.DUMMYFUNCTION("""COMPUTED_VALUE"""),3.0E-5)</f>
        <v>0.00003</v>
      </c>
      <c r="E547" s="2">
        <f>IFERROR(__xludf.DUMMYFUNCTION("""COMPUTED_VALUE"""),45.42)</f>
        <v>45.42</v>
      </c>
      <c r="F547" s="2">
        <f>IFERROR(__xludf.DUMMYFUNCTION("""COMPUTED_VALUE"""),37.0)</f>
        <v>37</v>
      </c>
      <c r="G547" s="2">
        <f>IFERROR(__xludf.DUMMYFUNCTION("""COMPUTED_VALUE"""),42.0)</f>
        <v>42</v>
      </c>
      <c r="H547" s="2">
        <f>IFERROR(__xludf.DUMMYFUNCTION("""COMPUTED_VALUE"""),49.0)</f>
        <v>49</v>
      </c>
      <c r="I547" s="2">
        <f>IFERROR(__xludf.DUMMYFUNCTION("""COMPUTED_VALUE"""),56.5)</f>
        <v>56.5</v>
      </c>
      <c r="J547" s="2">
        <f>IFERROR(__xludf.DUMMYFUNCTION("""COMPUTED_VALUE"""),28.0)</f>
        <v>28</v>
      </c>
      <c r="K547" s="2">
        <f>IFERROR(__xludf.DUMMYFUNCTION("""COMPUTED_VALUE"""),1.0)</f>
        <v>1</v>
      </c>
      <c r="L547" s="2" t="str">
        <f>IFERROR(__xludf.DUMMYFUNCTION("""COMPUTED_VALUE"""),"Лампа светодиодная LED-JC-standard")</f>
        <v>Лампа светодиодная LED-JC-standard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IFERROR(__xludf.DUMMYFUNCTION("""COMPUTED_VALUE"""),"4690626031845")</f>
        <v>4690626031845</v>
      </c>
      <c r="B548" s="5" t="str">
        <f>IFERROR(__xludf.DUMMYFUNCTION("""COMPUTED_VALUE"""),"SBL-FLSen-30-65K")</f>
        <v>SBL-FLSen-30-65K</v>
      </c>
      <c r="C548" s="2">
        <f>IFERROR(__xludf.DUMMYFUNCTION("""COMPUTED_VALUE"""),0.68)</f>
        <v>0.68</v>
      </c>
      <c r="D548" s="2">
        <f>IFERROR(__xludf.DUMMYFUNCTION("""COMPUTED_VALUE"""),0.0024)</f>
        <v>0.0024</v>
      </c>
      <c r="E548" s="2">
        <f>IFERROR(__xludf.DUMMYFUNCTION("""COMPUTED_VALUE"""),707.9)</f>
        <v>707.9</v>
      </c>
      <c r="F548" s="2">
        <f>IFERROR(__xludf.DUMMYFUNCTION("""COMPUTED_VALUE"""),723.0)</f>
        <v>723</v>
      </c>
      <c r="G548" s="2">
        <f>IFERROR(__xludf.DUMMYFUNCTION("""COMPUTED_VALUE"""),794.0)</f>
        <v>794</v>
      </c>
      <c r="H548" s="2">
        <f>IFERROR(__xludf.DUMMYFUNCTION("""COMPUTED_VALUE"""),882.0)</f>
        <v>882</v>
      </c>
      <c r="I548" s="2">
        <f>IFERROR(__xludf.DUMMYFUNCTION("""COMPUTED_VALUE"""),970.0)</f>
        <v>970</v>
      </c>
      <c r="J548" s="2">
        <f>IFERROR(__xludf.DUMMYFUNCTION("""COMPUTED_VALUE"""),794.0)</f>
        <v>794</v>
      </c>
      <c r="K548" s="2">
        <f>IFERROR(__xludf.DUMMYFUNCTION("""COMPUTED_VALUE"""),4.0)</f>
        <v>4</v>
      </c>
      <c r="L548" s="2" t="str">
        <f>IFERROR(__xludf.DUMMYFUNCTION("""COMPUTED_VALUE"""),"Smartbuy LED светильники")</f>
        <v>Smartbuy LED светильники</v>
      </c>
      <c r="M54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9">
      <c r="A549" s="5" t="str">
        <f>IFERROR(__xludf.DUMMYFUNCTION("""COMPUTED_VALUE"""),"G13619")</f>
        <v>G13619</v>
      </c>
      <c r="B549" s="5" t="str">
        <f>IFERROR(__xludf.DUMMYFUNCTION("""COMPUTED_VALUE"""),"Лампа Gauss LED Elementary MR16 GU10 9W 640lm 3000К 1/10/100")</f>
        <v>Лампа Gauss LED Elementary MR16 GU10 9W 640lm 3000К 1/10/100</v>
      </c>
      <c r="C549" s="2">
        <f>IFERROR(__xludf.DUMMYFUNCTION("""COMPUTED_VALUE"""),0.0)</f>
        <v>0</v>
      </c>
      <c r="D549" s="2">
        <f>IFERROR(__xludf.DUMMYFUNCTION("""COMPUTED_VALUE"""),0.0)</f>
        <v>0</v>
      </c>
      <c r="E549" s="2">
        <f>IFERROR(__xludf.DUMMYFUNCTION("""COMPUTED_VALUE"""),122.02)</f>
        <v>122.02</v>
      </c>
      <c r="F549" s="2">
        <f>IFERROR(__xludf.DUMMYFUNCTION("""COMPUTED_VALUE"""),0.0)</f>
        <v>0</v>
      </c>
      <c r="G549" s="2">
        <f>IFERROR(__xludf.DUMMYFUNCTION("""COMPUTED_VALUE"""),0.0)</f>
        <v>0</v>
      </c>
      <c r="H549" s="2">
        <f>IFERROR(__xludf.DUMMYFUNCTION("""COMPUTED_VALUE"""),0.0)</f>
        <v>0</v>
      </c>
      <c r="I549" s="2">
        <f>IFERROR(__xludf.DUMMYFUNCTION("""COMPUTED_VALUE"""),0.0)</f>
        <v>0</v>
      </c>
      <c r="J549" s="2">
        <f>IFERROR(__xludf.DUMMYFUNCTION("""COMPUTED_VALUE"""),0.0)</f>
        <v>0</v>
      </c>
      <c r="K549" s="2">
        <f>IFERROR(__xludf.DUMMYFUNCTION("""COMPUTED_VALUE"""),11.0)</f>
        <v>11</v>
      </c>
      <c r="L549" s="2" t="str">
        <f>IFERROR(__xludf.DUMMYFUNCTION("""COMPUTED_VALUE"""),"GAUSS лампы LED")</f>
        <v>GAUSS лампы LED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IFERROR(__xludf.DUMMYFUNCTION("""COMPUTED_VALUE"""),"P00037")</f>
        <v>P00037</v>
      </c>
      <c r="B550" s="5" t="str">
        <f>IFERROR(__xludf.DUMMYFUNCTION("""COMPUTED_VALUE"""),"КР-5 300*350 D=45 мм кронштейн с двумя хомутами")</f>
        <v>КР-5 300*350 D=45 мм кронштейн с двумя хомутами</v>
      </c>
      <c r="C550" s="2">
        <f>IFERROR(__xludf.DUMMYFUNCTION("""COMPUTED_VALUE"""),2.9)</f>
        <v>2.9</v>
      </c>
      <c r="D550" s="2">
        <f>IFERROR(__xludf.DUMMYFUNCTION("""COMPUTED_VALUE"""),0.0048)</f>
        <v>0.0048</v>
      </c>
      <c r="E550" s="2">
        <f>IFERROR(__xludf.DUMMYFUNCTION("""COMPUTED_VALUE"""),1086.73)</f>
        <v>1086.73</v>
      </c>
      <c r="F550" s="2">
        <f>IFERROR(__xludf.DUMMYFUNCTION("""COMPUTED_VALUE"""),1261.0)</f>
        <v>1261</v>
      </c>
      <c r="G550" s="2">
        <f>IFERROR(__xludf.DUMMYFUNCTION("""COMPUTED_VALUE"""),1380.0)</f>
        <v>1380</v>
      </c>
      <c r="H550" s="2">
        <f>IFERROR(__xludf.DUMMYFUNCTION("""COMPUTED_VALUE"""),1467.0)</f>
        <v>1467</v>
      </c>
      <c r="I550" s="2">
        <f>IFERROR(__xludf.DUMMYFUNCTION("""COMPUTED_VALUE"""),1630.0)</f>
        <v>1630</v>
      </c>
      <c r="J550" s="2">
        <f>IFERROR(__xludf.DUMMYFUNCTION("""COMPUTED_VALUE"""),1630.0)</f>
        <v>1630</v>
      </c>
      <c r="K550" s="2">
        <f>IFERROR(__xludf.DUMMYFUNCTION("""COMPUTED_VALUE"""),6.0)</f>
        <v>6</v>
      </c>
      <c r="L550" s="2" t="str">
        <f>IFERROR(__xludf.DUMMYFUNCTION("""COMPUTED_VALUE"""),"Приставные, настенные, регулируемые")</f>
        <v>Приставные, настенные, регулируемые</v>
      </c>
      <c r="M550" s="2" t="str">
        <f>IFERROR(__xludf.DUMMYFUNCTION("""COMPUTED_VALUE"""),"Настенные, Прочие товары")</f>
        <v>Настенные, Прочие товары</v>
      </c>
    </row>
    <row r="551">
      <c r="A551" s="5" t="str">
        <f>IFERROR(__xludf.DUMMYFUNCTION("""COMPUTED_VALUE"""),"4690612008073-10")</f>
        <v>4690612008073-10</v>
      </c>
      <c r="B551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1" s="2">
        <f>IFERROR(__xludf.DUMMYFUNCTION("""COMPUTED_VALUE"""),0.04)</f>
        <v>0.04</v>
      </c>
      <c r="D551" s="2">
        <f>IFERROR(__xludf.DUMMYFUNCTION("""COMPUTED_VALUE"""),0.0028)</f>
        <v>0.0028</v>
      </c>
      <c r="E551" s="2">
        <f>IFERROR(__xludf.DUMMYFUNCTION("""COMPUTED_VALUE"""),792.0)</f>
        <v>792</v>
      </c>
      <c r="F551" s="2">
        <f>IFERROR(__xludf.DUMMYFUNCTION("""COMPUTED_VALUE"""),869.0)</f>
        <v>869</v>
      </c>
      <c r="G551" s="2">
        <f>IFERROR(__xludf.DUMMYFUNCTION("""COMPUTED_VALUE"""),1014.0)</f>
        <v>1014</v>
      </c>
      <c r="H551" s="2">
        <f>IFERROR(__xludf.DUMMYFUNCTION("""COMPUTED_VALUE"""),1140.0)</f>
        <v>1140</v>
      </c>
      <c r="I551" s="2">
        <f>IFERROR(__xludf.DUMMYFUNCTION("""COMPUTED_VALUE"""),1267.0)</f>
        <v>1267</v>
      </c>
      <c r="J551" s="2">
        <f>IFERROR(__xludf.DUMMYFUNCTION("""COMPUTED_VALUE"""),634.0)</f>
        <v>634</v>
      </c>
      <c r="K551" s="2">
        <f>IFERROR(__xludf.DUMMYFUNCTION("""COMPUTED_VALUE"""),11.0)</f>
        <v>11</v>
      </c>
      <c r="L551" s="2" t="str">
        <f>IFERROR(__xludf.DUMMYFUNCTION("""COMPUTED_VALUE"""),"Лампы производство, упаковка")</f>
        <v>Лампы производство, упаковка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IFERROR(__xludf.DUMMYFUNCTION("""COMPUTED_VALUE"""),"4260375484195")</f>
        <v>4260375484195</v>
      </c>
      <c r="B552" s="5" t="str">
        <f>IFERROR(__xludf.DUMMYFUNCTION("""COMPUTED_VALUE"""),"LLFW36W02")</f>
        <v>LLFW36W02</v>
      </c>
      <c r="C552" s="2">
        <f>IFERROR(__xludf.DUMMYFUNCTION("""COMPUTED_VALUE"""),0.184)</f>
        <v>0.184</v>
      </c>
      <c r="D552" s="2">
        <f>IFERROR(__xludf.DUMMYFUNCTION("""COMPUTED_VALUE"""),0.05760000000000001)</f>
        <v>0.0576</v>
      </c>
      <c r="E552" s="2">
        <f>IFERROR(__xludf.DUMMYFUNCTION("""COMPUTED_VALUE"""),180.0)</f>
        <v>180</v>
      </c>
      <c r="F552" s="2">
        <f>IFERROR(__xludf.DUMMYFUNCTION("""COMPUTED_VALUE"""),385.0)</f>
        <v>385</v>
      </c>
      <c r="G552" s="2">
        <f>IFERROR(__xludf.DUMMYFUNCTION("""COMPUTED_VALUE"""),398.0)</f>
        <v>398</v>
      </c>
      <c r="H552" s="2">
        <f>IFERROR(__xludf.DUMMYFUNCTION("""COMPUTED_VALUE"""),521.0)</f>
        <v>521</v>
      </c>
      <c r="I552" s="2">
        <f>IFERROR(__xludf.DUMMYFUNCTION("""COMPUTED_VALUE"""),652.0)</f>
        <v>652</v>
      </c>
      <c r="J552" s="2">
        <f>IFERROR(__xludf.DUMMYFUNCTION("""COMPUTED_VALUE"""),385.0)</f>
        <v>385</v>
      </c>
      <c r="K552" s="2">
        <f>IFERROR(__xludf.DUMMYFUNCTION("""COMPUTED_VALUE"""),3.0)</f>
        <v>3</v>
      </c>
      <c r="L552" s="2" t="str">
        <f>IFERROR(__xludf.DUMMYFUNCTION("""COMPUTED_VALUE"""),"Wolta офисные")</f>
        <v>Wolta офисные</v>
      </c>
      <c r="M55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3">
      <c r="A553" s="5" t="str">
        <f>IFERROR(__xludf.DUMMYFUNCTION("""COMPUTED_VALUE"""),"4690612023403")</f>
        <v>4690612023403</v>
      </c>
      <c r="B553" s="5" t="str">
        <f>IFERROR(__xludf.DUMMYFUNCTION("""COMPUTED_VALUE"""),"LED-JCDRC-VC 6Вт 230В GU10 4000К 530Лм IN HOME")</f>
        <v>LED-JCDRC-VC 6Вт 230В GU10 4000К 530Лм IN HOME</v>
      </c>
      <c r="C553" s="2">
        <f>IFERROR(__xludf.DUMMYFUNCTION("""COMPUTED_VALUE"""),0.035)</f>
        <v>0.035</v>
      </c>
      <c r="D553" s="2">
        <f>IFERROR(__xludf.DUMMYFUNCTION("""COMPUTED_VALUE"""),2.1E-4)</f>
        <v>0.00021</v>
      </c>
      <c r="E553" s="2">
        <f>IFERROR(__xludf.DUMMYFUNCTION("""COMPUTED_VALUE"""),30.19)</f>
        <v>30.19</v>
      </c>
      <c r="F553" s="2">
        <f>IFERROR(__xludf.DUMMYFUNCTION("""COMPUTED_VALUE"""),35.0)</f>
        <v>35</v>
      </c>
      <c r="G553" s="2">
        <f>IFERROR(__xludf.DUMMYFUNCTION("""COMPUTED_VALUE"""),40.0)</f>
        <v>40</v>
      </c>
      <c r="H553" s="2">
        <f>IFERROR(__xludf.DUMMYFUNCTION("""COMPUTED_VALUE"""),46.0)</f>
        <v>46</v>
      </c>
      <c r="I553" s="2">
        <f>IFERROR(__xludf.DUMMYFUNCTION("""COMPUTED_VALUE"""),53.5)</f>
        <v>53.5</v>
      </c>
      <c r="J553" s="2">
        <f>IFERROR(__xludf.DUMMYFUNCTION("""COMPUTED_VALUE"""),27.0)</f>
        <v>27</v>
      </c>
      <c r="K553" s="2">
        <f>IFERROR(__xludf.DUMMYFUNCTION("""COMPUTED_VALUE"""),60.0)</f>
        <v>60</v>
      </c>
      <c r="L553" s="2" t="str">
        <f>IFERROR(__xludf.DUMMYFUNCTION("""COMPUTED_VALUE"""),"Лампа светодиодная LED-JCDR-standard")</f>
        <v>Лампа светодиодная LED-JCDR-standard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IFERROR(__xludf.DUMMYFUNCTION("""COMPUTED_VALUE"""),"4690612013336")</f>
        <v>4690612013336</v>
      </c>
      <c r="B554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4" s="2">
        <f>IFERROR(__xludf.DUMMYFUNCTION("""COMPUTED_VALUE"""),0.17)</f>
        <v>0.17</v>
      </c>
      <c r="D554" s="2">
        <f>IFERROR(__xludf.DUMMYFUNCTION("""COMPUTED_VALUE"""),8.300000000000001E-4)</f>
        <v>0.00083</v>
      </c>
      <c r="E554" s="2">
        <f>IFERROR(__xludf.DUMMYFUNCTION("""COMPUTED_VALUE"""),436.93)</f>
        <v>436.93</v>
      </c>
      <c r="F554" s="2">
        <f>IFERROR(__xludf.DUMMYFUNCTION("""COMPUTED_VALUE"""),751.0)</f>
        <v>751</v>
      </c>
      <c r="G554" s="2">
        <f>IFERROR(__xludf.DUMMYFUNCTION("""COMPUTED_VALUE"""),845.0)</f>
        <v>845</v>
      </c>
      <c r="H554" s="2">
        <f>IFERROR(__xludf.DUMMYFUNCTION("""COMPUTED_VALUE"""),980.0)</f>
        <v>980</v>
      </c>
      <c r="I554" s="2">
        <f>IFERROR(__xludf.DUMMYFUNCTION("""COMPUTED_VALUE"""),1126.0)</f>
        <v>1126</v>
      </c>
      <c r="J554" s="2">
        <f>IFERROR(__xludf.DUMMYFUNCTION("""COMPUTED_VALUE"""),563.0)</f>
        <v>563</v>
      </c>
      <c r="K554" s="2">
        <f>IFERROR(__xludf.DUMMYFUNCTION("""COMPUTED_VALUE"""),1.0)</f>
        <v>1</v>
      </c>
      <c r="L554" s="2" t="str">
        <f>IFERROR(__xludf.DUMMYFUNCTION("""COMPUTED_VALUE"""),"Звонки")</f>
        <v>Звонки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IFERROR(__xludf.DUMMYFUNCTION("""COMPUTED_VALUE"""),"V5037")</f>
        <v>V5037</v>
      </c>
      <c r="B555" s="5" t="str">
        <f>IFERROR(__xludf.DUMMYFUNCTION("""COMPUTED_VALUE"""),"VRN-LUX60-76-A50K67-U")</f>
        <v>VRN-LUX60-76-A50K67-U</v>
      </c>
      <c r="C555" s="2">
        <f>IFERROR(__xludf.DUMMYFUNCTION("""COMPUTED_VALUE"""),2.4)</f>
        <v>2.4</v>
      </c>
      <c r="D555" s="2">
        <f>IFERROR(__xludf.DUMMYFUNCTION("""COMPUTED_VALUE"""),0.0088)</f>
        <v>0.0088</v>
      </c>
      <c r="E555" s="2">
        <f>IFERROR(__xludf.DUMMYFUNCTION("""COMPUTED_VALUE"""),7172.5)</f>
        <v>7172.5</v>
      </c>
      <c r="F555" s="2">
        <f>IFERROR(__xludf.DUMMYFUNCTION("""COMPUTED_VALUE"""),7430.0)</f>
        <v>7430</v>
      </c>
      <c r="G555" s="2">
        <f>IFERROR(__xludf.DUMMYFUNCTION("""COMPUTED_VALUE"""),9659.0)</f>
        <v>9659</v>
      </c>
      <c r="H555" s="2">
        <f>IFERROR(__xludf.DUMMYFUNCTION("""COMPUTED_VALUE"""),10142.0)</f>
        <v>10142</v>
      </c>
      <c r="I555" s="2">
        <f>IFERROR(__xludf.DUMMYFUNCTION("""COMPUTED_VALUE"""),10625.0)</f>
        <v>10625</v>
      </c>
      <c r="J555" s="2">
        <f>IFERROR(__xludf.DUMMYFUNCTION("""COMPUTED_VALUE"""),5313.0)</f>
        <v>5313</v>
      </c>
      <c r="K555" s="2">
        <f>IFERROR(__xludf.DUMMYFUNCTION("""COMPUTED_VALUE"""),1.0)</f>
        <v>1</v>
      </c>
      <c r="L555" s="2" t="str">
        <f>IFERROR(__xludf.DUMMYFUNCTION("""COMPUTED_VALUE"""),"Премиум")</f>
        <v>Премиум</v>
      </c>
      <c r="M555" s="2" t="str">
        <f>IFERROR(__xludf.DUMMYFUNCTION("""COMPUTED_VALUE"""),"Профессиональные, LED Светильники")</f>
        <v>Профессиональные, LED Светильники</v>
      </c>
    </row>
    <row r="556">
      <c r="A556" s="5" t="str">
        <f>IFERROR(__xludf.DUMMYFUNCTION("""COMPUTED_VALUE"""),"4690612051925")</f>
        <v>4690612051925</v>
      </c>
      <c r="B556" s="5" t="str">
        <f>IFERROR(__xludf.DUMMYFUNCTION("""COMPUTED_VALUE"""),"ДБУ RING-630BL 6Вт 3000К IP54 черный IN HOME")</f>
        <v>ДБУ RING-630BL 6Вт 3000К IP54 черный IN HOME</v>
      </c>
      <c r="C556" s="2">
        <f>IFERROR(__xludf.DUMMYFUNCTION("""COMPUTED_VALUE"""),0.355)</f>
        <v>0.355</v>
      </c>
      <c r="D556" s="2">
        <f>IFERROR(__xludf.DUMMYFUNCTION("""COMPUTED_VALUE"""),8.8E-4)</f>
        <v>0.00088</v>
      </c>
      <c r="E556" s="2">
        <f>IFERROR(__xludf.DUMMYFUNCTION("""COMPUTED_VALUE"""),694.8000000000001)</f>
        <v>694.8</v>
      </c>
      <c r="F556" s="2">
        <f>IFERROR(__xludf.DUMMYFUNCTION("""COMPUTED_VALUE"""),709.0)</f>
        <v>709</v>
      </c>
      <c r="G556" s="2">
        <f>IFERROR(__xludf.DUMMYFUNCTION("""COMPUTED_VALUE"""),797.0)</f>
        <v>797</v>
      </c>
      <c r="H556" s="2">
        <f>IFERROR(__xludf.DUMMYFUNCTION("""COMPUTED_VALUE"""),925.0)</f>
        <v>925</v>
      </c>
      <c r="I556" s="2">
        <f>IFERROR(__xludf.DUMMYFUNCTION("""COMPUTED_VALUE"""),1063.0)</f>
        <v>1063</v>
      </c>
      <c r="J556" s="2">
        <f>IFERROR(__xludf.DUMMYFUNCTION("""COMPUTED_VALUE"""),532.0)</f>
        <v>532</v>
      </c>
      <c r="K556" s="2">
        <f>IFERROR(__xludf.DUMMYFUNCTION("""COMPUTED_VALUE"""),9.0)</f>
        <v>9</v>
      </c>
      <c r="L556" s="2" t="str">
        <f>IFERROR(__xludf.DUMMYFUNCTION("""COMPUTED_VALUE"""),"Светильники светодиодные уличные ДБУ")</f>
        <v>Светильники светодиодные уличные ДБУ</v>
      </c>
      <c r="M55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7">
      <c r="A557" s="5" t="str">
        <f>IFERROR(__xludf.DUMMYFUNCTION("""COMPUTED_VALUE"""),"4260375487554")</f>
        <v>4260375487554</v>
      </c>
      <c r="B557" s="5" t="str">
        <f>IFERROR(__xludf.DUMMYFUNCTION("""COMPUTED_VALUE"""),"WFL-200W/06")</f>
        <v>WFL-200W/06</v>
      </c>
      <c r="C557" s="2">
        <f>IFERROR(__xludf.DUMMYFUNCTION("""COMPUTED_VALUE"""),2.06)</f>
        <v>2.06</v>
      </c>
      <c r="D557" s="2">
        <f>IFERROR(__xludf.DUMMYFUNCTION("""COMPUTED_VALUE"""),0.00504)</f>
        <v>0.00504</v>
      </c>
      <c r="E557" s="2">
        <f>IFERROR(__xludf.DUMMYFUNCTION("""COMPUTED_VALUE"""),2929.51)</f>
        <v>2929.51</v>
      </c>
      <c r="F557" s="2">
        <f>IFERROR(__xludf.DUMMYFUNCTION("""COMPUTED_VALUE"""),2933.0)</f>
        <v>2933</v>
      </c>
      <c r="G557" s="2">
        <f>IFERROR(__xludf.DUMMYFUNCTION("""COMPUTED_VALUE"""),3033.0)</f>
        <v>3033</v>
      </c>
      <c r="H557" s="2">
        <f>IFERROR(__xludf.DUMMYFUNCTION("""COMPUTED_VALUE"""),3977.0)</f>
        <v>3977</v>
      </c>
      <c r="I557" s="2">
        <f>IFERROR(__xludf.DUMMYFUNCTION("""COMPUTED_VALUE"""),4972.0)</f>
        <v>4972</v>
      </c>
      <c r="J557" s="2">
        <f>IFERROR(__xludf.DUMMYFUNCTION("""COMPUTED_VALUE"""),2486.0)</f>
        <v>2486</v>
      </c>
      <c r="K557" s="2">
        <f>IFERROR(__xludf.DUMMYFUNCTION("""COMPUTED_VALUE"""),5.0)</f>
        <v>5</v>
      </c>
      <c r="L557" s="2" t="str">
        <f>IFERROR(__xludf.DUMMYFUNCTION("""COMPUTED_VALUE"""),"Wolta прожекторы")</f>
        <v>Wolta прожекторы</v>
      </c>
      <c r="M557" s="2" t="str">
        <f>IFERROR(__xludf.DUMMYFUNCTION("""COMPUTED_VALUE"""),"Прожекторы (LED), LED Светильники")</f>
        <v>Прожекторы (LED), LED Светильники</v>
      </c>
    </row>
    <row r="558">
      <c r="A558" s="5" t="str">
        <f>IFERROR(__xludf.DUMMYFUNCTION("""COMPUTED_VALUE"""),"GL51111")</f>
        <v>GL51111</v>
      </c>
      <c r="B558" s="5" t="str">
        <f>IFERROR(__xludf.DUMMYFUNCTION("""COMPUTED_VALUE"""),"GLERIO Practical 32 Вт 5000К 6A-32D-5K+")</f>
        <v>GLERIO Practical 32 Вт 5000К 6A-32D-5K+</v>
      </c>
      <c r="C558" s="2">
        <f>IFERROR(__xludf.DUMMYFUNCTION("""COMPUTED_VALUE"""),0.8)</f>
        <v>0.8</v>
      </c>
      <c r="D558" s="2">
        <f>IFERROR(__xludf.DUMMYFUNCTION("""COMPUTED_VALUE"""),0.0024)</f>
        <v>0.0024</v>
      </c>
      <c r="E558" s="2">
        <f>IFERROR(__xludf.DUMMYFUNCTION("""COMPUTED_VALUE"""),1396.8)</f>
        <v>1396.8</v>
      </c>
      <c r="F558" s="2">
        <f>IFERROR(__xludf.DUMMYFUNCTION("""COMPUTED_VALUE"""),1600.0)</f>
        <v>1600</v>
      </c>
      <c r="G558" s="2">
        <f>IFERROR(__xludf.DUMMYFUNCTION("""COMPUTED_VALUE"""),2000.0)</f>
        <v>2000</v>
      </c>
      <c r="H558" s="2">
        <f>IFERROR(__xludf.DUMMYFUNCTION("""COMPUTED_VALUE"""),2250.0)</f>
        <v>2250</v>
      </c>
      <c r="I558" s="2">
        <f>IFERROR(__xludf.DUMMYFUNCTION("""COMPUTED_VALUE"""),2500.0)</f>
        <v>2500</v>
      </c>
      <c r="J558" s="2">
        <f>IFERROR(__xludf.DUMMYFUNCTION("""COMPUTED_VALUE"""),2500.0)</f>
        <v>2500</v>
      </c>
      <c r="K558" s="2">
        <f>IFERROR(__xludf.DUMMYFUNCTION("""COMPUTED_VALUE"""),10.0)</f>
        <v>10</v>
      </c>
      <c r="L558" s="2" t="str">
        <f>IFERROR(__xludf.DUMMYFUNCTION("""COMPUTED_VALUE"""),"Practical+ Уличные GLERIO")</f>
        <v>Practical+ Уличные GLERIO</v>
      </c>
      <c r="M558" s="2" t="str">
        <f>IFERROR(__xludf.DUMMYFUNCTION("""COMPUTED_VALUE"""),"Для обычных дорог, LED Светильники")</f>
        <v>Для обычных дорог, LED Светильники</v>
      </c>
    </row>
    <row r="559">
      <c r="A559" s="5" t="str">
        <f>IFERROR(__xludf.DUMMYFUNCTION("""COMPUTED_VALUE"""),"4690612019864")</f>
        <v>4690612019864</v>
      </c>
      <c r="B559" s="5" t="str">
        <f>IFERROR(__xludf.DUMMYFUNCTION("""COMPUTED_VALUE"""),"LED-JCD-VC 3Вт 230В G9 4000К 270Лм IN HOME")</f>
        <v>LED-JCD-VC 3Вт 230В G9 4000К 270Лм IN HOME</v>
      </c>
      <c r="C559" s="2">
        <f>IFERROR(__xludf.DUMMYFUNCTION("""COMPUTED_VALUE"""),0.015)</f>
        <v>0.015</v>
      </c>
      <c r="D559" s="2">
        <f>IFERROR(__xludf.DUMMYFUNCTION("""COMPUTED_VALUE"""),5.0E-5)</f>
        <v>0.00005</v>
      </c>
      <c r="E559" s="2">
        <f>IFERROR(__xludf.DUMMYFUNCTION("""COMPUTED_VALUE"""),53.84)</f>
        <v>53.84</v>
      </c>
      <c r="F559" s="2">
        <f>IFERROR(__xludf.DUMMYFUNCTION("""COMPUTED_VALUE"""),42.0)</f>
        <v>42</v>
      </c>
      <c r="G559" s="2">
        <f>IFERROR(__xludf.DUMMYFUNCTION("""COMPUTED_VALUE"""),47.0)</f>
        <v>47</v>
      </c>
      <c r="H559" s="2">
        <f>IFERROR(__xludf.DUMMYFUNCTION("""COMPUTED_VALUE"""),55.0)</f>
        <v>55</v>
      </c>
      <c r="I559" s="2">
        <f>IFERROR(__xludf.DUMMYFUNCTION("""COMPUTED_VALUE"""),63.5)</f>
        <v>63.5</v>
      </c>
      <c r="J559" s="2">
        <f>IFERROR(__xludf.DUMMYFUNCTION("""COMPUTED_VALUE"""),32.0)</f>
        <v>32</v>
      </c>
      <c r="K559" s="2">
        <f>IFERROR(__xludf.DUMMYFUNCTION("""COMPUTED_VALUE"""),4.0)</f>
        <v>4</v>
      </c>
      <c r="L559" s="2" t="str">
        <f>IFERROR(__xludf.DUMMYFUNCTION("""COMPUTED_VALUE"""),"Лампа светодиодная LED-JCD-standard")</f>
        <v>Лампа светодиодная LED-JCD-standard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IFERROR(__xludf.DUMMYFUNCTION("""COMPUTED_VALUE"""),"4690612022185")</f>
        <v>4690612022185</v>
      </c>
      <c r="B560" s="5" t="str">
        <f>IFERROR(__xludf.DUMMYFUNCTION("""COMPUTED_VALUE"""),"DECO СОЗВЕЗДИЕ 12Вт 230В 6500К 1080Лм 210х65мм IN HOME")</f>
        <v>DECO СОЗВЕЗДИЕ 12Вт 230В 6500К 1080Лм 210х65мм IN HOME</v>
      </c>
      <c r="C560" s="2">
        <f>IFERROR(__xludf.DUMMYFUNCTION("""COMPUTED_VALUE"""),0.23)</f>
        <v>0.23</v>
      </c>
      <c r="D560" s="2">
        <f>IFERROR(__xludf.DUMMYFUNCTION("""COMPUTED_VALUE"""),0.0037)</f>
        <v>0.0037</v>
      </c>
      <c r="E560" s="2">
        <f>IFERROR(__xludf.DUMMYFUNCTION("""COMPUTED_VALUE"""),256.51)</f>
        <v>256.51</v>
      </c>
      <c r="F560" s="2">
        <f>IFERROR(__xludf.DUMMYFUNCTION("""COMPUTED_VALUE"""),307.0)</f>
        <v>307</v>
      </c>
      <c r="G560" s="2">
        <f>IFERROR(__xludf.DUMMYFUNCTION("""COMPUTED_VALUE"""),346.0)</f>
        <v>346</v>
      </c>
      <c r="H560" s="2">
        <f>IFERROR(__xludf.DUMMYFUNCTION("""COMPUTED_VALUE"""),401.0)</f>
        <v>401</v>
      </c>
      <c r="I560" s="2">
        <f>IFERROR(__xludf.DUMMYFUNCTION("""COMPUTED_VALUE"""),461.0)</f>
        <v>461</v>
      </c>
      <c r="J560" s="2">
        <f>IFERROR(__xludf.DUMMYFUNCTION("""COMPUTED_VALUE"""),231.0)</f>
        <v>231</v>
      </c>
      <c r="K560" s="2">
        <f>IFERROR(__xludf.DUMMYFUNCTION("""COMPUTED_VALUE"""),12.0)</f>
        <v>12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IFERROR(__xludf.DUMMYFUNCTION("""COMPUTED_VALUE"""),"4690612004204")</f>
        <v>4690612004204</v>
      </c>
      <c r="B561" s="5" t="str">
        <f>IFERROR(__xludf.DUMMYFUNCTION("""COMPUTED_VALUE"""),"LED-A60-standard 20Вт 160-260В Е27 4000К ASD")</f>
        <v>LED-A60-standard 20Вт 160-260В Е27 4000К ASD</v>
      </c>
      <c r="C561" s="2">
        <f>IFERROR(__xludf.DUMMYFUNCTION("""COMPUTED_VALUE"""),0.06100000000000001)</f>
        <v>0.061</v>
      </c>
      <c r="D561" s="2">
        <f>IFERROR(__xludf.DUMMYFUNCTION("""COMPUTED_VALUE"""),5.0E-4)</f>
        <v>0.0005</v>
      </c>
      <c r="E561" s="2">
        <f>IFERROR(__xludf.DUMMYFUNCTION("""COMPUTED_VALUE"""),69.82000000000001)</f>
        <v>69.82</v>
      </c>
      <c r="F561" s="2">
        <f>IFERROR(__xludf.DUMMYFUNCTION("""COMPUTED_VALUE"""),45.0)</f>
        <v>45</v>
      </c>
      <c r="G561" s="2">
        <f>IFERROR(__xludf.DUMMYFUNCTION("""COMPUTED_VALUE"""),51.0)</f>
        <v>51</v>
      </c>
      <c r="H561" s="2">
        <f>IFERROR(__xludf.DUMMYFUNCTION("""COMPUTED_VALUE"""),59.0)</f>
        <v>59</v>
      </c>
      <c r="I561" s="2">
        <f>IFERROR(__xludf.DUMMYFUNCTION("""COMPUTED_VALUE"""),67.95)</f>
        <v>67.95</v>
      </c>
      <c r="J561" s="2">
        <f>IFERROR(__xludf.DUMMYFUNCTION("""COMPUTED_VALUE"""),34.0)</f>
        <v>34</v>
      </c>
      <c r="K561" s="2">
        <f>IFERROR(__xludf.DUMMYFUNCTION("""COMPUTED_VALUE"""),5.0)</f>
        <v>5</v>
      </c>
      <c r="L561" s="2" t="str">
        <f>IFERROR(__xludf.DUMMYFUNCTION("""COMPUTED_VALUE"""),"Лампа светодиодная LED-A60-standard")</f>
        <v>Лампа светодиодная LED-A60-standard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IFERROR(__xludf.DUMMYFUNCTION("""COMPUTED_VALUE"""),"4690612020501")</f>
        <v>4690612020501</v>
      </c>
      <c r="B562" s="5" t="str">
        <f>IFERROR(__xludf.DUMMYFUNCTION("""COMPUTED_VALUE"""),"LED-ШАР-VC 6Вт 230В Е14 3000К 570Лм IN HOME")</f>
        <v>LED-ШАР-VC 6Вт 230В Е14 3000К 570Лм IN HOME</v>
      </c>
      <c r="C562" s="2">
        <f>IFERROR(__xludf.DUMMYFUNCTION("""COMPUTED_VALUE"""),0.031)</f>
        <v>0.031</v>
      </c>
      <c r="D562" s="2">
        <f>IFERROR(__xludf.DUMMYFUNCTION("""COMPUTED_VALUE"""),2.3E-4)</f>
        <v>0.00023</v>
      </c>
      <c r="E562" s="2">
        <f>IFERROR(__xludf.DUMMYFUNCTION("""COMPUTED_VALUE"""),34.8)</f>
        <v>34.8</v>
      </c>
      <c r="F562" s="2">
        <f>IFERROR(__xludf.DUMMYFUNCTION("""COMPUTED_VALUE"""),35.0)</f>
        <v>35</v>
      </c>
      <c r="G562" s="2">
        <f>IFERROR(__xludf.DUMMYFUNCTION("""COMPUTED_VALUE"""),39.0)</f>
        <v>39</v>
      </c>
      <c r="H562" s="2">
        <f>IFERROR(__xludf.DUMMYFUNCTION("""COMPUTED_VALUE"""),45.0)</f>
        <v>45</v>
      </c>
      <c r="I562" s="2">
        <f>IFERROR(__xludf.DUMMYFUNCTION("""COMPUTED_VALUE"""),52.5)</f>
        <v>52.5</v>
      </c>
      <c r="J562" s="2">
        <f>IFERROR(__xludf.DUMMYFUNCTION("""COMPUTED_VALUE"""),26.0)</f>
        <v>26</v>
      </c>
      <c r="K562" s="2">
        <f>IFERROR(__xludf.DUMMYFUNCTION("""COMPUTED_VALUE"""),13.0)</f>
        <v>13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IFERROR(__xludf.DUMMYFUNCTION("""COMPUTED_VALUE"""),"4690612029344")</f>
        <v>4690612029344</v>
      </c>
      <c r="B563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3" s="2">
        <f>IFERROR(__xludf.DUMMYFUNCTION("""COMPUTED_VALUE"""),0.007)</f>
        <v>0.007</v>
      </c>
      <c r="D563" s="2">
        <f>IFERROR(__xludf.DUMMYFUNCTION("""COMPUTED_VALUE"""),1.0E-5)</f>
        <v>0.00001</v>
      </c>
      <c r="E563" s="2">
        <f>IFERROR(__xludf.DUMMYFUNCTION("""COMPUTED_VALUE"""),56.48)</f>
        <v>56.48</v>
      </c>
      <c r="F563" s="2">
        <f>IFERROR(__xludf.DUMMYFUNCTION("""COMPUTED_VALUE"""),39.0)</f>
        <v>39</v>
      </c>
      <c r="G563" s="2">
        <f>IFERROR(__xludf.DUMMYFUNCTION("""COMPUTED_VALUE"""),44.0)</f>
        <v>44</v>
      </c>
      <c r="H563" s="2">
        <f>IFERROR(__xludf.DUMMYFUNCTION("""COMPUTED_VALUE"""),50.0)</f>
        <v>50</v>
      </c>
      <c r="I563" s="2">
        <f>IFERROR(__xludf.DUMMYFUNCTION("""COMPUTED_VALUE"""),58.0)</f>
        <v>58</v>
      </c>
      <c r="J563" s="2">
        <f>IFERROR(__xludf.DUMMYFUNCTION("""COMPUTED_VALUE"""),58.0)</f>
        <v>58</v>
      </c>
      <c r="K563" s="2">
        <f>IFERROR(__xludf.DUMMYFUNCTION("""COMPUTED_VALUE"""),0.0)</f>
        <v>0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IFERROR(__xludf.DUMMYFUNCTION("""COMPUTED_VALUE"""),"4690612028934")</f>
        <v>4690612028934</v>
      </c>
      <c r="B564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4" s="2">
        <f>IFERROR(__xludf.DUMMYFUNCTION("""COMPUTED_VALUE"""),0.03583)</f>
        <v>0.03583</v>
      </c>
      <c r="D564" s="2">
        <f>IFERROR(__xludf.DUMMYFUNCTION("""COMPUTED_VALUE"""),6.7E-4)</f>
        <v>0.00067</v>
      </c>
      <c r="E564" s="2">
        <f>IFERROR(__xludf.DUMMYFUNCTION("""COMPUTED_VALUE"""),110.03)</f>
        <v>110.03</v>
      </c>
      <c r="F564" s="2">
        <f>IFERROR(__xludf.DUMMYFUNCTION("""COMPUTED_VALUE"""),91.0)</f>
        <v>91</v>
      </c>
      <c r="G564" s="2">
        <f>IFERROR(__xludf.DUMMYFUNCTION("""COMPUTED_VALUE"""),103.0)</f>
        <v>103</v>
      </c>
      <c r="H564" s="2">
        <f>IFERROR(__xludf.DUMMYFUNCTION("""COMPUTED_VALUE"""),119.0)</f>
        <v>119</v>
      </c>
      <c r="I564" s="2">
        <f>IFERROR(__xludf.DUMMYFUNCTION("""COMPUTED_VALUE"""),137.0)</f>
        <v>137</v>
      </c>
      <c r="J564" s="2">
        <f>IFERROR(__xludf.DUMMYFUNCTION("""COMPUTED_VALUE"""),69.0)</f>
        <v>69</v>
      </c>
      <c r="K564" s="2">
        <f>IFERROR(__xludf.DUMMYFUNCTION("""COMPUTED_VALUE"""),21.0)</f>
        <v>21</v>
      </c>
      <c r="L564" s="2" t="str">
        <f>IFERROR(__xludf.DUMMYFUNCTION("""COMPUTED_VALUE"""),"Светильники ночники")</f>
        <v>Светильники ночники</v>
      </c>
      <c r="M5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5">
      <c r="A565" s="5" t="str">
        <f>IFERROR(__xludf.DUMMYFUNCTION("""COMPUTED_VALUE"""),"GL8420")</f>
        <v>GL8420</v>
      </c>
      <c r="B565" s="5" t="str">
        <f>IFERROR(__xludf.DUMMYFUNCTION("""COMPUTED_VALUE"""),"GLERIO Indoor 8 Вт 4000К 10P-8D-4N-M-S")</f>
        <v>GLERIO Indoor 8 Вт 4000К 10P-8D-4N-M-S</v>
      </c>
      <c r="C565" s="2">
        <f>IFERROR(__xludf.DUMMYFUNCTION("""COMPUTED_VALUE"""),0.15)</f>
        <v>0.15</v>
      </c>
      <c r="D565" s="2">
        <f>IFERROR(__xludf.DUMMYFUNCTION("""COMPUTED_VALUE"""),6.600000000000001E-4)</f>
        <v>0.00066</v>
      </c>
      <c r="E565" s="2">
        <f>IFERROR(__xludf.DUMMYFUNCTION("""COMPUTED_VALUE"""),514.1)</f>
        <v>514.1</v>
      </c>
      <c r="F565" s="2">
        <f>IFERROR(__xludf.DUMMYFUNCTION("""COMPUTED_VALUE"""),600.0)</f>
        <v>600</v>
      </c>
      <c r="G565" s="2">
        <f>IFERROR(__xludf.DUMMYFUNCTION("""COMPUTED_VALUE"""),755.0)</f>
        <v>755</v>
      </c>
      <c r="H565" s="2">
        <f>IFERROR(__xludf.DUMMYFUNCTION("""COMPUTED_VALUE"""),848.0)</f>
        <v>848</v>
      </c>
      <c r="I565" s="2">
        <f>IFERROR(__xludf.DUMMYFUNCTION("""COMPUTED_VALUE"""),941.0)</f>
        <v>941</v>
      </c>
      <c r="J565" s="2">
        <f>IFERROR(__xludf.DUMMYFUNCTION("""COMPUTED_VALUE"""),941.0)</f>
        <v>941</v>
      </c>
      <c r="K565" s="2">
        <f>IFERROR(__xludf.DUMMYFUNCTION("""COMPUTED_VALUE"""),7.0)</f>
        <v>7</v>
      </c>
      <c r="L565" s="2" t="str">
        <f>IFERROR(__xludf.DUMMYFUNCTION("""COMPUTED_VALUE"""),"Indoor GLERIO (ЖКХ) до 10.2025")</f>
        <v>Indoor GLERIO (ЖКХ) до 10.2025</v>
      </c>
      <c r="M565" s="2" t="str">
        <f>IFERROR(__xludf.DUMMYFUNCTION("""COMPUTED_VALUE"""),"С датчиками, LED Светильники")</f>
        <v>С датчиками, LED Светильники</v>
      </c>
    </row>
    <row r="566">
      <c r="A566" s="5" t="str">
        <f>IFERROR(__xludf.DUMMYFUNCTION("""COMPUTED_VALUE"""),"4690612007601")</f>
        <v>4690612007601</v>
      </c>
      <c r="B566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6" s="2">
        <f>IFERROR(__xludf.DUMMYFUNCTION("""COMPUTED_VALUE"""),0.025)</f>
        <v>0.025</v>
      </c>
      <c r="D566" s="2">
        <f>IFERROR(__xludf.DUMMYFUNCTION("""COMPUTED_VALUE"""),2.0E-4)</f>
        <v>0.0002</v>
      </c>
      <c r="E566" s="2">
        <f>IFERROR(__xludf.DUMMYFUNCTION("""COMPUTED_VALUE"""),63.5)</f>
        <v>63.5</v>
      </c>
      <c r="F566" s="2">
        <f>IFERROR(__xludf.DUMMYFUNCTION("""COMPUTED_VALUE"""),57.0)</f>
        <v>57</v>
      </c>
      <c r="G566" s="2">
        <f>IFERROR(__xludf.DUMMYFUNCTION("""COMPUTED_VALUE"""),64.0)</f>
        <v>64</v>
      </c>
      <c r="H566" s="2">
        <f>IFERROR(__xludf.DUMMYFUNCTION("""COMPUTED_VALUE"""),74.0)</f>
        <v>74</v>
      </c>
      <c r="I566" s="2">
        <f>IFERROR(__xludf.DUMMYFUNCTION("""COMPUTED_VALUE"""),85.5)</f>
        <v>85.5</v>
      </c>
      <c r="J566" s="2">
        <f>IFERROR(__xludf.DUMMYFUNCTION("""COMPUTED_VALUE"""),43.0)</f>
        <v>43</v>
      </c>
      <c r="K566" s="2">
        <f>IFERROR(__xludf.DUMMYFUNCTION("""COMPUTED_VALUE"""),57.0)</f>
        <v>57</v>
      </c>
      <c r="L566" s="2" t="str">
        <f>IFERROR(__xludf.DUMMYFUNCTION("""COMPUTED_VALUE"""),"Лампа светодиодная LED-СВЕЧА-DECO")</f>
        <v>Лампа светодиодная LED-СВЕЧА-DECO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IFERROR(__xludf.DUMMYFUNCTION("""COMPUTED_VALUE"""),"4690612035529")</f>
        <v>4690612035529</v>
      </c>
      <c r="B567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7" s="2">
        <f>IFERROR(__xludf.DUMMYFUNCTION("""COMPUTED_VALUE"""),0.315)</f>
        <v>0.315</v>
      </c>
      <c r="D567" s="2">
        <f>IFERROR(__xludf.DUMMYFUNCTION("""COMPUTED_VALUE"""),0.001)</f>
        <v>0.001</v>
      </c>
      <c r="E567" s="2">
        <f>IFERROR(__xludf.DUMMYFUNCTION("""COMPUTED_VALUE"""),525.0)</f>
        <v>525</v>
      </c>
      <c r="F567" s="2">
        <f>IFERROR(__xludf.DUMMYFUNCTION("""COMPUTED_VALUE"""),595.0)</f>
        <v>595</v>
      </c>
      <c r="G567" s="2">
        <f>IFERROR(__xludf.DUMMYFUNCTION("""COMPUTED_VALUE"""),670.0)</f>
        <v>670</v>
      </c>
      <c r="H567" s="2">
        <f>IFERROR(__xludf.DUMMYFUNCTION("""COMPUTED_VALUE"""),777.0)</f>
        <v>777</v>
      </c>
      <c r="I567" s="2">
        <f>IFERROR(__xludf.DUMMYFUNCTION("""COMPUTED_VALUE"""),893.0)</f>
        <v>893</v>
      </c>
      <c r="J567" s="2">
        <f>IFERROR(__xludf.DUMMYFUNCTION("""COMPUTED_VALUE"""),670.0)</f>
        <v>670</v>
      </c>
      <c r="K567" s="2">
        <f>IFERROR(__xludf.DUMMYFUNCTION("""COMPUTED_VALUE"""),30.0)</f>
        <v>30</v>
      </c>
      <c r="L56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7" s="2" t="str">
        <f>IFERROR(__xludf.DUMMYFUNCTION("""COMPUTED_VALUE"""),"Трековые, LED Светильники")</f>
        <v>Трековые, LED Светильники</v>
      </c>
    </row>
    <row r="568">
      <c r="A568" s="5" t="str">
        <f>IFERROR(__xludf.DUMMYFUNCTION("""COMPUTED_VALUE"""),"01-8202-10")</f>
        <v>01-8202-10</v>
      </c>
      <c r="B568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IFERROR(__xludf.DUMMYFUNCTION("""COMPUTED_VALUE"""),1.0)</f>
        <v>1</v>
      </c>
      <c r="F568" s="2">
        <f>IFERROR(__xludf.DUMMYFUNCTION("""COMPUTED_VALUE"""),902.0)</f>
        <v>902</v>
      </c>
      <c r="G568" s="2">
        <f>IFERROR(__xludf.DUMMYFUNCTION("""COMPUTED_VALUE"""),962.0)</f>
        <v>962</v>
      </c>
      <c r="H568" s="2">
        <f>IFERROR(__xludf.DUMMYFUNCTION("""COMPUTED_VALUE"""),1082.0)</f>
        <v>1082</v>
      </c>
      <c r="I568" s="2">
        <f>IFERROR(__xludf.DUMMYFUNCTION("""COMPUTED_VALUE"""),1202.11)</f>
        <v>1202.11</v>
      </c>
      <c r="J568" s="2">
        <f>IFERROR(__xludf.DUMMYFUNCTION("""COMPUTED_VALUE"""),601.0)</f>
        <v>601</v>
      </c>
      <c r="K568" s="2">
        <f>IFERROR(__xludf.DUMMYFUNCTION("""COMPUTED_VALUE"""),1.0)</f>
        <v>1</v>
      </c>
      <c r="L568" s="2" t="str">
        <f>IFERROR(__xludf.DUMMYFUNCTION("""COMPUTED_VALUE"""),"Rexant")</f>
        <v>Rexant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IFERROR(__xludf.DUMMYFUNCTION("""COMPUTED_VALUE"""),"4690612015477")</f>
        <v>4690612015477</v>
      </c>
      <c r="B569" s="5" t="str">
        <f>IFERROR(__xludf.DUMMYFUNCTION("""COMPUTED_VALUE"""),"LED-ШАР-standard 10Вт 230В Е27 3000К 900Лм ASD")</f>
        <v>LED-ШАР-standard 10Вт 230В Е27 3000К 900Лм ASD</v>
      </c>
      <c r="C569" s="2">
        <f>IFERROR(__xludf.DUMMYFUNCTION("""COMPUTED_VALUE"""),0.04550000000000001)</f>
        <v>0.0455</v>
      </c>
      <c r="D569" s="2">
        <f>IFERROR(__xludf.DUMMYFUNCTION("""COMPUTED_VALUE"""),2.4E-4)</f>
        <v>0.00024</v>
      </c>
      <c r="E569" s="2">
        <f>IFERROR(__xludf.DUMMYFUNCTION("""COMPUTED_VALUE"""),48.02)</f>
        <v>48.02</v>
      </c>
      <c r="F569" s="2">
        <f>IFERROR(__xludf.DUMMYFUNCTION("""COMPUTED_VALUE"""),40.0)</f>
        <v>40</v>
      </c>
      <c r="G569" s="2">
        <f>IFERROR(__xludf.DUMMYFUNCTION("""COMPUTED_VALUE"""),45.0)</f>
        <v>45</v>
      </c>
      <c r="H569" s="2">
        <f>IFERROR(__xludf.DUMMYFUNCTION("""COMPUTED_VALUE"""),52.0)</f>
        <v>52</v>
      </c>
      <c r="I569" s="2">
        <f>IFERROR(__xludf.DUMMYFUNCTION("""COMPUTED_VALUE"""),60.5)</f>
        <v>60.5</v>
      </c>
      <c r="J569" s="2">
        <f>IFERROR(__xludf.DUMMYFUNCTION("""COMPUTED_VALUE"""),30.0)</f>
        <v>30</v>
      </c>
      <c r="K569" s="2">
        <f>IFERROR(__xludf.DUMMYFUNCTION("""COMPUTED_VALUE"""),9.0)</f>
        <v>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IFERROR(__xludf.DUMMYFUNCTION("""COMPUTED_VALUE"""),"4690612029313")</f>
        <v>4690612029313</v>
      </c>
      <c r="B570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0" s="2">
        <f>IFERROR(__xludf.DUMMYFUNCTION("""COMPUTED_VALUE"""),0.21667)</f>
        <v>0.21667</v>
      </c>
      <c r="D570" s="2">
        <f>IFERROR(__xludf.DUMMYFUNCTION("""COMPUTED_VALUE"""),6.000000000000001E-4)</f>
        <v>0.0006</v>
      </c>
      <c r="E570" s="2">
        <f>IFERROR(__xludf.DUMMYFUNCTION("""COMPUTED_VALUE"""),200.06)</f>
        <v>200.06</v>
      </c>
      <c r="F570" s="2">
        <f>IFERROR(__xludf.DUMMYFUNCTION("""COMPUTED_VALUE"""),202.0)</f>
        <v>202</v>
      </c>
      <c r="G570" s="2">
        <f>IFERROR(__xludf.DUMMYFUNCTION("""COMPUTED_VALUE"""),227.0)</f>
        <v>227</v>
      </c>
      <c r="H570" s="2">
        <f>IFERROR(__xludf.DUMMYFUNCTION("""COMPUTED_VALUE"""),264.0)</f>
        <v>264</v>
      </c>
      <c r="I570" s="2">
        <f>IFERROR(__xludf.DUMMYFUNCTION("""COMPUTED_VALUE"""),303.0)</f>
        <v>303</v>
      </c>
      <c r="J570" s="2">
        <f>IFERROR(__xludf.DUMMYFUNCTION("""COMPUTED_VALUE"""),152.0)</f>
        <v>152</v>
      </c>
      <c r="K570" s="2">
        <f>IFERROR(__xludf.DUMMYFUNCTION("""COMPUTED_VALUE"""),2.0)</f>
        <v>2</v>
      </c>
      <c r="L570" s="2" t="str">
        <f>IFERROR(__xludf.DUMMYFUNCTION("""COMPUTED_VALUE"""),"Шинопровод и комплектующие")</f>
        <v>Шинопровод и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IFERROR(__xludf.DUMMYFUNCTION("""COMPUTED_VALUE"""),"4690612042718-1")</f>
        <v>4690612042718-1</v>
      </c>
      <c r="B571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IFERROR(__xludf.DUMMYFUNCTION("""COMPUTED_VALUE"""),673.61)</f>
        <v>673.61</v>
      </c>
      <c r="F571" s="2">
        <f>IFERROR(__xludf.DUMMYFUNCTION("""COMPUTED_VALUE"""),739.0)</f>
        <v>739</v>
      </c>
      <c r="G571" s="2">
        <f>IFERROR(__xludf.DUMMYFUNCTION("""COMPUTED_VALUE"""),862.0)</f>
        <v>862</v>
      </c>
      <c r="H571" s="2">
        <f>IFERROR(__xludf.DUMMYFUNCTION("""COMPUTED_VALUE"""),970.0)</f>
        <v>970</v>
      </c>
      <c r="I571" s="2">
        <f>IFERROR(__xludf.DUMMYFUNCTION("""COMPUTED_VALUE"""),1078.0)</f>
        <v>1078</v>
      </c>
      <c r="J571" s="2">
        <f>IFERROR(__xludf.DUMMYFUNCTION("""COMPUTED_VALUE"""),539.0)</f>
        <v>539</v>
      </c>
      <c r="K571" s="2">
        <f>IFERROR(__xludf.DUMMYFUNCTION("""COMPUTED_VALUE"""),15.0)</f>
        <v>15</v>
      </c>
      <c r="L57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2">
      <c r="A572" s="5" t="str">
        <f>IFERROR(__xludf.DUMMYFUNCTION("""COMPUTED_VALUE"""),"4690612020402")</f>
        <v>4690612020402</v>
      </c>
      <c r="B572" s="5" t="str">
        <f>IFERROR(__xludf.DUMMYFUNCTION("""COMPUTED_VALUE"""),"LED-СВЕЧА-VC 6Вт 230В Е27 3000К 570Лм IN HOME")</f>
        <v>LED-СВЕЧА-VC 6Вт 230В Е27 3000К 570Лм IN HOME</v>
      </c>
      <c r="C572" s="2">
        <f>IFERROR(__xludf.DUMMYFUNCTION("""COMPUTED_VALUE"""),0.027)</f>
        <v>0.027</v>
      </c>
      <c r="D572" s="2">
        <f>IFERROR(__xludf.DUMMYFUNCTION("""COMPUTED_VALUE"""),1.9E-4)</f>
        <v>0.00019</v>
      </c>
      <c r="E572" s="2">
        <f>IFERROR(__xludf.DUMMYFUNCTION("""COMPUTED_VALUE"""),33.09)</f>
        <v>33.09</v>
      </c>
      <c r="F572" s="2">
        <f>IFERROR(__xludf.DUMMYFUNCTION("""COMPUTED_VALUE"""),39.0)</f>
        <v>39</v>
      </c>
      <c r="G572" s="2">
        <f>IFERROR(__xludf.DUMMYFUNCTION("""COMPUTED_VALUE"""),44.0)</f>
        <v>44</v>
      </c>
      <c r="H572" s="2">
        <f>IFERROR(__xludf.DUMMYFUNCTION("""COMPUTED_VALUE"""),50.0)</f>
        <v>50</v>
      </c>
      <c r="I572" s="2">
        <f>IFERROR(__xludf.DUMMYFUNCTION("""COMPUTED_VALUE"""),58.5)</f>
        <v>58.5</v>
      </c>
      <c r="J572" s="2">
        <f>IFERROR(__xludf.DUMMYFUNCTION("""COMPUTED_VALUE"""),29.0)</f>
        <v>29</v>
      </c>
      <c r="K572" s="2">
        <f>IFERROR(__xludf.DUMMYFUNCTION("""COMPUTED_VALUE"""),7.0)</f>
        <v>7</v>
      </c>
      <c r="L572" s="2" t="str">
        <f>IFERROR(__xludf.DUMMYFUNCTION("""COMPUTED_VALUE"""),"Лампа светодиодная LED-СВЕЧА-standard")</f>
        <v>Лампа светодиодная LED-СВЕЧА-standard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IFERROR(__xludf.DUMMYFUNCTION("""COMPUTED_VALUE"""),"00863")</f>
        <v>00863</v>
      </c>
      <c r="B573" s="5" t="str">
        <f>IFERROR(__xludf.DUMMYFUNCTION("""COMPUTED_VALUE"""),"TLWP236 PC ECP")</f>
        <v>TLWP236 PC ECP</v>
      </c>
      <c r="C573" s="2">
        <f>IFERROR(__xludf.DUMMYFUNCTION("""COMPUTED_VALUE"""),2.325)</f>
        <v>2.325</v>
      </c>
      <c r="D573" s="2">
        <f>IFERROR(__xludf.DUMMYFUNCTION("""COMPUTED_VALUE"""),0.01482)</f>
        <v>0.01482</v>
      </c>
      <c r="E573" s="2">
        <f>IFERROR(__xludf.DUMMYFUNCTION("""COMPUTED_VALUE"""),686.04)</f>
        <v>686.04</v>
      </c>
      <c r="F573" s="2">
        <f>IFERROR(__xludf.DUMMYFUNCTION("""COMPUTED_VALUE"""),859.0)</f>
        <v>859</v>
      </c>
      <c r="G573" s="2">
        <f>IFERROR(__xludf.DUMMYFUNCTION("""COMPUTED_VALUE"""),970.0)</f>
        <v>970</v>
      </c>
      <c r="H573" s="2">
        <f>IFERROR(__xludf.DUMMYFUNCTION("""COMPUTED_VALUE"""),992.0)</f>
        <v>992</v>
      </c>
      <c r="I573" s="2">
        <f>IFERROR(__xludf.DUMMYFUNCTION("""COMPUTED_VALUE"""),1210.0)</f>
        <v>1210</v>
      </c>
      <c r="J573" s="2">
        <f>IFERROR(__xludf.DUMMYFUNCTION("""COMPUTED_VALUE"""),605.0)</f>
        <v>605</v>
      </c>
      <c r="K573" s="2">
        <f>IFERROR(__xludf.DUMMYFUNCTION("""COMPUTED_VALUE"""),1.0)</f>
        <v>1</v>
      </c>
      <c r="L573" s="2" t="str">
        <f>IFERROR(__xludf.DUMMYFUNCTION("""COMPUTED_VALUE"""),"Технолюкс Ламповые TLWP (IP65)")</f>
        <v>Технолюкс Ламповые TLWP (IP65)</v>
      </c>
      <c r="M573" s="2" t="str">
        <f>IFERROR(__xludf.DUMMYFUNCTION("""COMPUTED_VALUE"""),"Ламповые светильники")</f>
        <v>Ламповые светильники</v>
      </c>
    </row>
    <row r="574">
      <c r="A574" s="5" t="str">
        <f>IFERROR(__xludf.DUMMYFUNCTION("""COMPUTED_VALUE"""),"4260708174656")</f>
        <v>4260708174656</v>
      </c>
      <c r="B574" s="5" t="str">
        <f>IFERROR(__xludf.DUMMYFUNCTION("""COMPUTED_VALUE"""),"WFL-30W/06S")</f>
        <v>WFL-30W/06S</v>
      </c>
      <c r="C574" s="2">
        <f>IFERROR(__xludf.DUMMYFUNCTION("""COMPUTED_VALUE"""),0.336)</f>
        <v>0.336</v>
      </c>
      <c r="D574" s="2">
        <f>IFERROR(__xludf.DUMMYFUNCTION("""COMPUTED_VALUE"""),0.03588)</f>
        <v>0.03588</v>
      </c>
      <c r="E574" s="2">
        <f>IFERROR(__xludf.DUMMYFUNCTION("""COMPUTED_VALUE"""),1076.56)</f>
        <v>1076.56</v>
      </c>
      <c r="F574" s="2">
        <f>IFERROR(__xludf.DUMMYFUNCTION("""COMPUTED_VALUE"""),1201.0)</f>
        <v>1201</v>
      </c>
      <c r="G574" s="2">
        <f>IFERROR(__xludf.DUMMYFUNCTION("""COMPUTED_VALUE"""),1242.0)</f>
        <v>1242</v>
      </c>
      <c r="H574" s="2">
        <f>IFERROR(__xludf.DUMMYFUNCTION("""COMPUTED_VALUE"""),1629.0)</f>
        <v>1629</v>
      </c>
      <c r="I574" s="2">
        <f>IFERROR(__xludf.DUMMYFUNCTION("""COMPUTED_VALUE"""),2036.0)</f>
        <v>2036</v>
      </c>
      <c r="J574" s="2">
        <f>IFERROR(__xludf.DUMMYFUNCTION("""COMPUTED_VALUE"""),1629.0)</f>
        <v>1629</v>
      </c>
      <c r="K574" s="2">
        <f>IFERROR(__xludf.DUMMYFUNCTION("""COMPUTED_VALUE"""),50.0)</f>
        <v>50</v>
      </c>
      <c r="L574" s="2" t="str">
        <f>IFERROR(__xludf.DUMMYFUNCTION("""COMPUTED_VALUE"""),"Wolta прожекторы")</f>
        <v>Wolta прожекторы</v>
      </c>
      <c r="M574" s="2" t="str">
        <f>IFERROR(__xludf.DUMMYFUNCTION("""COMPUTED_VALUE"""),"Прожекторы (LED), LED Светильники")</f>
        <v>Прожекторы (LED), LED Светильники</v>
      </c>
    </row>
    <row r="575">
      <c r="A575" s="5" t="str">
        <f>IFERROR(__xludf.DUMMYFUNCTION("""COMPUTED_VALUE"""),"4690612035116")</f>
        <v>4690612035116</v>
      </c>
      <c r="B575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5" s="2">
        <f>IFERROR(__xludf.DUMMYFUNCTION("""COMPUTED_VALUE"""),1.72)</f>
        <v>1.72</v>
      </c>
      <c r="D575" s="2">
        <f>IFERROR(__xludf.DUMMYFUNCTION("""COMPUTED_VALUE"""),0.03)</f>
        <v>0.03</v>
      </c>
      <c r="E575" s="2">
        <f>IFERROR(__xludf.DUMMYFUNCTION("""COMPUTED_VALUE"""),2219.49)</f>
        <v>2219.49</v>
      </c>
      <c r="F575" s="2">
        <f>IFERROR(__xludf.DUMMYFUNCTION("""COMPUTED_VALUE"""),1518.0)</f>
        <v>1518</v>
      </c>
      <c r="G575" s="2">
        <f>IFERROR(__xludf.DUMMYFUNCTION("""COMPUTED_VALUE"""),1708.0)</f>
        <v>1708</v>
      </c>
      <c r="H575" s="2">
        <f>IFERROR(__xludf.DUMMYFUNCTION("""COMPUTED_VALUE"""),1981.0)</f>
        <v>1981</v>
      </c>
      <c r="I575" s="2">
        <f>IFERROR(__xludf.DUMMYFUNCTION("""COMPUTED_VALUE"""),2277.0)</f>
        <v>2277</v>
      </c>
      <c r="J575" s="2">
        <f>IFERROR(__xludf.DUMMYFUNCTION("""COMPUTED_VALUE"""),1139.0)</f>
        <v>1139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IFERROR(__xludf.DUMMYFUNCTION("""COMPUTED_VALUE"""),"4690612037417")</f>
        <v>4690612037417</v>
      </c>
      <c r="B576" s="5" t="str">
        <f>IFERROR(__xludf.DUMMYFUNCTION("""COMPUTED_VALUE"""),"DECO 36Вт 230В 6500К 2340Лм 350х55мм АВРОРА IN HOME")</f>
        <v>DECO 36Вт 230В 6500К 2340Лм 350х55мм АВРОРА IN HOME</v>
      </c>
      <c r="C576" s="2">
        <f>IFERROR(__xludf.DUMMYFUNCTION("""COMPUTED_VALUE"""),0.6100000000000001)</f>
        <v>0.61</v>
      </c>
      <c r="D576" s="2">
        <f>IFERROR(__xludf.DUMMYFUNCTION("""COMPUTED_VALUE"""),0.009500000000000001)</f>
        <v>0.0095</v>
      </c>
      <c r="E576" s="2">
        <f>IFERROR(__xludf.DUMMYFUNCTION("""COMPUTED_VALUE"""),471.25)</f>
        <v>471.25</v>
      </c>
      <c r="F576" s="2">
        <f>IFERROR(__xludf.DUMMYFUNCTION("""COMPUTED_VALUE"""),520.0)</f>
        <v>520</v>
      </c>
      <c r="G576" s="2">
        <f>IFERROR(__xludf.DUMMYFUNCTION("""COMPUTED_VALUE"""),585.0)</f>
        <v>585</v>
      </c>
      <c r="H576" s="2">
        <f>IFERROR(__xludf.DUMMYFUNCTION("""COMPUTED_VALUE"""),679.0)</f>
        <v>679</v>
      </c>
      <c r="I576" s="2">
        <f>IFERROR(__xludf.DUMMYFUNCTION("""COMPUTED_VALUE"""),780.0)</f>
        <v>780</v>
      </c>
      <c r="J576" s="2">
        <f>IFERROR(__xludf.DUMMYFUNCTION("""COMPUTED_VALUE"""),390.0)</f>
        <v>390</v>
      </c>
      <c r="K576" s="2">
        <f>IFERROR(__xludf.DUMMYFUNCTION("""COMPUTED_VALUE"""),2.0)</f>
        <v>2</v>
      </c>
      <c r="L576" s="2" t="str">
        <f>IFERROR(__xludf.DUMMYFUNCTION("""COMPUTED_VALUE"""),"Светильник светодиодный серии DECO")</f>
        <v>Светильник светодиодный серии DECO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IFERROR(__xludf.DUMMYFUNCTION("""COMPUTED_VALUE"""),"GL5136")</f>
        <v>GL5136</v>
      </c>
      <c r="B577" s="5" t="str">
        <f>IFERROR(__xludf.DUMMYFUNCTION("""COMPUTED_VALUE"""),"GLERIO Practical Галочка 64 Вт 5000K 6A-64D-5U-21G")</f>
        <v>GLERIO Practical Галочка 64 Вт 5000K 6A-64D-5U-21G</v>
      </c>
      <c r="C577" s="2">
        <f>IFERROR(__xludf.DUMMYFUNCTION("""COMPUTED_VALUE"""),1.4)</f>
        <v>1.4</v>
      </c>
      <c r="D577" s="2">
        <f>IFERROR(__xludf.DUMMYFUNCTION("""COMPUTED_VALUE"""),0.004430000000000001)</f>
        <v>0.00443</v>
      </c>
      <c r="E577" s="2">
        <f>IFERROR(__xludf.DUMMYFUNCTION("""COMPUTED_VALUE"""),2550.0)</f>
        <v>2550</v>
      </c>
      <c r="F577" s="2">
        <f>IFERROR(__xludf.DUMMYFUNCTION("""COMPUTED_VALUE"""),3200.0)</f>
        <v>3200</v>
      </c>
      <c r="G577" s="2">
        <f>IFERROR(__xludf.DUMMYFUNCTION("""COMPUTED_VALUE"""),4000.0)</f>
        <v>4000</v>
      </c>
      <c r="H577" s="2">
        <f>IFERROR(__xludf.DUMMYFUNCTION("""COMPUTED_VALUE"""),4500.0)</f>
        <v>4500</v>
      </c>
      <c r="I577" s="2">
        <f>IFERROR(__xludf.DUMMYFUNCTION("""COMPUTED_VALUE"""),5000.0)</f>
        <v>5000</v>
      </c>
      <c r="J577" s="2">
        <f>IFERROR(__xludf.DUMMYFUNCTION("""COMPUTED_VALUE"""),4000.0)</f>
        <v>4000</v>
      </c>
      <c r="K577" s="2">
        <f>IFERROR(__xludf.DUMMYFUNCTION("""COMPUTED_VALUE"""),1.0)</f>
        <v>1</v>
      </c>
      <c r="L577" s="2" t="str">
        <f>IFERROR(__xludf.DUMMYFUNCTION("""COMPUTED_VALUE"""),"Practical Уличные GLERIO до 10.2025")</f>
        <v>Practical Уличные GLERIO до 10.2025</v>
      </c>
      <c r="M577" s="2" t="str">
        <f>IFERROR(__xludf.DUMMYFUNCTION("""COMPUTED_VALUE"""),"Для обычных дорог, LED Светильники")</f>
        <v>Для обычных дорог, LED Светильники</v>
      </c>
    </row>
    <row r="578">
      <c r="A578" s="5" t="str">
        <f>IFERROR(__xludf.DUMMYFUNCTION("""COMPUTED_VALUE"""),"4690612042701")</f>
        <v>4690612042701</v>
      </c>
      <c r="B578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8" s="2">
        <f>IFERROR(__xludf.DUMMYFUNCTION("""COMPUTED_VALUE"""),4.800000000000001)</f>
        <v>4.8</v>
      </c>
      <c r="D578" s="2">
        <f>IFERROR(__xludf.DUMMYFUNCTION("""COMPUTED_VALUE"""),0.021)</f>
        <v>0.021</v>
      </c>
      <c r="E578" s="2">
        <f>IFERROR(__xludf.DUMMYFUNCTION("""COMPUTED_VALUE"""),472.37)</f>
        <v>472.37</v>
      </c>
      <c r="F578" s="2">
        <f>IFERROR(__xludf.DUMMYFUNCTION("""COMPUTED_VALUE"""),620.0)</f>
        <v>620</v>
      </c>
      <c r="G578" s="2">
        <f>IFERROR(__xludf.DUMMYFUNCTION("""COMPUTED_VALUE"""),698.0)</f>
        <v>698</v>
      </c>
      <c r="H578" s="2">
        <f>IFERROR(__xludf.DUMMYFUNCTION("""COMPUTED_VALUE"""),809.0)</f>
        <v>809</v>
      </c>
      <c r="I578" s="2">
        <f>IFERROR(__xludf.DUMMYFUNCTION("""COMPUTED_VALUE"""),930.0)</f>
        <v>930</v>
      </c>
      <c r="J578" s="2">
        <f>IFERROR(__xludf.DUMMYFUNCTION("""COMPUTED_VALUE"""),465.0)</f>
        <v>465</v>
      </c>
      <c r="K578" s="2">
        <f>IFERROR(__xludf.DUMMYFUNCTION("""COMPUTED_VALUE"""),10.0)</f>
        <v>10</v>
      </c>
      <c r="L578" s="2" t="str">
        <f>IFERROR(__xludf.DUMMYFUNCTION("""COMPUTED_VALUE"""),"NEOX Светильники LED ДВО")</f>
        <v>NEOX Светильники LED ДВО</v>
      </c>
      <c r="M57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9">
      <c r="A579" s="5" t="str">
        <f>IFERROR(__xludf.DUMMYFUNCTION("""COMPUTED_VALUE"""),"12-0141")</f>
        <v>12-0141</v>
      </c>
      <c r="B579" s="5" t="str">
        <f>IFERROR(__xludf.DUMMYFUNCTION("""COMPUTED_VALUE"""),"Паяльная станция (150-450 град.) 220 V/48 Вт REXANT")</f>
        <v>Паяльная станция (150-450 град.) 220 V/48 Вт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IFERROR(__xludf.DUMMYFUNCTION("""COMPUTED_VALUE"""),1.0)</f>
        <v>1</v>
      </c>
      <c r="F579" s="2">
        <f>IFERROR(__xludf.DUMMYFUNCTION("""COMPUTED_VALUE"""),4881.0)</f>
        <v>4881</v>
      </c>
      <c r="G579" s="2">
        <f>IFERROR(__xludf.DUMMYFUNCTION("""COMPUTED_VALUE"""),5207.0)</f>
        <v>5207</v>
      </c>
      <c r="H579" s="2">
        <f>IFERROR(__xludf.DUMMYFUNCTION("""COMPUTED_VALUE"""),5858.0)</f>
        <v>5858</v>
      </c>
      <c r="I579" s="2">
        <f>IFERROR(__xludf.DUMMYFUNCTION("""COMPUTED_VALUE"""),6508.56)</f>
        <v>6508.56</v>
      </c>
      <c r="J579" s="2">
        <f>IFERROR(__xludf.DUMMYFUNCTION("""COMPUTED_VALUE"""),3254.0)</f>
        <v>3254</v>
      </c>
      <c r="K579" s="2">
        <f>IFERROR(__xludf.DUMMYFUNCTION("""COMPUTED_VALUE"""),2.0)</f>
        <v>2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IFERROR(__xludf.DUMMYFUNCTION("""COMPUTED_VALUE"""),"G23225")</f>
        <v>G23225</v>
      </c>
      <c r="B580" s="5" t="str">
        <f>IFERROR(__xludf.DUMMYFUNCTION("""COMPUTED_VALUE"""),"Elementary A60 15W E27 4100K 1/10/50")</f>
        <v>Elementary A60 15W E27 4100K 1/10/50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IFERROR(__xludf.DUMMYFUNCTION("""COMPUTED_VALUE"""),114.99)</f>
        <v>114.99</v>
      </c>
      <c r="F580" s="2">
        <f>IFERROR(__xludf.DUMMYFUNCTION("""COMPUTED_VALUE"""),125.0)</f>
        <v>125</v>
      </c>
      <c r="G580" s="2">
        <f>IFERROR(__xludf.DUMMYFUNCTION("""COMPUTED_VALUE"""),138.0)</f>
        <v>138</v>
      </c>
      <c r="H580" s="2">
        <f>IFERROR(__xludf.DUMMYFUNCTION("""COMPUTED_VALUE"""),162.0)</f>
        <v>162</v>
      </c>
      <c r="I580" s="2">
        <f>IFERROR(__xludf.DUMMYFUNCTION("""COMPUTED_VALUE"""),205.0)</f>
        <v>205</v>
      </c>
      <c r="J580" s="2">
        <f>IFERROR(__xludf.DUMMYFUNCTION("""COMPUTED_VALUE"""),103.0)</f>
        <v>103</v>
      </c>
      <c r="K580" s="2">
        <f>IFERROR(__xludf.DUMMYFUNCTION("""COMPUTED_VALUE"""),10.0)</f>
        <v>10</v>
      </c>
      <c r="L580" s="2" t="str">
        <f>IFERROR(__xludf.DUMMYFUNCTION("""COMPUTED_VALUE"""),"ЛОН")</f>
        <v>ЛОН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IFERROR(__xludf.DUMMYFUNCTION("""COMPUTED_VALUE"""),"4690612020594")</f>
        <v>4690612020594</v>
      </c>
      <c r="B581" s="5" t="str">
        <f>IFERROR(__xludf.DUMMYFUNCTION("""COMPUTED_VALUE"""),"LED-ШАР-VC 11Вт 230В Е14 4000К 1050Лм IN HOME")</f>
        <v>LED-ШАР-VC 11Вт 230В Е14 4000К 1050Лм IN HOME</v>
      </c>
      <c r="C581" s="2">
        <f>IFERROR(__xludf.DUMMYFUNCTION("""COMPUTED_VALUE"""),0.036)</f>
        <v>0.036</v>
      </c>
      <c r="D581" s="2">
        <f>IFERROR(__xludf.DUMMYFUNCTION("""COMPUTED_VALUE"""),2.4E-4)</f>
        <v>0.00024</v>
      </c>
      <c r="E581" s="2">
        <f>IFERROR(__xludf.DUMMYFUNCTION("""COMPUTED_VALUE"""),40.2)</f>
        <v>40.2</v>
      </c>
      <c r="F581" s="2">
        <f>IFERROR(__xludf.DUMMYFUNCTION("""COMPUTED_VALUE"""),46.0)</f>
        <v>46</v>
      </c>
      <c r="G581" s="2">
        <f>IFERROR(__xludf.DUMMYFUNCTION("""COMPUTED_VALUE"""),52.0)</f>
        <v>52</v>
      </c>
      <c r="H581" s="2">
        <f>IFERROR(__xludf.DUMMYFUNCTION("""COMPUTED_VALUE"""),60.0)</f>
        <v>60</v>
      </c>
      <c r="I581" s="2">
        <f>IFERROR(__xludf.DUMMYFUNCTION("""COMPUTED_VALUE"""),69.8)</f>
        <v>69.8</v>
      </c>
      <c r="J581" s="2">
        <f>IFERROR(__xludf.DUMMYFUNCTION("""COMPUTED_VALUE"""),35.0)</f>
        <v>35</v>
      </c>
      <c r="K581" s="2">
        <f>IFERROR(__xludf.DUMMYFUNCTION("""COMPUTED_VALUE"""),89.0)</f>
        <v>89</v>
      </c>
      <c r="L581" s="2" t="str">
        <f>IFERROR(__xludf.DUMMYFUNCTION("""COMPUTED_VALUE"""),"Лампа светодиодная LED-ШАР-standard")</f>
        <v>Лампа светодиодная LED-ШАР-standard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IFERROR(__xludf.DUMMYFUNCTION("""COMPUTED_VALUE"""),"БПviled32Вт")</f>
        <v>БПviled32Вт</v>
      </c>
      <c r="B582" s="5" t="str">
        <f>IFERROR(__xludf.DUMMYFUNCTION("""COMPUTED_VALUE"""),"Блок питания viled 32 Вт")</f>
        <v>Блок питания viled 32 Вт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IFERROR(__xludf.DUMMYFUNCTION("""COMPUTED_VALUE"""),420.0)</f>
        <v>420</v>
      </c>
      <c r="F582" s="2">
        <f>IFERROR(__xludf.DUMMYFUNCTION("""COMPUTED_VALUE"""),0.0)</f>
        <v>0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IFERROR(__xludf.DUMMYFUNCTION("""COMPUTED_VALUE"""),1.0)</f>
        <v>1</v>
      </c>
      <c r="L582" s="2" t="str">
        <f>IFERROR(__xludf.DUMMYFUNCTION("""COMPUTED_VALUE"""),"ViLED Комплектующие")</f>
        <v>ViLED Комплектующие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IFERROR(__xludf.DUMMYFUNCTION("""COMPUTED_VALUE"""),"R100297")</f>
        <v>R100297</v>
      </c>
      <c r="B583" s="5" t="str">
        <f>IFERROR(__xludf.DUMMYFUNCTION("""COMPUTED_VALUE"""),"RSV-SPP-20W-6500K-IP65")</f>
        <v>RSV-SPP-20W-6500K-IP65</v>
      </c>
      <c r="C583" s="2">
        <f>IFERROR(__xludf.DUMMYFUNCTION("""COMPUTED_VALUE"""),0.405)</f>
        <v>0.405</v>
      </c>
      <c r="D583" s="2">
        <f>IFERROR(__xludf.DUMMYFUNCTION("""COMPUTED_VALUE"""),0.00608)</f>
        <v>0.00608</v>
      </c>
      <c r="E583" s="2">
        <f>IFERROR(__xludf.DUMMYFUNCTION("""COMPUTED_VALUE"""),240.9)</f>
        <v>240.9</v>
      </c>
      <c r="F583" s="2">
        <f>IFERROR(__xludf.DUMMYFUNCTION("""COMPUTED_VALUE"""),232.0)</f>
        <v>232</v>
      </c>
      <c r="G583" s="2">
        <f>IFERROR(__xludf.DUMMYFUNCTION("""COMPUTED_VALUE"""),273.0)</f>
        <v>273</v>
      </c>
      <c r="H583" s="2">
        <f>IFERROR(__xludf.DUMMYFUNCTION("""COMPUTED_VALUE"""),281.0)</f>
        <v>281</v>
      </c>
      <c r="I583" s="2">
        <f>IFERROR(__xludf.DUMMYFUNCTION("""COMPUTED_VALUE"""),324.0)</f>
        <v>324</v>
      </c>
      <c r="J583" s="2">
        <f>IFERROR(__xludf.DUMMYFUNCTION("""COMPUTED_VALUE"""),162.0)</f>
        <v>162</v>
      </c>
      <c r="K583" s="2">
        <f>IFERROR(__xludf.DUMMYFUNCTION("""COMPUTED_VALUE"""),1.0)</f>
        <v>1</v>
      </c>
      <c r="L583" s="2" t="str">
        <f>IFERROR(__xludf.DUMMYFUNCTION("""COMPUTED_VALUE"""),"ЖКХ светильники RSV")</f>
        <v>ЖКХ светильники RSV</v>
      </c>
      <c r="M583" s="2" t="str">
        <f>IFERROR(__xludf.DUMMYFUNCTION("""COMPUTED_VALUE"""),"Без датчиков, LED Светильники")</f>
        <v>Без датчиков, LED Светильники</v>
      </c>
    </row>
    <row r="584">
      <c r="A584" s="5" t="str">
        <f>IFERROR(__xludf.DUMMYFUNCTION("""COMPUTED_VALUE"""),"11700006")</f>
        <v>11700006</v>
      </c>
      <c r="B584" s="5" t="str">
        <f>IFERROR(__xludf.DUMMYFUNCTION("""COMPUTED_VALUE"""),"BENEFIT KOMFORT 595x595 OP 4000К 40Вт")</f>
        <v>BENEFIT KOMFORT 595x595 OP 4000К 40Вт</v>
      </c>
      <c r="C584" s="2">
        <f>IFERROR(__xludf.DUMMYFUNCTION("""COMPUTED_VALUE"""),2.0)</f>
        <v>2</v>
      </c>
      <c r="D584" s="2">
        <f>IFERROR(__xludf.DUMMYFUNCTION("""COMPUTED_VALUE"""),0.004430000000000001)</f>
        <v>0.00443</v>
      </c>
      <c r="E584" s="2">
        <f>IFERROR(__xludf.DUMMYFUNCTION("""COMPUTED_VALUE"""),2599.5)</f>
        <v>2599.5</v>
      </c>
      <c r="F584" s="2">
        <f>IFERROR(__xludf.DUMMYFUNCTION("""COMPUTED_VALUE"""),3717.0)</f>
        <v>3717</v>
      </c>
      <c r="G584" s="2">
        <f>IFERROR(__xludf.DUMMYFUNCTION("""COMPUTED_VALUE"""),4159.0)</f>
        <v>4159</v>
      </c>
      <c r="H584" s="2">
        <f>IFERROR(__xludf.DUMMYFUNCTION("""COMPUTED_VALUE"""),4679.0)</f>
        <v>4679</v>
      </c>
      <c r="I584" s="2">
        <f>IFERROR(__xludf.DUMMYFUNCTION("""COMPUTED_VALUE"""),5199.0)</f>
        <v>5199</v>
      </c>
      <c r="J584" s="2">
        <f>IFERROR(__xludf.DUMMYFUNCTION("""COMPUTED_VALUE"""),2600.0)</f>
        <v>2600</v>
      </c>
      <c r="K584" s="2">
        <f>IFERROR(__xludf.DUMMYFUNCTION("""COMPUTED_VALUE"""),1.0)</f>
        <v>1</v>
      </c>
      <c r="L584" s="2" t="str">
        <f>IFERROR(__xludf.DUMMYFUNCTION("""COMPUTED_VALUE"""),"LEDOS Офисное освещение")</f>
        <v>LEDOS Офисное освещение</v>
      </c>
      <c r="M58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5">
      <c r="A585" s="5" t="str">
        <f>IFERROR(__xludf.DUMMYFUNCTION("""COMPUTED_VALUE"""),"NVAS010")</f>
        <v>NVAS010</v>
      </c>
      <c r="B585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IFERROR(__xludf.DUMMYFUNCTION("""COMPUTED_VALUE"""),9480.0)</f>
        <v>9480</v>
      </c>
      <c r="F585" s="2">
        <f>IFERROR(__xludf.DUMMYFUNCTION("""COMPUTED_VALUE"""),4355.0)</f>
        <v>4355</v>
      </c>
      <c r="G585" s="2">
        <f>IFERROR(__xludf.DUMMYFUNCTION("""COMPUTED_VALUE"""),4646.0)</f>
        <v>4646</v>
      </c>
      <c r="H585" s="2">
        <f>IFERROR(__xludf.DUMMYFUNCTION("""COMPUTED_VALUE"""),5226.0)</f>
        <v>5226</v>
      </c>
      <c r="I585" s="2">
        <f>IFERROR(__xludf.DUMMYFUNCTION("""COMPUTED_VALUE"""),5806.91)</f>
        <v>5806.91</v>
      </c>
      <c r="J585" s="2">
        <f>IFERROR(__xludf.DUMMYFUNCTION("""COMPUTED_VALUE"""),5806.91)</f>
        <v>5806.91</v>
      </c>
      <c r="K585" s="2">
        <f>IFERROR(__xludf.DUMMYFUNCTION("""COMPUTED_VALUE"""),0.0)</f>
        <v>0</v>
      </c>
      <c r="L585" s="2" t="str">
        <f>IFERROR(__xludf.DUMMYFUNCTION("""COMPUTED_VALUE"""),"NVAS (тендер)")</f>
        <v>NVAS (тендер)</v>
      </c>
      <c r="M585" s="2" t="str">
        <f>IFERROR(__xludf.DUMMYFUNCTION("""COMPUTED_VALUE"""),"LED Светильники")</f>
        <v>LED Светильники</v>
      </c>
    </row>
    <row r="586">
      <c r="A586" s="5" t="str">
        <f>IFERROR(__xludf.DUMMYFUNCTION("""COMPUTED_VALUE"""),"4690612009070")</f>
        <v>4690612009070</v>
      </c>
      <c r="B58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6" s="2">
        <f>IFERROR(__xludf.DUMMYFUNCTION("""COMPUTED_VALUE"""),0.04)</f>
        <v>0.04</v>
      </c>
      <c r="D586" s="2">
        <f>IFERROR(__xludf.DUMMYFUNCTION("""COMPUTED_VALUE"""),2.2E-4)</f>
        <v>0.00022</v>
      </c>
      <c r="E586" s="2">
        <f>IFERROR(__xludf.DUMMYFUNCTION("""COMPUTED_VALUE"""),18.5)</f>
        <v>18.5</v>
      </c>
      <c r="F586" s="2">
        <f>IFERROR(__xludf.DUMMYFUNCTION("""COMPUTED_VALUE"""),24.0)</f>
        <v>24</v>
      </c>
      <c r="G586" s="2">
        <f>IFERROR(__xludf.DUMMYFUNCTION("""COMPUTED_VALUE"""),27.0)</f>
        <v>27</v>
      </c>
      <c r="H586" s="2">
        <f>IFERROR(__xludf.DUMMYFUNCTION("""COMPUTED_VALUE"""),31.0)</f>
        <v>31</v>
      </c>
      <c r="I586" s="2">
        <f>IFERROR(__xludf.DUMMYFUNCTION("""COMPUTED_VALUE"""),36.0)</f>
        <v>36</v>
      </c>
      <c r="J586" s="2">
        <f>IFERROR(__xludf.DUMMYFUNCTION("""COMPUTED_VALUE"""),18.0)</f>
        <v>18</v>
      </c>
      <c r="K586" s="2">
        <f>IFERROR(__xludf.DUMMYFUNCTION("""COMPUTED_VALUE"""),20.0)</f>
        <v>20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IFERROR(__xludf.DUMMYFUNCTION("""COMPUTED_VALUE"""),"4690612035338")</f>
        <v>4690612035338</v>
      </c>
      <c r="B58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7" s="2">
        <f>IFERROR(__xludf.DUMMYFUNCTION("""COMPUTED_VALUE"""),0.35)</f>
        <v>0.35</v>
      </c>
      <c r="D587" s="2">
        <f>IFERROR(__xludf.DUMMYFUNCTION("""COMPUTED_VALUE"""),0.0035)</f>
        <v>0.0035</v>
      </c>
      <c r="E587" s="2">
        <f>IFERROR(__xludf.DUMMYFUNCTION("""COMPUTED_VALUE"""),619.99)</f>
        <v>619.99</v>
      </c>
      <c r="F587" s="2">
        <f>IFERROR(__xludf.DUMMYFUNCTION("""COMPUTED_VALUE"""),627.0)</f>
        <v>627</v>
      </c>
      <c r="G587" s="2">
        <f>IFERROR(__xludf.DUMMYFUNCTION("""COMPUTED_VALUE"""),705.0)</f>
        <v>705</v>
      </c>
      <c r="H587" s="2">
        <f>IFERROR(__xludf.DUMMYFUNCTION("""COMPUTED_VALUE"""),818.0)</f>
        <v>818</v>
      </c>
      <c r="I587" s="2">
        <f>IFERROR(__xludf.DUMMYFUNCTION("""COMPUTED_VALUE"""),940.0)</f>
        <v>940</v>
      </c>
      <c r="J587" s="2">
        <f>IFERROR(__xludf.DUMMYFUNCTION("""COMPUTED_VALUE"""),470.0)</f>
        <v>470</v>
      </c>
      <c r="K587" s="2">
        <f>IFERROR(__xludf.DUMMYFUNCTION("""COMPUTED_VALUE"""),3.0)</f>
        <v>3</v>
      </c>
      <c r="L587" s="2" t="str">
        <f>IFERROR(__xludf.DUMMYFUNCTION("""COMPUTED_VALUE"""),"Светильники светодиодные серии ELEGANT IN HOME")</f>
        <v>Светильники светодиодные серии ELEGANT IN HOME</v>
      </c>
      <c r="M5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8">
      <c r="A588" s="5" t="str">
        <f>IFERROR(__xludf.DUMMYFUNCTION("""COMPUTED_VALUE"""),"V9007")</f>
        <v>V9007</v>
      </c>
      <c r="B588" s="5" t="str">
        <f>IFERROR(__xludf.DUMMYFUNCTION("""COMPUTED_VALUE"""),"VRN-UNE-48-G40K67-U, 48Вт, Универсальный")</f>
        <v>VRN-UNE-48-G40K67-U, 48Вт, Универсальный</v>
      </c>
      <c r="C588" s="2">
        <f>IFERROR(__xludf.DUMMYFUNCTION("""COMPUTED_VALUE"""),0.118)</f>
        <v>0.118</v>
      </c>
      <c r="D588" s="2">
        <f>IFERROR(__xludf.DUMMYFUNCTION("""COMPUTED_VALUE"""),0.00483)</f>
        <v>0.00483</v>
      </c>
      <c r="E588" s="2">
        <f>IFERROR(__xludf.DUMMYFUNCTION("""COMPUTED_VALUE"""),1995.78)</f>
        <v>1995.78</v>
      </c>
      <c r="F588" s="2">
        <f>IFERROR(__xludf.DUMMYFUNCTION("""COMPUTED_VALUE"""),2255.0)</f>
        <v>2255</v>
      </c>
      <c r="G588" s="2">
        <f>IFERROR(__xludf.DUMMYFUNCTION("""COMPUTED_VALUE"""),2932.0)</f>
        <v>2932</v>
      </c>
      <c r="H588" s="2">
        <f>IFERROR(__xludf.DUMMYFUNCTION("""COMPUTED_VALUE"""),3078.0)</f>
        <v>3078</v>
      </c>
      <c r="I588" s="2">
        <f>IFERROR(__xludf.DUMMYFUNCTION("""COMPUTED_VALUE"""),3225.0)</f>
        <v>3225</v>
      </c>
      <c r="J588" s="2">
        <f>IFERROR(__xludf.DUMMYFUNCTION("""COMPUTED_VALUE"""),3225.0)</f>
        <v>3225</v>
      </c>
      <c r="K588" s="2">
        <f>IFERROR(__xludf.DUMMYFUNCTION("""COMPUTED_VALUE"""),59.0)</f>
        <v>59</v>
      </c>
      <c r="L588" s="2" t="str">
        <f>IFERROR(__xludf.DUMMYFUNCTION("""COMPUTED_VALUE"""),"Универсал Эконом")</f>
        <v>Универсал Эконом</v>
      </c>
      <c r="M5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9">
      <c r="A589" s="5" t="str">
        <f>IFERROR(__xludf.DUMMYFUNCTION("""COMPUTED_VALUE"""),"ves021")</f>
        <v>ves021</v>
      </c>
      <c r="B589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IFERROR(__xludf.DUMMYFUNCTION("""COMPUTED_VALUE"""),528.0)</f>
        <v>528</v>
      </c>
      <c r="F589" s="2">
        <f>IFERROR(__xludf.DUMMYFUNCTION("""COMPUTED_VALUE"""),1575.0)</f>
        <v>1575</v>
      </c>
      <c r="G589" s="2">
        <f>IFERROR(__xludf.DUMMYFUNCTION("""COMPUTED_VALUE"""),1680.0)</f>
        <v>1680</v>
      </c>
      <c r="H589" s="2">
        <f>IFERROR(__xludf.DUMMYFUNCTION("""COMPUTED_VALUE"""),1890.0)</f>
        <v>1890</v>
      </c>
      <c r="I589" s="2">
        <f>IFERROR(__xludf.DUMMYFUNCTION("""COMPUTED_VALUE"""),2100.0)</f>
        <v>2100</v>
      </c>
      <c r="J589" s="2">
        <f>IFERROR(__xludf.DUMMYFUNCTION("""COMPUTED_VALUE"""),528.0)</f>
        <v>528</v>
      </c>
      <c r="K589" s="2">
        <f>IFERROR(__xludf.DUMMYFUNCTION("""COMPUTED_VALUE"""),3.0)</f>
        <v>3</v>
      </c>
      <c r="L589" s="2" t="str">
        <f>IFERROR(__xludf.DUMMYFUNCTION("""COMPUTED_VALUE"""),"ves")</f>
        <v>ves</v>
      </c>
      <c r="M589" s="2" t="str">
        <f>IFERROR(__xludf.DUMMYFUNCTION("""COMPUTED_VALUE"""),"LED Светильники")</f>
        <v>LED Светильники</v>
      </c>
    </row>
    <row r="590">
      <c r="A590" s="5" t="str">
        <f>IFERROR(__xludf.DUMMYFUNCTION("""COMPUTED_VALUE"""),"4690612034836")</f>
        <v>4690612034836</v>
      </c>
      <c r="B590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0" s="2">
        <f>IFERROR(__xludf.DUMMYFUNCTION("""COMPUTED_VALUE"""),1.7)</f>
        <v>1.7</v>
      </c>
      <c r="D590" s="2">
        <f>IFERROR(__xludf.DUMMYFUNCTION("""COMPUTED_VALUE"""),0.0362)</f>
        <v>0.0362</v>
      </c>
      <c r="E590" s="2">
        <f>IFERROR(__xludf.DUMMYFUNCTION("""COMPUTED_VALUE"""),1745.19)</f>
        <v>1745.19</v>
      </c>
      <c r="F590" s="2">
        <f>IFERROR(__xludf.DUMMYFUNCTION("""COMPUTED_VALUE"""),1658.0)</f>
        <v>1658</v>
      </c>
      <c r="G590" s="2">
        <f>IFERROR(__xludf.DUMMYFUNCTION("""COMPUTED_VALUE"""),1865.0)</f>
        <v>1865</v>
      </c>
      <c r="H590" s="2">
        <f>IFERROR(__xludf.DUMMYFUNCTION("""COMPUTED_VALUE"""),2164.0)</f>
        <v>2164</v>
      </c>
      <c r="I590" s="2">
        <f>IFERROR(__xludf.DUMMYFUNCTION("""COMPUTED_VALUE"""),2487.0)</f>
        <v>2487</v>
      </c>
      <c r="J590" s="2">
        <f>IFERROR(__xludf.DUMMYFUNCTION("""COMPUTED_VALUE"""),1244.0)</f>
        <v>1244</v>
      </c>
      <c r="K590" s="2">
        <f>IFERROR(__xludf.DUMMYFUNCTION("""COMPUTED_VALUE"""),1.0)</f>
        <v>1</v>
      </c>
      <c r="L590" s="2" t="str">
        <f>IFERROR(__xludf.DUMMYFUNCTION("""COMPUTED_VALUE"""),"Светильники светодиодные COMFORT")</f>
        <v>Светильники светодиодные COMFORT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IFERROR(__xludf.DUMMYFUNCTION("""COMPUTED_VALUE"""),"12-0105")</f>
        <v>12-0105</v>
      </c>
      <c r="B591" s="5" t="str">
        <f>IFERROR(__xludf.DUMMYFUNCTION("""COMPUTED_VALUE"""),"Пистолет клеевой 100 Вт ? 11 мм (блистер) REXANT")</f>
        <v>Пистолет клеевой 100 Вт ? 11 мм (блистер) REXANT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IFERROR(__xludf.DUMMYFUNCTION("""COMPUTED_VALUE"""),1.02)</f>
        <v>1.02</v>
      </c>
      <c r="F591" s="2">
        <f>IFERROR(__xludf.DUMMYFUNCTION("""COMPUTED_VALUE"""),613.0)</f>
        <v>613</v>
      </c>
      <c r="G591" s="2">
        <f>IFERROR(__xludf.DUMMYFUNCTION("""COMPUTED_VALUE"""),654.0)</f>
        <v>654</v>
      </c>
      <c r="H591" s="2">
        <f>IFERROR(__xludf.DUMMYFUNCTION("""COMPUTED_VALUE"""),735.0)</f>
        <v>735</v>
      </c>
      <c r="I591" s="2">
        <f>IFERROR(__xludf.DUMMYFUNCTION("""COMPUTED_VALUE"""),817.1800000000001)</f>
        <v>817.18</v>
      </c>
      <c r="J591" s="2">
        <f>IFERROR(__xludf.DUMMYFUNCTION("""COMPUTED_VALUE"""),409.0)</f>
        <v>409</v>
      </c>
      <c r="K591" s="2">
        <f>IFERROR(__xludf.DUMMYFUNCTION("""COMPUTED_VALUE"""),3.0)</f>
        <v>3</v>
      </c>
      <c r="L591" s="2" t="str">
        <f>IFERROR(__xludf.DUMMYFUNCTION("""COMPUTED_VALUE"""),"Rexant")</f>
        <v>Rexant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IFERROR(__xludf.DUMMYFUNCTION("""COMPUTED_VALUE"""),"4690612026145-10")</f>
        <v>4690612026145-10</v>
      </c>
      <c r="B592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2" s="2">
        <f>IFERROR(__xludf.DUMMYFUNCTION("""COMPUTED_VALUE"""),0.04)</f>
        <v>0.04</v>
      </c>
      <c r="D592" s="2">
        <f>IFERROR(__xludf.DUMMYFUNCTION("""COMPUTED_VALUE"""),0.0028)</f>
        <v>0.0028</v>
      </c>
      <c r="E592" s="2">
        <f>IFERROR(__xludf.DUMMYFUNCTION("""COMPUTED_VALUE"""),810.0)</f>
        <v>810</v>
      </c>
      <c r="F592" s="2">
        <f>IFERROR(__xludf.DUMMYFUNCTION("""COMPUTED_VALUE"""),889.0)</f>
        <v>889</v>
      </c>
      <c r="G592" s="2">
        <f>IFERROR(__xludf.DUMMYFUNCTION("""COMPUTED_VALUE"""),1037.0)</f>
        <v>1037</v>
      </c>
      <c r="H592" s="2">
        <f>IFERROR(__xludf.DUMMYFUNCTION("""COMPUTED_VALUE"""),1166.0)</f>
        <v>1166</v>
      </c>
      <c r="I592" s="2">
        <f>IFERROR(__xludf.DUMMYFUNCTION("""COMPUTED_VALUE"""),1296.0)</f>
        <v>1296</v>
      </c>
      <c r="J592" s="2">
        <f>IFERROR(__xludf.DUMMYFUNCTION("""COMPUTED_VALUE"""),648.0)</f>
        <v>648</v>
      </c>
      <c r="K592" s="2">
        <f>IFERROR(__xludf.DUMMYFUNCTION("""COMPUTED_VALUE"""),12.0)</f>
        <v>12</v>
      </c>
      <c r="L592" s="2" t="str">
        <f>IFERROR(__xludf.DUMMYFUNCTION("""COMPUTED_VALUE"""),"Лампы производство, упаковка")</f>
        <v>Лампы производство, упаковка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IFERROR(__xludf.DUMMYFUNCTION("""COMPUTED_VALUE"""),"GL8112")</f>
        <v>GL8112</v>
      </c>
      <c r="B593" s="5" t="str">
        <f>IFERROR(__xludf.DUMMYFUNCTION("""COMPUTED_VALUE"""),"GLERIO Office Casual 24 Вт 4000К 81P-24D-4V-MP")</f>
        <v>GLERIO Office Casual 24 Вт 4000К 81P-24D-4V-MP</v>
      </c>
      <c r="C593" s="2">
        <f>IFERROR(__xludf.DUMMYFUNCTION("""COMPUTED_VALUE"""),1.04)</f>
        <v>1.04</v>
      </c>
      <c r="D593" s="2">
        <f>IFERROR(__xludf.DUMMYFUNCTION("""COMPUTED_VALUE"""),0.008190000000000001)</f>
        <v>0.00819</v>
      </c>
      <c r="E593" s="2">
        <f>IFERROR(__xludf.DUMMYFUNCTION("""COMPUTED_VALUE"""),1201.85)</f>
        <v>1201.85</v>
      </c>
      <c r="F593" s="2">
        <f>IFERROR(__xludf.DUMMYFUNCTION("""COMPUTED_VALUE"""),1700.0)</f>
        <v>1700</v>
      </c>
      <c r="G593" s="2">
        <f>IFERROR(__xludf.DUMMYFUNCTION("""COMPUTED_VALUE"""),2140.0)</f>
        <v>2140</v>
      </c>
      <c r="H593" s="2">
        <f>IFERROR(__xludf.DUMMYFUNCTION("""COMPUTED_VALUE"""),2404.0)</f>
        <v>2404</v>
      </c>
      <c r="I593" s="2">
        <f>IFERROR(__xludf.DUMMYFUNCTION("""COMPUTED_VALUE"""),2667.0)</f>
        <v>2667</v>
      </c>
      <c r="J593" s="2">
        <f>IFERROR(__xludf.DUMMYFUNCTION("""COMPUTED_VALUE"""),2404.0)</f>
        <v>2404</v>
      </c>
      <c r="K593" s="2">
        <f>IFERROR(__xludf.DUMMYFUNCTION("""COMPUTED_VALUE"""),1.0)</f>
        <v>1</v>
      </c>
      <c r="L593" s="2" t="str">
        <f>IFERROR(__xludf.DUMMYFUNCTION("""COMPUTED_VALUE"""),"Office Casual (Офис) до 10.2025")</f>
        <v>Office Casual (Офис)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IFERROR(__xludf.DUMMYFUNCTION("""COMPUTED_VALUE"""),"4690612007618")</f>
        <v>4690612007618</v>
      </c>
      <c r="B594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4" s="2">
        <f>IFERROR(__xludf.DUMMYFUNCTION("""COMPUTED_VALUE"""),0.025)</f>
        <v>0.025</v>
      </c>
      <c r="D594" s="2">
        <f>IFERROR(__xludf.DUMMYFUNCTION("""COMPUTED_VALUE"""),2.0E-4)</f>
        <v>0.0002</v>
      </c>
      <c r="E594" s="2">
        <f>IFERROR(__xludf.DUMMYFUNCTION("""COMPUTED_VALUE"""),63.85)</f>
        <v>63.85</v>
      </c>
      <c r="F594" s="2">
        <f>IFERROR(__xludf.DUMMYFUNCTION("""COMPUTED_VALUE"""),57.0)</f>
        <v>57</v>
      </c>
      <c r="G594" s="2">
        <f>IFERROR(__xludf.DUMMYFUNCTION("""COMPUTED_VALUE"""),64.0)</f>
        <v>64</v>
      </c>
      <c r="H594" s="2">
        <f>IFERROR(__xludf.DUMMYFUNCTION("""COMPUTED_VALUE"""),74.0)</f>
        <v>74</v>
      </c>
      <c r="I594" s="2">
        <f>IFERROR(__xludf.DUMMYFUNCTION("""COMPUTED_VALUE"""),85.5)</f>
        <v>85.5</v>
      </c>
      <c r="J594" s="2">
        <f>IFERROR(__xludf.DUMMYFUNCTION("""COMPUTED_VALUE"""),43.0)</f>
        <v>43</v>
      </c>
      <c r="K594" s="2">
        <f>IFERROR(__xludf.DUMMYFUNCTION("""COMPUTED_VALUE"""),50.0)</f>
        <v>50</v>
      </c>
      <c r="L594" s="2" t="str">
        <f>IFERROR(__xludf.DUMMYFUNCTION("""COMPUTED_VALUE"""),"Лампа светодиодная LED-СВЕЧА-DECO")</f>
        <v>Лампа светодиодная LED-СВЕЧА-DECO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IFERROR(__xludf.DUMMYFUNCTION("""COMPUTED_VALUE"""),"4690612025582")</f>
        <v>4690612025582</v>
      </c>
      <c r="B595" s="5" t="str">
        <f>IFERROR(__xludf.DUMMYFUNCTION("""COMPUTED_VALUE"""),"ССО-05Б 5Вт сенсор-диммер")</f>
        <v>ССО-05Б 5Вт сенсор-диммер</v>
      </c>
      <c r="C595" s="2">
        <f>IFERROR(__xludf.DUMMYFUNCTION("""COMPUTED_VALUE"""),0.388)</f>
        <v>0.388</v>
      </c>
      <c r="D595" s="2">
        <f>IFERROR(__xludf.DUMMYFUNCTION("""COMPUTED_VALUE"""),0.0028)</f>
        <v>0.0028</v>
      </c>
      <c r="E595" s="2">
        <f>IFERROR(__xludf.DUMMYFUNCTION("""COMPUTED_VALUE"""),673.53)</f>
        <v>673.53</v>
      </c>
      <c r="F595" s="2">
        <f>IFERROR(__xludf.DUMMYFUNCTION("""COMPUTED_VALUE"""),573.0)</f>
        <v>573</v>
      </c>
      <c r="G595" s="2">
        <f>IFERROR(__xludf.DUMMYFUNCTION("""COMPUTED_VALUE"""),645.0)</f>
        <v>645</v>
      </c>
      <c r="H595" s="2">
        <f>IFERROR(__xludf.DUMMYFUNCTION("""COMPUTED_VALUE"""),748.0)</f>
        <v>748</v>
      </c>
      <c r="I595" s="2">
        <f>IFERROR(__xludf.DUMMYFUNCTION("""COMPUTED_VALUE"""),860.0)</f>
        <v>860</v>
      </c>
      <c r="J595" s="2">
        <f>IFERROR(__xludf.DUMMYFUNCTION("""COMPUTED_VALUE"""),645.0)</f>
        <v>645</v>
      </c>
      <c r="K595" s="2">
        <f>IFERROR(__xludf.DUMMYFUNCTION("""COMPUTED_VALUE"""),15.0)</f>
        <v>15</v>
      </c>
      <c r="L595" s="2" t="str">
        <f>IFERROR(__xludf.DUMMYFUNCTION("""COMPUTED_VALUE"""),"Светильники настольные светодиодные")</f>
        <v>Светильники настольные светодиодные</v>
      </c>
      <c r="M5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6">
      <c r="A596" s="5" t="str">
        <f>IFERROR(__xludf.DUMMYFUNCTION("""COMPUTED_VALUE"""),"Fefco/0201-10")</f>
        <v>Fefco/0201-10</v>
      </c>
      <c r="B596" s="5" t="str">
        <f>IFERROR(__xludf.DUMMYFUNCTION("""COMPUTED_VALUE"""),"Короб 600х400х400 (картон Т-24 ""В"" бурый)")</f>
        <v>Короб 600х400х400 (картон Т-24 "В" бурый)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IFERROR(__xludf.DUMMYFUNCTION("""COMPUTED_VALUE"""),109.8)</f>
        <v>109.8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IFERROR(__xludf.DUMMYFUNCTION("""COMPUTED_VALUE"""),85.0)</f>
        <v>85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IFERROR(__xludf.DUMMYFUNCTION("""COMPUTED_VALUE"""),"4690612025001")</f>
        <v>4690612025001</v>
      </c>
      <c r="B597" s="5" t="str">
        <f>IFERROR(__xludf.DUMMYFUNCTION("""COMPUTED_VALUE"""),"DECO СОЗВЕЗДИЕ 36Вт 230В 4000К 3240Лм 380х55мм IN HOME")</f>
        <v>DECO СОЗВЕЗДИЕ 36Вт 230В 4000К 3240Лм 380х55мм IN HOME</v>
      </c>
      <c r="C597" s="2">
        <f>IFERROR(__xludf.DUMMYFUNCTION("""COMPUTED_VALUE"""),0.5800000000000001)</f>
        <v>0.58</v>
      </c>
      <c r="D597" s="2">
        <f>IFERROR(__xludf.DUMMYFUNCTION("""COMPUTED_VALUE"""),0.009500000000000001)</f>
        <v>0.0095</v>
      </c>
      <c r="E597" s="2">
        <f>IFERROR(__xludf.DUMMYFUNCTION("""COMPUTED_VALUE"""),499.08)</f>
        <v>499.08</v>
      </c>
      <c r="F597" s="2">
        <f>IFERROR(__xludf.DUMMYFUNCTION("""COMPUTED_VALUE"""),600.0)</f>
        <v>600</v>
      </c>
      <c r="G597" s="2">
        <f>IFERROR(__xludf.DUMMYFUNCTION("""COMPUTED_VALUE"""),675.0)</f>
        <v>675</v>
      </c>
      <c r="H597" s="2">
        <f>IFERROR(__xludf.DUMMYFUNCTION("""COMPUTED_VALUE"""),783.0)</f>
        <v>783</v>
      </c>
      <c r="I597" s="2">
        <f>IFERROR(__xludf.DUMMYFUNCTION("""COMPUTED_VALUE"""),900.0)</f>
        <v>900</v>
      </c>
      <c r="J597" s="2">
        <f>IFERROR(__xludf.DUMMYFUNCTION("""COMPUTED_VALUE"""),450.0)</f>
        <v>450</v>
      </c>
      <c r="K597" s="2">
        <f>IFERROR(__xludf.DUMMYFUNCTION("""COMPUTED_VALUE"""),35.0)</f>
        <v>35</v>
      </c>
      <c r="L597" s="2" t="str">
        <f>IFERROR(__xludf.DUMMYFUNCTION("""COMPUTED_VALUE"""),"Светильник светодиодный серии DECO")</f>
        <v>Светильник светодиодный серии DECO</v>
      </c>
      <c r="M5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8">
      <c r="A598" s="5" t="str">
        <f>IFERROR(__xludf.DUMMYFUNCTION("""COMPUTED_VALUE"""),"Fefco/0203-4")</f>
        <v>Fefco/0203-4</v>
      </c>
      <c r="B598" s="5" t="str">
        <f>IFERROR(__xludf.DUMMYFUNCTION("""COMPUTED_VALUE"""),"Короб 80х30х1220 (картон Т-24 бурый 3мм)")</f>
        <v>Короб 80х30х1220 (картон Т-24 бурый 3мм)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IFERROR(__xludf.DUMMYFUNCTION("""COMPUTED_VALUE"""),34.9)</f>
        <v>34.9</v>
      </c>
      <c r="F598" s="2">
        <f>IFERROR(__xludf.DUMMYFUNCTION("""COMPUTED_VALUE"""),1.0)</f>
        <v>1</v>
      </c>
      <c r="G598" s="2">
        <f>IFERROR(__xludf.DUMMYFUNCTION("""COMPUTED_VALUE"""),1.0)</f>
        <v>1</v>
      </c>
      <c r="H598" s="2">
        <f>IFERROR(__xludf.DUMMYFUNCTION("""COMPUTED_VALUE"""),1.0)</f>
        <v>1</v>
      </c>
      <c r="I598" s="2">
        <f>IFERROR(__xludf.DUMMYFUNCTION("""COMPUTED_VALUE"""),1.5)</f>
        <v>1.5</v>
      </c>
      <c r="J598" s="2">
        <f>IFERROR(__xludf.DUMMYFUNCTION("""COMPUTED_VALUE"""),1.5)</f>
        <v>1.5</v>
      </c>
      <c r="K598" s="2">
        <f>IFERROR(__xludf.DUMMYFUNCTION("""COMPUTED_VALUE"""),179.0)</f>
        <v>179</v>
      </c>
      <c r="L598" s="2" t="str">
        <f>IFERROR(__xludf.DUMMYFUNCTION("""COMPUTED_VALUE"""),"Упаковка")</f>
        <v>Упаковка</v>
      </c>
      <c r="M598" s="2" t="str">
        <f>IFERROR(__xludf.DUMMYFUNCTION("""COMPUTED_VALUE"""),"Прочие товары")</f>
        <v>Прочие товары</v>
      </c>
    </row>
    <row r="599">
      <c r="A599" s="5" t="str">
        <f>IFERROR(__xludf.DUMMYFUNCTION("""COMPUTED_VALUE"""),"4690612010632")</f>
        <v>4690612010632</v>
      </c>
      <c r="B599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9" s="2">
        <f>IFERROR(__xludf.DUMMYFUNCTION("""COMPUTED_VALUE"""),0.237)</f>
        <v>0.237</v>
      </c>
      <c r="D599" s="2">
        <f>IFERROR(__xludf.DUMMYFUNCTION("""COMPUTED_VALUE"""),0.00133)</f>
        <v>0.00133</v>
      </c>
      <c r="E599" s="2">
        <f>IFERROR(__xludf.DUMMYFUNCTION("""COMPUTED_VALUE"""),247.9)</f>
        <v>247.9</v>
      </c>
      <c r="F599" s="2">
        <f>IFERROR(__xludf.DUMMYFUNCTION("""COMPUTED_VALUE"""),243.0)</f>
        <v>243</v>
      </c>
      <c r="G599" s="2">
        <f>IFERROR(__xludf.DUMMYFUNCTION("""COMPUTED_VALUE"""),273.0)</f>
        <v>273</v>
      </c>
      <c r="H599" s="2">
        <f>IFERROR(__xludf.DUMMYFUNCTION("""COMPUTED_VALUE"""),317.0)</f>
        <v>317</v>
      </c>
      <c r="I599" s="2">
        <f>IFERROR(__xludf.DUMMYFUNCTION("""COMPUTED_VALUE"""),364.0)</f>
        <v>364</v>
      </c>
      <c r="J599" s="2">
        <f>IFERROR(__xludf.DUMMYFUNCTION("""COMPUTED_VALUE"""),182.0)</f>
        <v>182</v>
      </c>
      <c r="K599" s="2">
        <f>IFERROR(__xludf.DUMMYFUNCTION("""COMPUTED_VALUE"""),1.0)</f>
        <v>1</v>
      </c>
      <c r="L5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9" s="2" t="str">
        <f>IFERROR(__xludf.DUMMYFUNCTION("""COMPUTED_VALUE"""),"Точечные круглые Downlight, LED Светильники")</f>
        <v>Точечные круглые Downlight, LED Светильники</v>
      </c>
    </row>
    <row r="600">
      <c r="A600" s="5" t="str">
        <f>IFERROR(__xludf.DUMMYFUNCTION("""COMPUTED_VALUE"""),"4260652192782")</f>
        <v>4260652192782</v>
      </c>
      <c r="B600" s="5" t="str">
        <f>IFERROR(__xludf.DUMMYFUNCTION("""COMPUTED_VALUE"""),"WTL-SC/01W")</f>
        <v>WTL-SC/01W</v>
      </c>
      <c r="C600" s="2">
        <f>IFERROR(__xludf.DUMMYFUNCTION("""COMPUTED_VALUE"""),0.039)</f>
        <v>0.039</v>
      </c>
      <c r="D600" s="2">
        <f>IFERROR(__xludf.DUMMYFUNCTION("""COMPUTED_VALUE"""),6.000000000000001E-5)</f>
        <v>0.00006</v>
      </c>
      <c r="E600" s="2">
        <f>IFERROR(__xludf.DUMMYFUNCTION("""COMPUTED_VALUE"""),111.5)</f>
        <v>111.5</v>
      </c>
      <c r="F600" s="2">
        <f>IFERROR(__xludf.DUMMYFUNCTION("""COMPUTED_VALUE"""),125.0)</f>
        <v>125</v>
      </c>
      <c r="G600" s="2">
        <f>IFERROR(__xludf.DUMMYFUNCTION("""COMPUTED_VALUE"""),129.0)</f>
        <v>129</v>
      </c>
      <c r="H600" s="2">
        <f>IFERROR(__xludf.DUMMYFUNCTION("""COMPUTED_VALUE"""),169.0)</f>
        <v>169</v>
      </c>
      <c r="I600" s="2">
        <f>IFERROR(__xludf.DUMMYFUNCTION("""COMPUTED_VALUE"""),211.0)</f>
        <v>211</v>
      </c>
      <c r="J600" s="2">
        <f>IFERROR(__xludf.DUMMYFUNCTION("""COMPUTED_VALUE"""),106.0)</f>
        <v>106</v>
      </c>
      <c r="K600" s="2">
        <f>IFERROR(__xludf.DUMMYFUNCTION("""COMPUTED_VALUE"""),4.0)</f>
        <v>4</v>
      </c>
      <c r="L600" s="2" t="str">
        <f>IFERROR(__xludf.DUMMYFUNCTION("""COMPUTED_VALUE"""),"Wolta трековые")</f>
        <v>Wolta трековые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IFERROR(__xludf.DUMMYFUNCTION("""COMPUTED_VALUE"""),"4690612001791")</f>
        <v>4690612001791</v>
      </c>
      <c r="B601" s="5" t="str">
        <f>IFERROR(__xludf.DUMMYFUNCTION("""COMPUTED_VALUE"""),"LS50-RGB 20см шнур питания")</f>
        <v>LS50-RGB 20см шнур питания</v>
      </c>
      <c r="C601" s="2">
        <f>IFERROR(__xludf.DUMMYFUNCTION("""COMPUTED_VALUE"""),0.003)</f>
        <v>0.003</v>
      </c>
      <c r="D601" s="2">
        <f>IFERROR(__xludf.DUMMYFUNCTION("""COMPUTED_VALUE"""),1.0E-5)</f>
        <v>0.00001</v>
      </c>
      <c r="E601" s="2">
        <f>IFERROR(__xludf.DUMMYFUNCTION("""COMPUTED_VALUE"""),16.01)</f>
        <v>16.01</v>
      </c>
      <c r="F601" s="2">
        <f>IFERROR(__xludf.DUMMYFUNCTION("""COMPUTED_VALUE"""),17.0)</f>
        <v>17</v>
      </c>
      <c r="G601" s="2">
        <f>IFERROR(__xludf.DUMMYFUNCTION("""COMPUTED_VALUE"""),20.0)</f>
        <v>20</v>
      </c>
      <c r="H601" s="2">
        <f>IFERROR(__xludf.DUMMYFUNCTION("""COMPUTED_VALUE"""),23.0)</f>
        <v>23</v>
      </c>
      <c r="I601" s="2">
        <f>IFERROR(__xludf.DUMMYFUNCTION("""COMPUTED_VALUE"""),26.0)</f>
        <v>26</v>
      </c>
      <c r="J601" s="2">
        <f>IFERROR(__xludf.DUMMYFUNCTION("""COMPUTED_VALUE"""),13.0)</f>
        <v>13</v>
      </c>
      <c r="K601" s="2">
        <f>IFERROR(__xludf.DUMMYFUNCTION("""COMPUTED_VALUE"""),40.0)</f>
        <v>40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IFERROR(__xludf.DUMMYFUNCTION("""COMPUTED_VALUE"""),"4690612053066-2")</f>
        <v>4690612053066-2</v>
      </c>
      <c r="B60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2" s="2">
        <f>IFERROR(__xludf.DUMMYFUNCTION("""COMPUTED_VALUE"""),1.35)</f>
        <v>1.35</v>
      </c>
      <c r="D602" s="2">
        <f>IFERROR(__xludf.DUMMYFUNCTION("""COMPUTED_VALUE"""),0.0)</f>
        <v>0</v>
      </c>
      <c r="E602" s="2">
        <f>IFERROR(__xludf.DUMMYFUNCTION("""COMPUTED_VALUE"""),1417.23)</f>
        <v>1417.23</v>
      </c>
      <c r="F602" s="2">
        <f>IFERROR(__xludf.DUMMYFUNCTION("""COMPUTED_VALUE"""),1555.0)</f>
        <v>1555</v>
      </c>
      <c r="G602" s="2">
        <f>IFERROR(__xludf.DUMMYFUNCTION("""COMPUTED_VALUE"""),1814.0)</f>
        <v>1814</v>
      </c>
      <c r="H602" s="2">
        <f>IFERROR(__xludf.DUMMYFUNCTION("""COMPUTED_VALUE"""),2041.0)</f>
        <v>2041</v>
      </c>
      <c r="I602" s="2">
        <f>IFERROR(__xludf.DUMMYFUNCTION("""COMPUTED_VALUE"""),2268.0)</f>
        <v>2268</v>
      </c>
      <c r="J602" s="2">
        <f>IFERROR(__xludf.DUMMYFUNCTION("""COMPUTED_VALUE"""),1134.0)</f>
        <v>1134</v>
      </c>
      <c r="K602" s="2">
        <f>IFERROR(__xludf.DUMMYFUNCTION("""COMPUTED_VALUE"""),2.0)</f>
        <v>2</v>
      </c>
      <c r="L60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3">
      <c r="A603" s="5" t="str">
        <f>IFERROR(__xludf.DUMMYFUNCTION("""COMPUTED_VALUE"""),"4680005959815-5")</f>
        <v>4680005959815-5</v>
      </c>
      <c r="B60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3" s="2">
        <f>IFERROR(__xludf.DUMMYFUNCTION("""COMPUTED_VALUE"""),0.05)</f>
        <v>0.05</v>
      </c>
      <c r="D603" s="2">
        <f>IFERROR(__xludf.DUMMYFUNCTION("""COMPUTED_VALUE"""),3.0E-4)</f>
        <v>0.0003</v>
      </c>
      <c r="E603" s="2">
        <f>IFERROR(__xludf.DUMMYFUNCTION("""COMPUTED_VALUE"""),188.85)</f>
        <v>188.85</v>
      </c>
      <c r="F603" s="2">
        <f>IFERROR(__xludf.DUMMYFUNCTION("""COMPUTED_VALUE"""),207.0)</f>
        <v>207</v>
      </c>
      <c r="G603" s="2">
        <f>IFERROR(__xludf.DUMMYFUNCTION("""COMPUTED_VALUE"""),242.0)</f>
        <v>242</v>
      </c>
      <c r="H603" s="2">
        <f>IFERROR(__xludf.DUMMYFUNCTION("""COMPUTED_VALUE"""),272.0)</f>
        <v>272</v>
      </c>
      <c r="I603" s="2">
        <f>IFERROR(__xludf.DUMMYFUNCTION("""COMPUTED_VALUE"""),302.0)</f>
        <v>302</v>
      </c>
      <c r="J603" s="2">
        <f>IFERROR(__xludf.DUMMYFUNCTION("""COMPUTED_VALUE"""),151.0)</f>
        <v>151</v>
      </c>
      <c r="K603" s="2">
        <f>IFERROR(__xludf.DUMMYFUNCTION("""COMPUTED_VALUE"""),2.0)</f>
        <v>2</v>
      </c>
      <c r="L603" s="2" t="str">
        <f>IFERROR(__xludf.DUMMYFUNCTION("""COMPUTED_VALUE"""),"Розетки, вилки производство, упаковка")</f>
        <v>Розетки, вилки производство, упаковка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IFERROR(__xludf.DUMMYFUNCTION("""COMPUTED_VALUE"""),"GL8130")</f>
        <v>GL8130</v>
      </c>
      <c r="B604" s="5" t="str">
        <f>IFERROR(__xludf.DUMMYFUNCTION("""COMPUTED_VALUE"""),"GLERIO Office Casual 48 Вт 4000К 81P-48D-4V-M")</f>
        <v>GLERIO Office Casual 48 Вт 4000К 81P-48D-4V-M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IFERROR(__xludf.DUMMYFUNCTION("""COMPUTED_VALUE"""),2308.23)</f>
        <v>2308.23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IFERROR(__xludf.DUMMYFUNCTION("""COMPUTED_VALUE"""),4173.0)</f>
        <v>4173</v>
      </c>
      <c r="K604" s="2">
        <f>IFERROR(__xludf.DUMMYFUNCTION("""COMPUTED_VALUE"""),26.0)</f>
        <v>26</v>
      </c>
      <c r="L604" s="2" t="str">
        <f>IFERROR(__xludf.DUMMYFUNCTION("""COMPUTED_VALUE"""),"Office Casual (Офис) до 10.2025")</f>
        <v>Office Casual (Офис)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IFERROR(__xludf.DUMMYFUNCTION("""COMPUTED_VALUE"""),"4690612057293-1")</f>
        <v>4690612057293-1</v>
      </c>
      <c r="B605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IFERROR(__xludf.DUMMYFUNCTION("""COMPUTED_VALUE"""),853.4)</f>
        <v>853.4</v>
      </c>
      <c r="F605" s="2">
        <f>IFERROR(__xludf.DUMMYFUNCTION("""COMPUTED_VALUE"""),936.0)</f>
        <v>936</v>
      </c>
      <c r="G605" s="2">
        <f>IFERROR(__xludf.DUMMYFUNCTION("""COMPUTED_VALUE"""),1092.0)</f>
        <v>1092</v>
      </c>
      <c r="H605" s="2">
        <f>IFERROR(__xludf.DUMMYFUNCTION("""COMPUTED_VALUE"""),1229.0)</f>
        <v>1229</v>
      </c>
      <c r="I605" s="2">
        <f>IFERROR(__xludf.DUMMYFUNCTION("""COMPUTED_VALUE"""),1365.0)</f>
        <v>1365</v>
      </c>
      <c r="J605" s="2">
        <f>IFERROR(__xludf.DUMMYFUNCTION("""COMPUTED_VALUE"""),683.0)</f>
        <v>683</v>
      </c>
      <c r="K605" s="2">
        <f>IFERROR(__xludf.DUMMYFUNCTION("""COMPUTED_VALUE"""),22.0)</f>
        <v>22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5" t="str">
        <f>IFERROR(__xludf.DUMMYFUNCTION("""COMPUTED_VALUE"""),"GL8152")</f>
        <v>GL8152</v>
      </c>
      <c r="B606" s="5" t="str">
        <f>IFERROR(__xludf.DUMMYFUNCTION("""COMPUTED_VALUE"""),"GLERIO Office Special 48 Вт 4000К 82P-48D-4V-MP")</f>
        <v>GLERIO Office Special 48 Вт 4000К 82P-48D-4V-MP</v>
      </c>
      <c r="C606" s="2">
        <f>IFERROR(__xludf.DUMMYFUNCTION("""COMPUTED_VALUE"""),1.14)</f>
        <v>1.14</v>
      </c>
      <c r="D606" s="2">
        <f>IFERROR(__xludf.DUMMYFUNCTION("""COMPUTED_VALUE"""),0.008190000000000001)</f>
        <v>0.00819</v>
      </c>
      <c r="E606" s="2">
        <f>IFERROR(__xludf.DUMMYFUNCTION("""COMPUTED_VALUE"""),2325.27)</f>
        <v>2325.27</v>
      </c>
      <c r="F606" s="2">
        <f>IFERROR(__xludf.DUMMYFUNCTION("""COMPUTED_VALUE"""),2660.0)</f>
        <v>2660</v>
      </c>
      <c r="G606" s="2">
        <f>IFERROR(__xludf.DUMMYFUNCTION("""COMPUTED_VALUE"""),3349.0)</f>
        <v>3349</v>
      </c>
      <c r="H606" s="2">
        <f>IFERROR(__xludf.DUMMYFUNCTION("""COMPUTED_VALUE"""),3761.0)</f>
        <v>3761</v>
      </c>
      <c r="I606" s="2">
        <f>IFERROR(__xludf.DUMMYFUNCTION("""COMPUTED_VALUE"""),4173.0)</f>
        <v>4173</v>
      </c>
      <c r="J606" s="2">
        <f>IFERROR(__xludf.DUMMYFUNCTION("""COMPUTED_VALUE"""),2087.0)</f>
        <v>2087</v>
      </c>
      <c r="K606" s="2">
        <f>IFERROR(__xludf.DUMMYFUNCTION("""COMPUTED_VALUE"""),6.0)</f>
        <v>6</v>
      </c>
      <c r="L606" s="2" t="str">
        <f>IFERROR(__xludf.DUMMYFUNCTION("""COMPUTED_VALUE"""),"Office Special (Офис Премиум) до 10.2025")</f>
        <v>Office Special (Офис Премиум) до 10.2025</v>
      </c>
      <c r="M6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5" t="str">
        <f>IFERROR(__xludf.DUMMYFUNCTION("""COMPUTED_VALUE"""),"4690612024080")</f>
        <v>4690612024080</v>
      </c>
      <c r="B607" s="5" t="str">
        <f>IFERROR(__xludf.DUMMYFUNCTION("""COMPUTED_VALUE"""),"LED-A65-VC 25Вт 230В Е27 4000К 2380Лм IN HOME")</f>
        <v>LED-A65-VC 25Вт 230В Е27 4000К 2380Лм IN HOME</v>
      </c>
      <c r="C607" s="2">
        <f>IFERROR(__xludf.DUMMYFUNCTION("""COMPUTED_VALUE"""),0.08)</f>
        <v>0.08</v>
      </c>
      <c r="D607" s="2">
        <f>IFERROR(__xludf.DUMMYFUNCTION("""COMPUTED_VALUE"""),6.000000000000001E-4)</f>
        <v>0.0006</v>
      </c>
      <c r="E607" s="2">
        <f>IFERROR(__xludf.DUMMYFUNCTION("""COMPUTED_VALUE"""),69.60000000000001)</f>
        <v>69.6</v>
      </c>
      <c r="F607" s="2">
        <f>IFERROR(__xludf.DUMMYFUNCTION("""COMPUTED_VALUE"""),71.0)</f>
        <v>71</v>
      </c>
      <c r="G607" s="2">
        <f>IFERROR(__xludf.DUMMYFUNCTION("""COMPUTED_VALUE"""),80.0)</f>
        <v>80</v>
      </c>
      <c r="H607" s="2">
        <f>IFERROR(__xludf.DUMMYFUNCTION("""COMPUTED_VALUE"""),92.0)</f>
        <v>92</v>
      </c>
      <c r="I607" s="2">
        <f>IFERROR(__xludf.DUMMYFUNCTION("""COMPUTED_VALUE"""),106.5)</f>
        <v>106.5</v>
      </c>
      <c r="J607" s="2">
        <f>IFERROR(__xludf.DUMMYFUNCTION("""COMPUTED_VALUE"""),53.0)</f>
        <v>53</v>
      </c>
      <c r="K607" s="2">
        <f>IFERROR(__xludf.DUMMYFUNCTION("""COMPUTED_VALUE"""),9.0)</f>
        <v>9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IFERROR(__xludf.DUMMYFUNCTION("""COMPUTED_VALUE"""),"4690612000398-5")</f>
        <v>4690612000398-5</v>
      </c>
      <c r="B608" s="5" t="str">
        <f>IFERROR(__xludf.DUMMYFUNCTION("""COMPUTED_VALUE"""),"Розетка ТЛФ BOLLETO белая накл 7034 (5 штук)")</f>
        <v>Розетка ТЛФ BOLLETO белая накл 7034 (5 штук)</v>
      </c>
      <c r="C608" s="2">
        <f>IFERROR(__xludf.DUMMYFUNCTION("""COMPUTED_VALUE"""),0.04)</f>
        <v>0.04</v>
      </c>
      <c r="D608" s="2">
        <f>IFERROR(__xludf.DUMMYFUNCTION("""COMPUTED_VALUE"""),3.0E-4)</f>
        <v>0.0003</v>
      </c>
      <c r="E608" s="2">
        <f>IFERROR(__xludf.DUMMYFUNCTION("""COMPUTED_VALUE"""),198.6)</f>
        <v>198.6</v>
      </c>
      <c r="F608" s="2">
        <f>IFERROR(__xludf.DUMMYFUNCTION("""COMPUTED_VALUE"""),37.0)</f>
        <v>37</v>
      </c>
      <c r="G608" s="2">
        <f>IFERROR(__xludf.DUMMYFUNCTION("""COMPUTED_VALUE"""),42.0)</f>
        <v>42</v>
      </c>
      <c r="H608" s="2">
        <f>IFERROR(__xludf.DUMMYFUNCTION("""COMPUTED_VALUE"""),49.0)</f>
        <v>49</v>
      </c>
      <c r="I608" s="2">
        <f>IFERROR(__xludf.DUMMYFUNCTION("""COMPUTED_VALUE"""),56.0)</f>
        <v>56</v>
      </c>
      <c r="J608" s="2">
        <f>IFERROR(__xludf.DUMMYFUNCTION("""COMPUTED_VALUE"""),28.0)</f>
        <v>28</v>
      </c>
      <c r="K608" s="2">
        <f>IFERROR(__xludf.DUMMYFUNCTION("""COMPUTED_VALUE"""),3.0)</f>
        <v>3</v>
      </c>
      <c r="L608" s="2" t="str">
        <f>IFERROR(__xludf.DUMMYFUNCTION("""COMPUTED_VALUE"""),"ASD электромонтажные изделия")</f>
        <v>ASD электромонтажные изделия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IFERROR(__xludf.DUMMYFUNCTION("""COMPUTED_VALUE"""),"4260652193345")</f>
        <v>4260652193345</v>
      </c>
      <c r="B609" s="5" t="str">
        <f>IFERROR(__xludf.DUMMYFUNCTION("""COMPUTED_VALUE"""),"LCL04-12W-R21-4K-SM")</f>
        <v>LCL04-12W-R21-4K-SM</v>
      </c>
      <c r="C609" s="2">
        <f>IFERROR(__xludf.DUMMYFUNCTION("""COMPUTED_VALUE"""),0.11)</f>
        <v>0.11</v>
      </c>
      <c r="D609" s="2">
        <f>IFERROR(__xludf.DUMMYFUNCTION("""COMPUTED_VALUE"""),0.03696)</f>
        <v>0.03696</v>
      </c>
      <c r="E609" s="2">
        <f>IFERROR(__xludf.DUMMYFUNCTION("""COMPUTED_VALUE"""),279.7)</f>
        <v>279.7</v>
      </c>
      <c r="F609" s="2">
        <f>IFERROR(__xludf.DUMMYFUNCTION("""COMPUTED_VALUE"""),465.0)</f>
        <v>465</v>
      </c>
      <c r="G609" s="2">
        <f>IFERROR(__xludf.DUMMYFUNCTION("""COMPUTED_VALUE"""),481.0)</f>
        <v>481</v>
      </c>
      <c r="H609" s="2">
        <f>IFERROR(__xludf.DUMMYFUNCTION("""COMPUTED_VALUE"""),630.0)</f>
        <v>630</v>
      </c>
      <c r="I609" s="2">
        <f>IFERROR(__xludf.DUMMYFUNCTION("""COMPUTED_VALUE"""),788.0)</f>
        <v>788</v>
      </c>
      <c r="J609" s="2">
        <f>IFERROR(__xludf.DUMMYFUNCTION("""COMPUTED_VALUE"""),788.0)</f>
        <v>788</v>
      </c>
      <c r="K609" s="2">
        <f>IFERROR(__xludf.DUMMYFUNCTION("""COMPUTED_VALUE"""),12.0)</f>
        <v>12</v>
      </c>
      <c r="L609" s="2" t="str">
        <f>IFERROR(__xludf.DUMMYFUNCTION("""COMPUTED_VALUE"""),"Wolta ЖКХ")</f>
        <v>Wolta ЖКХ</v>
      </c>
      <c r="M609" s="2" t="str">
        <f>IFERROR(__xludf.DUMMYFUNCTION("""COMPUTED_VALUE"""),"Для ЖКХ, дома, дачи, LED Светильники")</f>
        <v>Для ЖКХ, дома, дачи, LED Светильники</v>
      </c>
    </row>
    <row r="610">
      <c r="A610" s="5" t="str">
        <f>IFERROR(__xludf.DUMMYFUNCTION("""COMPUTED_VALUE"""),"GL8262")</f>
        <v>GL8262</v>
      </c>
      <c r="B610" s="5" t="str">
        <f>IFERROR(__xludf.DUMMYFUNCTION("""COMPUTED_VALUE"""),"GLERIO Line Free 24 Вт 4000К 93P-24D-4P-MP")</f>
        <v>GLERIO Line Free 24 Вт 4000К 93P-24D-4P-MP</v>
      </c>
      <c r="C610" s="2">
        <f>IFERROR(__xludf.DUMMYFUNCTION("""COMPUTED_VALUE"""),0.5)</f>
        <v>0.5</v>
      </c>
      <c r="D610" s="2">
        <f>IFERROR(__xludf.DUMMYFUNCTION("""COMPUTED_VALUE"""),0.00396)</f>
        <v>0.00396</v>
      </c>
      <c r="E610" s="2">
        <f>IFERROR(__xludf.DUMMYFUNCTION("""COMPUTED_VALUE"""),1291.56)</f>
        <v>1291.56</v>
      </c>
      <c r="F610" s="2">
        <f>IFERROR(__xludf.DUMMYFUNCTION("""COMPUTED_VALUE"""),1520.0)</f>
        <v>1520</v>
      </c>
      <c r="G610" s="2">
        <f>IFERROR(__xludf.DUMMYFUNCTION("""COMPUTED_VALUE"""),1914.0)</f>
        <v>1914</v>
      </c>
      <c r="H610" s="2">
        <f>IFERROR(__xludf.DUMMYFUNCTION("""COMPUTED_VALUE"""),2149.0)</f>
        <v>2149</v>
      </c>
      <c r="I610" s="2">
        <f>IFERROR(__xludf.DUMMYFUNCTION("""COMPUTED_VALUE"""),2385.0)</f>
        <v>2385</v>
      </c>
      <c r="J610" s="2">
        <f>IFERROR(__xludf.DUMMYFUNCTION("""COMPUTED_VALUE"""),1193.0)</f>
        <v>1193</v>
      </c>
      <c r="K610" s="2">
        <f>IFERROR(__xludf.DUMMYFUNCTION("""COMPUTED_VALUE"""),2.0)</f>
        <v>2</v>
      </c>
      <c r="L610" s="2" t="str">
        <f>IFERROR(__xludf.DUMMYFUNCTION("""COMPUTED_VALUE"""),"Line Shell, Free (Retail) до 10.2025")</f>
        <v>Line Shell, Free (Retail) до 10.2025</v>
      </c>
      <c r="M610" s="2" t="str">
        <f>IFERROR(__xludf.DUMMYFUNCTION("""COMPUTED_VALUE"""),"Пластиковые (линейные), LED Светильники")</f>
        <v>Пластиковые (линейные), LED Светильники</v>
      </c>
    </row>
    <row r="611">
      <c r="A611" s="5" t="str">
        <f>IFERROR(__xludf.DUMMYFUNCTION("""COMPUTED_VALUE"""),"4690612029863")</f>
        <v>4690612029863</v>
      </c>
      <c r="B611" s="5" t="str">
        <f>IFERROR(__xludf.DUMMYFUNCTION("""COMPUTED_VALUE"""),"LPU-01 40Вт ОПАЛ 230В 4000K 3600Лм 180x1195x30мм IP40 IN HOME")</f>
        <v>LPU-01 40Вт ОПАЛ 230В 4000K 3600Лм 180x1195x30мм IP40 IN HOME</v>
      </c>
      <c r="C611" s="2">
        <f>IFERROR(__xludf.DUMMYFUNCTION("""COMPUTED_VALUE"""),1.2)</f>
        <v>1.2</v>
      </c>
      <c r="D611" s="2">
        <f>IFERROR(__xludf.DUMMYFUNCTION("""COMPUTED_VALUE"""),0.008)</f>
        <v>0.008</v>
      </c>
      <c r="E611" s="2">
        <f>IFERROR(__xludf.DUMMYFUNCTION("""COMPUTED_VALUE"""),618.19)</f>
        <v>618.19</v>
      </c>
      <c r="F611" s="2">
        <f>IFERROR(__xludf.DUMMYFUNCTION("""COMPUTED_VALUE"""),617.0)</f>
        <v>617</v>
      </c>
      <c r="G611" s="2">
        <f>IFERROR(__xludf.DUMMYFUNCTION("""COMPUTED_VALUE"""),694.0)</f>
        <v>694</v>
      </c>
      <c r="H611" s="2">
        <f>IFERROR(__xludf.DUMMYFUNCTION("""COMPUTED_VALUE"""),805.0)</f>
        <v>805</v>
      </c>
      <c r="I611" s="2">
        <f>IFERROR(__xludf.DUMMYFUNCTION("""COMPUTED_VALUE"""),925.0)</f>
        <v>925</v>
      </c>
      <c r="J611" s="2">
        <f>IFERROR(__xludf.DUMMYFUNCTION("""COMPUTED_VALUE"""),694.0)</f>
        <v>694</v>
      </c>
      <c r="K611" s="2">
        <f>IFERROR(__xludf.DUMMYFUNCTION("""COMPUTED_VALUE"""),5.0)</f>
        <v>5</v>
      </c>
      <c r="L611" s="2" t="str">
        <f>IFERROR(__xludf.DUMMYFUNCTION("""COMPUTED_VALUE"""),"Панели светодиодные LP серии ОПАЛ")</f>
        <v>Панели светодиодные LP серии ОПАЛ</v>
      </c>
      <c r="M6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5" t="str">
        <f>IFERROR(__xludf.DUMMYFUNCTION("""COMPUTED_VALUE"""),"4690612040165")</f>
        <v>4690612040165</v>
      </c>
      <c r="B612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2" s="2">
        <f>IFERROR(__xludf.DUMMYFUNCTION("""COMPUTED_VALUE"""),0.315)</f>
        <v>0.315</v>
      </c>
      <c r="D612" s="2">
        <f>IFERROR(__xludf.DUMMYFUNCTION("""COMPUTED_VALUE"""),0.001)</f>
        <v>0.001</v>
      </c>
      <c r="E612" s="2">
        <f>IFERROR(__xludf.DUMMYFUNCTION("""COMPUTED_VALUE"""),526.65)</f>
        <v>526.65</v>
      </c>
      <c r="F612" s="2">
        <f>IFERROR(__xludf.DUMMYFUNCTION("""COMPUTED_VALUE"""),595.0)</f>
        <v>595</v>
      </c>
      <c r="G612" s="2">
        <f>IFERROR(__xludf.DUMMYFUNCTION("""COMPUTED_VALUE"""),670.0)</f>
        <v>670</v>
      </c>
      <c r="H612" s="2">
        <f>IFERROR(__xludf.DUMMYFUNCTION("""COMPUTED_VALUE"""),777.0)</f>
        <v>777</v>
      </c>
      <c r="I612" s="2">
        <f>IFERROR(__xludf.DUMMYFUNCTION("""COMPUTED_VALUE"""),893.0)</f>
        <v>893</v>
      </c>
      <c r="J612" s="2">
        <f>IFERROR(__xludf.DUMMYFUNCTION("""COMPUTED_VALUE"""),447.0)</f>
        <v>447</v>
      </c>
      <c r="K612" s="2">
        <f>IFERROR(__xludf.DUMMYFUNCTION("""COMPUTED_VALUE"""),8.0)</f>
        <v>8</v>
      </c>
      <c r="L6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IFERROR(__xludf.DUMMYFUNCTION("""COMPUTED_VALUE"""),"4262356474683")</f>
        <v>4262356474683</v>
      </c>
      <c r="B613" s="5" t="str">
        <f>IFERROR(__xludf.DUMMYFUNCTION("""COMPUTED_VALUE"""),"WFL-20W/07")</f>
        <v>WFL-20W/07</v>
      </c>
      <c r="C613" s="2">
        <f>IFERROR(__xludf.DUMMYFUNCTION("""COMPUTED_VALUE"""),0.225)</f>
        <v>0.225</v>
      </c>
      <c r="D613" s="2">
        <f>IFERROR(__xludf.DUMMYFUNCTION("""COMPUTED_VALUE"""),0.013)</f>
        <v>0.013</v>
      </c>
      <c r="E613" s="2">
        <f>IFERROR(__xludf.DUMMYFUNCTION("""COMPUTED_VALUE"""),276.94)</f>
        <v>276.94</v>
      </c>
      <c r="F613" s="2">
        <f>IFERROR(__xludf.DUMMYFUNCTION("""COMPUTED_VALUE"""),186.0)</f>
        <v>186</v>
      </c>
      <c r="G613" s="2">
        <f>IFERROR(__xludf.DUMMYFUNCTION("""COMPUTED_VALUE"""),192.0)</f>
        <v>192</v>
      </c>
      <c r="H613" s="2">
        <f>IFERROR(__xludf.DUMMYFUNCTION("""COMPUTED_VALUE"""),252.0)</f>
        <v>252</v>
      </c>
      <c r="I613" s="2">
        <f>IFERROR(__xludf.DUMMYFUNCTION("""COMPUTED_VALUE"""),315.0)</f>
        <v>315</v>
      </c>
      <c r="J613" s="2">
        <f>IFERROR(__xludf.DUMMYFUNCTION("""COMPUTED_VALUE"""),158.0)</f>
        <v>158</v>
      </c>
      <c r="K613" s="2">
        <f>IFERROR(__xludf.DUMMYFUNCTION("""COMPUTED_VALUE"""),46.0)</f>
        <v>46</v>
      </c>
      <c r="L613" s="2" t="str">
        <f>IFERROR(__xludf.DUMMYFUNCTION("""COMPUTED_VALUE"""),"Wolta прожекторы")</f>
        <v>Wolta прожекторы</v>
      </c>
      <c r="M613" s="2" t="str">
        <f>IFERROR(__xludf.DUMMYFUNCTION("""COMPUTED_VALUE"""),"Прожекторы (LED), LED Светильники")</f>
        <v>Прожекторы (LED), LED Светильники</v>
      </c>
    </row>
    <row r="614">
      <c r="A614" s="5" t="str">
        <f>IFERROR(__xludf.DUMMYFUNCTION("""COMPUTED_VALUE"""),"GL8432")</f>
        <v>GL8432</v>
      </c>
      <c r="B614" s="5" t="str">
        <f>IFERROR(__xludf.DUMMYFUNCTION("""COMPUTED_VALUE"""),"GLERIO Indoor 8 Вт 4000К 10P-8D-4N-MP-PS")</f>
        <v>GLERIO Indoor 8 Вт 4000К 10P-8D-4N-MP-PS</v>
      </c>
      <c r="C614" s="2">
        <f>IFERROR(__xludf.DUMMYFUNCTION("""COMPUTED_VALUE"""),0.15)</f>
        <v>0.15</v>
      </c>
      <c r="D614" s="2">
        <f>IFERROR(__xludf.DUMMYFUNCTION("""COMPUTED_VALUE"""),6.600000000000001E-4)</f>
        <v>0.00066</v>
      </c>
      <c r="E614" s="2">
        <f>IFERROR(__xludf.DUMMYFUNCTION("""COMPUTED_VALUE"""),382.44)</f>
        <v>382.44</v>
      </c>
      <c r="F614" s="2">
        <f>IFERROR(__xludf.DUMMYFUNCTION("""COMPUTED_VALUE"""),540.0)</f>
        <v>540</v>
      </c>
      <c r="G614" s="2">
        <f>IFERROR(__xludf.DUMMYFUNCTION("""COMPUTED_VALUE"""),680.0)</f>
        <v>680</v>
      </c>
      <c r="H614" s="2">
        <f>IFERROR(__xludf.DUMMYFUNCTION("""COMPUTED_VALUE"""),764.0)</f>
        <v>764</v>
      </c>
      <c r="I614" s="2">
        <f>IFERROR(__xludf.DUMMYFUNCTION("""COMPUTED_VALUE"""),847.0)</f>
        <v>847</v>
      </c>
      <c r="J614" s="2">
        <f>IFERROR(__xludf.DUMMYFUNCTION("""COMPUTED_VALUE"""),424.0)</f>
        <v>424</v>
      </c>
      <c r="K614" s="2">
        <f>IFERROR(__xludf.DUMMYFUNCTION("""COMPUTED_VALUE"""),35.0)</f>
        <v>35</v>
      </c>
      <c r="L614" s="2" t="str">
        <f>IFERROR(__xludf.DUMMYFUNCTION("""COMPUTED_VALUE"""),"Indoor GLERIO (ЖКХ) до 10.2025")</f>
        <v>Indoor GLERIO (ЖКХ) до 10.2025</v>
      </c>
      <c r="M614" s="2" t="str">
        <f>IFERROR(__xludf.DUMMYFUNCTION("""COMPUTED_VALUE"""),"Без датчиков, LED Светильники")</f>
        <v>Без датчиков, LED Светильники</v>
      </c>
    </row>
    <row r="615">
      <c r="A615" s="5" t="str">
        <f>IFERROR(__xludf.DUMMYFUNCTION("""COMPUTED_VALUE"""),"51-0527-2")</f>
        <v>51-0527-2</v>
      </c>
      <c r="B615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IFERROR(__xludf.DUMMYFUNCTION("""COMPUTED_VALUE"""),1.0)</f>
        <v>1</v>
      </c>
      <c r="F615" s="2">
        <f>IFERROR(__xludf.DUMMYFUNCTION("""COMPUTED_VALUE"""),17658.0)</f>
        <v>17658</v>
      </c>
      <c r="G615" s="2">
        <f>IFERROR(__xludf.DUMMYFUNCTION("""COMPUTED_VALUE"""),18836.0)</f>
        <v>18836</v>
      </c>
      <c r="H615" s="2">
        <f>IFERROR(__xludf.DUMMYFUNCTION("""COMPUTED_VALUE"""),21190.0)</f>
        <v>21190</v>
      </c>
      <c r="I615" s="2">
        <f>IFERROR(__xludf.DUMMYFUNCTION("""COMPUTED_VALUE"""),23544.5)</f>
        <v>23544.5</v>
      </c>
      <c r="J615" s="2">
        <f>IFERROR(__xludf.DUMMYFUNCTION("""COMPUTED_VALUE"""),11772.0)</f>
        <v>11772</v>
      </c>
      <c r="K615" s="2">
        <f>IFERROR(__xludf.DUMMYFUNCTION("""COMPUTED_VALUE"""),1.0)</f>
        <v>1</v>
      </c>
      <c r="L615" s="2" t="str">
        <f>IFERROR(__xludf.DUMMYFUNCTION("""COMPUTED_VALUE"""),"Rexant")</f>
        <v>Rexant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IFERROR(__xludf.DUMMYFUNCTION("""COMPUTED_VALUE"""),"4690612019857")</f>
        <v>4690612019857</v>
      </c>
      <c r="B616" s="5" t="str">
        <f>IFERROR(__xludf.DUMMYFUNCTION("""COMPUTED_VALUE"""),"LED-JCD-VC 3Вт 230В G9 3000К 270Лм IN HOME")</f>
        <v>LED-JCD-VC 3Вт 230В G9 3000К 270Лм IN HOME</v>
      </c>
      <c r="C616" s="2">
        <f>IFERROR(__xludf.DUMMYFUNCTION("""COMPUTED_VALUE"""),0.015)</f>
        <v>0.015</v>
      </c>
      <c r="D616" s="2">
        <f>IFERROR(__xludf.DUMMYFUNCTION("""COMPUTED_VALUE"""),4.0E-5)</f>
        <v>0.00004</v>
      </c>
      <c r="E616" s="2">
        <f>IFERROR(__xludf.DUMMYFUNCTION("""COMPUTED_VALUE"""),38.03)</f>
        <v>38.03</v>
      </c>
      <c r="F616" s="2">
        <f>IFERROR(__xludf.DUMMYFUNCTION("""COMPUTED_VALUE"""),42.0)</f>
        <v>42</v>
      </c>
      <c r="G616" s="2">
        <f>IFERROR(__xludf.DUMMYFUNCTION("""COMPUTED_VALUE"""),47.0)</f>
        <v>47</v>
      </c>
      <c r="H616" s="2">
        <f>IFERROR(__xludf.DUMMYFUNCTION("""COMPUTED_VALUE"""),55.0)</f>
        <v>55</v>
      </c>
      <c r="I616" s="2">
        <f>IFERROR(__xludf.DUMMYFUNCTION("""COMPUTED_VALUE"""),63.5)</f>
        <v>63.5</v>
      </c>
      <c r="J616" s="2">
        <f>IFERROR(__xludf.DUMMYFUNCTION("""COMPUTED_VALUE"""),32.0)</f>
        <v>32</v>
      </c>
      <c r="K616" s="2">
        <f>IFERROR(__xludf.DUMMYFUNCTION("""COMPUTED_VALUE"""),13.0)</f>
        <v>13</v>
      </c>
      <c r="L616" s="2" t="str">
        <f>IFERROR(__xludf.DUMMYFUNCTION("""COMPUTED_VALUE"""),"Лампа светодиодная LED-JCD-standard")</f>
        <v>Лампа светодиодная LED-JCD-standard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IFERROR(__xludf.DUMMYFUNCTION("""COMPUTED_VALUE"""),"4690612020822")</f>
        <v>4690612020822</v>
      </c>
      <c r="B617" s="5" t="str">
        <f>IFERROR(__xludf.DUMMYFUNCTION("""COMPUTED_VALUE"""),"LED-GX53-VC 15Вт 230В 4000К 1430Лм IN HOME")</f>
        <v>LED-GX53-VC 15Вт 230В 4000К 1430Лм IN HOME</v>
      </c>
      <c r="C617" s="2">
        <f>IFERROR(__xludf.DUMMYFUNCTION("""COMPUTED_VALUE"""),0.051)</f>
        <v>0.051</v>
      </c>
      <c r="D617" s="2">
        <f>IFERROR(__xludf.DUMMYFUNCTION("""COMPUTED_VALUE"""),2.1E-4)</f>
        <v>0.00021</v>
      </c>
      <c r="E617" s="2">
        <f>IFERROR(__xludf.DUMMYFUNCTION("""COMPUTED_VALUE"""),53.4)</f>
        <v>53.4</v>
      </c>
      <c r="F617" s="2">
        <f>IFERROR(__xludf.DUMMYFUNCTION("""COMPUTED_VALUE"""),57.0)</f>
        <v>57</v>
      </c>
      <c r="G617" s="2">
        <f>IFERROR(__xludf.DUMMYFUNCTION("""COMPUTED_VALUE"""),64.0)</f>
        <v>64</v>
      </c>
      <c r="H617" s="2">
        <f>IFERROR(__xludf.DUMMYFUNCTION("""COMPUTED_VALUE"""),74.0)</f>
        <v>74</v>
      </c>
      <c r="I617" s="2">
        <f>IFERROR(__xludf.DUMMYFUNCTION("""COMPUTED_VALUE"""),85.55)</f>
        <v>85.55</v>
      </c>
      <c r="J617" s="2">
        <f>IFERROR(__xludf.DUMMYFUNCTION("""COMPUTED_VALUE"""),43.0)</f>
        <v>43</v>
      </c>
      <c r="K617" s="2">
        <f>IFERROR(__xludf.DUMMYFUNCTION("""COMPUTED_VALUE"""),5.0)</f>
        <v>5</v>
      </c>
      <c r="L617" s="2" t="str">
        <f>IFERROR(__xludf.DUMMYFUNCTION("""COMPUTED_VALUE"""),"Лампа светодиодная LED-GX53-standard")</f>
        <v>Лампа светодиодная LED-GX53-standard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IFERROR(__xludf.DUMMYFUNCTION("""COMPUTED_VALUE"""),"4690612020457")</f>
        <v>4690612020457</v>
      </c>
      <c r="B618" s="5" t="str">
        <f>IFERROR(__xludf.DUMMYFUNCTION("""COMPUTED_VALUE"""),"LED-СВЕЧА-VC 8Вт 230В Е27 4000К 760Лм IN HOME")</f>
        <v>LED-СВЕЧА-VC 8Вт 230В Е27 4000К 760Лм IN HOME</v>
      </c>
      <c r="C618" s="2">
        <f>IFERROR(__xludf.DUMMYFUNCTION("""COMPUTED_VALUE"""),0.028)</f>
        <v>0.028</v>
      </c>
      <c r="D618" s="2">
        <f>IFERROR(__xludf.DUMMYFUNCTION("""COMPUTED_VALUE"""),1.9E-4)</f>
        <v>0.00019</v>
      </c>
      <c r="E618" s="2">
        <f>IFERROR(__xludf.DUMMYFUNCTION("""COMPUTED_VALUE"""),39.0)</f>
        <v>39</v>
      </c>
      <c r="F618" s="2">
        <f>IFERROR(__xludf.DUMMYFUNCTION("""COMPUTED_VALUE"""),45.0)</f>
        <v>45</v>
      </c>
      <c r="G618" s="2">
        <f>IFERROR(__xludf.DUMMYFUNCTION("""COMPUTED_VALUE"""),50.0)</f>
        <v>50</v>
      </c>
      <c r="H618" s="2">
        <f>IFERROR(__xludf.DUMMYFUNCTION("""COMPUTED_VALUE"""),58.0)</f>
        <v>58</v>
      </c>
      <c r="I618" s="2">
        <f>IFERROR(__xludf.DUMMYFUNCTION("""COMPUTED_VALUE"""),67.6)</f>
        <v>67.6</v>
      </c>
      <c r="J618" s="2">
        <f>IFERROR(__xludf.DUMMYFUNCTION("""COMPUTED_VALUE"""),34.0)</f>
        <v>34</v>
      </c>
      <c r="K618" s="2">
        <f>IFERROR(__xludf.DUMMYFUNCTION("""COMPUTED_VALUE"""),12.0)</f>
        <v>12</v>
      </c>
      <c r="L618" s="2" t="str">
        <f>IFERROR(__xludf.DUMMYFUNCTION("""COMPUTED_VALUE"""),"Лампа светодиодная LED-СВЕЧА-standard")</f>
        <v>Лампа светодиодная LED-СВЕЧА-standard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IFERROR(__xludf.DUMMYFUNCTION("""COMPUTED_VALUE"""),"4690612020204")</f>
        <v>4690612020204</v>
      </c>
      <c r="B619" s="5" t="str">
        <f>IFERROR(__xludf.DUMMYFUNCTION("""COMPUTED_VALUE"""),"LED-A60-VC 10Вт 230В Е27 3000К 950Лм IN HOME")</f>
        <v>LED-A60-VC 10Вт 230В Е27 3000К 950Лм IN HOME</v>
      </c>
      <c r="C619" s="2">
        <f>IFERROR(__xludf.DUMMYFUNCTION("""COMPUTED_VALUE"""),0.04600000000000001)</f>
        <v>0.046</v>
      </c>
      <c r="D619" s="2">
        <f>IFERROR(__xludf.DUMMYFUNCTION("""COMPUTED_VALUE"""),4.0E-4)</f>
        <v>0.0004</v>
      </c>
      <c r="E619" s="2">
        <f>IFERROR(__xludf.DUMMYFUNCTION("""COMPUTED_VALUE"""),39.47)</f>
        <v>39.47</v>
      </c>
      <c r="F619" s="2">
        <f>IFERROR(__xludf.DUMMYFUNCTION("""COMPUTED_VALUE"""),41.0)</f>
        <v>41</v>
      </c>
      <c r="G619" s="2">
        <f>IFERROR(__xludf.DUMMYFUNCTION("""COMPUTED_VALUE"""),46.0)</f>
        <v>46</v>
      </c>
      <c r="H619" s="2">
        <f>IFERROR(__xludf.DUMMYFUNCTION("""COMPUTED_VALUE"""),53.0)</f>
        <v>53</v>
      </c>
      <c r="I619" s="2">
        <f>IFERROR(__xludf.DUMMYFUNCTION("""COMPUTED_VALUE"""),61.5)</f>
        <v>61.5</v>
      </c>
      <c r="J619" s="2">
        <f>IFERROR(__xludf.DUMMYFUNCTION("""COMPUTED_VALUE"""),31.0)</f>
        <v>31</v>
      </c>
      <c r="K619" s="2">
        <f>IFERROR(__xludf.DUMMYFUNCTION("""COMPUTED_VALUE"""),1.0)</f>
        <v>1</v>
      </c>
      <c r="L619" s="2" t="str">
        <f>IFERROR(__xludf.DUMMYFUNCTION("""COMPUTED_VALUE"""),"Лампа светодиодная LED-A60-standard")</f>
        <v>Лампа светодиодная LED-A60-standard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IFERROR(__xludf.DUMMYFUNCTION("""COMPUTED_VALUE"""),"4690612020808")</f>
        <v>4690612020808</v>
      </c>
      <c r="B620" s="5" t="str">
        <f>IFERROR(__xludf.DUMMYFUNCTION("""COMPUTED_VALUE"""),"LED-GX53-VC 12Вт 230В 6500К 1140Лм IN HOME")</f>
        <v>LED-GX53-VC 12Вт 230В 6500К 1140Лм IN HOME</v>
      </c>
      <c r="C620" s="2">
        <f>IFERROR(__xludf.DUMMYFUNCTION("""COMPUTED_VALUE"""),0.03800000000000001)</f>
        <v>0.038</v>
      </c>
      <c r="D620" s="2">
        <f>IFERROR(__xludf.DUMMYFUNCTION("""COMPUTED_VALUE"""),2.1E-4)</f>
        <v>0.00021</v>
      </c>
      <c r="E620" s="2">
        <f>IFERROR(__xludf.DUMMYFUNCTION("""COMPUTED_VALUE"""),45.0)</f>
        <v>45</v>
      </c>
      <c r="F620" s="2">
        <f>IFERROR(__xludf.DUMMYFUNCTION("""COMPUTED_VALUE"""),48.0)</f>
        <v>48</v>
      </c>
      <c r="G620" s="2">
        <f>IFERROR(__xludf.DUMMYFUNCTION("""COMPUTED_VALUE"""),54.0)</f>
        <v>54</v>
      </c>
      <c r="H620" s="2">
        <f>IFERROR(__xludf.DUMMYFUNCTION("""COMPUTED_VALUE"""),62.0)</f>
        <v>62</v>
      </c>
      <c r="I620" s="2">
        <f>IFERROR(__xludf.DUMMYFUNCTION("""COMPUTED_VALUE"""),71.9)</f>
        <v>71.9</v>
      </c>
      <c r="J620" s="2">
        <f>IFERROR(__xludf.DUMMYFUNCTION("""COMPUTED_VALUE"""),36.0)</f>
        <v>36</v>
      </c>
      <c r="K620" s="2">
        <f>IFERROR(__xludf.DUMMYFUNCTION("""COMPUTED_VALUE"""),40.0)</f>
        <v>40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IFERROR(__xludf.DUMMYFUNCTION("""COMPUTED_VALUE"""),"12-0126")</f>
        <v>12-0126</v>
      </c>
      <c r="B621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IFERROR(__xludf.DUMMYFUNCTION("""COMPUTED_VALUE"""),1.0)</f>
        <v>1</v>
      </c>
      <c r="F621" s="2">
        <f>IFERROR(__xludf.DUMMYFUNCTION("""COMPUTED_VALUE"""),788.0)</f>
        <v>788</v>
      </c>
      <c r="G621" s="2">
        <f>IFERROR(__xludf.DUMMYFUNCTION("""COMPUTED_VALUE"""),841.0)</f>
        <v>841</v>
      </c>
      <c r="H621" s="2">
        <f>IFERROR(__xludf.DUMMYFUNCTION("""COMPUTED_VALUE"""),946.0)</f>
        <v>946</v>
      </c>
      <c r="I621" s="2">
        <f>IFERROR(__xludf.DUMMYFUNCTION("""COMPUTED_VALUE"""),1050.86)</f>
        <v>1050.86</v>
      </c>
      <c r="J621" s="2">
        <f>IFERROR(__xludf.DUMMYFUNCTION("""COMPUTED_VALUE"""),525.0)</f>
        <v>525</v>
      </c>
      <c r="K621" s="2">
        <f>IFERROR(__xludf.DUMMYFUNCTION("""COMPUTED_VALUE"""),5.0)</f>
        <v>5</v>
      </c>
      <c r="L621" s="2" t="str">
        <f>IFERROR(__xludf.DUMMYFUNCTION("""COMPUTED_VALUE"""),"Rexant")</f>
        <v>Rexant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IFERROR(__xludf.DUMMYFUNCTION("""COMPUTED_VALUE"""),"55082")</f>
        <v>55082</v>
      </c>
      <c r="B622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IFERROR(__xludf.DUMMYFUNCTION("""COMPUTED_VALUE"""),810.45)</f>
        <v>810.45</v>
      </c>
      <c r="F622" s="2">
        <f>IFERROR(__xludf.DUMMYFUNCTION("""COMPUTED_VALUE"""),899.0)</f>
        <v>899</v>
      </c>
      <c r="G622" s="2">
        <f>IFERROR(__xludf.DUMMYFUNCTION("""COMPUTED_VALUE"""),981.0)</f>
        <v>981</v>
      </c>
      <c r="H622" s="2">
        <f>IFERROR(__xludf.DUMMYFUNCTION("""COMPUTED_VALUE"""),1062.0)</f>
        <v>1062</v>
      </c>
      <c r="I622" s="2">
        <f>IFERROR(__xludf.DUMMYFUNCTION("""COMPUTED_VALUE"""),1144.0)</f>
        <v>1144</v>
      </c>
      <c r="J622" s="2">
        <f>IFERROR(__xludf.DUMMYFUNCTION("""COMPUTED_VALUE"""),572.0)</f>
        <v>572</v>
      </c>
      <c r="K622" s="2">
        <f>IFERROR(__xludf.DUMMYFUNCTION("""COMPUTED_VALUE"""),22.0)</f>
        <v>22</v>
      </c>
      <c r="L622" s="2" t="str">
        <f>IFERROR(__xludf.DUMMYFUNCTION("""COMPUTED_VALUE"""),"Праздничная иллюминация")</f>
        <v>Праздничная иллюминация</v>
      </c>
      <c r="M6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3">
      <c r="A623" s="5" t="str">
        <f>IFERROR(__xludf.DUMMYFUNCTION("""COMPUTED_VALUE"""),"R100344-1")</f>
        <v>R100344-1</v>
      </c>
      <c r="B623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3" s="2">
        <f>IFERROR(__xludf.DUMMYFUNCTION("""COMPUTED_VALUE"""),0.0)</f>
        <v>0</v>
      </c>
      <c r="D623" s="2">
        <f>IFERROR(__xludf.DUMMYFUNCTION("""COMPUTED_VALUE"""),0.00293)</f>
        <v>0.00293</v>
      </c>
      <c r="E623" s="2">
        <f>IFERROR(__xludf.DUMMYFUNCTION("""COMPUTED_VALUE"""),287.57)</f>
        <v>287.57</v>
      </c>
      <c r="F623" s="2">
        <f>IFERROR(__xludf.DUMMYFUNCTION("""COMPUTED_VALUE"""),345.0)</f>
        <v>345</v>
      </c>
      <c r="G623" s="2">
        <f>IFERROR(__xludf.DUMMYFUNCTION("""COMPUTED_VALUE"""),368.0)</f>
        <v>368</v>
      </c>
      <c r="H623" s="2">
        <f>IFERROR(__xludf.DUMMYFUNCTION("""COMPUTED_VALUE"""),414.0)</f>
        <v>414</v>
      </c>
      <c r="I623" s="2">
        <f>IFERROR(__xludf.DUMMYFUNCTION("""COMPUTED_VALUE"""),460.0)</f>
        <v>460</v>
      </c>
      <c r="J623" s="2">
        <f>IFERROR(__xludf.DUMMYFUNCTION("""COMPUTED_VALUE"""),230.0)</f>
        <v>230</v>
      </c>
      <c r="K623" s="2">
        <f>IFERROR(__xludf.DUMMYFUNCTION("""COMPUTED_VALUE"""),16.0)</f>
        <v>16</v>
      </c>
      <c r="L62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4">
      <c r="A624" s="5" t="str">
        <f>IFERROR(__xludf.DUMMYFUNCTION("""COMPUTED_VALUE"""),"ves003")</f>
        <v>ves003</v>
      </c>
      <c r="B624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IFERROR(__xludf.DUMMYFUNCTION("""COMPUTED_VALUE"""),709.7)</f>
        <v>709.7</v>
      </c>
      <c r="F624" s="2">
        <f>IFERROR(__xludf.DUMMYFUNCTION("""COMPUTED_VALUE"""),750.0)</f>
        <v>750</v>
      </c>
      <c r="G624" s="2">
        <f>IFERROR(__xludf.DUMMYFUNCTION("""COMPUTED_VALUE"""),800.0)</f>
        <v>800</v>
      </c>
      <c r="H624" s="2">
        <f>IFERROR(__xludf.DUMMYFUNCTION("""COMPUTED_VALUE"""),900.0)</f>
        <v>900</v>
      </c>
      <c r="I624" s="2">
        <f>IFERROR(__xludf.DUMMYFUNCTION("""COMPUTED_VALUE"""),1000.0)</f>
        <v>1000</v>
      </c>
      <c r="J624" s="2">
        <f>IFERROR(__xludf.DUMMYFUNCTION("""COMPUTED_VALUE"""),500.0)</f>
        <v>500</v>
      </c>
      <c r="K624" s="2">
        <f>IFERROR(__xludf.DUMMYFUNCTION("""COMPUTED_VALUE"""),11.0)</f>
        <v>11</v>
      </c>
      <c r="L624" s="2" t="str">
        <f>IFERROR(__xludf.DUMMYFUNCTION("""COMPUTED_VALUE"""),"ves")</f>
        <v>ves</v>
      </c>
      <c r="M624" s="2" t="str">
        <f>IFERROR(__xludf.DUMMYFUNCTION("""COMPUTED_VALUE"""),"LED Светильники")</f>
        <v>LED Светильники</v>
      </c>
    </row>
    <row r="625">
      <c r="A625" s="5" t="str">
        <f>IFERROR(__xludf.DUMMYFUNCTION("""COMPUTED_VALUE"""),"4690612057279-1")</f>
        <v>4690612057279-1</v>
      </c>
      <c r="B625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IFERROR(__xludf.DUMMYFUNCTION("""COMPUTED_VALUE"""),761.6)</f>
        <v>761.6</v>
      </c>
      <c r="F625" s="2">
        <f>IFERROR(__xludf.DUMMYFUNCTION("""COMPUTED_VALUE"""),836.0)</f>
        <v>836</v>
      </c>
      <c r="G625" s="2">
        <f>IFERROR(__xludf.DUMMYFUNCTION("""COMPUTED_VALUE"""),975.0)</f>
        <v>975</v>
      </c>
      <c r="H625" s="2">
        <f>IFERROR(__xludf.DUMMYFUNCTION("""COMPUTED_VALUE"""),1097.0)</f>
        <v>1097</v>
      </c>
      <c r="I625" s="2">
        <f>IFERROR(__xludf.DUMMYFUNCTION("""COMPUTED_VALUE"""),1219.0)</f>
        <v>1219</v>
      </c>
      <c r="J625" s="2">
        <f>IFERROR(__xludf.DUMMYFUNCTION("""COMPUTED_VALUE"""),610.0)</f>
        <v>610</v>
      </c>
      <c r="K625" s="2">
        <f>IFERROR(__xludf.DUMMYFUNCTION("""COMPUTED_VALUE"""),33.0)</f>
        <v>33</v>
      </c>
      <c r="L6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5" t="str">
        <f>IFERROR(__xludf.DUMMYFUNCTION("""COMPUTED_VALUE"""),"4690612029634-2")</f>
        <v>4690612029634-2</v>
      </c>
      <c r="B626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IFERROR(__xludf.DUMMYFUNCTION("""COMPUTED_VALUE"""),1118.02)</f>
        <v>1118.02</v>
      </c>
      <c r="F626" s="2">
        <f>IFERROR(__xludf.DUMMYFUNCTION("""COMPUTED_VALUE"""),1227.0)</f>
        <v>1227</v>
      </c>
      <c r="G626" s="2">
        <f>IFERROR(__xludf.DUMMYFUNCTION("""COMPUTED_VALUE"""),1431.0)</f>
        <v>1431</v>
      </c>
      <c r="H626" s="2">
        <f>IFERROR(__xludf.DUMMYFUNCTION("""COMPUTED_VALUE"""),1610.0)</f>
        <v>1610</v>
      </c>
      <c r="I626" s="2">
        <f>IFERROR(__xludf.DUMMYFUNCTION("""COMPUTED_VALUE"""),1789.0)</f>
        <v>1789</v>
      </c>
      <c r="J626" s="2">
        <f>IFERROR(__xludf.DUMMYFUNCTION("""COMPUTED_VALUE"""),895.0)</f>
        <v>895</v>
      </c>
      <c r="K626" s="2">
        <f>IFERROR(__xludf.DUMMYFUNCTION("""COMPUTED_VALUE"""),6.0)</f>
        <v>6</v>
      </c>
      <c r="L62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7">
      <c r="A627" s="5" t="str">
        <f>IFERROR(__xludf.DUMMYFUNCTION("""COMPUTED_VALUE"""),"Fefco/0201-4")</f>
        <v>Fefco/0201-4</v>
      </c>
      <c r="B627" s="5" t="str">
        <f>IFERROR(__xludf.DUMMYFUNCTION("""COMPUTED_VALUE"""),"Короб 220х60х200 (картон Т-24 бурый 3мм)")</f>
        <v>Короб 220х60х200 (картон Т-24 бурый 3мм)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IFERROR(__xludf.DUMMYFUNCTION("""COMPUTED_VALUE"""),26.8)</f>
        <v>26.8</v>
      </c>
      <c r="F627" s="2">
        <f>IFERROR(__xludf.DUMMYFUNCTION("""COMPUTED_VALUE"""),1.0)</f>
        <v>1</v>
      </c>
      <c r="G627" s="2">
        <f>IFERROR(__xludf.DUMMYFUNCTION("""COMPUTED_VALUE"""),1.0)</f>
        <v>1</v>
      </c>
      <c r="H627" s="2">
        <f>IFERROR(__xludf.DUMMYFUNCTION("""COMPUTED_VALUE"""),1.0)</f>
        <v>1</v>
      </c>
      <c r="I627" s="2">
        <f>IFERROR(__xludf.DUMMYFUNCTION("""COMPUTED_VALUE"""),1.5)</f>
        <v>1.5</v>
      </c>
      <c r="J627" s="2">
        <f>IFERROR(__xludf.DUMMYFUNCTION("""COMPUTED_VALUE"""),1.5)</f>
        <v>1.5</v>
      </c>
      <c r="K627" s="2">
        <f>IFERROR(__xludf.DUMMYFUNCTION("""COMPUTED_VALUE"""),300.0)</f>
        <v>300</v>
      </c>
      <c r="L627" s="2" t="str">
        <f>IFERROR(__xludf.DUMMYFUNCTION("""COMPUTED_VALUE"""),"Упаковка")</f>
        <v>Упаковка</v>
      </c>
      <c r="M627" s="2" t="str">
        <f>IFERROR(__xludf.DUMMYFUNCTION("""COMPUTED_VALUE"""),"Прочие товары")</f>
        <v>Прочие товары</v>
      </c>
    </row>
    <row r="628">
      <c r="A628" s="5" t="str">
        <f>IFERROR(__xludf.DUMMYFUNCTION("""COMPUTED_VALUE"""),"4260652192744")</f>
        <v>4260652192744</v>
      </c>
      <c r="B628" s="5" t="str">
        <f>IFERROR(__xludf.DUMMYFUNCTION("""COMPUTED_VALUE"""),"WTL-TR2/01W")</f>
        <v>WTL-TR2/01W</v>
      </c>
      <c r="C628" s="2">
        <f>IFERROR(__xludf.DUMMYFUNCTION("""COMPUTED_VALUE"""),0.77)</f>
        <v>0.77</v>
      </c>
      <c r="D628" s="2">
        <f>IFERROR(__xludf.DUMMYFUNCTION("""COMPUTED_VALUE"""),8.200000000000001E-4)</f>
        <v>0.00082</v>
      </c>
      <c r="E628" s="2">
        <f>IFERROR(__xludf.DUMMYFUNCTION("""COMPUTED_VALUE"""),686.0)</f>
        <v>686</v>
      </c>
      <c r="F628" s="2">
        <f>IFERROR(__xludf.DUMMYFUNCTION("""COMPUTED_VALUE"""),944.0)</f>
        <v>944</v>
      </c>
      <c r="G628" s="2">
        <f>IFERROR(__xludf.DUMMYFUNCTION("""COMPUTED_VALUE"""),976.0)</f>
        <v>976</v>
      </c>
      <c r="H628" s="2">
        <f>IFERROR(__xludf.DUMMYFUNCTION("""COMPUTED_VALUE"""),1279.0)</f>
        <v>1279</v>
      </c>
      <c r="I628" s="2">
        <f>IFERROR(__xludf.DUMMYFUNCTION("""COMPUTED_VALUE"""),1599.0)</f>
        <v>1599</v>
      </c>
      <c r="J628" s="2">
        <f>IFERROR(__xludf.DUMMYFUNCTION("""COMPUTED_VALUE"""),800.0)</f>
        <v>800</v>
      </c>
      <c r="K628" s="2">
        <f>IFERROR(__xludf.DUMMYFUNCTION("""COMPUTED_VALUE"""),1.0)</f>
        <v>1</v>
      </c>
      <c r="L628" s="2" t="str">
        <f>IFERROR(__xludf.DUMMYFUNCTION("""COMPUTED_VALUE"""),"Wolta трековые")</f>
        <v>Wolta трековые</v>
      </c>
      <c r="M628" s="2" t="str">
        <f>IFERROR(__xludf.DUMMYFUNCTION("""COMPUTED_VALUE"""),"Трековые, LED Светильники")</f>
        <v>Трековые, LED Светильники</v>
      </c>
    </row>
    <row r="629">
      <c r="A629" s="5" t="str">
        <f>IFERROR(__xludf.DUMMYFUNCTION("""COMPUTED_VALUE"""),"V9008")</f>
        <v>V9008</v>
      </c>
      <c r="B629" s="5" t="str">
        <f>IFERROR(__xludf.DUMMYFUNCTION("""COMPUTED_VALUE"""),"VRN-UNE-48-G40K67-K, 48Вт, Консольный")</f>
        <v>VRN-UNE-48-G40K67-K, 48Вт, Консольный</v>
      </c>
      <c r="C629" s="2">
        <f>IFERROR(__xludf.DUMMYFUNCTION("""COMPUTED_VALUE"""),0.122)</f>
        <v>0.122</v>
      </c>
      <c r="D629" s="2">
        <f>IFERROR(__xludf.DUMMYFUNCTION("""COMPUTED_VALUE"""),0.00483)</f>
        <v>0.00483</v>
      </c>
      <c r="E629" s="2">
        <f>IFERROR(__xludf.DUMMYFUNCTION("""COMPUTED_VALUE"""),1948.45)</f>
        <v>1948.45</v>
      </c>
      <c r="F629" s="2">
        <f>IFERROR(__xludf.DUMMYFUNCTION("""COMPUTED_VALUE"""),2255.0)</f>
        <v>2255</v>
      </c>
      <c r="G629" s="2">
        <f>IFERROR(__xludf.DUMMYFUNCTION("""COMPUTED_VALUE"""),2932.0)</f>
        <v>2932</v>
      </c>
      <c r="H629" s="2">
        <f>IFERROR(__xludf.DUMMYFUNCTION("""COMPUTED_VALUE"""),3078.0)</f>
        <v>3078</v>
      </c>
      <c r="I629" s="2">
        <f>IFERROR(__xludf.DUMMYFUNCTION("""COMPUTED_VALUE"""),3225.0)</f>
        <v>3225</v>
      </c>
      <c r="J629" s="2">
        <f>IFERROR(__xludf.DUMMYFUNCTION("""COMPUTED_VALUE"""),1613.0)</f>
        <v>1613</v>
      </c>
      <c r="K629" s="2">
        <f>IFERROR(__xludf.DUMMYFUNCTION("""COMPUTED_VALUE"""),0.0)</f>
        <v>0</v>
      </c>
      <c r="L629" s="2" t="str">
        <f>IFERROR(__xludf.DUMMYFUNCTION("""COMPUTED_VALUE"""),"Универсал Эконом")</f>
        <v>Универсал Эконом</v>
      </c>
      <c r="M629" s="2" t="str">
        <f>IFERROR(__xludf.DUMMYFUNCTION("""COMPUTED_VALUE"""),"Для обычных дорог, LED Светильники")</f>
        <v>Для обычных дорог, LED Светильники</v>
      </c>
    </row>
    <row r="630">
      <c r="A630" s="5" t="str">
        <f>IFERROR(__xludf.DUMMYFUNCTION("""COMPUTED_VALUE"""),"Fefco/0201-1")</f>
        <v>Fefco/0201-1</v>
      </c>
      <c r="B630" s="5" t="str">
        <f>IFERROR(__xludf.DUMMYFUNCTION("""COMPUTED_VALUE"""),"Короб 1275х280х220 (картон Т-24 бурый 3мм)")</f>
        <v>Короб 1275х280х220 (картон Т-24 бурый 3мм)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IFERROR(__xludf.DUMMYFUNCTION("""COMPUTED_VALUE"""),146.1)</f>
        <v>146.1</v>
      </c>
      <c r="F630" s="2">
        <f>IFERROR(__xludf.DUMMYFUNCTION("""COMPUTED_VALUE"""),1.0)</f>
        <v>1</v>
      </c>
      <c r="G630" s="2">
        <f>IFERROR(__xludf.DUMMYFUNCTION("""COMPUTED_VALUE"""),1.0)</f>
        <v>1</v>
      </c>
      <c r="H630" s="2">
        <f>IFERROR(__xludf.DUMMYFUNCTION("""COMPUTED_VALUE"""),1.0)</f>
        <v>1</v>
      </c>
      <c r="I630" s="2">
        <f>IFERROR(__xludf.DUMMYFUNCTION("""COMPUTED_VALUE"""),1.5)</f>
        <v>1.5</v>
      </c>
      <c r="J630" s="2">
        <f>IFERROR(__xludf.DUMMYFUNCTION("""COMPUTED_VALUE"""),1.5)</f>
        <v>1.5</v>
      </c>
      <c r="K630" s="2">
        <f>IFERROR(__xludf.DUMMYFUNCTION("""COMPUTED_VALUE"""),121.0)</f>
        <v>121</v>
      </c>
      <c r="L630" s="2" t="str">
        <f>IFERROR(__xludf.DUMMYFUNCTION("""COMPUTED_VALUE"""),"Упаковка")</f>
        <v>Упаковка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IFERROR(__xludf.DUMMYFUNCTION("""COMPUTED_VALUE"""),"4690612007274")</f>
        <v>4690612007274</v>
      </c>
      <c r="B631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1" s="2">
        <f>IFERROR(__xludf.DUMMYFUNCTION("""COMPUTED_VALUE"""),0.22)</f>
        <v>0.22</v>
      </c>
      <c r="D631" s="2">
        <f>IFERROR(__xludf.DUMMYFUNCTION("""COMPUTED_VALUE"""),9.500000000000001E-4)</f>
        <v>0.00095</v>
      </c>
      <c r="E631" s="2">
        <f>IFERROR(__xludf.DUMMYFUNCTION("""COMPUTED_VALUE"""),191.67)</f>
        <v>191.67</v>
      </c>
      <c r="F631" s="2">
        <f>IFERROR(__xludf.DUMMYFUNCTION("""COMPUTED_VALUE"""),1.0)</f>
        <v>1</v>
      </c>
      <c r="G631" s="2">
        <f>IFERROR(__xludf.DUMMYFUNCTION("""COMPUTED_VALUE"""),1.0)</f>
        <v>1</v>
      </c>
      <c r="H631" s="2">
        <f>IFERROR(__xludf.DUMMYFUNCTION("""COMPUTED_VALUE"""),1.0)</f>
        <v>1</v>
      </c>
      <c r="I631" s="2">
        <f>IFERROR(__xludf.DUMMYFUNCTION("""COMPUTED_VALUE"""),1.5)</f>
        <v>1.5</v>
      </c>
      <c r="J631" s="2">
        <f>IFERROR(__xludf.DUMMYFUNCTION("""COMPUTED_VALUE"""),1.5)</f>
        <v>1.5</v>
      </c>
      <c r="K631" s="2">
        <f>IFERROR(__xludf.DUMMYFUNCTION("""COMPUTED_VALUE"""),6.0)</f>
        <v>6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IFERROR(__xludf.DUMMYFUNCTION("""COMPUTED_VALUE"""),"06-0110-B")</f>
        <v>06-0110-B</v>
      </c>
      <c r="B632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IFERROR(__xludf.DUMMYFUNCTION("""COMPUTED_VALUE"""),1.0)</f>
        <v>1</v>
      </c>
      <c r="F632" s="2">
        <f>IFERROR(__xludf.DUMMYFUNCTION("""COMPUTED_VALUE"""),63.0)</f>
        <v>63</v>
      </c>
      <c r="G632" s="2">
        <f>IFERROR(__xludf.DUMMYFUNCTION("""COMPUTED_VALUE"""),67.0)</f>
        <v>67</v>
      </c>
      <c r="H632" s="2">
        <f>IFERROR(__xludf.DUMMYFUNCTION("""COMPUTED_VALUE"""),75.0)</f>
        <v>75</v>
      </c>
      <c r="I632" s="2">
        <f>IFERROR(__xludf.DUMMYFUNCTION("""COMPUTED_VALUE"""),83.5)</f>
        <v>83.5</v>
      </c>
      <c r="J632" s="2">
        <f>IFERROR(__xludf.DUMMYFUNCTION("""COMPUTED_VALUE"""),42.0)</f>
        <v>42</v>
      </c>
      <c r="K632" s="2">
        <f>IFERROR(__xludf.DUMMYFUNCTION("""COMPUTED_VALUE"""),7.0)</f>
        <v>7</v>
      </c>
      <c r="L632" s="2" t="str">
        <f>IFERROR(__xludf.DUMMYFUNCTION("""COMPUTED_VALUE"""),"Rexant")</f>
        <v>Rexant</v>
      </c>
      <c r="M632" s="2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IFERROR(__xludf.DUMMYFUNCTION("""COMPUTED_VALUE"""),"4690612035352")</f>
        <v>4690612035352</v>
      </c>
      <c r="B633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3" s="2">
        <f>IFERROR(__xludf.DUMMYFUNCTION("""COMPUTED_VALUE"""),0.35)</f>
        <v>0.35</v>
      </c>
      <c r="D633" s="2">
        <f>IFERROR(__xludf.DUMMYFUNCTION("""COMPUTED_VALUE"""),0.0035)</f>
        <v>0.0035</v>
      </c>
      <c r="E633" s="2">
        <f>IFERROR(__xludf.DUMMYFUNCTION("""COMPUTED_VALUE"""),655.28)</f>
        <v>655.28</v>
      </c>
      <c r="F633" s="2">
        <f>IFERROR(__xludf.DUMMYFUNCTION("""COMPUTED_VALUE"""),612.0)</f>
        <v>612</v>
      </c>
      <c r="G633" s="2">
        <f>IFERROR(__xludf.DUMMYFUNCTION("""COMPUTED_VALUE"""),689.0)</f>
        <v>689</v>
      </c>
      <c r="H633" s="2">
        <f>IFERROR(__xludf.DUMMYFUNCTION("""COMPUTED_VALUE"""),799.0)</f>
        <v>799</v>
      </c>
      <c r="I633" s="2">
        <f>IFERROR(__xludf.DUMMYFUNCTION("""COMPUTED_VALUE"""),918.0)</f>
        <v>918</v>
      </c>
      <c r="J633" s="2">
        <f>IFERROR(__xludf.DUMMYFUNCTION("""COMPUTED_VALUE"""),459.0)</f>
        <v>459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серии ELEGANT IN HOME")</f>
        <v>Светильники светодиодные серии ELEGANT IN HOME</v>
      </c>
      <c r="M6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4">
      <c r="A634" s="5" t="str">
        <f>IFERROR(__xludf.DUMMYFUNCTION("""COMPUTED_VALUE"""),"4690612020723")</f>
        <v>4690612020723</v>
      </c>
      <c r="B634" s="5" t="str">
        <f>IFERROR(__xludf.DUMMYFUNCTION("""COMPUTED_VALUE"""),"LED-GX53-VC 8Вт 230В 3000К 760Лм IN HOME")</f>
        <v>LED-GX53-VC 8Вт 230В 3000К 760Лм IN HOME</v>
      </c>
      <c r="C634" s="2">
        <f>IFERROR(__xludf.DUMMYFUNCTION("""COMPUTED_VALUE"""),0.035)</f>
        <v>0.035</v>
      </c>
      <c r="D634" s="2">
        <f>IFERROR(__xludf.DUMMYFUNCTION("""COMPUTED_VALUE"""),2.1E-4)</f>
        <v>0.00021</v>
      </c>
      <c r="E634" s="2">
        <f>IFERROR(__xludf.DUMMYFUNCTION("""COMPUTED_VALUE"""),33.28)</f>
        <v>33.28</v>
      </c>
      <c r="F634" s="2">
        <f>IFERROR(__xludf.DUMMYFUNCTION("""COMPUTED_VALUE"""),43.0)</f>
        <v>43</v>
      </c>
      <c r="G634" s="2">
        <f>IFERROR(__xludf.DUMMYFUNCTION("""COMPUTED_VALUE"""),49.0)</f>
        <v>49</v>
      </c>
      <c r="H634" s="2">
        <f>IFERROR(__xludf.DUMMYFUNCTION("""COMPUTED_VALUE"""),57.0)</f>
        <v>57</v>
      </c>
      <c r="I634" s="2">
        <f>IFERROR(__xludf.DUMMYFUNCTION("""COMPUTED_VALUE"""),65.6)</f>
        <v>65.6</v>
      </c>
      <c r="J634" s="2">
        <f>IFERROR(__xludf.DUMMYFUNCTION("""COMPUTED_VALUE"""),33.0)</f>
        <v>33</v>
      </c>
      <c r="K634" s="2">
        <f>IFERROR(__xludf.DUMMYFUNCTION("""COMPUTED_VALUE"""),41.0)</f>
        <v>41</v>
      </c>
      <c r="L634" s="2" t="str">
        <f>IFERROR(__xludf.DUMMYFUNCTION("""COMPUTED_VALUE"""),"Лампа светодиодная LED-GX53-standard")</f>
        <v>Лампа светодиодная LED-GX53-standard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IFERROR(__xludf.DUMMYFUNCTION("""COMPUTED_VALUE"""),"4690626071261")</f>
        <v>4690626071261</v>
      </c>
      <c r="B635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IFERROR(__xludf.DUMMYFUNCTION("""COMPUTED_VALUE"""),400.12)</f>
        <v>400.12</v>
      </c>
      <c r="F635" s="2">
        <f>IFERROR(__xludf.DUMMYFUNCTION("""COMPUTED_VALUE"""),431.0)</f>
        <v>431</v>
      </c>
      <c r="G635" s="2">
        <f>IFERROR(__xludf.DUMMYFUNCTION("""COMPUTED_VALUE"""),473.0)</f>
        <v>473</v>
      </c>
      <c r="H635" s="2">
        <f>IFERROR(__xludf.DUMMYFUNCTION("""COMPUTED_VALUE"""),526.0)</f>
        <v>526</v>
      </c>
      <c r="I635" s="2">
        <f>IFERROR(__xludf.DUMMYFUNCTION("""COMPUTED_VALUE"""),578.0)</f>
        <v>578</v>
      </c>
      <c r="J635" s="2">
        <f>IFERROR(__xludf.DUMMYFUNCTION("""COMPUTED_VALUE"""),289.0)</f>
        <v>289</v>
      </c>
      <c r="K635" s="2">
        <f>IFERROR(__xludf.DUMMYFUNCTION("""COMPUTED_VALUE"""),6.0)</f>
        <v>6</v>
      </c>
      <c r="L635" s="2" t="str">
        <f>IFERROR(__xludf.DUMMYFUNCTION("""COMPUTED_VALUE"""),"Smartbuy LED светильники")</f>
        <v>Smartbuy LED светильники</v>
      </c>
      <c r="M63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6">
      <c r="A636" s="5" t="str">
        <f>IFERROR(__xludf.DUMMYFUNCTION("""COMPUTED_VALUE"""),"ves2010")</f>
        <v>ves2010</v>
      </c>
      <c r="B636" s="5" t="str">
        <f>IFERROR(__xludf.DUMMYFUNCTION("""COMPUTED_VALUE"""),"Вилка переносная 013 2Р+РЕ 16А 220В IP44")</f>
        <v>Вилка переносная 013 2Р+РЕ 16А 220В IP44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IFERROR(__xludf.DUMMYFUNCTION("""COMPUTED_VALUE"""),120.78)</f>
        <v>120.78</v>
      </c>
      <c r="F636" s="2">
        <f>IFERROR(__xludf.DUMMYFUNCTION("""COMPUTED_VALUE"""),166.0)</f>
        <v>166</v>
      </c>
      <c r="G636" s="2">
        <f>IFERROR(__xludf.DUMMYFUNCTION("""COMPUTED_VALUE"""),177.0)</f>
        <v>177</v>
      </c>
      <c r="H636" s="2">
        <f>IFERROR(__xludf.DUMMYFUNCTION("""COMPUTED_VALUE"""),199.0)</f>
        <v>199</v>
      </c>
      <c r="I636" s="2">
        <f>IFERROR(__xludf.DUMMYFUNCTION("""COMPUTED_VALUE"""),220.85)</f>
        <v>220.85</v>
      </c>
      <c r="J636" s="2">
        <f>IFERROR(__xludf.DUMMYFUNCTION("""COMPUTED_VALUE"""),110.0)</f>
        <v>110</v>
      </c>
      <c r="K636" s="2">
        <f>IFERROR(__xludf.DUMMYFUNCTION("""COMPUTED_VALUE"""),7.0)</f>
        <v>7</v>
      </c>
      <c r="L636" s="2" t="str">
        <f>IFERROR(__xludf.DUMMYFUNCTION("""COMPUTED_VALUE"""),"ves2 (тендер)")</f>
        <v>ves2 (тендер)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IFERROR(__xludf.DUMMYFUNCTION("""COMPUTED_VALUE"""),"4690612042350")</f>
        <v>4690612042350</v>
      </c>
      <c r="B637" s="5" t="str">
        <f>IFERROR(__xludf.DUMMYFUNCTION("""COMPUTED_VALUE"""),"ДСП-157Т 36Вт 230В 6500К 4500Лм 125лм/Вт 1200мм IP65 NEOX")</f>
        <v>ДСП-157Т 36Вт 230В 6500К 4500Лм 125лм/Вт 1200мм IP65 NEOX</v>
      </c>
      <c r="C637" s="2">
        <f>IFERROR(__xludf.DUMMYFUNCTION("""COMPUTED_VALUE"""),0.41)</f>
        <v>0.41</v>
      </c>
      <c r="D637" s="2">
        <f>IFERROR(__xludf.DUMMYFUNCTION("""COMPUTED_VALUE"""),0.00205)</f>
        <v>0.00205</v>
      </c>
      <c r="E637" s="2">
        <f>IFERROR(__xludf.DUMMYFUNCTION("""COMPUTED_VALUE"""),972.0600000000001)</f>
        <v>972.06</v>
      </c>
      <c r="F637" s="2">
        <f>IFERROR(__xludf.DUMMYFUNCTION("""COMPUTED_VALUE"""),1019.0)</f>
        <v>1019</v>
      </c>
      <c r="G637" s="2">
        <f>IFERROR(__xludf.DUMMYFUNCTION("""COMPUTED_VALUE"""),1147.0)</f>
        <v>1147</v>
      </c>
      <c r="H637" s="2">
        <f>IFERROR(__xludf.DUMMYFUNCTION("""COMPUTED_VALUE"""),1330.0)</f>
        <v>1330</v>
      </c>
      <c r="I637" s="2">
        <f>IFERROR(__xludf.DUMMYFUNCTION("""COMPUTED_VALUE"""),1529.0)</f>
        <v>1529</v>
      </c>
      <c r="J637" s="2">
        <f>IFERROR(__xludf.DUMMYFUNCTION("""COMPUTED_VALUE"""),1529.0)</f>
        <v>1529</v>
      </c>
      <c r="K637" s="2">
        <f>IFERROR(__xludf.DUMMYFUNCTION("""COMPUTED_VALUE"""),0.0)</f>
        <v>0</v>
      </c>
      <c r="L637" s="2" t="str">
        <f>IFERROR(__xludf.DUMMYFUNCTION("""COMPUTED_VALUE"""),"NEOX Светильники LED ДСП")</f>
        <v>NEOX Светильники LED ДСП</v>
      </c>
      <c r="M637" s="2" t="str">
        <f>IFERROR(__xludf.DUMMYFUNCTION("""COMPUTED_VALUE"""),"Пластиковые (линейные), LED Светильники")</f>
        <v>Пластиковые (линейные), LED Светильники</v>
      </c>
    </row>
    <row r="638">
      <c r="A638" s="5" t="str">
        <f>IFERROR(__xludf.DUMMYFUNCTION("""COMPUTED_VALUE"""),"4690612000404-5")</f>
        <v>4690612000404-5</v>
      </c>
      <c r="B638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8" s="2">
        <f>IFERROR(__xludf.DUMMYFUNCTION("""COMPUTED_VALUE"""),0.065)</f>
        <v>0.065</v>
      </c>
      <c r="D638" s="2">
        <f>IFERROR(__xludf.DUMMYFUNCTION("""COMPUTED_VALUE"""),3.4E-4)</f>
        <v>0.00034</v>
      </c>
      <c r="E638" s="2">
        <f>IFERROR(__xludf.DUMMYFUNCTION("""COMPUTED_VALUE"""),240.95)</f>
        <v>240.95</v>
      </c>
      <c r="F638" s="2">
        <f>IFERROR(__xludf.DUMMYFUNCTION("""COMPUTED_VALUE"""),264.0)</f>
        <v>264</v>
      </c>
      <c r="G638" s="2">
        <f>IFERROR(__xludf.DUMMYFUNCTION("""COMPUTED_VALUE"""),309.0)</f>
        <v>309</v>
      </c>
      <c r="H638" s="2">
        <f>IFERROR(__xludf.DUMMYFUNCTION("""COMPUTED_VALUE"""),347.0)</f>
        <v>347</v>
      </c>
      <c r="I638" s="2">
        <f>IFERROR(__xludf.DUMMYFUNCTION("""COMPUTED_VALUE"""),386.0)</f>
        <v>386</v>
      </c>
      <c r="J638" s="2">
        <f>IFERROR(__xludf.DUMMYFUNCTION("""COMPUTED_VALUE"""),193.0)</f>
        <v>193</v>
      </c>
      <c r="K638" s="2">
        <f>IFERROR(__xludf.DUMMYFUNCTION("""COMPUTED_VALUE"""),4.0)</f>
        <v>4</v>
      </c>
      <c r="L638" s="2" t="str">
        <f>IFERROR(__xludf.DUMMYFUNCTION("""COMPUTED_VALUE"""),"Розетки, вилки производство, упаковка")</f>
        <v>Розетки, вилки производство, упаковка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IFERROR(__xludf.DUMMYFUNCTION("""COMPUTED_VALUE"""),"4690612037646-1")</f>
        <v>4690612037646-1</v>
      </c>
      <c r="B639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9" s="2">
        <f>IFERROR(__xludf.DUMMYFUNCTION("""COMPUTED_VALUE"""),1.35)</f>
        <v>1.35</v>
      </c>
      <c r="D639" s="2">
        <f>IFERROR(__xludf.DUMMYFUNCTION("""COMPUTED_VALUE"""),0.006730000000000001)</f>
        <v>0.00673</v>
      </c>
      <c r="E639" s="2">
        <f>IFERROR(__xludf.DUMMYFUNCTION("""COMPUTED_VALUE"""),605.28)</f>
        <v>605.28</v>
      </c>
      <c r="F639" s="2">
        <f>IFERROR(__xludf.DUMMYFUNCTION("""COMPUTED_VALUE"""),664.0)</f>
        <v>664</v>
      </c>
      <c r="G639" s="2">
        <f>IFERROR(__xludf.DUMMYFUNCTION("""COMPUTED_VALUE"""),774.0)</f>
        <v>774</v>
      </c>
      <c r="H639" s="2">
        <f>IFERROR(__xludf.DUMMYFUNCTION("""COMPUTED_VALUE"""),871.0)</f>
        <v>871</v>
      </c>
      <c r="I639" s="2">
        <f>IFERROR(__xludf.DUMMYFUNCTION("""COMPUTED_VALUE"""),968.0)</f>
        <v>968</v>
      </c>
      <c r="J639" s="2">
        <f>IFERROR(__xludf.DUMMYFUNCTION("""COMPUTED_VALUE"""),484.0)</f>
        <v>484</v>
      </c>
      <c r="K639" s="2">
        <f>IFERROR(__xludf.DUMMYFUNCTION("""COMPUTED_VALUE"""),1.0)</f>
        <v>1</v>
      </c>
      <c r="L6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0">
      <c r="A640" s="5" t="str">
        <f>IFERROR(__xludf.DUMMYFUNCTION("""COMPUTED_VALUE"""),"55052")</f>
        <v>55052</v>
      </c>
      <c r="B640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IFERROR(__xludf.DUMMYFUNCTION("""COMPUTED_VALUE"""),124.93)</f>
        <v>124.93</v>
      </c>
      <c r="F640" s="2">
        <f>IFERROR(__xludf.DUMMYFUNCTION("""COMPUTED_VALUE"""),140.0)</f>
        <v>140</v>
      </c>
      <c r="G640" s="2">
        <f>IFERROR(__xludf.DUMMYFUNCTION("""COMPUTED_VALUE"""),153.0)</f>
        <v>153</v>
      </c>
      <c r="H640" s="2">
        <f>IFERROR(__xludf.DUMMYFUNCTION("""COMPUTED_VALUE"""),165.0)</f>
        <v>165</v>
      </c>
      <c r="I640" s="2">
        <f>IFERROR(__xludf.DUMMYFUNCTION("""COMPUTED_VALUE"""),178.0)</f>
        <v>178</v>
      </c>
      <c r="J640" s="2">
        <f>IFERROR(__xludf.DUMMYFUNCTION("""COMPUTED_VALUE"""),89.0)</f>
        <v>89</v>
      </c>
      <c r="K640" s="2">
        <f>IFERROR(__xludf.DUMMYFUNCTION("""COMPUTED_VALUE"""),31.0)</f>
        <v>31</v>
      </c>
      <c r="L640" s="2" t="str">
        <f>IFERROR(__xludf.DUMMYFUNCTION("""COMPUTED_VALUE"""),"Праздничная иллюминация")</f>
        <v>Праздничная иллюминация</v>
      </c>
      <c r="M6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1">
      <c r="A641" s="5" t="str">
        <f>IFERROR(__xludf.DUMMYFUNCTION("""COMPUTED_VALUE"""),"LP5686")</f>
        <v>LP5686</v>
      </c>
      <c r="B641" s="5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5" t="str">
        <f>IFERROR(__xludf.DUMMYFUNCTION("""COMPUTED_VALUE"""),"4690612020525-10")</f>
        <v>4690612020525-10</v>
      </c>
      <c r="B642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IFERROR(__xludf.DUMMYFUNCTION("""COMPUTED_VALUE"""),491.0)</f>
        <v>491</v>
      </c>
      <c r="H642" s="2">
        <f>IFERROR(__xludf.DUMMYFUNCTION("""COMPUTED_VALUE"""),553.0)</f>
        <v>553</v>
      </c>
      <c r="I642" s="2">
        <f>IFERROR(__xludf.DUMMYFUNCTION("""COMPUTED_VALUE"""),614.0)</f>
        <v>614</v>
      </c>
      <c r="J642" s="2">
        <f>IFERROR(__xludf.DUMMYFUNCTION("""COMPUTED_VALUE"""),307.0)</f>
        <v>307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IFERROR(__xludf.DUMMYFUNCTION("""COMPUTED_VALUE"""),"4690612012278")</f>
        <v>4690612012278</v>
      </c>
      <c r="B643" s="5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IFERROR(__xludf.DUMMYFUNCTION("""COMPUTED_VALUE"""),"4690612034492")</f>
        <v>4690612034492</v>
      </c>
      <c r="B644" s="5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5" t="str">
        <f>IFERROR(__xludf.DUMMYFUNCTION("""COMPUTED_VALUE"""),"4690612032726")</f>
        <v>4690612032726</v>
      </c>
      <c r="B645" s="5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IFERROR(__xludf.DUMMYFUNCTION("""COMPUTED_VALUE"""),"GL8240")</f>
        <v>GL8240</v>
      </c>
      <c r="B646" s="5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IFERROR(__xludf.DUMMYFUNCTION("""COMPUTED_VALUE"""),32.0)</f>
        <v>32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5" t="str">
        <f>IFERROR(__xludf.DUMMYFUNCTION("""COMPUTED_VALUE"""),"4690612005096")</f>
        <v>4690612005096</v>
      </c>
      <c r="B647" s="5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IFERROR(__xludf.DUMMYFUNCTION("""COMPUTED_VALUE"""),"4690612003979")</f>
        <v>4690612003979</v>
      </c>
      <c r="B648" s="5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IFERROR(__xludf.DUMMYFUNCTION("""COMPUTED_VALUE"""),"4690612005126-10")</f>
        <v>4690612005126-10</v>
      </c>
      <c r="B64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IFERROR(__xludf.DUMMYFUNCTION("""COMPUTED_VALUE"""),674.0)</f>
        <v>674</v>
      </c>
      <c r="H649" s="2">
        <f>IFERROR(__xludf.DUMMYFUNCTION("""COMPUTED_VALUE"""),759.0)</f>
        <v>759</v>
      </c>
      <c r="I649" s="2">
        <f>IFERROR(__xludf.DUMMYFUNCTION("""COMPUTED_VALUE"""),843.0)</f>
        <v>843</v>
      </c>
      <c r="J649" s="2">
        <f>IFERROR(__xludf.DUMMYFUNCTION("""COMPUTED_VALUE"""),422.0)</f>
        <v>422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IFERROR(__xludf.DUMMYFUNCTION("""COMPUTED_VALUE"""),"4690612003764")</f>
        <v>4690612003764</v>
      </c>
      <c r="B650" s="5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IFERROR(__xludf.DUMMYFUNCTION("""COMPUTED_VALUE"""),"4690612020556")</f>
        <v>4690612020556</v>
      </c>
      <c r="B651" s="5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IFERROR(__xludf.DUMMYFUNCTION("""COMPUTED_VALUE"""),"200-200-4")</f>
        <v>200-200-4</v>
      </c>
      <c r="B652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IFERROR(__xludf.DUMMYFUNCTION("""COMPUTED_VALUE"""),"4690626030893")</f>
        <v>4690626030893</v>
      </c>
      <c r="B653" s="5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IFERROR(__xludf.DUMMYFUNCTION("""COMPUTED_VALUE"""),"4690612020822-10")</f>
        <v>4690612020822-10</v>
      </c>
      <c r="B65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IFERROR(__xludf.DUMMYFUNCTION("""COMPUTED_VALUE"""),683.0)</f>
        <v>683</v>
      </c>
      <c r="H654" s="2">
        <f>IFERROR(__xludf.DUMMYFUNCTION("""COMPUTED_VALUE"""),769.0)</f>
        <v>769</v>
      </c>
      <c r="I654" s="2">
        <f>IFERROR(__xludf.DUMMYFUNCTION("""COMPUTED_VALUE"""),854.0)</f>
        <v>854</v>
      </c>
      <c r="J654" s="2">
        <f>IFERROR(__xludf.DUMMYFUNCTION("""COMPUTED_VALUE"""),427.0)</f>
        <v>427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IFERROR(__xludf.DUMMYFUNCTION("""COMPUTED_VALUE"""),"4690612003993")</f>
        <v>4690612003993</v>
      </c>
      <c r="B655" s="5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IFERROR(__xludf.DUMMYFUNCTION("""COMPUTED_VALUE"""),"4690612012308-10")</f>
        <v>4690612012308-10</v>
      </c>
      <c r="B65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IFERROR(__xludf.DUMMYFUNCTION("""COMPUTED_VALUE"""),540.0)</f>
        <v>540</v>
      </c>
      <c r="H656" s="2">
        <f>IFERROR(__xludf.DUMMYFUNCTION("""COMPUTED_VALUE"""),608.0)</f>
        <v>608</v>
      </c>
      <c r="I656" s="2">
        <f>IFERROR(__xludf.DUMMYFUNCTION("""COMPUTED_VALUE"""),675.0)</f>
        <v>675</v>
      </c>
      <c r="J656" s="2">
        <f>IFERROR(__xludf.DUMMYFUNCTION("""COMPUTED_VALUE"""),338.0)</f>
        <v>338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IFERROR(__xludf.DUMMYFUNCTION("""COMPUTED_VALUE"""),"R100395")</f>
        <v>R100395</v>
      </c>
      <c r="B657" s="5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IFERROR(__xludf.DUMMYFUNCTION("""COMPUTED_VALUE"""),"4690612029856")</f>
        <v>4690612029856</v>
      </c>
      <c r="B65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5" t="str">
        <f>IFERROR(__xludf.DUMMYFUNCTION("""COMPUTED_VALUE"""),"4690612053028-2")</f>
        <v>4690612053028-2</v>
      </c>
      <c r="B65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IFERROR(__xludf.DUMMYFUNCTION("""COMPUTED_VALUE"""),1542.0)</f>
        <v>1542</v>
      </c>
      <c r="H659" s="2">
        <f>IFERROR(__xludf.DUMMYFUNCTION("""COMPUTED_VALUE"""),1734.0)</f>
        <v>1734</v>
      </c>
      <c r="I659" s="2">
        <f>IFERROR(__xludf.DUMMYFUNCTION("""COMPUTED_VALUE"""),1927.0)</f>
        <v>1927</v>
      </c>
      <c r="J659" s="2">
        <f>IFERROR(__xludf.DUMMYFUNCTION("""COMPUTED_VALUE"""),964.0)</f>
        <v>964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IFERROR(__xludf.DUMMYFUNCTION("""COMPUTED_VALUE"""),"R100284")</f>
        <v>R100284</v>
      </c>
      <c r="B660" s="5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5" t="str">
        <f>IFERROR(__xludf.DUMMYFUNCTION("""COMPUTED_VALUE"""),"4690612033822")</f>
        <v>4690612033822</v>
      </c>
      <c r="B661" s="5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IFERROR(__xludf.DUMMYFUNCTION("""COMPUTED_VALUE"""),"4690612015118")</f>
        <v>4690612015118</v>
      </c>
      <c r="B66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5" t="str">
        <f>IFERROR(__xludf.DUMMYFUNCTION("""COMPUTED_VALUE"""),"ves015")</f>
        <v>ves015</v>
      </c>
      <c r="B663" s="5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5" t="str">
        <f>IFERROR(__xludf.DUMMYFUNCTION("""COMPUTED_VALUE"""),"12-0167")</f>
        <v>12-0167</v>
      </c>
      <c r="B66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IFERROR(__xludf.DUMMYFUNCTION("""COMPUTED_VALUE"""),"R100344-3")</f>
        <v>R100344-3</v>
      </c>
      <c r="B665" s="5" t="str">
        <f>IFERROR(__xludf.DUMMYFUNCTION("""COMPUTED_VALUE"""),"RSV-SPO-02-40W-6500К, IP40 P (3 штуки в упаковке)")</f>
        <v>RSV-SPO-02-40W-6500К, IP40 P (3 штуки в упаковке)</v>
      </c>
      <c r="C665" s="2">
        <f>IFERROR(__xludf.DUMMYFUNCTION("""COMPUTED_VALUE"""),0.40333)</f>
        <v>0.40333</v>
      </c>
      <c r="D665" s="2">
        <f>IFERROR(__xludf.DUMMYFUNCTION("""COMPUTED_VALUE"""),0.0)</f>
        <v>0</v>
      </c>
      <c r="E665" s="2">
        <f>IFERROR(__xludf.DUMMYFUNCTION("""COMPUTED_VALUE"""),629.11)</f>
        <v>629.11</v>
      </c>
      <c r="F665" s="2">
        <f>IFERROR(__xludf.DUMMYFUNCTION("""COMPUTED_VALUE"""),755.0)</f>
        <v>755</v>
      </c>
      <c r="G665" s="2">
        <f>IFERROR(__xludf.DUMMYFUNCTION("""COMPUTED_VALUE"""),806.0)</f>
        <v>806</v>
      </c>
      <c r="H665" s="2">
        <f>IFERROR(__xludf.DUMMYFUNCTION("""COMPUTED_VALUE"""),906.0)</f>
        <v>906</v>
      </c>
      <c r="I665" s="2">
        <f>IFERROR(__xludf.DUMMYFUNCTION("""COMPUTED_VALUE"""),1007.0)</f>
        <v>1007</v>
      </c>
      <c r="J665" s="2">
        <f>IFERROR(__xludf.DUMMYFUNCTION("""COMPUTED_VALUE"""),504.0)</f>
        <v>504</v>
      </c>
      <c r="K665" s="2">
        <f>IFERROR(__xludf.DUMMYFUNCTION("""COMPUTED_VALUE"""),1.0)</f>
        <v>1</v>
      </c>
      <c r="L66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6">
      <c r="A666" s="5" t="str">
        <f>IFERROR(__xludf.DUMMYFUNCTION("""COMPUTED_VALUE"""),"55106")</f>
        <v>55106</v>
      </c>
      <c r="B66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5" t="str">
        <f>IFERROR(__xludf.DUMMYFUNCTION("""COMPUTED_VALUE"""),"14690612042333")</f>
        <v>14690612042333</v>
      </c>
      <c r="B66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IFERROR(__xludf.DUMMYFUNCTION("""COMPUTED_VALUE"""),3877.0)</f>
        <v>3877</v>
      </c>
      <c r="H667" s="2">
        <f>IFERROR(__xludf.DUMMYFUNCTION("""COMPUTED_VALUE"""),4361.0)</f>
        <v>4361</v>
      </c>
      <c r="I667" s="2">
        <f>IFERROR(__xludf.DUMMYFUNCTION("""COMPUTED_VALUE"""),4846.0)</f>
        <v>4846</v>
      </c>
      <c r="J667" s="2">
        <f>IFERROR(__xludf.DUMMYFUNCTION("""COMPUTED_VALUE"""),2423.0)</f>
        <v>2423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5" t="str">
        <f>IFERROR(__xludf.DUMMYFUNCTION("""COMPUTED_VALUE"""),"4680005957880")</f>
        <v>4680005957880</v>
      </c>
      <c r="B668" s="5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IFERROR(__xludf.DUMMYFUNCTION("""COMPUTED_VALUE"""),"4690612038162-1")</f>
        <v>4690612038162-1</v>
      </c>
      <c r="B66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IFERROR(__xludf.DUMMYFUNCTION("""COMPUTED_VALUE"""),671.0)</f>
        <v>671</v>
      </c>
      <c r="H669" s="2">
        <f>IFERROR(__xludf.DUMMYFUNCTION("""COMPUTED_VALUE"""),755.0)</f>
        <v>755</v>
      </c>
      <c r="I669" s="2">
        <f>IFERROR(__xludf.DUMMYFUNCTION("""COMPUTED_VALUE"""),839.0)</f>
        <v>839</v>
      </c>
      <c r="J669" s="2">
        <f>IFERROR(__xludf.DUMMYFUNCTION("""COMPUTED_VALUE"""),420.0)</f>
        <v>420</v>
      </c>
      <c r="K669" s="2">
        <f>IFERROR(__xludf.DUMMYFUNCTION("""COMPUTED_VALUE"""),88.0)</f>
        <v>88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IFERROR(__xludf.DUMMYFUNCTION("""COMPUTED_VALUE"""),"4690612020440")</f>
        <v>4690612020440</v>
      </c>
      <c r="B670" s="5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IFERROR(__xludf.DUMMYFUNCTION("""COMPUTED_VALUE"""),"4690612015507")</f>
        <v>4690612015507</v>
      </c>
      <c r="B671" s="5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IFERROR(__xludf.DUMMYFUNCTION("""COMPUTED_VALUE"""),"4690612042640")</f>
        <v>4690612042640</v>
      </c>
      <c r="B67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5" t="str">
        <f>IFERROR(__xludf.DUMMYFUNCTION("""COMPUTED_VALUE"""),"4690612053004")</f>
        <v>4690612053004</v>
      </c>
      <c r="B673" s="5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5" t="str">
        <f>IFERROR(__xludf.DUMMYFUNCTION("""COMPUTED_VALUE"""),"R100139-2")</f>
        <v>R100139-2</v>
      </c>
      <c r="B674" s="5" t="str">
        <f>IFERROR(__xludf.DUMMYFUNCTION("""COMPUTED_VALUE"""),"RSV-SPO-02-40W-4000K, IP40 (2 штуки в упаковке)")</f>
        <v>RSV-SPO-02-40W-4000K, IP40 (2 штуки в упаковке)</v>
      </c>
      <c r="C674" s="2">
        <f>IFERROR(__xludf.DUMMYFUNCTION("""COMPUTED_VALUE"""),0.42)</f>
        <v>0.42</v>
      </c>
      <c r="D674" s="2">
        <f>IFERROR(__xludf.DUMMYFUNCTION("""COMPUTED_VALUE"""),0.0)</f>
        <v>0</v>
      </c>
      <c r="E674" s="2">
        <f>IFERROR(__xludf.DUMMYFUNCTION("""COMPUTED_VALUE"""),496.22)</f>
        <v>496.22</v>
      </c>
      <c r="F674" s="2">
        <f>IFERROR(__xludf.DUMMYFUNCTION("""COMPUTED_VALUE"""),596.0)</f>
        <v>596</v>
      </c>
      <c r="G674" s="2">
        <f>IFERROR(__xludf.DUMMYFUNCTION("""COMPUTED_VALUE"""),635.0)</f>
        <v>635</v>
      </c>
      <c r="H674" s="2">
        <f>IFERROR(__xludf.DUMMYFUNCTION("""COMPUTED_VALUE"""),715.0)</f>
        <v>715</v>
      </c>
      <c r="I674" s="2">
        <f>IFERROR(__xludf.DUMMYFUNCTION("""COMPUTED_VALUE"""),794.0)</f>
        <v>794</v>
      </c>
      <c r="J674" s="2">
        <f>IFERROR(__xludf.DUMMYFUNCTION("""COMPUTED_VALUE"""),397.0)</f>
        <v>397</v>
      </c>
      <c r="K674" s="2">
        <f>IFERROR(__xludf.DUMMYFUNCTION("""COMPUTED_VALUE"""),1.0)</f>
        <v>1</v>
      </c>
      <c r="L67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75">
      <c r="A675" s="5" t="str">
        <f>IFERROR(__xludf.DUMMYFUNCTION("""COMPUTED_VALUE"""),"G207707102")</f>
        <v>G207707102</v>
      </c>
      <c r="B675" s="5" t="str">
        <f>IFERROR(__xludf.DUMMYFUNCTION("""COMPUTED_VALUE"""),"G4 12V 2W 2700K 1/20/200")</f>
        <v>G4 12V 2W 2700K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IFERROR(__xludf.DUMMYFUNCTION("""COMPUTED_VALUE"""),11.0)</f>
        <v>11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IFERROR(__xludf.DUMMYFUNCTION("""COMPUTED_VALUE"""),"GL81411")</f>
        <v>GL81411</v>
      </c>
      <c r="B676" s="5" t="str">
        <f>IFERROR(__xludf.DUMMYFUNCTION("""COMPUTED_VALUE"""),"GLERIO Office Special 20 Вт 4000K 82P-20D-4V-P")</f>
        <v>GLERIO Office Special 20 Вт 4000K 82P-20D-4V-P</v>
      </c>
      <c r="C676" s="2">
        <f>IFERROR(__xludf.DUMMYFUNCTION("""COMPUTED_VALUE"""),1.04)</f>
        <v>1.04</v>
      </c>
      <c r="D676" s="2">
        <f>IFERROR(__xludf.DUMMYFUNCTION("""COMPUTED_VALUE"""),0.008190000000000001)</f>
        <v>0.00819</v>
      </c>
      <c r="E676" s="2">
        <f>IFERROR(__xludf.DUMMYFUNCTION("""COMPUTED_VALUE"""),1464.7)</f>
        <v>1464.7</v>
      </c>
      <c r="F676" s="2">
        <f>IFERROR(__xludf.DUMMYFUNCTION("""COMPUTED_VALUE"""),1700.0)</f>
        <v>1700</v>
      </c>
      <c r="G676" s="2">
        <f>IFERROR(__xludf.DUMMYFUNCTION("""COMPUTED_VALUE"""),2140.0)</f>
        <v>2140</v>
      </c>
      <c r="H676" s="2">
        <f>IFERROR(__xludf.DUMMYFUNCTION("""COMPUTED_VALUE"""),2404.0)</f>
        <v>2404</v>
      </c>
      <c r="I676" s="2">
        <f>IFERROR(__xludf.DUMMYFUNCTION("""COMPUTED_VALUE"""),2667.0)</f>
        <v>2667</v>
      </c>
      <c r="J676" s="2">
        <f>IFERROR(__xludf.DUMMYFUNCTION("""COMPUTED_VALUE"""),1334.0)</f>
        <v>1334</v>
      </c>
      <c r="K676" s="2">
        <f>IFERROR(__xludf.DUMMYFUNCTION("""COMPUTED_VALUE"""),30.0)</f>
        <v>30</v>
      </c>
      <c r="L676" s="2" t="str">
        <f>IFERROR(__xludf.DUMMYFUNCTION("""COMPUTED_VALUE"""),"Office Special+ GLERIO (Офис Премиум)")</f>
        <v>Office Special+ GLERIO (Офис Премиум)</v>
      </c>
      <c r="M67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7">
      <c r="A677" s="5" t="str">
        <f>IFERROR(__xludf.DUMMYFUNCTION("""COMPUTED_VALUE"""),"100-300")</f>
        <v>100-300</v>
      </c>
      <c r="B677" s="5" t="str">
        <f>IFERROR(__xludf.DUMMYFUNCTION("""COMPUTED_VALUE"""),"Пиктограмма 100х300мм ""ВЫХОД""")</f>
        <v>Пиктограмма 100х300мм "ВЫХОД"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IFERROR(__xludf.DUMMYFUNCTION("""COMPUTED_VALUE"""),31.15)</f>
        <v>31.15</v>
      </c>
      <c r="F677" s="2">
        <f>IFERROR(__xludf.DUMMYFUNCTION("""COMPUTED_VALUE"""),1.0)</f>
        <v>1</v>
      </c>
      <c r="G677" s="2">
        <f>IFERROR(__xludf.DUMMYFUNCTION("""COMPUTED_VALUE"""),1.0)</f>
        <v>1</v>
      </c>
      <c r="H677" s="2">
        <f>IFERROR(__xludf.DUMMYFUNCTION("""COMPUTED_VALUE"""),1.0)</f>
        <v>1</v>
      </c>
      <c r="I677" s="2">
        <f>IFERROR(__xludf.DUMMYFUNCTION("""COMPUTED_VALUE"""),1.5)</f>
        <v>1.5</v>
      </c>
      <c r="J677" s="2">
        <f>IFERROR(__xludf.DUMMYFUNCTION("""COMPUTED_VALUE"""),1.5)</f>
        <v>1.5</v>
      </c>
      <c r="K677" s="2">
        <f>IFERROR(__xludf.DUMMYFUNCTION("""COMPUTED_VALUE"""),12.0)</f>
        <v>12</v>
      </c>
      <c r="L677" s="2" t="str">
        <f>IFERROR(__xludf.DUMMYFUNCTION("""COMPUTED_VALUE"""),"Аварийные светильники")</f>
        <v>Аварийные светильники</v>
      </c>
      <c r="M67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8">
      <c r="A678" s="5" t="str">
        <f>IFERROR(__xludf.DUMMYFUNCTION("""COMPUTED_VALUE"""),"4690612015576")</f>
        <v>4690612015576</v>
      </c>
      <c r="B678" s="5" t="str">
        <f>IFERROR(__xludf.DUMMYFUNCTION("""COMPUTED_VALUE"""),"LED-СВЕЧА-standard 10Вт 230В Е14 4000К 900Лм ASD")</f>
        <v>LED-СВЕЧА-standard 10Вт 230В Е14 4000К 900Лм ASD</v>
      </c>
      <c r="C678" s="2">
        <f>IFERROR(__xludf.DUMMYFUNCTION("""COMPUTED_VALUE"""),0.033)</f>
        <v>0.033</v>
      </c>
      <c r="D678" s="2">
        <f>IFERROR(__xludf.DUMMYFUNCTION("""COMPUTED_VALUE"""),1.9E-4)</f>
        <v>0.00019</v>
      </c>
      <c r="E678" s="2">
        <f>IFERROR(__xludf.DUMMYFUNCTION("""COMPUTED_VALUE"""),48.02)</f>
        <v>48.02</v>
      </c>
      <c r="F678" s="2">
        <f>IFERROR(__xludf.DUMMYFUNCTION("""COMPUTED_VALUE"""),33.0)</f>
        <v>33</v>
      </c>
      <c r="G678" s="2">
        <f>IFERROR(__xludf.DUMMYFUNCTION("""COMPUTED_VALUE"""),37.0)</f>
        <v>37</v>
      </c>
      <c r="H678" s="2">
        <f>IFERROR(__xludf.DUMMYFUNCTION("""COMPUTED_VALUE"""),43.0)</f>
        <v>43</v>
      </c>
      <c r="I678" s="2">
        <f>IFERROR(__xludf.DUMMYFUNCTION("""COMPUTED_VALUE"""),49.9)</f>
        <v>49.9</v>
      </c>
      <c r="J678" s="2">
        <f>IFERROR(__xludf.DUMMYFUNCTION("""COMPUTED_VALUE"""),25.0)</f>
        <v>25</v>
      </c>
      <c r="K678" s="2">
        <f>IFERROR(__xludf.DUMMYFUNCTION("""COMPUTED_VALUE"""),3.0)</f>
        <v>3</v>
      </c>
      <c r="L678" s="2" t="str">
        <f>IFERROR(__xludf.DUMMYFUNCTION("""COMPUTED_VALUE"""),"Лампа светодиодная LED-СВЕЧА-standard")</f>
        <v>Лампа светодиодная LED-СВЕЧА-standard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IFERROR(__xludf.DUMMYFUNCTION("""COMPUTED_VALUE"""),"01-4002")</f>
        <v>01-4002</v>
      </c>
      <c r="B679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IFERROR(__xludf.DUMMYFUNCTION("""COMPUTED_VALUE"""),1.0)</f>
        <v>1</v>
      </c>
      <c r="F679" s="2">
        <f>IFERROR(__xludf.DUMMYFUNCTION("""COMPUTED_VALUE"""),3387.0)</f>
        <v>3387</v>
      </c>
      <c r="G679" s="2">
        <f>IFERROR(__xludf.DUMMYFUNCTION("""COMPUTED_VALUE"""),3613.0)</f>
        <v>3613</v>
      </c>
      <c r="H679" s="2">
        <f>IFERROR(__xludf.DUMMYFUNCTION("""COMPUTED_VALUE"""),4065.0)</f>
        <v>4065</v>
      </c>
      <c r="I679" s="2">
        <f>IFERROR(__xludf.DUMMYFUNCTION("""COMPUTED_VALUE"""),4516.22)</f>
        <v>4516.22</v>
      </c>
      <c r="J679" s="2">
        <f>IFERROR(__xludf.DUMMYFUNCTION("""COMPUTED_VALUE"""),2258.0)</f>
        <v>2258</v>
      </c>
      <c r="K679" s="2">
        <f>IFERROR(__xludf.DUMMYFUNCTION("""COMPUTED_VALUE"""),3.0)</f>
        <v>3</v>
      </c>
      <c r="L679" s="2" t="str">
        <f>IFERROR(__xludf.DUMMYFUNCTION("""COMPUTED_VALUE"""),"Rexant")</f>
        <v>Rexant</v>
      </c>
      <c r="M679" s="2" t="str">
        <f>IFERROR(__xludf.DUMMYFUNCTION("""COMPUTED_VALUE"""),"Прочие товары")</f>
        <v>Прочие товары</v>
      </c>
    </row>
    <row r="680">
      <c r="A680" s="5" t="str">
        <f>IFERROR(__xludf.DUMMYFUNCTION("""COMPUTED_VALUE"""),"4690612053028-1")</f>
        <v>4690612053028-1</v>
      </c>
      <c r="B680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IFERROR(__xludf.DUMMYFUNCTION("""COMPUTED_VALUE"""),607.3100000000001)</f>
        <v>607.31</v>
      </c>
      <c r="F680" s="2">
        <f>IFERROR(__xludf.DUMMYFUNCTION("""COMPUTED_VALUE"""),666.0)</f>
        <v>666</v>
      </c>
      <c r="G680" s="2">
        <f>IFERROR(__xludf.DUMMYFUNCTION("""COMPUTED_VALUE"""),778.0)</f>
        <v>778</v>
      </c>
      <c r="H680" s="2">
        <f>IFERROR(__xludf.DUMMYFUNCTION("""COMPUTED_VALUE"""),875.0)</f>
        <v>875</v>
      </c>
      <c r="I680" s="2">
        <f>IFERROR(__xludf.DUMMYFUNCTION("""COMPUTED_VALUE"""),972.0)</f>
        <v>972</v>
      </c>
      <c r="J680" s="2">
        <f>IFERROR(__xludf.DUMMYFUNCTION("""COMPUTED_VALUE"""),486.0)</f>
        <v>486</v>
      </c>
      <c r="K680" s="2">
        <f>IFERROR(__xludf.DUMMYFUNCTION("""COMPUTED_VALUE"""),2.0)</f>
        <v>2</v>
      </c>
      <c r="L6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5" t="str">
        <f>IFERROR(__xludf.DUMMYFUNCTION("""COMPUTED_VALUE"""),"V13004")</f>
        <v>V13004</v>
      </c>
      <c r="B681" s="5" t="str">
        <f>IFERROR(__xludf.DUMMYFUNCTION("""COMPUTED_VALUE"""),"VRN-RTL-44-8MA50K65-U, 44Вт, Универсальный")</f>
        <v>VRN-RTL-44-8MA50K65-U, 44Вт, Универсальный</v>
      </c>
      <c r="C681" s="2">
        <f>IFERROR(__xludf.DUMMYFUNCTION("""COMPUTED_VALUE"""),2.3)</f>
        <v>2.3</v>
      </c>
      <c r="D681" s="2">
        <f>IFERROR(__xludf.DUMMYFUNCTION("""COMPUTED_VALUE"""),0.0255)</f>
        <v>0.0255</v>
      </c>
      <c r="E681" s="2">
        <f>IFERROR(__xludf.DUMMYFUNCTION("""COMPUTED_VALUE"""),3387.0)</f>
        <v>3387</v>
      </c>
      <c r="F681" s="2">
        <f>IFERROR(__xludf.DUMMYFUNCTION("""COMPUTED_VALUE"""),3725.0)</f>
        <v>3725</v>
      </c>
      <c r="G681" s="2">
        <f>IFERROR(__xludf.DUMMYFUNCTION("""COMPUTED_VALUE"""),4843.0)</f>
        <v>4843</v>
      </c>
      <c r="H681" s="2">
        <f>IFERROR(__xludf.DUMMYFUNCTION("""COMPUTED_VALUE"""),5085.0)</f>
        <v>5085</v>
      </c>
      <c r="I681" s="2">
        <f>IFERROR(__xludf.DUMMYFUNCTION("""COMPUTED_VALUE"""),5327.0)</f>
        <v>5327</v>
      </c>
      <c r="J681" s="2">
        <f>IFERROR(__xludf.DUMMYFUNCTION("""COMPUTED_VALUE"""),2664.0)</f>
        <v>2664</v>
      </c>
      <c r="K681" s="2">
        <f>IFERROR(__xludf.DUMMYFUNCTION("""COMPUTED_VALUE"""),6.0)</f>
        <v>6</v>
      </c>
      <c r="L681" s="2" t="str">
        <f>IFERROR(__xludf.DUMMYFUNCTION("""COMPUTED_VALUE"""),"Ритейл")</f>
        <v>Ритейл</v>
      </c>
      <c r="M68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2">
      <c r="A682" s="5" t="str">
        <f>IFERROR(__xludf.DUMMYFUNCTION("""COMPUTED_VALUE"""),"4260652196285")</f>
        <v>4260652196285</v>
      </c>
      <c r="B682" s="5" t="str">
        <f>IFERROR(__xludf.DUMMYFUNCTION("""COMPUTED_VALUE"""),"WTL-15W/02B")</f>
        <v>WTL-15W/02B</v>
      </c>
      <c r="C682" s="2">
        <f>IFERROR(__xludf.DUMMYFUNCTION("""COMPUTED_VALUE"""),0.485)</f>
        <v>0.485</v>
      </c>
      <c r="D682" s="2">
        <f>IFERROR(__xludf.DUMMYFUNCTION("""COMPUTED_VALUE"""),0.00193)</f>
        <v>0.00193</v>
      </c>
      <c r="E682" s="2">
        <f>IFERROR(__xludf.DUMMYFUNCTION("""COMPUTED_VALUE"""),875.0)</f>
        <v>875</v>
      </c>
      <c r="F682" s="2">
        <f>IFERROR(__xludf.DUMMYFUNCTION("""COMPUTED_VALUE"""),1446.0)</f>
        <v>1446</v>
      </c>
      <c r="G682" s="2">
        <f>IFERROR(__xludf.DUMMYFUNCTION("""COMPUTED_VALUE"""),1495.0)</f>
        <v>1495</v>
      </c>
      <c r="H682" s="2">
        <f>IFERROR(__xludf.DUMMYFUNCTION("""COMPUTED_VALUE"""),1960.0)</f>
        <v>1960</v>
      </c>
      <c r="I682" s="2">
        <f>IFERROR(__xludf.DUMMYFUNCTION("""COMPUTED_VALUE"""),2450.0)</f>
        <v>2450</v>
      </c>
      <c r="J682" s="2">
        <f>IFERROR(__xludf.DUMMYFUNCTION("""COMPUTED_VALUE"""),1225.0)</f>
        <v>1225</v>
      </c>
      <c r="K682" s="2">
        <f>IFERROR(__xludf.DUMMYFUNCTION("""COMPUTED_VALUE"""),2.0)</f>
        <v>2</v>
      </c>
      <c r="L682" s="2" t="str">
        <f>IFERROR(__xludf.DUMMYFUNCTION("""COMPUTED_VALUE"""),"Wolta трековые")</f>
        <v>Wolta трековые</v>
      </c>
      <c r="M682" s="2" t="str">
        <f>IFERROR(__xludf.DUMMYFUNCTION("""COMPUTED_VALUE"""),"Трековые, LED Светильники")</f>
        <v>Трековые, LED Светильники</v>
      </c>
    </row>
    <row r="683">
      <c r="A683" s="5" t="str">
        <f>IFERROR(__xludf.DUMMYFUNCTION("""COMPUTED_VALUE"""),"B2100-ST-051")</f>
        <v>B2100-ST-051</v>
      </c>
      <c r="B683" s="5" t="str">
        <f>IFERROR(__xludf.DUMMYFUNCTION("""COMPUTED_VALUE"""),"Балка яруса Ш=2100 Cтeллaжа CT-051")</f>
        <v>Балка яруса Ш=2100 Cтeллaжа CT-051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IFERROR(__xludf.DUMMYFUNCTION("""COMPUTED_VALUE"""),0.0)</f>
        <v>0</v>
      </c>
      <c r="F683" s="2">
        <f>IFERROR(__xludf.DUMMYFUNCTION("""COMPUTED_VALUE"""),900.0)</f>
        <v>900</v>
      </c>
      <c r="G683" s="2">
        <f>IFERROR(__xludf.DUMMYFUNCTION("""COMPUTED_VALUE"""),960.0)</f>
        <v>960</v>
      </c>
      <c r="H683" s="2">
        <f>IFERROR(__xludf.DUMMYFUNCTION("""COMPUTED_VALUE"""),1080.0)</f>
        <v>1080</v>
      </c>
      <c r="I683" s="2">
        <f>IFERROR(__xludf.DUMMYFUNCTION("""COMPUTED_VALUE"""),1200.5)</f>
        <v>1200.5</v>
      </c>
      <c r="J683" s="2">
        <f>IFERROR(__xludf.DUMMYFUNCTION("""COMPUTED_VALUE"""),600.0)</f>
        <v>600</v>
      </c>
      <c r="K683" s="2">
        <f>IFERROR(__xludf.DUMMYFUNCTION("""COMPUTED_VALUE"""),18.0)</f>
        <v>18</v>
      </c>
      <c r="L683" s="2" t="str">
        <f>IFERROR(__xludf.DUMMYFUNCTION("""COMPUTED_VALUE"""),"Другие")</f>
        <v>Другие</v>
      </c>
      <c r="M683" s="2" t="str">
        <f>IFERROR(__xludf.DUMMYFUNCTION("""COMPUTED_VALUE"""),"Прочие товары")</f>
        <v>Прочие товары</v>
      </c>
    </row>
    <row r="684">
      <c r="A684" s="5" t="str">
        <f>IFERROR(__xludf.DUMMYFUNCTION("""COMPUTED_VALUE"""),"G103102207")</f>
        <v>G103102207</v>
      </c>
      <c r="B684" s="5" t="str">
        <f>IFERROR(__xludf.DUMMYFUNCTION("""COMPUTED_VALUE"""),"Candle E27 6.5W 4100К 1/10/100")</f>
        <v>Candle E27 6.5W 4100К 1/10/100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IFERROR(__xludf.DUMMYFUNCTION("""COMPUTED_VALUE"""),82.0)</f>
        <v>82</v>
      </c>
      <c r="K684" s="2">
        <f>IFERROR(__xludf.DUMMYFUNCTION("""COMPUTED_VALUE"""),49.0)</f>
        <v>49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IFERROR(__xludf.DUMMYFUNCTION("""COMPUTED_VALUE"""),"4690612057279")</f>
        <v>4690612057279</v>
      </c>
      <c r="B685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5" s="2">
        <f>IFERROR(__xludf.DUMMYFUNCTION("""COMPUTED_VALUE"""),0.9750000000000001)</f>
        <v>0.975</v>
      </c>
      <c r="D685" s="2">
        <f>IFERROR(__xludf.DUMMYFUNCTION("""COMPUTED_VALUE"""),0.01625)</f>
        <v>0.01625</v>
      </c>
      <c r="E685" s="2">
        <f>IFERROR(__xludf.DUMMYFUNCTION("""COMPUTED_VALUE"""),763.14)</f>
        <v>763.14</v>
      </c>
      <c r="F685" s="2">
        <f>IFERROR(__xludf.DUMMYFUNCTION("""COMPUTED_VALUE"""),964.0)</f>
        <v>964</v>
      </c>
      <c r="G685" s="2">
        <f>IFERROR(__xludf.DUMMYFUNCTION("""COMPUTED_VALUE"""),1084.0)</f>
        <v>1084</v>
      </c>
      <c r="H685" s="2">
        <f>IFERROR(__xludf.DUMMYFUNCTION("""COMPUTED_VALUE"""),1257.0)</f>
        <v>1257</v>
      </c>
      <c r="I685" s="2">
        <f>IFERROR(__xludf.DUMMYFUNCTION("""COMPUTED_VALUE"""),1445.0)</f>
        <v>1445</v>
      </c>
      <c r="J685" s="2">
        <f>IFERROR(__xludf.DUMMYFUNCTION("""COMPUTED_VALUE"""),723.0)</f>
        <v>723</v>
      </c>
      <c r="K685" s="2">
        <f>IFERROR(__xludf.DUMMYFUNCTION("""COMPUTED_VALUE"""),37.0)</f>
        <v>37</v>
      </c>
      <c r="L685" s="2" t="str">
        <f>IFERROR(__xludf.DUMMYFUNCTION("""COMPUTED_VALUE"""),"NEOX Светильники LED ДВО")</f>
        <v>NEOX Светильники LED ДВО</v>
      </c>
      <c r="M68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6">
      <c r="A686" s="5" t="str">
        <f>IFERROR(__xludf.DUMMYFUNCTION("""COMPUTED_VALUE"""),"4690612009025-5")</f>
        <v>4690612009025-5</v>
      </c>
      <c r="B686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6" s="2">
        <f>IFERROR(__xludf.DUMMYFUNCTION("""COMPUTED_VALUE"""),0.028)</f>
        <v>0.028</v>
      </c>
      <c r="D686" s="2">
        <f>IFERROR(__xludf.DUMMYFUNCTION("""COMPUTED_VALUE"""),1.3E-4)</f>
        <v>0.00013</v>
      </c>
      <c r="E686" s="2">
        <f>IFERROR(__xludf.DUMMYFUNCTION("""COMPUTED_VALUE"""),178.25)</f>
        <v>178.25</v>
      </c>
      <c r="F686" s="2">
        <f>IFERROR(__xludf.DUMMYFUNCTION("""COMPUTED_VALUE"""),196.0)</f>
        <v>196</v>
      </c>
      <c r="G686" s="2">
        <f>IFERROR(__xludf.DUMMYFUNCTION("""COMPUTED_VALUE"""),228.0)</f>
        <v>228</v>
      </c>
      <c r="H686" s="2">
        <f>IFERROR(__xludf.DUMMYFUNCTION("""COMPUTED_VALUE"""),257.0)</f>
        <v>257</v>
      </c>
      <c r="I686" s="2">
        <f>IFERROR(__xludf.DUMMYFUNCTION("""COMPUTED_VALUE"""),285.0)</f>
        <v>285</v>
      </c>
      <c r="J686" s="2">
        <f>IFERROR(__xludf.DUMMYFUNCTION("""COMPUTED_VALUE"""),143.0)</f>
        <v>143</v>
      </c>
      <c r="K686" s="2">
        <f>IFERROR(__xludf.DUMMYFUNCTION("""COMPUTED_VALUE"""),40.0)</f>
        <v>40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IFERROR(__xludf.DUMMYFUNCTION("""COMPUTED_VALUE"""),"G103101207")</f>
        <v>G103101207</v>
      </c>
      <c r="B687" s="5" t="str">
        <f>IFERROR(__xludf.DUMMYFUNCTION("""COMPUTED_VALUE"""),"Candle E14 6.5W 4100К 1/10/50")</f>
        <v>Candle E14 6.5W 4100К 1/10/50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IFERROR(__xludf.DUMMYFUNCTION("""COMPUTED_VALUE"""),78.87)</f>
        <v>78.87</v>
      </c>
      <c r="F687" s="2">
        <f>IFERROR(__xludf.DUMMYFUNCTION("""COMPUTED_VALUE"""),82.0)</f>
        <v>82</v>
      </c>
      <c r="G687" s="2">
        <f>IFERROR(__xludf.DUMMYFUNCTION("""COMPUTED_VALUE"""),90.0)</f>
        <v>90</v>
      </c>
      <c r="H687" s="2">
        <f>IFERROR(__xludf.DUMMYFUNCTION("""COMPUTED_VALUE"""),106.0)</f>
        <v>106</v>
      </c>
      <c r="I687" s="2">
        <f>IFERROR(__xludf.DUMMYFUNCTION("""COMPUTED_VALUE"""),134.0)</f>
        <v>134</v>
      </c>
      <c r="J687" s="2">
        <f>IFERROR(__xludf.DUMMYFUNCTION("""COMPUTED_VALUE"""),67.0)</f>
        <v>67</v>
      </c>
      <c r="K687" s="2">
        <f>IFERROR(__xludf.DUMMYFUNCTION("""COMPUTED_VALUE"""),1.0)</f>
        <v>1</v>
      </c>
      <c r="L687" s="2" t="str">
        <f>IFERROR(__xludf.DUMMYFUNCTION("""COMPUTED_VALUE"""),"Свечи")</f>
        <v>Свечи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IFERROR(__xludf.DUMMYFUNCTION("""COMPUTED_VALUE"""),"4690612024042")</f>
        <v>4690612024042</v>
      </c>
      <c r="B688" s="5" t="str">
        <f>IFERROR(__xludf.DUMMYFUNCTION("""COMPUTED_VALUE"""),"LED-A60-VC 8Вт 230В Е27 6500К 760Лм IN HOME")</f>
        <v>LED-A60-VC 8Вт 230В Е27 6500К 760Лм IN HOME</v>
      </c>
      <c r="C688" s="2">
        <f>IFERROR(__xludf.DUMMYFUNCTION("""COMPUTED_VALUE"""),0.05500000000000001)</f>
        <v>0.055</v>
      </c>
      <c r="D688" s="2">
        <f>IFERROR(__xludf.DUMMYFUNCTION("""COMPUTED_VALUE"""),4.0E-4)</f>
        <v>0.0004</v>
      </c>
      <c r="E688" s="2">
        <f>IFERROR(__xludf.DUMMYFUNCTION("""COMPUTED_VALUE"""),35.55)</f>
        <v>35.55</v>
      </c>
      <c r="F688" s="2">
        <f>IFERROR(__xludf.DUMMYFUNCTION("""COMPUTED_VALUE"""),43.0)</f>
        <v>43</v>
      </c>
      <c r="G688" s="2">
        <f>IFERROR(__xludf.DUMMYFUNCTION("""COMPUTED_VALUE"""),48.0)</f>
        <v>48</v>
      </c>
      <c r="H688" s="2">
        <f>IFERROR(__xludf.DUMMYFUNCTION("""COMPUTED_VALUE"""),56.0)</f>
        <v>56</v>
      </c>
      <c r="I688" s="2">
        <f>IFERROR(__xludf.DUMMYFUNCTION("""COMPUTED_VALUE"""),64.3)</f>
        <v>64.3</v>
      </c>
      <c r="J688" s="2">
        <f>IFERROR(__xludf.DUMMYFUNCTION("""COMPUTED_VALUE"""),32.0)</f>
        <v>32</v>
      </c>
      <c r="K688" s="2">
        <f>IFERROR(__xludf.DUMMYFUNCTION("""COMPUTED_VALUE"""),8.0)</f>
        <v>8</v>
      </c>
      <c r="L688" s="2" t="str">
        <f>IFERROR(__xludf.DUMMYFUNCTION("""COMPUTED_VALUE"""),"Лампа светодиодная LED-A60-standard")</f>
        <v>Лампа светодиодная LED-A60-standard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IFERROR(__xludf.DUMMYFUNCTION("""COMPUTED_VALUE"""),"4680005959754-10")</f>
        <v>4680005959754-10</v>
      </c>
      <c r="B689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9" s="2">
        <f>IFERROR(__xludf.DUMMYFUNCTION("""COMPUTED_VALUE"""),0.05)</f>
        <v>0.05</v>
      </c>
      <c r="D689" s="2">
        <f>IFERROR(__xludf.DUMMYFUNCTION("""COMPUTED_VALUE"""),2.5E-4)</f>
        <v>0.00025</v>
      </c>
      <c r="E689" s="2">
        <f>IFERROR(__xludf.DUMMYFUNCTION("""COMPUTED_VALUE"""),503.5)</f>
        <v>503.5</v>
      </c>
      <c r="F689" s="2">
        <f>IFERROR(__xludf.DUMMYFUNCTION("""COMPUTED_VALUE"""),552.0)</f>
        <v>552</v>
      </c>
      <c r="G689" s="2">
        <f>IFERROR(__xludf.DUMMYFUNCTION("""COMPUTED_VALUE"""),645.0)</f>
        <v>645</v>
      </c>
      <c r="H689" s="2">
        <f>IFERROR(__xludf.DUMMYFUNCTION("""COMPUTED_VALUE"""),725.0)</f>
        <v>725</v>
      </c>
      <c r="I689" s="2">
        <f>IFERROR(__xludf.DUMMYFUNCTION("""COMPUTED_VALUE"""),806.0)</f>
        <v>806</v>
      </c>
      <c r="J689" s="2">
        <f>IFERROR(__xludf.DUMMYFUNCTION("""COMPUTED_VALUE"""),403.0)</f>
        <v>403</v>
      </c>
      <c r="K689" s="2">
        <f>IFERROR(__xludf.DUMMYFUNCTION("""COMPUTED_VALUE"""),13.0)</f>
        <v>13</v>
      </c>
      <c r="L689" s="2" t="str">
        <f>IFERROR(__xludf.DUMMYFUNCTION("""COMPUTED_VALUE"""),"Розетки, вилки производство, упаковка")</f>
        <v>Розетки, вилки производство, упаковка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IFERROR(__xludf.DUMMYFUNCTION("""COMPUTED_VALUE"""),"11700133")</f>
        <v>11700133</v>
      </c>
      <c r="B690" s="5" t="str">
        <f>IFERROR(__xludf.DUMMYFUNCTION("""COMPUTED_VALUE"""),"LTT - BROKS L1000 4000К 30Вт")</f>
        <v>LTT - BROKS L1000 4000К 30Вт</v>
      </c>
      <c r="C690" s="2">
        <f>IFERROR(__xludf.DUMMYFUNCTION("""COMPUTED_VALUE"""),1.0)</f>
        <v>1</v>
      </c>
      <c r="D690" s="2">
        <f>IFERROR(__xludf.DUMMYFUNCTION("""COMPUTED_VALUE"""),0.006840000000000001)</f>
        <v>0.00684</v>
      </c>
      <c r="E690" s="2">
        <f>IFERROR(__xludf.DUMMYFUNCTION("""COMPUTED_VALUE"""),2302.25)</f>
        <v>2302.25</v>
      </c>
      <c r="F690" s="2">
        <f>IFERROR(__xludf.DUMMYFUNCTION("""COMPUTED_VALUE"""),3308.0)</f>
        <v>3308</v>
      </c>
      <c r="G690" s="2">
        <f>IFERROR(__xludf.DUMMYFUNCTION("""COMPUTED_VALUE"""),3701.0)</f>
        <v>3701</v>
      </c>
      <c r="H690" s="2">
        <f>IFERROR(__xludf.DUMMYFUNCTION("""COMPUTED_VALUE"""),4163.0)</f>
        <v>4163</v>
      </c>
      <c r="I690" s="2">
        <f>IFERROR(__xludf.DUMMYFUNCTION("""COMPUTED_VALUE"""),4626.0)</f>
        <v>4626</v>
      </c>
      <c r="J690" s="2">
        <f>IFERROR(__xludf.DUMMYFUNCTION("""COMPUTED_VALUE"""),2313.0)</f>
        <v>2313</v>
      </c>
      <c r="K690" s="2">
        <f>IFERROR(__xludf.DUMMYFUNCTION("""COMPUTED_VALUE"""),1.0)</f>
        <v>1</v>
      </c>
      <c r="L690" s="2" t="str">
        <f>IFERROR(__xludf.DUMMYFUNCTION("""COMPUTED_VALUE"""),"LEDOS Промышленное освещение")</f>
        <v>LEDOS Промышленное освещение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IFERROR(__xludf.DUMMYFUNCTION("""COMPUTED_VALUE"""),"4260652193406")</f>
        <v>4260652193406</v>
      </c>
      <c r="B691" s="5" t="str">
        <f>IFERROR(__xludf.DUMMYFUNCTION("""COMPUTED_VALUE"""),"LCL04-12W-R11-6K-SOA")</f>
        <v>LCL04-12W-R11-6K-SOA</v>
      </c>
      <c r="C691" s="2">
        <f>IFERROR(__xludf.DUMMYFUNCTION("""COMPUTED_VALUE"""),0.11)</f>
        <v>0.11</v>
      </c>
      <c r="D691" s="2">
        <f>IFERROR(__xludf.DUMMYFUNCTION("""COMPUTED_VALUE"""),0.0)</f>
        <v>0</v>
      </c>
      <c r="E691" s="2">
        <f>IFERROR(__xludf.DUMMYFUNCTION("""COMPUTED_VALUE"""),237.07)</f>
        <v>237.07</v>
      </c>
      <c r="F691" s="2">
        <f>IFERROR(__xludf.DUMMYFUNCTION("""COMPUTED_VALUE"""),340.0)</f>
        <v>340</v>
      </c>
      <c r="G691" s="2">
        <f>IFERROR(__xludf.DUMMYFUNCTION("""COMPUTED_VALUE"""),352.0)</f>
        <v>352</v>
      </c>
      <c r="H691" s="2">
        <f>IFERROR(__xludf.DUMMYFUNCTION("""COMPUTED_VALUE"""),461.0)</f>
        <v>461</v>
      </c>
      <c r="I691" s="2">
        <f>IFERROR(__xludf.DUMMYFUNCTION("""COMPUTED_VALUE"""),576.0)</f>
        <v>576</v>
      </c>
      <c r="J691" s="2">
        <f>IFERROR(__xludf.DUMMYFUNCTION("""COMPUTED_VALUE"""),288.0)</f>
        <v>288</v>
      </c>
      <c r="K691" s="2">
        <f>IFERROR(__xludf.DUMMYFUNCTION("""COMPUTED_VALUE"""),34.0)</f>
        <v>34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5" t="str">
        <f>IFERROR(__xludf.DUMMYFUNCTION("""COMPUTED_VALUE"""),"GL8280")</f>
        <v>GL8280</v>
      </c>
      <c r="B692" s="5" t="str">
        <f>IFERROR(__xludf.DUMMYFUNCTION("""COMPUTED_VALUE"""),"GLERIO Line Ultra 36 Вт 4000К 94P-36D-4N-M")</f>
        <v>GLERIO Line Ultra 36 Вт 4000К 94P-36D-4N-M</v>
      </c>
      <c r="C692" s="2">
        <f>IFERROR(__xludf.DUMMYFUNCTION("""COMPUTED_VALUE"""),0.7200000000000001)</f>
        <v>0.72</v>
      </c>
      <c r="D692" s="2">
        <f>IFERROR(__xludf.DUMMYFUNCTION("""COMPUTED_VALUE"""),0.00485)</f>
        <v>0.00485</v>
      </c>
      <c r="E692" s="2">
        <f>IFERROR(__xludf.DUMMYFUNCTION("""COMPUTED_VALUE"""),2114.6)</f>
        <v>2114.6</v>
      </c>
      <c r="F692" s="2">
        <f>IFERROR(__xludf.DUMMYFUNCTION("""COMPUTED_VALUE"""),2680.0)</f>
        <v>2680</v>
      </c>
      <c r="G692" s="2">
        <f>IFERROR(__xludf.DUMMYFUNCTION("""COMPUTED_VALUE"""),3374.0)</f>
        <v>3374</v>
      </c>
      <c r="H692" s="2">
        <f>IFERROR(__xludf.DUMMYFUNCTION("""COMPUTED_VALUE"""),3789.0)</f>
        <v>3789</v>
      </c>
      <c r="I692" s="2">
        <f>IFERROR(__xludf.DUMMYFUNCTION("""COMPUTED_VALUE"""),4204.0)</f>
        <v>4204</v>
      </c>
      <c r="J692" s="2">
        <f>IFERROR(__xludf.DUMMYFUNCTION("""COMPUTED_VALUE"""),2102.0)</f>
        <v>2102</v>
      </c>
      <c r="K692" s="2">
        <f>IFERROR(__xludf.DUMMYFUNCTION("""COMPUTED_VALUE"""),3.0)</f>
        <v>3</v>
      </c>
      <c r="L692" s="2" t="str">
        <f>IFERROR(__xludf.DUMMYFUNCTION("""COMPUTED_VALUE"""),"Line Ultra (Сеть) до 10.2025")</f>
        <v>Line Ultra (Сеть) до 10.2025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IFERROR(__xludf.DUMMYFUNCTION("""COMPUTED_VALUE"""),"14690612038169")</f>
        <v>14690612038169</v>
      </c>
      <c r="B693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3" s="2">
        <f>IFERROR(__xludf.DUMMYFUNCTION("""COMPUTED_VALUE"""),1.075)</f>
        <v>1.075</v>
      </c>
      <c r="D693" s="2">
        <f>IFERROR(__xludf.DUMMYFUNCTION("""COMPUTED_VALUE"""),0.01)</f>
        <v>0.01</v>
      </c>
      <c r="E693" s="2">
        <f>IFERROR(__xludf.DUMMYFUNCTION("""COMPUTED_VALUE"""),1924.67)</f>
        <v>1924.67</v>
      </c>
      <c r="F693" s="2">
        <f>IFERROR(__xludf.DUMMYFUNCTION("""COMPUTED_VALUE"""),2112.0)</f>
        <v>2112</v>
      </c>
      <c r="G693" s="2">
        <f>IFERROR(__xludf.DUMMYFUNCTION("""COMPUTED_VALUE"""),2463.0)</f>
        <v>2463</v>
      </c>
      <c r="H693" s="2">
        <f>IFERROR(__xludf.DUMMYFUNCTION("""COMPUTED_VALUE"""),2771.0)</f>
        <v>2771</v>
      </c>
      <c r="I693" s="2">
        <f>IFERROR(__xludf.DUMMYFUNCTION("""COMPUTED_VALUE"""),3079.0)</f>
        <v>3079</v>
      </c>
      <c r="J693" s="2">
        <f>IFERROR(__xludf.DUMMYFUNCTION("""COMPUTED_VALUE"""),1540.0)</f>
        <v>1540</v>
      </c>
      <c r="K693" s="2">
        <f>IFERROR(__xludf.DUMMYFUNCTION("""COMPUTED_VALUE"""),13.0)</f>
        <v>13</v>
      </c>
      <c r="L6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4">
      <c r="A694" s="5" t="str">
        <f>IFERROR(__xludf.DUMMYFUNCTION("""COMPUTED_VALUE"""),"V11013")</f>
        <v>V11013</v>
      </c>
      <c r="B694" s="5" t="str">
        <f>IFERROR(__xludf.DUMMYFUNCTION("""COMPUTED_VALUE"""),"VRN-LPE30-64-A50K67-U, 64Вт, Универсальный")</f>
        <v>VRN-LPE30-64-A50K67-U, 64Вт, Универсальный</v>
      </c>
      <c r="C694" s="2">
        <f>IFERROR(__xludf.DUMMYFUNCTION("""COMPUTED_VALUE"""),2.0)</f>
        <v>2</v>
      </c>
      <c r="D694" s="2">
        <f>IFERROR(__xludf.DUMMYFUNCTION("""COMPUTED_VALUE"""),0.0074)</f>
        <v>0.0074</v>
      </c>
      <c r="E694" s="2">
        <f>IFERROR(__xludf.DUMMYFUNCTION("""COMPUTED_VALUE"""),3250.0)</f>
        <v>3250</v>
      </c>
      <c r="F694" s="2">
        <f>IFERROR(__xludf.DUMMYFUNCTION("""COMPUTED_VALUE"""),3760.0)</f>
        <v>3760</v>
      </c>
      <c r="G694" s="2">
        <f>IFERROR(__xludf.DUMMYFUNCTION("""COMPUTED_VALUE"""),4888.0)</f>
        <v>4888</v>
      </c>
      <c r="H694" s="2">
        <f>IFERROR(__xludf.DUMMYFUNCTION("""COMPUTED_VALUE"""),5132.0)</f>
        <v>5132</v>
      </c>
      <c r="I694" s="2">
        <f>IFERROR(__xludf.DUMMYFUNCTION("""COMPUTED_VALUE"""),5377.0)</f>
        <v>5377</v>
      </c>
      <c r="J694" s="2">
        <f>IFERROR(__xludf.DUMMYFUNCTION("""COMPUTED_VALUE"""),2689.0)</f>
        <v>2689</v>
      </c>
      <c r="K694" s="2">
        <f>IFERROR(__xludf.DUMMYFUNCTION("""COMPUTED_VALUE"""),14.0)</f>
        <v>14</v>
      </c>
      <c r="L694" s="2" t="str">
        <f>IFERROR(__xludf.DUMMYFUNCTION("""COMPUTED_VALUE"""),"Прожектор Эконом")</f>
        <v>Прожектор Эконом</v>
      </c>
      <c r="M69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5">
      <c r="A695" s="5" t="str">
        <f>IFERROR(__xludf.DUMMYFUNCTION("""COMPUTED_VALUE"""),"4690612030890")</f>
        <v>4690612030890</v>
      </c>
      <c r="B695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5" s="2">
        <f>IFERROR(__xludf.DUMMYFUNCTION("""COMPUTED_VALUE"""),0.108)</f>
        <v>0.108</v>
      </c>
      <c r="D695" s="2">
        <f>IFERROR(__xludf.DUMMYFUNCTION("""COMPUTED_VALUE"""),7.2E-4)</f>
        <v>0.00072</v>
      </c>
      <c r="E695" s="2">
        <f>IFERROR(__xludf.DUMMYFUNCTION("""COMPUTED_VALUE"""),62.4)</f>
        <v>62.4</v>
      </c>
      <c r="F695" s="2">
        <f>IFERROR(__xludf.DUMMYFUNCTION("""COMPUTED_VALUE"""),80.0)</f>
        <v>80</v>
      </c>
      <c r="G695" s="2">
        <f>IFERROR(__xludf.DUMMYFUNCTION("""COMPUTED_VALUE"""),90.0)</f>
        <v>90</v>
      </c>
      <c r="H695" s="2">
        <f>IFERROR(__xludf.DUMMYFUNCTION("""COMPUTED_VALUE"""),104.0)</f>
        <v>104</v>
      </c>
      <c r="I695" s="2">
        <f>IFERROR(__xludf.DUMMYFUNCTION("""COMPUTED_VALUE"""),120.4)</f>
        <v>120.4</v>
      </c>
      <c r="J695" s="2">
        <f>IFERROR(__xludf.DUMMYFUNCTION("""COMPUTED_VALUE"""),60.0)</f>
        <v>60</v>
      </c>
      <c r="K695" s="2">
        <f>IFERROR(__xludf.DUMMYFUNCTION("""COMPUTED_VALUE"""),20.0)</f>
        <v>20</v>
      </c>
      <c r="L695" s="2" t="str">
        <f>IFERROR(__xludf.DUMMYFUNCTION("""COMPUTED_VALUE"""),"Лампа светодиодная LED-T8")</f>
        <v>Лампа светодиодная LED-T8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IFERROR(__xludf.DUMMYFUNCTION("""COMPUTED_VALUE"""),"G207707202")</f>
        <v>G207707202</v>
      </c>
      <c r="B696" s="5" t="str">
        <f>IFERROR(__xludf.DUMMYFUNCTION("""COMPUTED_VALUE"""),"G4 12V 2W 4100K 1/20/200")</f>
        <v>G4 12V 2W 4100K 1/20/200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IFERROR(__xludf.DUMMYFUNCTION("""COMPUTED_VALUE"""),169.9)</f>
        <v>169.9</v>
      </c>
      <c r="F696" s="2">
        <f>IFERROR(__xludf.DUMMYFUNCTION("""COMPUTED_VALUE"""),186.0)</f>
        <v>186</v>
      </c>
      <c r="G696" s="2">
        <f>IFERROR(__xludf.DUMMYFUNCTION("""COMPUTED_VALUE"""),205.0)</f>
        <v>205</v>
      </c>
      <c r="H696" s="2">
        <f>IFERROR(__xludf.DUMMYFUNCTION("""COMPUTED_VALUE"""),241.0)</f>
        <v>241</v>
      </c>
      <c r="I696" s="2">
        <f>IFERROR(__xludf.DUMMYFUNCTION("""COMPUTED_VALUE"""),305.0)</f>
        <v>305</v>
      </c>
      <c r="J696" s="2">
        <f>IFERROR(__xludf.DUMMYFUNCTION("""COMPUTED_VALUE"""),153.0)</f>
        <v>153</v>
      </c>
      <c r="K696" s="2">
        <f>IFERROR(__xludf.DUMMYFUNCTION("""COMPUTED_VALUE"""),8.0)</f>
        <v>8</v>
      </c>
      <c r="L696" s="2" t="str">
        <f>IFERROR(__xludf.DUMMYFUNCTION("""COMPUTED_VALUE"""),"Капсульные лампы G4, G9")</f>
        <v>Капсульные лампы G4, G9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IFERROR(__xludf.DUMMYFUNCTION("""COMPUTED_VALUE"""),"4690612023250")</f>
        <v>4690612023250</v>
      </c>
      <c r="B697" s="5" t="str">
        <f>IFERROR(__xludf.DUMMYFUNCTION("""COMPUTED_VALUE"""),"RING-1540R-W 15Вт 230В 4000К 910Лм 190мм IP65 КРУГ IN HOME")</f>
        <v>RING-1540R-W 15Вт 230В 4000К 910Лм 190мм IP65 КРУГ IN HOME</v>
      </c>
      <c r="C697" s="2">
        <f>IFERROR(__xludf.DUMMYFUNCTION("""COMPUTED_VALUE"""),0.38333)</f>
        <v>0.38333</v>
      </c>
      <c r="D697" s="2">
        <f>IFERROR(__xludf.DUMMYFUNCTION("""COMPUTED_VALUE"""),0.00208)</f>
        <v>0.00208</v>
      </c>
      <c r="E697" s="2">
        <f>IFERROR(__xludf.DUMMYFUNCTION("""COMPUTED_VALUE"""),567.97)</f>
        <v>567.97</v>
      </c>
      <c r="F697" s="2">
        <f>IFERROR(__xludf.DUMMYFUNCTION("""COMPUTED_VALUE"""),557.0)</f>
        <v>557</v>
      </c>
      <c r="G697" s="2">
        <f>IFERROR(__xludf.DUMMYFUNCTION("""COMPUTED_VALUE"""),627.0)</f>
        <v>627</v>
      </c>
      <c r="H697" s="2">
        <f>IFERROR(__xludf.DUMMYFUNCTION("""COMPUTED_VALUE"""),727.0)</f>
        <v>727</v>
      </c>
      <c r="I697" s="2">
        <f>IFERROR(__xludf.DUMMYFUNCTION("""COMPUTED_VALUE"""),836.0)</f>
        <v>836</v>
      </c>
      <c r="J697" s="2">
        <f>IFERROR(__xludf.DUMMYFUNCTION("""COMPUTED_VALUE"""),418.0)</f>
        <v>418</v>
      </c>
      <c r="K697" s="2">
        <f>IFERROR(__xludf.DUMMYFUNCTION("""COMPUTED_VALUE"""),24.0)</f>
        <v>24</v>
      </c>
      <c r="L697" s="2" t="str">
        <f>IFERROR(__xludf.DUMMYFUNCTION("""COMPUTED_VALUE"""),"Светильники светодиодные RING")</f>
        <v>Светильники светодиодные RING</v>
      </c>
      <c r="M6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5" t="str">
        <f>IFERROR(__xludf.DUMMYFUNCTION("""COMPUTED_VALUE"""),"4690612020297")</f>
        <v>4690612020297</v>
      </c>
      <c r="B698" s="5" t="str">
        <f>IFERROR(__xludf.DUMMYFUNCTION("""COMPUTED_VALUE"""),"LED-A60-VC 20Вт 230В Е27 3000К 1900Лм IN HOME")</f>
        <v>LED-A60-VC 20Вт 230В Е27 3000К 1900Лм IN HOME</v>
      </c>
      <c r="C698" s="2">
        <f>IFERROR(__xludf.DUMMYFUNCTION("""COMPUTED_VALUE"""),0.05500000000000001)</f>
        <v>0.055</v>
      </c>
      <c r="D698" s="2">
        <f>IFERROR(__xludf.DUMMYFUNCTION("""COMPUTED_VALUE"""),4.0E-4)</f>
        <v>0.0004</v>
      </c>
      <c r="E698" s="2">
        <f>IFERROR(__xludf.DUMMYFUNCTION("""COMPUTED_VALUE"""),57.0)</f>
        <v>57</v>
      </c>
      <c r="F698" s="2">
        <f>IFERROR(__xludf.DUMMYFUNCTION("""COMPUTED_VALUE"""),60.0)</f>
        <v>60</v>
      </c>
      <c r="G698" s="2">
        <f>IFERROR(__xludf.DUMMYFUNCTION("""COMPUTED_VALUE"""),68.0)</f>
        <v>68</v>
      </c>
      <c r="H698" s="2">
        <f>IFERROR(__xludf.DUMMYFUNCTION("""COMPUTED_VALUE"""),78.0)</f>
        <v>78</v>
      </c>
      <c r="I698" s="2">
        <f>IFERROR(__xludf.DUMMYFUNCTION("""COMPUTED_VALUE"""),90.5)</f>
        <v>90.5</v>
      </c>
      <c r="J698" s="2">
        <f>IFERROR(__xludf.DUMMYFUNCTION("""COMPUTED_VALUE"""),45.0)</f>
        <v>45</v>
      </c>
      <c r="K698" s="2">
        <f>IFERROR(__xludf.DUMMYFUNCTION("""COMPUTED_VALUE"""),13.0)</f>
        <v>13</v>
      </c>
      <c r="L698" s="2" t="str">
        <f>IFERROR(__xludf.DUMMYFUNCTION("""COMPUTED_VALUE"""),"Лампа светодиодная LED-A60-standard")</f>
        <v>Лампа светодиодная LED-A60-standard</v>
      </c>
      <c r="M698" s="2" t="str">
        <f>IFERROR(__xludf.DUMMYFUNCTION("""COMPUTED_VALUE"""),"Лампы")</f>
        <v>Лампы</v>
      </c>
    </row>
    <row r="699">
      <c r="A699" s="5" t="str">
        <f>IFERROR(__xludf.DUMMYFUNCTION("""COMPUTED_VALUE"""),"4690612044217")</f>
        <v>4690612044217</v>
      </c>
      <c r="B699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IFERROR(__xludf.DUMMYFUNCTION("""COMPUTED_VALUE"""),459.45)</f>
        <v>459.45</v>
      </c>
      <c r="F699" s="2">
        <f>IFERROR(__xludf.DUMMYFUNCTION("""COMPUTED_VALUE"""),576.0)</f>
        <v>576</v>
      </c>
      <c r="G699" s="2">
        <f>IFERROR(__xludf.DUMMYFUNCTION("""COMPUTED_VALUE"""),648.0)</f>
        <v>648</v>
      </c>
      <c r="H699" s="2">
        <f>IFERROR(__xludf.DUMMYFUNCTION("""COMPUTED_VALUE"""),751.0)</f>
        <v>751</v>
      </c>
      <c r="I699" s="2">
        <f>IFERROR(__xludf.DUMMYFUNCTION("""COMPUTED_VALUE"""),864.0)</f>
        <v>864</v>
      </c>
      <c r="J699" s="2">
        <f>IFERROR(__xludf.DUMMYFUNCTION("""COMPUTED_VALUE"""),432.0)</f>
        <v>432</v>
      </c>
      <c r="K699" s="2">
        <f>IFERROR(__xludf.DUMMYFUNCTION("""COMPUTED_VALUE"""),5.0)</f>
        <v>5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5" t="str">
        <f>IFERROR(__xludf.DUMMYFUNCTION("""COMPUTED_VALUE"""),"4690612029979")</f>
        <v>4690612029979</v>
      </c>
      <c r="B70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5" t="str">
        <f>IFERROR(__xludf.DUMMYFUNCTION("""COMPUTED_VALUE"""),"4690612064390-1")</f>
        <v>4690612064390-1</v>
      </c>
      <c r="B70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IFERROR(__xludf.DUMMYFUNCTION("""COMPUTED_VALUE"""),1324.0)</f>
        <v>1324</v>
      </c>
      <c r="H701" s="2">
        <f>IFERROR(__xludf.DUMMYFUNCTION("""COMPUTED_VALUE"""),1490.0)</f>
        <v>1490</v>
      </c>
      <c r="I701" s="2">
        <f>IFERROR(__xludf.DUMMYFUNCTION("""COMPUTED_VALUE"""),1655.0)</f>
        <v>1655</v>
      </c>
      <c r="J701" s="2">
        <f>IFERROR(__xludf.DUMMYFUNCTION("""COMPUTED_VALUE"""),828.0)</f>
        <v>828</v>
      </c>
      <c r="K701" s="2">
        <f>IFERROR(__xludf.DUMMYFUNCTION("""COMPUTED_VALUE"""),22.0)</f>
        <v>22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5" t="str">
        <f>IFERROR(__xludf.DUMMYFUNCTION("""COMPUTED_VALUE"""),"4690612037561")</f>
        <v>4690612037561</v>
      </c>
      <c r="B702" s="5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5" t="str">
        <f>IFERROR(__xludf.DUMMYFUNCTION("""COMPUTED_VALUE"""),"4690612013473")</f>
        <v>4690612013473</v>
      </c>
      <c r="B70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IFERROR(__xludf.DUMMYFUNCTION("""COMPUTED_VALUE"""),"4260652193383")</f>
        <v>4260652193383</v>
      </c>
      <c r="B704" s="5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IFERROR(__xludf.DUMMYFUNCTION("""COMPUTED_VALUE"""),62.0)</f>
        <v>62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IFERROR(__xludf.DUMMYFUNCTION("""COMPUTED_VALUE"""),"4690612003757")</f>
        <v>4690612003757</v>
      </c>
      <c r="B705" s="5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IFERROR(__xludf.DUMMYFUNCTION("""COMPUTED_VALUE"""),"4690612020563")</f>
        <v>4690612020563</v>
      </c>
      <c r="B706" s="5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IFERROR(__xludf.DUMMYFUNCTION("""COMPUTED_VALUE"""),"4260652192843")</f>
        <v>4260652192843</v>
      </c>
      <c r="B707" s="5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5" t="str">
        <f>IFERROR(__xludf.DUMMYFUNCTION("""COMPUTED_VALUE"""),"ves2015")</f>
        <v>ves2015</v>
      </c>
      <c r="B708" s="5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IFERROR(__xludf.DUMMYFUNCTION("""COMPUTED_VALUE"""),"V9048")</f>
        <v>V9048</v>
      </c>
      <c r="B709" s="5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IFERROR(__xludf.DUMMYFUNCTION("""COMPUTED_VALUE"""),15.0)</f>
        <v>15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5" t="str">
        <f>IFERROR(__xludf.DUMMYFUNCTION("""COMPUTED_VALUE"""),"4690612042565")</f>
        <v>4690612042565</v>
      </c>
      <c r="B710" s="5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5" t="str">
        <f>IFERROR(__xludf.DUMMYFUNCTION("""COMPUTED_VALUE"""),"4260652193499")</f>
        <v>4260652193499</v>
      </c>
      <c r="B711" s="5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5" t="str">
        <f>IFERROR(__xludf.DUMMYFUNCTION("""COMPUTED_VALUE"""),"R102823")</f>
        <v>R102823</v>
      </c>
      <c r="B712" s="5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IFERROR(__xludf.DUMMYFUNCTION("""COMPUTED_VALUE"""),131.0)</f>
        <v>131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5" t="str">
        <f>IFERROR(__xludf.DUMMYFUNCTION("""COMPUTED_VALUE"""),"R100872")</f>
        <v>R100872</v>
      </c>
      <c r="B713" s="5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5" t="str">
        <f>IFERROR(__xludf.DUMMYFUNCTION("""COMPUTED_VALUE"""),"V13101")</f>
        <v>V13101</v>
      </c>
      <c r="B714" s="5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5" t="str">
        <f>IFERROR(__xludf.DUMMYFUNCTION("""COMPUTED_VALUE"""),"4690612001395")</f>
        <v>4690612001395</v>
      </c>
      <c r="B715" s="5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IFERROR(__xludf.DUMMYFUNCTION("""COMPUTED_VALUE"""),"GL8113")</f>
        <v>GL8113</v>
      </c>
      <c r="B716" s="5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5" t="str">
        <f>IFERROR(__xludf.DUMMYFUNCTION("""COMPUTED_VALUE"""),"12-0123-1")</f>
        <v>12-0123-1</v>
      </c>
      <c r="B71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IFERROR(__xludf.DUMMYFUNCTION("""COMPUTED_VALUE"""),"12-0186")</f>
        <v>12-0186</v>
      </c>
      <c r="B71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IFERROR(__xludf.DUMMYFUNCTION("""COMPUTED_VALUE"""),"V9020")</f>
        <v>V9020</v>
      </c>
      <c r="B719" s="5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5" t="str">
        <f>IFERROR(__xludf.DUMMYFUNCTION("""COMPUTED_VALUE"""),"4690612044224")</f>
        <v>4690612044224</v>
      </c>
      <c r="B72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5" t="str">
        <f>IFERROR(__xludf.DUMMYFUNCTION("""COMPUTED_VALUE"""),"R100006")</f>
        <v>R100006</v>
      </c>
      <c r="B721" s="5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5" t="str">
        <f>IFERROR(__xludf.DUMMYFUNCTION("""COMPUTED_VALUE"""),"4690612013299")</f>
        <v>4690612013299</v>
      </c>
      <c r="B72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IFERROR(__xludf.DUMMYFUNCTION("""COMPUTED_VALUE"""),"4690612036571")</f>
        <v>4690612036571</v>
      </c>
      <c r="B72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IFERROR(__xludf.DUMMYFUNCTION("""COMPUTED_VALUE"""),"4260652193451")</f>
        <v>4260652193451</v>
      </c>
      <c r="B724" s="5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5" t="str">
        <f>IFERROR(__xludf.DUMMYFUNCTION("""COMPUTED_VALUE"""),"4690612007298")</f>
        <v>4690612007298</v>
      </c>
      <c r="B72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IFERROR(__xludf.DUMMYFUNCTION("""COMPUTED_VALUE"""),"4690612030814")</f>
        <v>4690612030814</v>
      </c>
      <c r="B726" s="5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IFERROR(__xludf.DUMMYFUNCTION("""COMPUTED_VALUE"""),"4680005959754")</f>
        <v>4680005959754</v>
      </c>
      <c r="B727" s="5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IFERROR(__xludf.DUMMYFUNCTION("""COMPUTED_VALUE"""),"ves2011")</f>
        <v>ves2011</v>
      </c>
      <c r="B728" s="5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IFERROR(__xludf.DUMMYFUNCTION("""COMPUTED_VALUE"""),"12-0183-1")</f>
        <v>12-0183-1</v>
      </c>
      <c r="B72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IFERROR(__xludf.DUMMYFUNCTION("""COMPUTED_VALUE"""),"4690612013480")</f>
        <v>4690612013480</v>
      </c>
      <c r="B73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IFERROR(__xludf.DUMMYFUNCTION("""COMPUTED_VALUE"""),"4690612013497")</f>
        <v>4690612013497</v>
      </c>
      <c r="B73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5" t="str">
        <f>IFERROR(__xludf.DUMMYFUNCTION("""COMPUTED_VALUE"""),"GL81211")</f>
        <v>GL81211</v>
      </c>
      <c r="B732" s="5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5" t="str">
        <f>IFERROR(__xludf.DUMMYFUNCTION("""COMPUTED_VALUE"""),"4690626052659")</f>
        <v>4690626052659</v>
      </c>
      <c r="B733" s="5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IFERROR(__xludf.DUMMYFUNCTION("""COMPUTED_VALUE"""),"4690612038803-1")</f>
        <v>4690612038803-1</v>
      </c>
      <c r="B73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IFERROR(__xludf.DUMMYFUNCTION("""COMPUTED_VALUE"""),918.0)</f>
        <v>918</v>
      </c>
      <c r="H734" s="2">
        <f>IFERROR(__xludf.DUMMYFUNCTION("""COMPUTED_VALUE"""),1033.0)</f>
        <v>1033</v>
      </c>
      <c r="I734" s="2">
        <f>IFERROR(__xludf.DUMMYFUNCTION("""COMPUTED_VALUE"""),1148.0)</f>
        <v>1148</v>
      </c>
      <c r="J734" s="2">
        <f>IFERROR(__xludf.DUMMYFUNCTION("""COMPUTED_VALUE"""),574.0)</f>
        <v>574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IFERROR(__xludf.DUMMYFUNCTION("""COMPUTED_VALUE"""),"4690612005102")</f>
        <v>4690612005102</v>
      </c>
      <c r="B735" s="5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IFERROR(__xludf.DUMMYFUNCTION("""COMPUTED_VALUE"""),"GL51301")</f>
        <v>GL51301</v>
      </c>
      <c r="B736" s="5" t="str">
        <f>IFERROR(__xludf.DUMMYFUNCTION("""COMPUTED_VALUE"""),"GLERIO Practical 64 Вт 5000К 6A-64D-5U+")</f>
        <v>GLERIO Practical 64 Вт 5000К 6A-64D-5U+</v>
      </c>
      <c r="C736" s="2">
        <f>IFERROR(__xludf.DUMMYFUNCTION("""COMPUTED_VALUE"""),1.2)</f>
        <v>1.2</v>
      </c>
      <c r="D736" s="2">
        <f>IFERROR(__xludf.DUMMYFUNCTION("""COMPUTED_VALUE"""),0.00357)</f>
        <v>0.00357</v>
      </c>
      <c r="E736" s="2">
        <f>IFERROR(__xludf.DUMMYFUNCTION("""COMPUTED_VALUE"""),2095.2)</f>
        <v>2095.2</v>
      </c>
      <c r="F736" s="2">
        <f>IFERROR(__xludf.DUMMYFUNCTION("""COMPUTED_VALUE"""),2400.0)</f>
        <v>2400</v>
      </c>
      <c r="G736" s="2">
        <f>IFERROR(__xludf.DUMMYFUNCTION("""COMPUTED_VALUE"""),3000.0)</f>
        <v>3000</v>
      </c>
      <c r="H736" s="2">
        <f>IFERROR(__xludf.DUMMYFUNCTION("""COMPUTED_VALUE"""),3375.0)</f>
        <v>3375</v>
      </c>
      <c r="I736" s="2">
        <f>IFERROR(__xludf.DUMMYFUNCTION("""COMPUTED_VALUE"""),3750.0)</f>
        <v>3750</v>
      </c>
      <c r="J736" s="2">
        <f>IFERROR(__xludf.DUMMYFUNCTION("""COMPUTED_VALUE"""),3750.0)</f>
        <v>3750</v>
      </c>
      <c r="K736" s="2">
        <f>IFERROR(__xludf.DUMMYFUNCTION("""COMPUTED_VALUE"""),0.0)</f>
        <v>0</v>
      </c>
      <c r="L736" s="2" t="str">
        <f>IFERROR(__xludf.DUMMYFUNCTION("""COMPUTED_VALUE"""),"Practical+ Уличные GLERIO")</f>
        <v>Practical+ Уличные GLERIO</v>
      </c>
      <c r="M736" s="2" t="str">
        <f>IFERROR(__xludf.DUMMYFUNCTION("""COMPUTED_VALUE"""),"Для обычных дорог, LED Светильники")</f>
        <v>Для обычных дорог, LED Светильники</v>
      </c>
    </row>
    <row r="737">
      <c r="A737" s="5" t="str">
        <f>IFERROR(__xludf.DUMMYFUNCTION("""COMPUTED_VALUE"""),"4690612034782")</f>
        <v>4690612034782</v>
      </c>
      <c r="B73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7" s="2">
        <f>IFERROR(__xludf.DUMMYFUNCTION("""COMPUTED_VALUE"""),2.14)</f>
        <v>2.14</v>
      </c>
      <c r="D737" s="2">
        <f>IFERROR(__xludf.DUMMYFUNCTION("""COMPUTED_VALUE"""),0.03800000000000001)</f>
        <v>0.038</v>
      </c>
      <c r="E737" s="2">
        <f>IFERROR(__xludf.DUMMYFUNCTION("""COMPUTED_VALUE"""),0.0)</f>
        <v>0</v>
      </c>
      <c r="F737" s="2">
        <f>IFERROR(__xludf.DUMMYFUNCTION("""COMPUTED_VALUE"""),1829.0)</f>
        <v>1829</v>
      </c>
      <c r="G737" s="2">
        <f>IFERROR(__xludf.DUMMYFUNCTION("""COMPUTED_VALUE"""),2058.0)</f>
        <v>2058</v>
      </c>
      <c r="H737" s="2">
        <f>IFERROR(__xludf.DUMMYFUNCTION("""COMPUTED_VALUE"""),2387.0)</f>
        <v>2387</v>
      </c>
      <c r="I737" s="2">
        <f>IFERROR(__xludf.DUMMYFUNCTION("""COMPUTED_VALUE"""),2744.0)</f>
        <v>2744</v>
      </c>
      <c r="J737" s="2">
        <f>IFERROR(__xludf.DUMMYFUNCTION("""COMPUTED_VALUE"""),1372.0)</f>
        <v>1372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5" t="str">
        <f>IFERROR(__xludf.DUMMYFUNCTION("""COMPUTED_VALUE"""),"Fefco/0201-8")</f>
        <v>Fefco/0201-8</v>
      </c>
      <c r="B738" s="5" t="str">
        <f>IFERROR(__xludf.DUMMYFUNCTION("""COMPUTED_VALUE"""),"Короб 300х300х200 (картон Т-24 ""В"" бурый)")</f>
        <v>Короб 300х300х200 (картон Т-24 "В" бурый)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IFERROR(__xludf.DUMMYFUNCTION("""COMPUTED_VALUE"""),71.0)</f>
        <v>71</v>
      </c>
      <c r="F738" s="2">
        <f>IFERROR(__xludf.DUMMYFUNCTION("""COMPUTED_VALUE"""),1.0)</f>
        <v>1</v>
      </c>
      <c r="G738" s="2">
        <f>IFERROR(__xludf.DUMMYFUNCTION("""COMPUTED_VALUE"""),1.0)</f>
        <v>1</v>
      </c>
      <c r="H738" s="2">
        <f>IFERROR(__xludf.DUMMYFUNCTION("""COMPUTED_VALUE"""),1.0)</f>
        <v>1</v>
      </c>
      <c r="I738" s="2">
        <f>IFERROR(__xludf.DUMMYFUNCTION("""COMPUTED_VALUE"""),1.5)</f>
        <v>1.5</v>
      </c>
      <c r="J738" s="2">
        <f>IFERROR(__xludf.DUMMYFUNCTION("""COMPUTED_VALUE"""),1.5)</f>
        <v>1.5</v>
      </c>
      <c r="K738" s="2">
        <f>IFERROR(__xludf.DUMMYFUNCTION("""COMPUTED_VALUE"""),12.0)</f>
        <v>12</v>
      </c>
      <c r="L738" s="2" t="str">
        <f>IFERROR(__xludf.DUMMYFUNCTION("""COMPUTED_VALUE"""),"Упаковка")</f>
        <v>Упаковка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IFERROR(__xludf.DUMMYFUNCTION("""COMPUTED_VALUE"""),"4690612029887")</f>
        <v>4690612029887</v>
      </c>
      <c r="B739" s="5" t="str">
        <f>IFERROR(__xludf.DUMMYFUNCTION("""COMPUTED_VALUE"""),"LPU-02 40Вт ОПАЛ 230В 4000К 3600Лм 595х595х25мм IP40 IN HOME")</f>
        <v>LPU-02 40Вт ОПАЛ 230В 4000К 3600Лм 595х595х25мм IP40 IN HOME</v>
      </c>
      <c r="C739" s="2">
        <f>IFERROR(__xludf.DUMMYFUNCTION("""COMPUTED_VALUE"""),1.2)</f>
        <v>1.2</v>
      </c>
      <c r="D739" s="2">
        <f>IFERROR(__xludf.DUMMYFUNCTION("""COMPUTED_VALUE"""),0.00975)</f>
        <v>0.00975</v>
      </c>
      <c r="E739" s="2">
        <f>IFERROR(__xludf.DUMMYFUNCTION("""COMPUTED_VALUE"""),697.82)</f>
        <v>697.82</v>
      </c>
      <c r="F739" s="2">
        <f>IFERROR(__xludf.DUMMYFUNCTION("""COMPUTED_VALUE"""),690.0)</f>
        <v>690</v>
      </c>
      <c r="G739" s="2">
        <f>IFERROR(__xludf.DUMMYFUNCTION("""COMPUTED_VALUE"""),776.0)</f>
        <v>776</v>
      </c>
      <c r="H739" s="2">
        <f>IFERROR(__xludf.DUMMYFUNCTION("""COMPUTED_VALUE"""),900.0)</f>
        <v>900</v>
      </c>
      <c r="I739" s="2">
        <f>IFERROR(__xludf.DUMMYFUNCTION("""COMPUTED_VALUE"""),1035.0)</f>
        <v>1035</v>
      </c>
      <c r="J739" s="2">
        <f>IFERROR(__xludf.DUMMYFUNCTION("""COMPUTED_VALUE"""),518.0)</f>
        <v>518</v>
      </c>
      <c r="K739" s="2">
        <f>IFERROR(__xludf.DUMMYFUNCTION("""COMPUTED_VALUE"""),2.0)</f>
        <v>2</v>
      </c>
      <c r="L739" s="2" t="str">
        <f>IFERROR(__xludf.DUMMYFUNCTION("""COMPUTED_VALUE"""),"Панели светодиодные LP серии ОПАЛ")</f>
        <v>Панели светодиодные LP серии ОПАЛ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IFERROR(__xludf.DUMMYFUNCTION("""COMPUTED_VALUE"""),"4680005959884")</f>
        <v>4680005959884</v>
      </c>
      <c r="B740" s="5" t="str">
        <f>IFERROR(__xludf.DUMMYFUNCTION("""COMPUTED_VALUE"""),"Вт CLASSICO белый 2111 IN HOME")</f>
        <v>Вт CLASSICO белый 2111 IN HOME</v>
      </c>
      <c r="C740" s="2">
        <f>IFERROR(__xludf.DUMMYFUNCTION("""COMPUTED_VALUE"""),0.08700000000000001)</f>
        <v>0.087</v>
      </c>
      <c r="D740" s="2">
        <f>IFERROR(__xludf.DUMMYFUNCTION("""COMPUTED_VALUE"""),4.0E-4)</f>
        <v>0.0004</v>
      </c>
      <c r="E740" s="2">
        <f>IFERROR(__xludf.DUMMYFUNCTION("""COMPUTED_VALUE"""),159.74)</f>
        <v>159.74</v>
      </c>
      <c r="F740" s="2">
        <f>IFERROR(__xludf.DUMMYFUNCTION("""COMPUTED_VALUE"""),264.0)</f>
        <v>264</v>
      </c>
      <c r="G740" s="2">
        <f>IFERROR(__xludf.DUMMYFUNCTION("""COMPUTED_VALUE"""),297.0)</f>
        <v>297</v>
      </c>
      <c r="H740" s="2">
        <f>IFERROR(__xludf.DUMMYFUNCTION("""COMPUTED_VALUE"""),345.0)</f>
        <v>345</v>
      </c>
      <c r="I740" s="2">
        <f>IFERROR(__xludf.DUMMYFUNCTION("""COMPUTED_VALUE"""),396.0)</f>
        <v>396</v>
      </c>
      <c r="J740" s="2">
        <f>IFERROR(__xludf.DUMMYFUNCTION("""COMPUTED_VALUE"""),198.0)</f>
        <v>198</v>
      </c>
      <c r="K740" s="2">
        <f>IFERROR(__xludf.DUMMYFUNCTION("""COMPUTED_VALUE"""),10.0)</f>
        <v>10</v>
      </c>
      <c r="L740" s="2" t="str">
        <f>IFERROR(__xludf.DUMMYFUNCTION("""COMPUTED_VALUE"""),"Выключатель")</f>
        <v>Выключатель</v>
      </c>
      <c r="M740" s="2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IFERROR(__xludf.DUMMYFUNCTION("""COMPUTED_VALUE"""),"06-0080-A2")</f>
        <v>06-0080-A2</v>
      </c>
      <c r="B74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IFERROR(__xludf.DUMMYFUNCTION("""COMPUTED_VALUE"""),1.0)</f>
        <v>1</v>
      </c>
      <c r="F741" s="2">
        <f>IFERROR(__xludf.DUMMYFUNCTION("""COMPUTED_VALUE"""),18.0)</f>
        <v>18</v>
      </c>
      <c r="G741" s="2">
        <f>IFERROR(__xludf.DUMMYFUNCTION("""COMPUTED_VALUE"""),19.0)</f>
        <v>19</v>
      </c>
      <c r="H741" s="2">
        <f>IFERROR(__xludf.DUMMYFUNCTION("""COMPUTED_VALUE"""),21.0)</f>
        <v>21</v>
      </c>
      <c r="I741" s="2">
        <f>IFERROR(__xludf.DUMMYFUNCTION("""COMPUTED_VALUE"""),23.4)</f>
        <v>23.4</v>
      </c>
      <c r="J741" s="2">
        <f>IFERROR(__xludf.DUMMYFUNCTION("""COMPUTED_VALUE"""),12.0)</f>
        <v>12</v>
      </c>
      <c r="K741" s="2">
        <f>IFERROR(__xludf.DUMMYFUNCTION("""COMPUTED_VALUE"""),10.0)</f>
        <v>10</v>
      </c>
      <c r="L741" s="2" t="str">
        <f>IFERROR(__xludf.DUMMYFUNCTION("""COMPUTED_VALUE"""),"Rexant")</f>
        <v>Rexant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IFERROR(__xludf.DUMMYFUNCTION("""COMPUTED_VALUE"""),"4690626031821")</f>
        <v>4690626031821</v>
      </c>
      <c r="B742" s="5" t="str">
        <f>IFERROR(__xludf.DUMMYFUNCTION("""COMPUTED_VALUE"""),"SBL-FLSen-10-65K")</f>
        <v>SBL-FLSen-10-65K</v>
      </c>
      <c r="C742" s="2">
        <f>IFERROR(__xludf.DUMMYFUNCTION("""COMPUTED_VALUE"""),0.33)</f>
        <v>0.33</v>
      </c>
      <c r="D742" s="2">
        <f>IFERROR(__xludf.DUMMYFUNCTION("""COMPUTED_VALUE"""),4.0E-5)</f>
        <v>0.00004</v>
      </c>
      <c r="E742" s="2">
        <f>IFERROR(__xludf.DUMMYFUNCTION("""COMPUTED_VALUE"""),462.0)</f>
        <v>462</v>
      </c>
      <c r="F742" s="2">
        <f>IFERROR(__xludf.DUMMYFUNCTION("""COMPUTED_VALUE"""),588.0)</f>
        <v>588</v>
      </c>
      <c r="G742" s="2">
        <f>IFERROR(__xludf.DUMMYFUNCTION("""COMPUTED_VALUE"""),645.0)</f>
        <v>645</v>
      </c>
      <c r="H742" s="2">
        <f>IFERROR(__xludf.DUMMYFUNCTION("""COMPUTED_VALUE"""),717.0)</f>
        <v>717</v>
      </c>
      <c r="I742" s="2">
        <f>IFERROR(__xludf.DUMMYFUNCTION("""COMPUTED_VALUE"""),788.0)</f>
        <v>788</v>
      </c>
      <c r="J742" s="2">
        <f>IFERROR(__xludf.DUMMYFUNCTION("""COMPUTED_VALUE"""),394.0)</f>
        <v>394</v>
      </c>
      <c r="K742" s="2">
        <f>IFERROR(__xludf.DUMMYFUNCTION("""COMPUTED_VALUE"""),2.0)</f>
        <v>2</v>
      </c>
      <c r="L742" s="2" t="str">
        <f>IFERROR(__xludf.DUMMYFUNCTION("""COMPUTED_VALUE"""),"Smartbuy LED светильники")</f>
        <v>Smartbuy LED светильники</v>
      </c>
      <c r="M74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3">
      <c r="A743" s="5" t="str">
        <f>IFERROR(__xludf.DUMMYFUNCTION("""COMPUTED_VALUE"""),"GL51311")</f>
        <v>GL51311</v>
      </c>
      <c r="B743" s="5" t="str">
        <f>IFERROR(__xludf.DUMMYFUNCTION("""COMPUTED_VALUE"""),"GLERIO Practical 64 Вт 5000К 6A-64D-5K+")</f>
        <v>GLERIO Practical 64 Вт 5000К 6A-64D-5K+</v>
      </c>
      <c r="C743" s="2">
        <f>IFERROR(__xludf.DUMMYFUNCTION("""COMPUTED_VALUE"""),1.2)</f>
        <v>1.2</v>
      </c>
      <c r="D743" s="2">
        <f>IFERROR(__xludf.DUMMYFUNCTION("""COMPUTED_VALUE"""),0.004200000000000001)</f>
        <v>0.0042</v>
      </c>
      <c r="E743" s="2">
        <f>IFERROR(__xludf.DUMMYFUNCTION("""COMPUTED_VALUE"""),2095.2)</f>
        <v>2095.2</v>
      </c>
      <c r="F743" s="2">
        <f>IFERROR(__xludf.DUMMYFUNCTION("""COMPUTED_VALUE"""),2400.0)</f>
        <v>2400</v>
      </c>
      <c r="G743" s="2">
        <f>IFERROR(__xludf.DUMMYFUNCTION("""COMPUTED_VALUE"""),3000.0)</f>
        <v>3000</v>
      </c>
      <c r="H743" s="2">
        <f>IFERROR(__xludf.DUMMYFUNCTION("""COMPUTED_VALUE"""),3375.0)</f>
        <v>3375</v>
      </c>
      <c r="I743" s="2">
        <f>IFERROR(__xludf.DUMMYFUNCTION("""COMPUTED_VALUE"""),3750.0)</f>
        <v>3750</v>
      </c>
      <c r="J743" s="2">
        <f>IFERROR(__xludf.DUMMYFUNCTION("""COMPUTED_VALUE"""),3750.0)</f>
        <v>3750</v>
      </c>
      <c r="K743" s="2">
        <f>IFERROR(__xludf.DUMMYFUNCTION("""COMPUTED_VALUE"""),10.0)</f>
        <v>10</v>
      </c>
      <c r="L743" s="2" t="str">
        <f>IFERROR(__xludf.DUMMYFUNCTION("""COMPUTED_VALUE"""),"Practical+ Уличные GLERIO")</f>
        <v>Practical+ Уличные GLERIO</v>
      </c>
      <c r="M743" s="2" t="str">
        <f>IFERROR(__xludf.DUMMYFUNCTION("""COMPUTED_VALUE"""),"Для обычных дорог, LED Светильники")</f>
        <v>Для обычных дорог, LED Светильники</v>
      </c>
    </row>
    <row r="744">
      <c r="A744" s="5" t="str">
        <f>IFERROR(__xludf.DUMMYFUNCTION("""COMPUTED_VALUE"""),"GL81111")</f>
        <v>GL81111</v>
      </c>
      <c r="B744" s="5" t="str">
        <f>IFERROR(__xludf.DUMMYFUNCTION("""COMPUTED_VALUE"""),"GLERIO Office Casual 20 Вт 4000K 81P-20D-4V-P")</f>
        <v>GLERIO Office Casual 20 Вт 4000K 81P-20D-4V-P</v>
      </c>
      <c r="C744" s="2">
        <f>IFERROR(__xludf.DUMMYFUNCTION("""COMPUTED_VALUE"""),1.04)</f>
        <v>1.04</v>
      </c>
      <c r="D744" s="2">
        <f>IFERROR(__xludf.DUMMYFUNCTION("""COMPUTED_VALUE"""),0.008190000000000001)</f>
        <v>0.00819</v>
      </c>
      <c r="E744" s="2">
        <f>IFERROR(__xludf.DUMMYFUNCTION("""COMPUTED_VALUE"""),1461.68)</f>
        <v>1461.68</v>
      </c>
      <c r="F744" s="2">
        <f>IFERROR(__xludf.DUMMYFUNCTION("""COMPUTED_VALUE"""),1700.0)</f>
        <v>1700</v>
      </c>
      <c r="G744" s="2">
        <f>IFERROR(__xludf.DUMMYFUNCTION("""COMPUTED_VALUE"""),2140.0)</f>
        <v>2140</v>
      </c>
      <c r="H744" s="2">
        <f>IFERROR(__xludf.DUMMYFUNCTION("""COMPUTED_VALUE"""),2404.0)</f>
        <v>2404</v>
      </c>
      <c r="I744" s="2">
        <f>IFERROR(__xludf.DUMMYFUNCTION("""COMPUTED_VALUE"""),2667.0)</f>
        <v>2667</v>
      </c>
      <c r="J744" s="2">
        <f>IFERROR(__xludf.DUMMYFUNCTION("""COMPUTED_VALUE"""),2667.0)</f>
        <v>2667</v>
      </c>
      <c r="K744" s="2">
        <f>IFERROR(__xludf.DUMMYFUNCTION("""COMPUTED_VALUE"""),30.0)</f>
        <v>30</v>
      </c>
      <c r="L744" s="2" t="str">
        <f>IFERROR(__xludf.DUMMYFUNCTION("""COMPUTED_VALUE"""),"Office Casual+ GLERIO (Офис)")</f>
        <v>Office Casual+ GLERIO (Офис)</v>
      </c>
      <c r="M7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5">
      <c r="A745" s="5" t="str">
        <f>IFERROR(__xludf.DUMMYFUNCTION("""COMPUTED_VALUE"""),"Fefco/0201-9")</f>
        <v>Fefco/0201-9</v>
      </c>
      <c r="B745" s="5" t="str">
        <f>IFERROR(__xludf.DUMMYFUNCTION("""COMPUTED_VALUE"""),"Короб 450х320х320 (картон Т-24 ""В"" бурый)")</f>
        <v>Короб 450х320х320 (картон Т-24 "В" бурый)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IFERROR(__xludf.DUMMYFUNCTION("""COMPUTED_VALUE"""),99.0)</f>
        <v>99</v>
      </c>
      <c r="F745" s="2">
        <f>IFERROR(__xludf.DUMMYFUNCTION("""COMPUTED_VALUE"""),1.0)</f>
        <v>1</v>
      </c>
      <c r="G745" s="2">
        <f>IFERROR(__xludf.DUMMYFUNCTION("""COMPUTED_VALUE"""),1.0)</f>
        <v>1</v>
      </c>
      <c r="H745" s="2">
        <f>IFERROR(__xludf.DUMMYFUNCTION("""COMPUTED_VALUE"""),1.0)</f>
        <v>1</v>
      </c>
      <c r="I745" s="2">
        <f>IFERROR(__xludf.DUMMYFUNCTION("""COMPUTED_VALUE"""),1.5)</f>
        <v>1.5</v>
      </c>
      <c r="J745" s="2">
        <f>IFERROR(__xludf.DUMMYFUNCTION("""COMPUTED_VALUE"""),1.5)</f>
        <v>1.5</v>
      </c>
      <c r="K745" s="2">
        <f>IFERROR(__xludf.DUMMYFUNCTION("""COMPUTED_VALUE"""),41.0)</f>
        <v>41</v>
      </c>
      <c r="L745" s="2" t="str">
        <f>IFERROR(__xludf.DUMMYFUNCTION("""COMPUTED_VALUE"""),"Упаковка")</f>
        <v>Упаковка</v>
      </c>
      <c r="M745" s="2" t="str">
        <f>IFERROR(__xludf.DUMMYFUNCTION("""COMPUTED_VALUE"""),"Прочие товары")</f>
        <v>Прочие товары</v>
      </c>
    </row>
    <row r="746">
      <c r="A746" s="5" t="str">
        <f>IFERROR(__xludf.DUMMYFUNCTION("""COMPUTED_VALUE"""),"4690612030753")</f>
        <v>4690612030753</v>
      </c>
      <c r="B746" s="5" t="str">
        <f>IFERROR(__xludf.DUMMYFUNCTION("""COMPUTED_VALUE"""),"LED-JCDRC-VC 6Вт 230В GU10 6500К 530Лм IN HOME")</f>
        <v>LED-JCDRC-VC 6Вт 230В GU10 6500К 530Лм IN HOME</v>
      </c>
      <c r="C746" s="2">
        <f>IFERROR(__xludf.DUMMYFUNCTION("""COMPUTED_VALUE"""),0.035)</f>
        <v>0.035</v>
      </c>
      <c r="D746" s="2">
        <f>IFERROR(__xludf.DUMMYFUNCTION("""COMPUTED_VALUE"""),2.1E-4)</f>
        <v>0.00021</v>
      </c>
      <c r="E746" s="2">
        <f>IFERROR(__xludf.DUMMYFUNCTION("""COMPUTED_VALUE"""),30.19)</f>
        <v>30.19</v>
      </c>
      <c r="F746" s="2">
        <f>IFERROR(__xludf.DUMMYFUNCTION("""COMPUTED_VALUE"""),35.0)</f>
        <v>35</v>
      </c>
      <c r="G746" s="2">
        <f>IFERROR(__xludf.DUMMYFUNCTION("""COMPUTED_VALUE"""),40.0)</f>
        <v>40</v>
      </c>
      <c r="H746" s="2">
        <f>IFERROR(__xludf.DUMMYFUNCTION("""COMPUTED_VALUE"""),46.0)</f>
        <v>46</v>
      </c>
      <c r="I746" s="2">
        <f>IFERROR(__xludf.DUMMYFUNCTION("""COMPUTED_VALUE"""),53.5)</f>
        <v>53.5</v>
      </c>
      <c r="J746" s="2">
        <f>IFERROR(__xludf.DUMMYFUNCTION("""COMPUTED_VALUE"""),27.0)</f>
        <v>27</v>
      </c>
      <c r="K746" s="2">
        <f>IFERROR(__xludf.DUMMYFUNCTION("""COMPUTED_VALUE"""),69.0)</f>
        <v>69</v>
      </c>
      <c r="L746" s="2" t="str">
        <f>IFERROR(__xludf.DUMMYFUNCTION("""COMPUTED_VALUE"""),"Лампа светодиодная LED-JCDR-standard")</f>
        <v>Лампа светодиодная LED-JCDR-standard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IFERROR(__xludf.DUMMYFUNCTION("""COMPUTED_VALUE"""),"R100343")</f>
        <v>R100343</v>
      </c>
      <c r="B747" s="5" t="str">
        <f>IFERROR(__xludf.DUMMYFUNCTION("""COMPUTED_VALUE"""),"RSV-A65-20W-4000K-E27 P")</f>
        <v>RSV-A65-20W-4000K-E27 P</v>
      </c>
      <c r="C747" s="2">
        <f>IFERROR(__xludf.DUMMYFUNCTION("""COMPUTED_VALUE"""),0.0727)</f>
        <v>0.0727</v>
      </c>
      <c r="D747" s="2">
        <f>IFERROR(__xludf.DUMMYFUNCTION("""COMPUTED_VALUE"""),7.5E-4)</f>
        <v>0.00075</v>
      </c>
      <c r="E747" s="2">
        <f>IFERROR(__xludf.DUMMYFUNCTION("""COMPUTED_VALUE"""),77.82000000000001)</f>
        <v>77.82</v>
      </c>
      <c r="F747" s="2">
        <f>IFERROR(__xludf.DUMMYFUNCTION("""COMPUTED_VALUE"""),108.0)</f>
        <v>108</v>
      </c>
      <c r="G747" s="2">
        <f>IFERROR(__xludf.DUMMYFUNCTION("""COMPUTED_VALUE"""),116.0)</f>
        <v>116</v>
      </c>
      <c r="H747" s="2">
        <f>IFERROR(__xludf.DUMMYFUNCTION("""COMPUTED_VALUE"""),130.0)</f>
        <v>130</v>
      </c>
      <c r="I747" s="2">
        <f>IFERROR(__xludf.DUMMYFUNCTION("""COMPUTED_VALUE"""),144.38)</f>
        <v>144.38</v>
      </c>
      <c r="J747" s="2">
        <f>IFERROR(__xludf.DUMMYFUNCTION("""COMPUTED_VALUE"""),72.0)</f>
        <v>72</v>
      </c>
      <c r="K747" s="2">
        <f>IFERROR(__xludf.DUMMYFUNCTION("""COMPUTED_VALUE"""),20.0)</f>
        <v>20</v>
      </c>
      <c r="L747" s="2" t="str">
        <f>IFERROR(__xludf.DUMMYFUNCTION("""COMPUTED_VALUE"""),"Светодиодные лампы A60")</f>
        <v>Светодиодные лампы A60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IFERROR(__xludf.DUMMYFUNCTION("""COMPUTED_VALUE"""),"4690612026145")</f>
        <v>4690612026145</v>
      </c>
      <c r="B74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8" s="2">
        <f>IFERROR(__xludf.DUMMYFUNCTION("""COMPUTED_VALUE"""),0.044)</f>
        <v>0.044</v>
      </c>
      <c r="D748" s="2">
        <f>IFERROR(__xludf.DUMMYFUNCTION("""COMPUTED_VALUE"""),5.600000000000001E-4)</f>
        <v>0.00056</v>
      </c>
      <c r="E748" s="2">
        <f>IFERROR(__xludf.DUMMYFUNCTION("""COMPUTED_VALUE"""),81.0)</f>
        <v>81</v>
      </c>
      <c r="F748" s="2">
        <f>IFERROR(__xludf.DUMMYFUNCTION("""COMPUTED_VALUE"""),98.0)</f>
        <v>98</v>
      </c>
      <c r="G748" s="2">
        <f>IFERROR(__xludf.DUMMYFUNCTION("""COMPUTED_VALUE"""),110.0)</f>
        <v>110</v>
      </c>
      <c r="H748" s="2">
        <f>IFERROR(__xludf.DUMMYFUNCTION("""COMPUTED_VALUE"""),128.0)</f>
        <v>128</v>
      </c>
      <c r="I748" s="2">
        <f>IFERROR(__xludf.DUMMYFUNCTION("""COMPUTED_VALUE"""),147.5)</f>
        <v>147.5</v>
      </c>
      <c r="J748" s="2">
        <f>IFERROR(__xludf.DUMMYFUNCTION("""COMPUTED_VALUE"""),74.0)</f>
        <v>74</v>
      </c>
      <c r="K748" s="2">
        <f>IFERROR(__xludf.DUMMYFUNCTION("""COMPUTED_VALUE"""),4.0)</f>
        <v>4</v>
      </c>
      <c r="L748" s="2" t="str">
        <f>IFERROR(__xludf.DUMMYFUNCTION("""COMPUTED_VALUE"""),"Лампа светодиодная LED-A60 DECO")</f>
        <v>Лампа светодиодная LED-A60 DECO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IFERROR(__xludf.DUMMYFUNCTION("""COMPUTED_VALUE"""),"GL5166")</f>
        <v>GL5166</v>
      </c>
      <c r="B749" s="5" t="str">
        <f>IFERROR(__xludf.DUMMYFUNCTION("""COMPUTED_VALUE"""),"GLERIO Practical Галочка 128 Вт 5000K 6A-128D-5U-21G")</f>
        <v>GLERIO Practical Галочка 128 Вт 5000K 6A-128D-5U-21G</v>
      </c>
      <c r="C749" s="2">
        <f>IFERROR(__xludf.DUMMYFUNCTION("""COMPUTED_VALUE"""),2.2)</f>
        <v>2.2</v>
      </c>
      <c r="D749" s="2">
        <f>IFERROR(__xludf.DUMMYFUNCTION("""COMPUTED_VALUE"""),0.009500000000000001)</f>
        <v>0.0095</v>
      </c>
      <c r="E749" s="2">
        <f>IFERROR(__xludf.DUMMYFUNCTION("""COMPUTED_VALUE"""),4320.0)</f>
        <v>4320</v>
      </c>
      <c r="F749" s="2">
        <f>IFERROR(__xludf.DUMMYFUNCTION("""COMPUTED_VALUE"""),4800.0)</f>
        <v>4800</v>
      </c>
      <c r="G749" s="2">
        <f>IFERROR(__xludf.DUMMYFUNCTION("""COMPUTED_VALUE"""),6000.0)</f>
        <v>6000</v>
      </c>
      <c r="H749" s="2">
        <f>IFERROR(__xludf.DUMMYFUNCTION("""COMPUTED_VALUE"""),6750.0)</f>
        <v>6750</v>
      </c>
      <c r="I749" s="2">
        <f>IFERROR(__xludf.DUMMYFUNCTION("""COMPUTED_VALUE"""),7500.0)</f>
        <v>7500</v>
      </c>
      <c r="J749" s="2">
        <f>IFERROR(__xludf.DUMMYFUNCTION("""COMPUTED_VALUE"""),3750.0)</f>
        <v>3750</v>
      </c>
      <c r="K749" s="2">
        <f>IFERROR(__xludf.DUMMYFUNCTION("""COMPUTED_VALUE"""),2.0)</f>
        <v>2</v>
      </c>
      <c r="L749" s="2" t="str">
        <f>IFERROR(__xludf.DUMMYFUNCTION("""COMPUTED_VALUE"""),"Practical Уличные GLERIO до 10.2025")</f>
        <v>Practical Уличные GLERIO до 10.2025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5" t="str">
        <f>IFERROR(__xludf.DUMMYFUNCTION("""COMPUTED_VALUE"""),"4690612010182")</f>
        <v>4690612010182</v>
      </c>
      <c r="B750" s="5" t="str">
        <f>IFERROR(__xludf.DUMMYFUNCTION("""COMPUTED_VALUE"""),"РШ/ВШ карболитовый 25А 380В черный 9112 IN HOME")</f>
        <v>РШ/ВШ карболитовый 25А 380В черный 9112 IN HOME</v>
      </c>
      <c r="C750" s="2">
        <f>IFERROR(__xludf.DUMMYFUNCTION("""COMPUTED_VALUE"""),0.20694)</f>
        <v>0.20694</v>
      </c>
      <c r="D750" s="2">
        <f>IFERROR(__xludf.DUMMYFUNCTION("""COMPUTED_VALUE"""),5.0E-4)</f>
        <v>0.0005</v>
      </c>
      <c r="E750" s="2">
        <f>IFERROR(__xludf.DUMMYFUNCTION("""COMPUTED_VALUE"""),139.9)</f>
        <v>139.9</v>
      </c>
      <c r="F750" s="2">
        <f>IFERROR(__xludf.DUMMYFUNCTION("""COMPUTED_VALUE"""),172.0)</f>
        <v>172</v>
      </c>
      <c r="G750" s="2">
        <f>IFERROR(__xludf.DUMMYFUNCTION("""COMPUTED_VALUE"""),194.0)</f>
        <v>194</v>
      </c>
      <c r="H750" s="2">
        <f>IFERROR(__xludf.DUMMYFUNCTION("""COMPUTED_VALUE"""),224.0)</f>
        <v>224</v>
      </c>
      <c r="I750" s="2">
        <f>IFERROR(__xludf.DUMMYFUNCTION("""COMPUTED_VALUE"""),258.0)</f>
        <v>258</v>
      </c>
      <c r="J750" s="2">
        <f>IFERROR(__xludf.DUMMYFUNCTION("""COMPUTED_VALUE"""),129.0)</f>
        <v>129</v>
      </c>
      <c r="K750" s="2">
        <f>IFERROR(__xludf.DUMMYFUNCTION("""COMPUTED_VALUE"""),6.0)</f>
        <v>6</v>
      </c>
      <c r="L750" s="2" t="str">
        <f>IFERROR(__xludf.DUMMYFUNCTION("""COMPUTED_VALUE"""),"Розетки, вилки и колодки")</f>
        <v>Розетки, вилки и колодки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IFERROR(__xludf.DUMMYFUNCTION("""COMPUTED_VALUE"""),"4690612035581-10")</f>
        <v>4690612035581-10</v>
      </c>
      <c r="B751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1" s="2">
        <f>IFERROR(__xludf.DUMMYFUNCTION("""COMPUTED_VALUE"""),0.04)</f>
        <v>0.04</v>
      </c>
      <c r="D751" s="2">
        <f>IFERROR(__xludf.DUMMYFUNCTION("""COMPUTED_VALUE"""),0.0028)</f>
        <v>0.0028</v>
      </c>
      <c r="E751" s="2">
        <f>IFERROR(__xludf.DUMMYFUNCTION("""COMPUTED_VALUE"""),1019.8)</f>
        <v>1019.8</v>
      </c>
      <c r="F751" s="2">
        <f>IFERROR(__xludf.DUMMYFUNCTION("""COMPUTED_VALUE"""),1119.0)</f>
        <v>1119</v>
      </c>
      <c r="G751" s="2">
        <f>IFERROR(__xludf.DUMMYFUNCTION("""COMPUTED_VALUE"""),1306.0)</f>
        <v>1306</v>
      </c>
      <c r="H751" s="2">
        <f>IFERROR(__xludf.DUMMYFUNCTION("""COMPUTED_VALUE"""),1469.0)</f>
        <v>1469</v>
      </c>
      <c r="I751" s="2">
        <f>IFERROR(__xludf.DUMMYFUNCTION("""COMPUTED_VALUE"""),1632.0)</f>
        <v>1632</v>
      </c>
      <c r="J751" s="2">
        <f>IFERROR(__xludf.DUMMYFUNCTION("""COMPUTED_VALUE"""),816.0)</f>
        <v>816</v>
      </c>
      <c r="K751" s="2">
        <f>IFERROR(__xludf.DUMMYFUNCTION("""COMPUTED_VALUE"""),4.0)</f>
        <v>4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IFERROR(__xludf.DUMMYFUNCTION("""COMPUTED_VALUE"""),"ZUK77")</f>
        <v>ZUK77</v>
      </c>
      <c r="B752" s="5" t="str">
        <f>IFERROR(__xludf.DUMMYFUNCTION("""COMPUTED_VALUE"""),"Защитный уголок из картона 40х40х4х1200")</f>
        <v>Защитный уголок из картона 40х40х4х1200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IFERROR(__xludf.DUMMYFUNCTION("""COMPUTED_VALUE"""),30.33)</f>
        <v>30.33</v>
      </c>
      <c r="F752" s="2">
        <f>IFERROR(__xludf.DUMMYFUNCTION("""COMPUTED_VALUE"""),1.0)</f>
        <v>1</v>
      </c>
      <c r="G752" s="2">
        <f>IFERROR(__xludf.DUMMYFUNCTION("""COMPUTED_VALUE"""),1.0)</f>
        <v>1</v>
      </c>
      <c r="H752" s="2">
        <f>IFERROR(__xludf.DUMMYFUNCTION("""COMPUTED_VALUE"""),1.0)</f>
        <v>1</v>
      </c>
      <c r="I752" s="2">
        <f>IFERROR(__xludf.DUMMYFUNCTION("""COMPUTED_VALUE"""),1.5)</f>
        <v>1.5</v>
      </c>
      <c r="J752" s="2">
        <f>IFERROR(__xludf.DUMMYFUNCTION("""COMPUTED_VALUE"""),1.5)</f>
        <v>1.5</v>
      </c>
      <c r="K752" s="2">
        <f>IFERROR(__xludf.DUMMYFUNCTION("""COMPUTED_VALUE"""),942.0)</f>
        <v>942</v>
      </c>
      <c r="L752" s="2" t="str">
        <f>IFERROR(__xludf.DUMMYFUNCTION("""COMPUTED_VALUE"""),"Упаковка")</f>
        <v>Упаковка</v>
      </c>
      <c r="M752" s="2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IFERROR(__xludf.DUMMYFUNCTION("""COMPUTED_VALUE"""),"4690612042701-2")</f>
        <v>4690612042701-2</v>
      </c>
      <c r="B753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3" s="2">
        <f>IFERROR(__xludf.DUMMYFUNCTION("""COMPUTED_VALUE"""),1.35)</f>
        <v>1.35</v>
      </c>
      <c r="D753" s="2">
        <f>IFERROR(__xludf.DUMMYFUNCTION("""COMPUTED_VALUE"""),0.0)</f>
        <v>0</v>
      </c>
      <c r="E753" s="2">
        <f>IFERROR(__xludf.DUMMYFUNCTION("""COMPUTED_VALUE"""),1147.76)</f>
        <v>1147.76</v>
      </c>
      <c r="F753" s="2">
        <f>IFERROR(__xludf.DUMMYFUNCTION("""COMPUTED_VALUE"""),1259.0)</f>
        <v>1259</v>
      </c>
      <c r="G753" s="2">
        <f>IFERROR(__xludf.DUMMYFUNCTION("""COMPUTED_VALUE"""),1469.0)</f>
        <v>1469</v>
      </c>
      <c r="H753" s="2">
        <f>IFERROR(__xludf.DUMMYFUNCTION("""COMPUTED_VALUE"""),1652.0)</f>
        <v>1652</v>
      </c>
      <c r="I753" s="2">
        <f>IFERROR(__xludf.DUMMYFUNCTION("""COMPUTED_VALUE"""),1836.0)</f>
        <v>1836</v>
      </c>
      <c r="J753" s="2">
        <f>IFERROR(__xludf.DUMMYFUNCTION("""COMPUTED_VALUE"""),918.0)</f>
        <v>918</v>
      </c>
      <c r="K753" s="2">
        <f>IFERROR(__xludf.DUMMYFUNCTION("""COMPUTED_VALUE"""),7.0)</f>
        <v>7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5" t="str">
        <f>IFERROR(__xludf.DUMMYFUNCTION("""COMPUTED_VALUE"""),"4690612014111")</f>
        <v>4690612014111</v>
      </c>
      <c r="B754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4" s="2">
        <f>IFERROR(__xludf.DUMMYFUNCTION("""COMPUTED_VALUE"""),0.294)</f>
        <v>0.294</v>
      </c>
      <c r="D754" s="2">
        <f>IFERROR(__xludf.DUMMYFUNCTION("""COMPUTED_VALUE"""),0.001)</f>
        <v>0.001</v>
      </c>
      <c r="E754" s="2">
        <f>IFERROR(__xludf.DUMMYFUNCTION("""COMPUTED_VALUE"""),178.97)</f>
        <v>178.97</v>
      </c>
      <c r="F754" s="2">
        <f>IFERROR(__xludf.DUMMYFUNCTION("""COMPUTED_VALUE"""),181.0)</f>
        <v>181</v>
      </c>
      <c r="G754" s="2">
        <f>IFERROR(__xludf.DUMMYFUNCTION("""COMPUTED_VALUE"""),203.0)</f>
        <v>203</v>
      </c>
      <c r="H754" s="2">
        <f>IFERROR(__xludf.DUMMYFUNCTION("""COMPUTED_VALUE"""),236.0)</f>
        <v>236</v>
      </c>
      <c r="I754" s="2">
        <f>IFERROR(__xludf.DUMMYFUNCTION("""COMPUTED_VALUE"""),271.0)</f>
        <v>271</v>
      </c>
      <c r="J754" s="2">
        <f>IFERROR(__xludf.DUMMYFUNCTION("""COMPUTED_VALUE"""),136.0)</f>
        <v>136</v>
      </c>
      <c r="K754" s="2">
        <f>IFERROR(__xludf.DUMMYFUNCTION("""COMPUTED_VALUE"""),5.0)</f>
        <v>5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IFERROR(__xludf.DUMMYFUNCTION("""COMPUTED_VALUE"""),"426052929244723")</f>
        <v>426052929244723</v>
      </c>
      <c r="B755" s="5" t="str">
        <f>IFERROR(__xludf.DUMMYFUNCTION("""COMPUTED_VALUE"""),"WT5S10W60 10 Вт 4000К IP20 700 Лм 32x23x570 мм 1/30")</f>
        <v>WT5S10W60 10 Вт 4000К IP20 700 Лм 32x23x570 мм 1/30</v>
      </c>
      <c r="C755" s="2">
        <f>IFERROR(__xludf.DUMMYFUNCTION("""COMPUTED_VALUE"""),0.186)</f>
        <v>0.186</v>
      </c>
      <c r="D755" s="2">
        <f>IFERROR(__xludf.DUMMYFUNCTION("""COMPUTED_VALUE"""),7.700000000000001E-4)</f>
        <v>0.00077</v>
      </c>
      <c r="E755" s="2">
        <f>IFERROR(__xludf.DUMMYFUNCTION("""COMPUTED_VALUE"""),235.52)</f>
        <v>235.52</v>
      </c>
      <c r="F755" s="2">
        <f>IFERROR(__xludf.DUMMYFUNCTION("""COMPUTED_VALUE"""),214.0)</f>
        <v>214</v>
      </c>
      <c r="G755" s="2">
        <f>IFERROR(__xludf.DUMMYFUNCTION("""COMPUTED_VALUE"""),221.0)</f>
        <v>221</v>
      </c>
      <c r="H755" s="2">
        <f>IFERROR(__xludf.DUMMYFUNCTION("""COMPUTED_VALUE"""),290.0)</f>
        <v>290</v>
      </c>
      <c r="I755" s="2">
        <f>IFERROR(__xludf.DUMMYFUNCTION("""COMPUTED_VALUE"""),363.0)</f>
        <v>363</v>
      </c>
      <c r="J755" s="2">
        <f>IFERROR(__xludf.DUMMYFUNCTION("""COMPUTED_VALUE"""),182.0)</f>
        <v>182</v>
      </c>
      <c r="K755" s="2">
        <f>IFERROR(__xludf.DUMMYFUNCTION("""COMPUTED_VALUE"""),58.0)</f>
        <v>58</v>
      </c>
      <c r="L755" s="2" t="str">
        <f>IFERROR(__xludf.DUMMYFUNCTION("""COMPUTED_VALUE"""),"Wolta")</f>
        <v>Wolta</v>
      </c>
      <c r="M755" s="2" t="str">
        <f>IFERROR(__xludf.DUMMYFUNCTION("""COMPUTED_VALUE"""),"Пластиковые (линейные), LED Светильники")</f>
        <v>Пластиковые (линейные), LED Светильники</v>
      </c>
    </row>
    <row r="756">
      <c r="A756" s="5" t="str">
        <f>IFERROR(__xludf.DUMMYFUNCTION("""COMPUTED_VALUE"""),"4690612008462")</f>
        <v>4690612008462</v>
      </c>
      <c r="B756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6" s="2">
        <f>IFERROR(__xludf.DUMMYFUNCTION("""COMPUTED_VALUE"""),0.05300000000000001)</f>
        <v>0.053</v>
      </c>
      <c r="D756" s="2">
        <f>IFERROR(__xludf.DUMMYFUNCTION("""COMPUTED_VALUE"""),2.5E-4)</f>
        <v>0.00025</v>
      </c>
      <c r="E756" s="2">
        <f>IFERROR(__xludf.DUMMYFUNCTION("""COMPUTED_VALUE"""),52.89)</f>
        <v>52.89</v>
      </c>
      <c r="F756" s="2">
        <f>IFERROR(__xludf.DUMMYFUNCTION("""COMPUTED_VALUE"""),65.0)</f>
        <v>65</v>
      </c>
      <c r="G756" s="2">
        <f>IFERROR(__xludf.DUMMYFUNCTION("""COMPUTED_VALUE"""),74.0)</f>
        <v>74</v>
      </c>
      <c r="H756" s="2">
        <f>IFERROR(__xludf.DUMMYFUNCTION("""COMPUTED_VALUE"""),85.0)</f>
        <v>85</v>
      </c>
      <c r="I756" s="2">
        <f>IFERROR(__xludf.DUMMYFUNCTION("""COMPUTED_VALUE"""),98.0)</f>
        <v>98</v>
      </c>
      <c r="J756" s="2">
        <f>IFERROR(__xludf.DUMMYFUNCTION("""COMPUTED_VALUE"""),49.0)</f>
        <v>49</v>
      </c>
      <c r="K756" s="2">
        <f>IFERROR(__xludf.DUMMYFUNCTION("""COMPUTED_VALUE"""),6.0)</f>
        <v>6</v>
      </c>
      <c r="L756" s="2" t="str">
        <f>IFERROR(__xludf.DUMMYFUNCTION("""COMPUTED_VALUE"""),"Под лампу GX53")</f>
        <v>Под лампу GX53</v>
      </c>
      <c r="M7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5" t="str">
        <f>IFERROR(__xludf.DUMMYFUNCTION("""COMPUTED_VALUE"""),"4690612013466")</f>
        <v>4690612013466</v>
      </c>
      <c r="B757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7" s="2">
        <f>IFERROR(__xludf.DUMMYFUNCTION("""COMPUTED_VALUE"""),0.64)</f>
        <v>0.64</v>
      </c>
      <c r="D757" s="2">
        <f>IFERROR(__xludf.DUMMYFUNCTION("""COMPUTED_VALUE"""),0.004750000000000001)</f>
        <v>0.00475</v>
      </c>
      <c r="E757" s="2">
        <f>IFERROR(__xludf.DUMMYFUNCTION("""COMPUTED_VALUE"""),919.26)</f>
        <v>919.26</v>
      </c>
      <c r="F757" s="2">
        <f>IFERROR(__xludf.DUMMYFUNCTION("""COMPUTED_VALUE"""),820.0)</f>
        <v>820</v>
      </c>
      <c r="G757" s="2">
        <f>IFERROR(__xludf.DUMMYFUNCTION("""COMPUTED_VALUE"""),923.0)</f>
        <v>923</v>
      </c>
      <c r="H757" s="2">
        <f>IFERROR(__xludf.DUMMYFUNCTION("""COMPUTED_VALUE"""),1070.0)</f>
        <v>1070</v>
      </c>
      <c r="I757" s="2">
        <f>IFERROR(__xludf.DUMMYFUNCTION("""COMPUTED_VALUE"""),1230.0)</f>
        <v>1230</v>
      </c>
      <c r="J757" s="2">
        <f>IFERROR(__xludf.DUMMYFUNCTION("""COMPUTED_VALUE"""),615.0)</f>
        <v>615</v>
      </c>
      <c r="K757" s="2">
        <f>IFERROR(__xludf.DUMMYFUNCTION("""COMPUTED_VALUE"""),3.0)</f>
        <v>3</v>
      </c>
      <c r="L757" s="2" t="str">
        <f>IFERROR(__xludf.DUMMYFUNCTION("""COMPUTED_VALUE"""),"Светильники настольные светодиодные")</f>
        <v>Светильники настольные светодиодные</v>
      </c>
      <c r="M7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8">
      <c r="A758" s="5" t="str">
        <f>IFERROR(__xludf.DUMMYFUNCTION("""COMPUTED_VALUE"""),"4690626071278")</f>
        <v>4690626071278</v>
      </c>
      <c r="B758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IFERROR(__xludf.DUMMYFUNCTION("""COMPUTED_VALUE"""),561.7)</f>
        <v>561.7</v>
      </c>
      <c r="F758" s="2">
        <f>IFERROR(__xludf.DUMMYFUNCTION("""COMPUTED_VALUE"""),606.0)</f>
        <v>606</v>
      </c>
      <c r="G758" s="2">
        <f>IFERROR(__xludf.DUMMYFUNCTION("""COMPUTED_VALUE"""),665.0)</f>
        <v>665</v>
      </c>
      <c r="H758" s="2">
        <f>IFERROR(__xludf.DUMMYFUNCTION("""COMPUTED_VALUE"""),739.0)</f>
        <v>739</v>
      </c>
      <c r="I758" s="2">
        <f>IFERROR(__xludf.DUMMYFUNCTION("""COMPUTED_VALUE"""),813.0)</f>
        <v>813</v>
      </c>
      <c r="J758" s="2">
        <f>IFERROR(__xludf.DUMMYFUNCTION("""COMPUTED_VALUE"""),407.0)</f>
        <v>407</v>
      </c>
      <c r="K758" s="2">
        <f>IFERROR(__xludf.DUMMYFUNCTION("""COMPUTED_VALUE"""),9.0)</f>
        <v>9</v>
      </c>
      <c r="L758" s="2" t="str">
        <f>IFERROR(__xludf.DUMMYFUNCTION("""COMPUTED_VALUE"""),"Smartbuy LED светильники")</f>
        <v>Smartbuy LED светильники</v>
      </c>
      <c r="M75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9">
      <c r="A759" s="5" t="str">
        <f>IFERROR(__xludf.DUMMYFUNCTION("""COMPUTED_VALUE"""),"G103101207-10")</f>
        <v>G103101207-10</v>
      </c>
      <c r="B759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9" s="2">
        <f>IFERROR(__xludf.DUMMYFUNCTION("""COMPUTED_VALUE"""),0.03)</f>
        <v>0.03</v>
      </c>
      <c r="D759" s="2">
        <f>IFERROR(__xludf.DUMMYFUNCTION("""COMPUTED_VALUE"""),0.0)</f>
        <v>0</v>
      </c>
      <c r="E759" s="2">
        <f>IFERROR(__xludf.DUMMYFUNCTION("""COMPUTED_VALUE"""),788.7)</f>
        <v>788.7</v>
      </c>
      <c r="F759" s="2">
        <f>IFERROR(__xludf.DUMMYFUNCTION("""COMPUTED_VALUE"""),865.0)</f>
        <v>865</v>
      </c>
      <c r="G759" s="2">
        <f>IFERROR(__xludf.DUMMYFUNCTION("""COMPUTED_VALUE"""),1010.0)</f>
        <v>1010</v>
      </c>
      <c r="H759" s="2">
        <f>IFERROR(__xludf.DUMMYFUNCTION("""COMPUTED_VALUE"""),1136.0)</f>
        <v>1136</v>
      </c>
      <c r="I759" s="2">
        <f>IFERROR(__xludf.DUMMYFUNCTION("""COMPUTED_VALUE"""),1262.0)</f>
        <v>1262</v>
      </c>
      <c r="J759" s="2">
        <f>IFERROR(__xludf.DUMMYFUNCTION("""COMPUTED_VALUE"""),631.0)</f>
        <v>631</v>
      </c>
      <c r="K759" s="2">
        <f>IFERROR(__xludf.DUMMYFUNCTION("""COMPUTED_VALUE"""),8.0)</f>
        <v>8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IFERROR(__xludf.DUMMYFUNCTION("""COMPUTED_VALUE"""),"4690612029849")</f>
        <v>4690612029849</v>
      </c>
      <c r="B760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0" s="2">
        <f>IFERROR(__xludf.DUMMYFUNCTION("""COMPUTED_VALUE"""),1.225)</f>
        <v>1.225</v>
      </c>
      <c r="D760" s="2">
        <f>IFERROR(__xludf.DUMMYFUNCTION("""COMPUTED_VALUE"""),0.00525)</f>
        <v>0.00525</v>
      </c>
      <c r="E760" s="2">
        <f>IFERROR(__xludf.DUMMYFUNCTION("""COMPUTED_VALUE"""),718.0600000000001)</f>
        <v>718.06</v>
      </c>
      <c r="F760" s="2">
        <f>IFERROR(__xludf.DUMMYFUNCTION("""COMPUTED_VALUE"""),808.0)</f>
        <v>808</v>
      </c>
      <c r="G760" s="2">
        <f>IFERROR(__xludf.DUMMYFUNCTION("""COMPUTED_VALUE"""),909.0)</f>
        <v>909</v>
      </c>
      <c r="H760" s="2">
        <f>IFERROR(__xludf.DUMMYFUNCTION("""COMPUTED_VALUE"""),1054.0)</f>
        <v>1054</v>
      </c>
      <c r="I760" s="2">
        <f>IFERROR(__xludf.DUMMYFUNCTION("""COMPUTED_VALUE"""),1212.0)</f>
        <v>1212</v>
      </c>
      <c r="J760" s="2">
        <f>IFERROR(__xludf.DUMMYFUNCTION("""COMPUTED_VALUE"""),606.0)</f>
        <v>606</v>
      </c>
      <c r="K760" s="2">
        <f>IFERROR(__xludf.DUMMYFUNCTION("""COMPUTED_VALUE"""),9.0)</f>
        <v>9</v>
      </c>
      <c r="L760" s="2" t="str">
        <f>IFERROR(__xludf.DUMMYFUNCTION("""COMPUTED_VALUE"""),"Панели светодиодные LP серии ПРИЗМА")</f>
        <v>Панели светодиодные LP серии ПРИЗМА</v>
      </c>
      <c r="M7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5" t="str">
        <f>IFERROR(__xludf.DUMMYFUNCTION("""COMPUTED_VALUE"""),"4260652193222")</f>
        <v>4260652193222</v>
      </c>
      <c r="B761" s="5" t="str">
        <f>IFERROR(__xludf.DUMMYFUNCTION("""COMPUTED_VALUE"""),"LCL04-8W-R21-4K-SM")</f>
        <v>LCL04-8W-R21-4K-SM</v>
      </c>
      <c r="C761" s="2">
        <f>IFERROR(__xludf.DUMMYFUNCTION("""COMPUTED_VALUE"""),0.09000000000000001)</f>
        <v>0.09</v>
      </c>
      <c r="D761" s="2">
        <f>IFERROR(__xludf.DUMMYFUNCTION("""COMPUTED_VALUE"""),0.0353)</f>
        <v>0.0353</v>
      </c>
      <c r="E761" s="2">
        <f>IFERROR(__xludf.DUMMYFUNCTION("""COMPUTED_VALUE"""),434.9)</f>
        <v>434.9</v>
      </c>
      <c r="F761" s="2">
        <f>IFERROR(__xludf.DUMMYFUNCTION("""COMPUTED_VALUE"""),431.0)</f>
        <v>431</v>
      </c>
      <c r="G761" s="2">
        <f>IFERROR(__xludf.DUMMYFUNCTION("""COMPUTED_VALUE"""),446.0)</f>
        <v>446</v>
      </c>
      <c r="H761" s="2">
        <f>IFERROR(__xludf.DUMMYFUNCTION("""COMPUTED_VALUE"""),585.0)</f>
        <v>585</v>
      </c>
      <c r="I761" s="2">
        <f>IFERROR(__xludf.DUMMYFUNCTION("""COMPUTED_VALUE"""),731.0)</f>
        <v>731</v>
      </c>
      <c r="J761" s="2">
        <f>IFERROR(__xludf.DUMMYFUNCTION("""COMPUTED_VALUE"""),366.0)</f>
        <v>366</v>
      </c>
      <c r="K761" s="2">
        <f>IFERROR(__xludf.DUMMYFUNCTION("""COMPUTED_VALUE"""),17.0)</f>
        <v>17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5" t="str">
        <f>IFERROR(__xludf.DUMMYFUNCTION("""COMPUTED_VALUE"""),"4690612035109")</f>
        <v>4690612035109</v>
      </c>
      <c r="B762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2" s="2">
        <f>IFERROR(__xludf.DUMMYFUNCTION("""COMPUTED_VALUE"""),1.72)</f>
        <v>1.72</v>
      </c>
      <c r="D762" s="2">
        <f>IFERROR(__xludf.DUMMYFUNCTION("""COMPUTED_VALUE"""),0.034)</f>
        <v>0.034</v>
      </c>
      <c r="E762" s="2">
        <f>IFERROR(__xludf.DUMMYFUNCTION("""COMPUTED_VALUE"""),2271.72)</f>
        <v>2271.72</v>
      </c>
      <c r="F762" s="2">
        <f>IFERROR(__xludf.DUMMYFUNCTION("""COMPUTED_VALUE"""),1518.0)</f>
        <v>1518</v>
      </c>
      <c r="G762" s="2">
        <f>IFERROR(__xludf.DUMMYFUNCTION("""COMPUTED_VALUE"""),1708.0)</f>
        <v>1708</v>
      </c>
      <c r="H762" s="2">
        <f>IFERROR(__xludf.DUMMYFUNCTION("""COMPUTED_VALUE"""),1981.0)</f>
        <v>1981</v>
      </c>
      <c r="I762" s="2">
        <f>IFERROR(__xludf.DUMMYFUNCTION("""COMPUTED_VALUE"""),2277.0)</f>
        <v>2277</v>
      </c>
      <c r="J762" s="2">
        <f>IFERROR(__xludf.DUMMYFUNCTION("""COMPUTED_VALUE"""),1139.0)</f>
        <v>1139</v>
      </c>
      <c r="K762" s="2">
        <f>IFERROR(__xludf.DUMMYFUNCTION("""COMPUTED_VALUE"""),1.0)</f>
        <v>1</v>
      </c>
      <c r="L762" s="2" t="str">
        <f>IFERROR(__xludf.DUMMYFUNCTION("""COMPUTED_VALUE"""),"Светильники светодиодные COMFORT")</f>
        <v>Светильники светодиодные COMFORT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5" t="str">
        <f>IFERROR(__xludf.DUMMYFUNCTION("""COMPUTED_VALUE"""),"4690612048291-1")</f>
        <v>4690612048291-1</v>
      </c>
      <c r="B763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IFERROR(__xludf.DUMMYFUNCTION("""COMPUTED_VALUE"""),0.00293)</f>
        <v>0.00293</v>
      </c>
      <c r="E763" s="2">
        <f>IFERROR(__xludf.DUMMYFUNCTION("""COMPUTED_VALUE"""),374.3)</f>
        <v>374.3</v>
      </c>
      <c r="F763" s="2">
        <f>IFERROR(__xludf.DUMMYFUNCTION("""COMPUTED_VALUE"""),411.0)</f>
        <v>411</v>
      </c>
      <c r="G763" s="2">
        <f>IFERROR(__xludf.DUMMYFUNCTION("""COMPUTED_VALUE"""),479.0)</f>
        <v>479</v>
      </c>
      <c r="H763" s="2">
        <f>IFERROR(__xludf.DUMMYFUNCTION("""COMPUTED_VALUE"""),539.0)</f>
        <v>539</v>
      </c>
      <c r="I763" s="2">
        <f>IFERROR(__xludf.DUMMYFUNCTION("""COMPUTED_VALUE"""),599.0)</f>
        <v>599</v>
      </c>
      <c r="J763" s="2">
        <f>IFERROR(__xludf.DUMMYFUNCTION("""COMPUTED_VALUE"""),300.0)</f>
        <v>300</v>
      </c>
      <c r="K763" s="2">
        <f>IFERROR(__xludf.DUMMYFUNCTION("""COMPUTED_VALUE"""),1.0)</f>
        <v>1</v>
      </c>
      <c r="L76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5" t="str">
        <f>IFERROR(__xludf.DUMMYFUNCTION("""COMPUTED_VALUE"""),"4690612037653-1")</f>
        <v>4690612037653-1</v>
      </c>
      <c r="B764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4" s="2">
        <f>IFERROR(__xludf.DUMMYFUNCTION("""COMPUTED_VALUE"""),1.35)</f>
        <v>1.35</v>
      </c>
      <c r="D764" s="2">
        <f>IFERROR(__xludf.DUMMYFUNCTION("""COMPUTED_VALUE"""),0.006730000000000001)</f>
        <v>0.00673</v>
      </c>
      <c r="E764" s="2">
        <f>IFERROR(__xludf.DUMMYFUNCTION("""COMPUTED_VALUE"""),613.88)</f>
        <v>613.88</v>
      </c>
      <c r="F764" s="2">
        <f>IFERROR(__xludf.DUMMYFUNCTION("""COMPUTED_VALUE"""),674.0)</f>
        <v>674</v>
      </c>
      <c r="G764" s="2">
        <f>IFERROR(__xludf.DUMMYFUNCTION("""COMPUTED_VALUE"""),786.0)</f>
        <v>786</v>
      </c>
      <c r="H764" s="2">
        <f>IFERROR(__xludf.DUMMYFUNCTION("""COMPUTED_VALUE"""),884.0)</f>
        <v>884</v>
      </c>
      <c r="I764" s="2">
        <f>IFERROR(__xludf.DUMMYFUNCTION("""COMPUTED_VALUE"""),982.0)</f>
        <v>982</v>
      </c>
      <c r="J764" s="2">
        <f>IFERROR(__xludf.DUMMYFUNCTION("""COMPUTED_VALUE"""),491.0)</f>
        <v>491</v>
      </c>
      <c r="K764" s="2">
        <f>IFERROR(__xludf.DUMMYFUNCTION("""COMPUTED_VALUE"""),2.0)</f>
        <v>2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IFERROR(__xludf.DUMMYFUNCTION("""COMPUTED_VALUE"""),"4262356474317")</f>
        <v>4262356474317</v>
      </c>
      <c r="B765" s="5" t="str">
        <f>IFERROR(__xludf.DUMMYFUNCTION("""COMPUTED_VALUE"""),"WTL-GX53/01W")</f>
        <v>WTL-GX53/01W</v>
      </c>
      <c r="C765" s="2">
        <f>IFERROR(__xludf.DUMMYFUNCTION("""COMPUTED_VALUE"""),0.209)</f>
        <v>0.209</v>
      </c>
      <c r="D765" s="2">
        <f>IFERROR(__xludf.DUMMYFUNCTION("""COMPUTED_VALUE"""),0.0)</f>
        <v>0</v>
      </c>
      <c r="E765" s="2">
        <f>IFERROR(__xludf.DUMMYFUNCTION("""COMPUTED_VALUE"""),395.5)</f>
        <v>395.5</v>
      </c>
      <c r="F765" s="2">
        <f>IFERROR(__xludf.DUMMYFUNCTION("""COMPUTED_VALUE"""),480.0)</f>
        <v>480</v>
      </c>
      <c r="G765" s="2">
        <f>IFERROR(__xludf.DUMMYFUNCTION("""COMPUTED_VALUE"""),497.0)</f>
        <v>497</v>
      </c>
      <c r="H765" s="2">
        <f>IFERROR(__xludf.DUMMYFUNCTION("""COMPUTED_VALUE"""),651.0)</f>
        <v>651</v>
      </c>
      <c r="I765" s="2">
        <f>IFERROR(__xludf.DUMMYFUNCTION("""COMPUTED_VALUE"""),814.0)</f>
        <v>814</v>
      </c>
      <c r="J765" s="2">
        <f>IFERROR(__xludf.DUMMYFUNCTION("""COMPUTED_VALUE"""),407.0)</f>
        <v>407</v>
      </c>
      <c r="K765" s="2">
        <f>IFERROR(__xludf.DUMMYFUNCTION("""COMPUTED_VALUE"""),1.0)</f>
        <v>1</v>
      </c>
      <c r="L765" s="2" t="str">
        <f>IFERROR(__xludf.DUMMYFUNCTION("""COMPUTED_VALUE"""),"Wolta трековые")</f>
        <v>Wolta трековые</v>
      </c>
      <c r="M765" s="2" t="str">
        <f>IFERROR(__xludf.DUMMYFUNCTION("""COMPUTED_VALUE"""),"Трековые, LED Светильники")</f>
        <v>Трековые, LED Светильники</v>
      </c>
    </row>
    <row r="766">
      <c r="A766" s="5" t="str">
        <f>IFERROR(__xludf.DUMMYFUNCTION("""COMPUTED_VALUE"""),"4690612053004-1")</f>
        <v>4690612053004-1</v>
      </c>
      <c r="B766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IFERROR(__xludf.DUMMYFUNCTION("""COMPUTED_VALUE"""),786.53)</f>
        <v>786.53</v>
      </c>
      <c r="F766" s="2">
        <f>IFERROR(__xludf.DUMMYFUNCTION("""COMPUTED_VALUE"""),863.0)</f>
        <v>863</v>
      </c>
      <c r="G766" s="2">
        <f>IFERROR(__xludf.DUMMYFUNCTION("""COMPUTED_VALUE"""),1006.0)</f>
        <v>1006</v>
      </c>
      <c r="H766" s="2">
        <f>IFERROR(__xludf.DUMMYFUNCTION("""COMPUTED_VALUE"""),1132.0)</f>
        <v>1132</v>
      </c>
      <c r="I766" s="2">
        <f>IFERROR(__xludf.DUMMYFUNCTION("""COMPUTED_VALUE"""),1258.0)</f>
        <v>1258</v>
      </c>
      <c r="J766" s="2">
        <f>IFERROR(__xludf.DUMMYFUNCTION("""COMPUTED_VALUE"""),629.0)</f>
        <v>629</v>
      </c>
      <c r="K766" s="2">
        <f>IFERROR(__xludf.DUMMYFUNCTION("""COMPUTED_VALUE"""),18.0)</f>
        <v>18</v>
      </c>
      <c r="L7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 t="str">
        <f>IFERROR(__xludf.DUMMYFUNCTION("""COMPUTED_VALUE"""),"V12020")</f>
        <v>V12020</v>
      </c>
      <c r="B767" s="5" t="str">
        <f>IFERROR(__xludf.DUMMYFUNCTION("""COMPUTED_VALUE"""),"VRN-LME136X78-128D-A50K67-K, 128Вт, Консольный")</f>
        <v>VRN-LME136X78-128D-A50K67-K, 128Вт, Консольный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IFERROR(__xludf.DUMMYFUNCTION("""COMPUTED_VALUE"""),6500.0)</f>
        <v>6500</v>
      </c>
      <c r="F767" s="2">
        <f>IFERROR(__xludf.DUMMYFUNCTION("""COMPUTED_VALUE"""),7515.0)</f>
        <v>7515</v>
      </c>
      <c r="G767" s="2">
        <f>IFERROR(__xludf.DUMMYFUNCTION("""COMPUTED_VALUE"""),9770.0)</f>
        <v>9770</v>
      </c>
      <c r="H767" s="2">
        <f>IFERROR(__xludf.DUMMYFUNCTION("""COMPUTED_VALUE"""),10258.0)</f>
        <v>10258</v>
      </c>
      <c r="I767" s="2">
        <f>IFERROR(__xludf.DUMMYFUNCTION("""COMPUTED_VALUE"""),10746.0)</f>
        <v>10746</v>
      </c>
      <c r="J767" s="2">
        <f>IFERROR(__xludf.DUMMYFUNCTION("""COMPUTED_VALUE"""),5373.0)</f>
        <v>5373</v>
      </c>
      <c r="K767" s="2">
        <f>IFERROR(__xludf.DUMMYFUNCTION("""COMPUTED_VALUE"""),1.0)</f>
        <v>1</v>
      </c>
      <c r="L767" s="2" t="str">
        <f>IFERROR(__xludf.DUMMYFUNCTION("""COMPUTED_VALUE"""),"Магистраль Эконом")</f>
        <v>Магистраль Эконом</v>
      </c>
      <c r="M767" s="2" t="str">
        <f>IFERROR(__xludf.DUMMYFUNCTION("""COMPUTED_VALUE"""),"Для автомагистралей, LED Светильники")</f>
        <v>Для автомагистралей, LED Светильники</v>
      </c>
    </row>
    <row r="768">
      <c r="A768" s="5" t="str">
        <f>IFERROR(__xludf.DUMMYFUNCTION("""COMPUTED_VALUE"""),"14690612038817")</f>
        <v>14690612038817</v>
      </c>
      <c r="B768" s="5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8" s="2">
        <f>IFERROR(__xludf.DUMMYFUNCTION("""COMPUTED_VALUE"""),1.3)</f>
        <v>1.3</v>
      </c>
      <c r="D768" s="2">
        <f>IFERROR(__xludf.DUMMYFUNCTION("""COMPUTED_VALUE"""),0.0)</f>
        <v>0</v>
      </c>
      <c r="E768" s="2">
        <f>IFERROR(__xludf.DUMMYFUNCTION("""COMPUTED_VALUE"""),2481.64)</f>
        <v>2481.64</v>
      </c>
      <c r="F768" s="2">
        <f>IFERROR(__xludf.DUMMYFUNCTION("""COMPUTED_VALUE"""),2723.0)</f>
        <v>2723</v>
      </c>
      <c r="G768" s="2">
        <f>IFERROR(__xludf.DUMMYFUNCTION("""COMPUTED_VALUE"""),3177.0)</f>
        <v>3177</v>
      </c>
      <c r="H768" s="2">
        <f>IFERROR(__xludf.DUMMYFUNCTION("""COMPUTED_VALUE"""),3574.0)</f>
        <v>3574</v>
      </c>
      <c r="I768" s="2">
        <f>IFERROR(__xludf.DUMMYFUNCTION("""COMPUTED_VALUE"""),3971.0)</f>
        <v>3971</v>
      </c>
      <c r="J768" s="2">
        <f>IFERROR(__xludf.DUMMYFUNCTION("""COMPUTED_VALUE"""),1986.0)</f>
        <v>1986</v>
      </c>
      <c r="K768" s="2">
        <f>IFERROR(__xludf.DUMMYFUNCTION("""COMPUTED_VALUE"""),2.0)</f>
        <v>2</v>
      </c>
      <c r="L76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9">
      <c r="A769" s="5" t="str">
        <f>IFERROR(__xludf.DUMMYFUNCTION("""COMPUTED_VALUE"""),"4690612042718-2")</f>
        <v>4690612042718-2</v>
      </c>
      <c r="B769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9" s="2">
        <f>IFERROR(__xludf.DUMMYFUNCTION("""COMPUTED_VALUE"""),1.36)</f>
        <v>1.36</v>
      </c>
      <c r="D769" s="2">
        <f>IFERROR(__xludf.DUMMYFUNCTION("""COMPUTED_VALUE"""),0.0)</f>
        <v>0</v>
      </c>
      <c r="E769" s="2">
        <f>IFERROR(__xludf.DUMMYFUNCTION("""COMPUTED_VALUE"""),1298.81)</f>
        <v>1298.81</v>
      </c>
      <c r="F769" s="2">
        <f>IFERROR(__xludf.DUMMYFUNCTION("""COMPUTED_VALUE"""),1425.0)</f>
        <v>1425</v>
      </c>
      <c r="G769" s="2">
        <f>IFERROR(__xludf.DUMMYFUNCTION("""COMPUTED_VALUE"""),1662.0)</f>
        <v>1662</v>
      </c>
      <c r="H769" s="2">
        <f>IFERROR(__xludf.DUMMYFUNCTION("""COMPUTED_VALUE"""),1870.0)</f>
        <v>1870</v>
      </c>
      <c r="I769" s="2">
        <f>IFERROR(__xludf.DUMMYFUNCTION("""COMPUTED_VALUE"""),2078.0)</f>
        <v>2078</v>
      </c>
      <c r="J769" s="2">
        <f>IFERROR(__xludf.DUMMYFUNCTION("""COMPUTED_VALUE"""),1039.0)</f>
        <v>1039</v>
      </c>
      <c r="K769" s="2">
        <f>IFERROR(__xludf.DUMMYFUNCTION("""COMPUTED_VALUE"""),6.0)</f>
        <v>6</v>
      </c>
      <c r="L7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70">
      <c r="A770" s="5" t="str">
        <f>IFERROR(__xludf.DUMMYFUNCTION("""COMPUTED_VALUE"""),"CS16")</f>
        <v>CS16</v>
      </c>
      <c r="B770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70" s="2">
        <f>IFERROR(__xludf.DUMMYFUNCTION("""COMPUTED_VALUE"""),0.0)</f>
        <v>0</v>
      </c>
      <c r="D770" s="2">
        <f>IFERROR(__xludf.DUMMYFUNCTION("""COMPUTED_VALUE"""),0.0)</f>
        <v>0</v>
      </c>
      <c r="E770" s="2">
        <f>IFERROR(__xludf.DUMMYFUNCTION("""COMPUTED_VALUE"""),734.3000000000001)</f>
        <v>734.3</v>
      </c>
      <c r="F770" s="2">
        <f>IFERROR(__xludf.DUMMYFUNCTION("""COMPUTED_VALUE"""),309.0)</f>
        <v>309</v>
      </c>
      <c r="G770" s="2">
        <f>IFERROR(__xludf.DUMMYFUNCTION("""COMPUTED_VALUE"""),330.0)</f>
        <v>330</v>
      </c>
      <c r="H770" s="2">
        <f>IFERROR(__xludf.DUMMYFUNCTION("""COMPUTED_VALUE"""),371.0)</f>
        <v>371</v>
      </c>
      <c r="I770" s="2">
        <f>IFERROR(__xludf.DUMMYFUNCTION("""COMPUTED_VALUE"""),412.44)</f>
        <v>412.44</v>
      </c>
      <c r="J770" s="2">
        <f>IFERROR(__xludf.DUMMYFUNCTION("""COMPUTED_VALUE"""),206.0)</f>
        <v>206</v>
      </c>
      <c r="K770" s="2">
        <f>IFERROR(__xludf.DUMMYFUNCTION("""COMPUTED_VALUE"""),2.0)</f>
        <v>2</v>
      </c>
      <c r="L770" s="2" t="str">
        <f>IFERROR(__xludf.DUMMYFUNCTION("""COMPUTED_VALUE"""),"CS")</f>
        <v>CS</v>
      </c>
      <c r="M77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1">
      <c r="A771" s="5" t="str">
        <f>IFERROR(__xludf.DUMMYFUNCTION("""COMPUTED_VALUE"""),"4690612035369")</f>
        <v>4690612035369</v>
      </c>
      <c r="B771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1" s="2">
        <f>IFERROR(__xludf.DUMMYFUNCTION("""COMPUTED_VALUE"""),2.0)</f>
        <v>2</v>
      </c>
      <c r="D771" s="2">
        <f>IFERROR(__xludf.DUMMYFUNCTION("""COMPUTED_VALUE"""),0.016)</f>
        <v>0.016</v>
      </c>
      <c r="E771" s="2">
        <f>IFERROR(__xludf.DUMMYFUNCTION("""COMPUTED_VALUE"""),4391.08)</f>
        <v>4391.08</v>
      </c>
      <c r="F771" s="2">
        <f>IFERROR(__xludf.DUMMYFUNCTION("""COMPUTED_VALUE"""),2421.0)</f>
        <v>2421</v>
      </c>
      <c r="G771" s="2">
        <f>IFERROR(__xludf.DUMMYFUNCTION("""COMPUTED_VALUE"""),2723.0)</f>
        <v>2723</v>
      </c>
      <c r="H771" s="2">
        <f>IFERROR(__xludf.DUMMYFUNCTION("""COMPUTED_VALUE"""),3159.0)</f>
        <v>3159</v>
      </c>
      <c r="I771" s="2">
        <f>IFERROR(__xludf.DUMMYFUNCTION("""COMPUTED_VALUE"""),3631.0)</f>
        <v>3631</v>
      </c>
      <c r="J771" s="2">
        <f>IFERROR(__xludf.DUMMYFUNCTION("""COMPUTED_VALUE"""),1816.0)</f>
        <v>1816</v>
      </c>
      <c r="K771" s="2">
        <f>IFERROR(__xludf.DUMMYFUNCTION("""COMPUTED_VALUE"""),2.0)</f>
        <v>2</v>
      </c>
      <c r="L771" s="2" t="str">
        <f>IFERROR(__xludf.DUMMYFUNCTION("""COMPUTED_VALUE"""),"Светильники светодиодные серии ELEGANT IN HOME")</f>
        <v>Светильники светодиодные серии ELEGANT IN HOME</v>
      </c>
      <c r="M7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2">
      <c r="A772" s="5" t="str">
        <f>IFERROR(__xludf.DUMMYFUNCTION("""COMPUTED_VALUE"""),"4260529295639")</f>
        <v>4260529295639</v>
      </c>
      <c r="B772" s="5" t="str">
        <f>IFERROR(__xludf.DUMMYFUNCTION("""COMPUTED_VALUE"""),"WT5S6W30")</f>
        <v>WT5S6W30</v>
      </c>
      <c r="C772" s="2">
        <f>IFERROR(__xludf.DUMMYFUNCTION("""COMPUTED_VALUE"""),0.14)</f>
        <v>0.14</v>
      </c>
      <c r="D772" s="2">
        <f>IFERROR(__xludf.DUMMYFUNCTION("""COMPUTED_VALUE"""),0.014)</f>
        <v>0.014</v>
      </c>
      <c r="E772" s="2">
        <f>IFERROR(__xludf.DUMMYFUNCTION("""COMPUTED_VALUE"""),192.7)</f>
        <v>192.7</v>
      </c>
      <c r="F772" s="2">
        <f>IFERROR(__xludf.DUMMYFUNCTION("""COMPUTED_VALUE"""),227.0)</f>
        <v>227</v>
      </c>
      <c r="G772" s="2">
        <f>IFERROR(__xludf.DUMMYFUNCTION("""COMPUTED_VALUE"""),235.0)</f>
        <v>235</v>
      </c>
      <c r="H772" s="2">
        <f>IFERROR(__xludf.DUMMYFUNCTION("""COMPUTED_VALUE"""),308.0)</f>
        <v>308</v>
      </c>
      <c r="I772" s="2">
        <f>IFERROR(__xludf.DUMMYFUNCTION("""COMPUTED_VALUE"""),385.0)</f>
        <v>385</v>
      </c>
      <c r="J772" s="2">
        <f>IFERROR(__xludf.DUMMYFUNCTION("""COMPUTED_VALUE"""),193.0)</f>
        <v>193</v>
      </c>
      <c r="K772" s="2">
        <f>IFERROR(__xludf.DUMMYFUNCTION("""COMPUTED_VALUE"""),23.0)</f>
        <v>23</v>
      </c>
      <c r="L772" s="2" t="str">
        <f>IFERROR(__xludf.DUMMYFUNCTION("""COMPUTED_VALUE"""),"Wolta светильники бытовые WT4, WT5, WT8")</f>
        <v>Wolta светильники бытовые WT4, WT5, WT8</v>
      </c>
      <c r="M77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3">
      <c r="A773" s="5" t="str">
        <f>IFERROR(__xludf.DUMMYFUNCTION("""COMPUTED_VALUE"""),"4260652193185")</f>
        <v>4260652193185</v>
      </c>
      <c r="B773" s="5" t="str">
        <f>IFERROR(__xludf.DUMMYFUNCTION("""COMPUTED_VALUE"""),"LCL04-8W-R01-4K")</f>
        <v>LCL04-8W-R01-4K</v>
      </c>
      <c r="C773" s="2">
        <f>IFERROR(__xludf.DUMMYFUNCTION("""COMPUTED_VALUE"""),0.09000000000000001)</f>
        <v>0.09</v>
      </c>
      <c r="D773" s="2">
        <f>IFERROR(__xludf.DUMMYFUNCTION("""COMPUTED_VALUE"""),0.0012)</f>
        <v>0.0012</v>
      </c>
      <c r="E773" s="2">
        <f>IFERROR(__xludf.DUMMYFUNCTION("""COMPUTED_VALUE"""),208.21)</f>
        <v>208.21</v>
      </c>
      <c r="F773" s="2">
        <f>IFERROR(__xludf.DUMMYFUNCTION("""COMPUTED_VALUE"""),179.0)</f>
        <v>179</v>
      </c>
      <c r="G773" s="2">
        <f>IFERROR(__xludf.DUMMYFUNCTION("""COMPUTED_VALUE"""),185.0)</f>
        <v>185</v>
      </c>
      <c r="H773" s="2">
        <f>IFERROR(__xludf.DUMMYFUNCTION("""COMPUTED_VALUE"""),242.0)</f>
        <v>242</v>
      </c>
      <c r="I773" s="2">
        <f>IFERROR(__xludf.DUMMYFUNCTION("""COMPUTED_VALUE"""),303.0)</f>
        <v>303</v>
      </c>
      <c r="J773" s="2">
        <f>IFERROR(__xludf.DUMMYFUNCTION("""COMPUTED_VALUE"""),242.0)</f>
        <v>242</v>
      </c>
      <c r="K773" s="2">
        <f>IFERROR(__xludf.DUMMYFUNCTION("""COMPUTED_VALUE"""),2.0)</f>
        <v>2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5" t="str">
        <f>IFERROR(__xludf.DUMMYFUNCTION("""COMPUTED_VALUE"""),"GL5130")</f>
        <v>GL5130</v>
      </c>
      <c r="B774" s="5" t="str">
        <f>IFERROR(__xludf.DUMMYFUNCTION("""COMPUTED_VALUE"""),"GLERIO Practical 64 Вт 5000K 6A-64D-5U")</f>
        <v>GLERIO Practical 64 Вт 5000K 6A-64D-5U</v>
      </c>
      <c r="C774" s="2">
        <f>IFERROR(__xludf.DUMMYFUNCTION("""COMPUTED_VALUE"""),1.2)</f>
        <v>1.2</v>
      </c>
      <c r="D774" s="2">
        <f>IFERROR(__xludf.DUMMYFUNCTION("""COMPUTED_VALUE"""),0.00357)</f>
        <v>0.00357</v>
      </c>
      <c r="E774" s="2">
        <f>IFERROR(__xludf.DUMMYFUNCTION("""COMPUTED_VALUE"""),2084.81)</f>
        <v>2084.81</v>
      </c>
      <c r="F774" s="2">
        <f>IFERROR(__xludf.DUMMYFUNCTION("""COMPUTED_VALUE"""),2400.0)</f>
        <v>2400</v>
      </c>
      <c r="G774" s="2">
        <f>IFERROR(__xludf.DUMMYFUNCTION("""COMPUTED_VALUE"""),3000.0)</f>
        <v>3000</v>
      </c>
      <c r="H774" s="2">
        <f>IFERROR(__xludf.DUMMYFUNCTION("""COMPUTED_VALUE"""),3375.0)</f>
        <v>3375</v>
      </c>
      <c r="I774" s="2">
        <f>IFERROR(__xludf.DUMMYFUNCTION("""COMPUTED_VALUE"""),3750.0)</f>
        <v>3750</v>
      </c>
      <c r="J774" s="2">
        <f>IFERROR(__xludf.DUMMYFUNCTION("""COMPUTED_VALUE"""),2400.0)</f>
        <v>2400</v>
      </c>
      <c r="K774" s="2">
        <f>IFERROR(__xludf.DUMMYFUNCTION("""COMPUTED_VALUE"""),3.0)</f>
        <v>3</v>
      </c>
      <c r="L774" s="2" t="str">
        <f>IFERROR(__xludf.DUMMYFUNCTION("""COMPUTED_VALUE"""),"Practical Уличные GLERIO до 10.2025")</f>
        <v>Practical Уличные GLERIO до 10.2025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5" t="str">
        <f>IFERROR(__xludf.DUMMYFUNCTION("""COMPUTED_VALUE"""),"4260529296704")</f>
        <v>4260529296704</v>
      </c>
      <c r="B775" s="5" t="str">
        <f>IFERROR(__xludf.DUMMYFUNCTION("""COMPUTED_VALUE"""),"ДПП01-12-021-4К-ОА")</f>
        <v>ДПП01-12-021-4К-ОА</v>
      </c>
      <c r="C775" s="2">
        <f>IFERROR(__xludf.DUMMYFUNCTION("""COMPUTED_VALUE"""),0.14)</f>
        <v>0.14</v>
      </c>
      <c r="D775" s="2">
        <f>IFERROR(__xludf.DUMMYFUNCTION("""COMPUTED_VALUE"""),0.04029000000000001)</f>
        <v>0.04029</v>
      </c>
      <c r="E775" s="2">
        <f>IFERROR(__xludf.DUMMYFUNCTION("""COMPUTED_VALUE"""),374.5)</f>
        <v>374.5</v>
      </c>
      <c r="F775" s="2">
        <f>IFERROR(__xludf.DUMMYFUNCTION("""COMPUTED_VALUE"""),913.0)</f>
        <v>913</v>
      </c>
      <c r="G775" s="2">
        <f>IFERROR(__xludf.DUMMYFUNCTION("""COMPUTED_VALUE"""),944.0)</f>
        <v>944</v>
      </c>
      <c r="H775" s="2">
        <f>IFERROR(__xludf.DUMMYFUNCTION("""COMPUTED_VALUE"""),1238.0)</f>
        <v>1238</v>
      </c>
      <c r="I775" s="2">
        <f>IFERROR(__xludf.DUMMYFUNCTION("""COMPUTED_VALUE"""),1547.0)</f>
        <v>1547</v>
      </c>
      <c r="J775" s="2">
        <f>IFERROR(__xludf.DUMMYFUNCTION("""COMPUTED_VALUE"""),774.0)</f>
        <v>774</v>
      </c>
      <c r="K775" s="2">
        <f>IFERROR(__xludf.DUMMYFUNCTION("""COMPUTED_VALUE"""),1.0)</f>
        <v>1</v>
      </c>
      <c r="L775" s="2" t="str">
        <f>IFERROR(__xludf.DUMMYFUNCTION("""COMPUTED_VALUE"""),"Wolta ЖКХ")</f>
        <v>Wolta ЖКХ</v>
      </c>
      <c r="M775" s="2" t="str">
        <f>IFERROR(__xludf.DUMMYFUNCTION("""COMPUTED_VALUE"""),"Для ЖКХ, дома, дачи, LED Светильники")</f>
        <v>Для ЖКХ, дома, дачи, LED Светильники</v>
      </c>
    </row>
    <row r="776">
      <c r="A776" s="5" t="str">
        <f>IFERROR(__xludf.DUMMYFUNCTION("""COMPUTED_VALUE"""),"R100088")</f>
        <v>R100088</v>
      </c>
      <c r="B776" s="5" t="str">
        <f>IFERROR(__xludf.DUMMYFUNCTION("""COMPUTED_VALUE"""),"RSV-STP-50-6500K-IP66")</f>
        <v>RSV-STP-50-6500K-IP66</v>
      </c>
      <c r="C776" s="2">
        <f>IFERROR(__xludf.DUMMYFUNCTION("""COMPUTED_VALUE"""),1.15)</f>
        <v>1.15</v>
      </c>
      <c r="D776" s="2">
        <f>IFERROR(__xludf.DUMMYFUNCTION("""COMPUTED_VALUE"""),5.600000000000001E-4)</f>
        <v>0.00056</v>
      </c>
      <c r="E776" s="2">
        <f>IFERROR(__xludf.DUMMYFUNCTION("""COMPUTED_VALUE"""),1411.09)</f>
        <v>1411.09</v>
      </c>
      <c r="F776" s="2">
        <f>IFERROR(__xludf.DUMMYFUNCTION("""COMPUTED_VALUE"""),1937.0)</f>
        <v>1937</v>
      </c>
      <c r="G776" s="2">
        <f>IFERROR(__xludf.DUMMYFUNCTION("""COMPUTED_VALUE"""),2279.0)</f>
        <v>2279</v>
      </c>
      <c r="H776" s="2">
        <f>IFERROR(__xludf.DUMMYFUNCTION("""COMPUTED_VALUE"""),2348.0)</f>
        <v>2348</v>
      </c>
      <c r="I776" s="2">
        <f>IFERROR(__xludf.DUMMYFUNCTION("""COMPUTED_VALUE"""),2700.0)</f>
        <v>2700</v>
      </c>
      <c r="J776" s="2">
        <f>IFERROR(__xludf.DUMMYFUNCTION("""COMPUTED_VALUE"""),1350.0)</f>
        <v>1350</v>
      </c>
      <c r="K776" s="2">
        <f>IFERROR(__xludf.DUMMYFUNCTION("""COMPUTED_VALUE"""),3.0)</f>
        <v>3</v>
      </c>
      <c r="L776" s="2" t="str">
        <f>IFERROR(__xludf.DUMMYFUNCTION("""COMPUTED_VALUE"""),"Уличное освещение RSV")</f>
        <v>Уличное освещение RSV</v>
      </c>
      <c r="M776" s="2" t="str">
        <f>IFERROR(__xludf.DUMMYFUNCTION("""COMPUTED_VALUE"""),"Для обычных дорог, LED Светильники")</f>
        <v>Для обычных дорог, LED Светильники</v>
      </c>
    </row>
    <row r="777">
      <c r="A777" s="5" t="str">
        <f>IFERROR(__xludf.DUMMYFUNCTION("""COMPUTED_VALUE"""),"V1007")</f>
        <v>V1007</v>
      </c>
      <c r="B777" s="5" t="str">
        <f>IFERROR(__xludf.DUMMYFUNCTION("""COMPUTED_VALUE"""),"VRN-UN-48-G50K67-U, 48Вт, Универсальный")</f>
        <v>VRN-UN-48-G50K67-U, 48Вт, Универсальный</v>
      </c>
      <c r="C777" s="2">
        <f>IFERROR(__xludf.DUMMYFUNCTION("""COMPUTED_VALUE"""),0.11)</f>
        <v>0.11</v>
      </c>
      <c r="D777" s="2">
        <f>IFERROR(__xludf.DUMMYFUNCTION("""COMPUTED_VALUE"""),0.00483)</f>
        <v>0.00483</v>
      </c>
      <c r="E777" s="2">
        <f>IFERROR(__xludf.DUMMYFUNCTION("""COMPUTED_VALUE"""),2529.01)</f>
        <v>2529.01</v>
      </c>
      <c r="F777" s="2">
        <f>IFERROR(__xludf.DUMMYFUNCTION("""COMPUTED_VALUE"""),2895.0)</f>
        <v>2895</v>
      </c>
      <c r="G777" s="2">
        <f>IFERROR(__xludf.DUMMYFUNCTION("""COMPUTED_VALUE"""),3764.0)</f>
        <v>3764</v>
      </c>
      <c r="H777" s="2">
        <f>IFERROR(__xludf.DUMMYFUNCTION("""COMPUTED_VALUE"""),3952.0)</f>
        <v>3952</v>
      </c>
      <c r="I777" s="2">
        <f>IFERROR(__xludf.DUMMYFUNCTION("""COMPUTED_VALUE"""),4140.0)</f>
        <v>4140</v>
      </c>
      <c r="J777" s="2">
        <f>IFERROR(__xludf.DUMMYFUNCTION("""COMPUTED_VALUE"""),4140.0)</f>
        <v>4140</v>
      </c>
      <c r="K777" s="2">
        <f>IFERROR(__xludf.DUMMYFUNCTION("""COMPUTED_VALUE"""),9.0)</f>
        <v>9</v>
      </c>
      <c r="L777" s="2" t="str">
        <f>IFERROR(__xludf.DUMMYFUNCTION("""COMPUTED_VALUE"""),"Универсал")</f>
        <v>Универсал</v>
      </c>
      <c r="M77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8">
      <c r="A778" s="5" t="str">
        <f>IFERROR(__xludf.DUMMYFUNCTION("""COMPUTED_VALUE"""),"4690626079649")</f>
        <v>4690626079649</v>
      </c>
      <c r="B778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8" s="2">
        <f>IFERROR(__xludf.DUMMYFUNCTION("""COMPUTED_VALUE"""),0.0)</f>
        <v>0</v>
      </c>
      <c r="D778" s="2">
        <f>IFERROR(__xludf.DUMMYFUNCTION("""COMPUTED_VALUE"""),0.0)</f>
        <v>0</v>
      </c>
      <c r="E778" s="2">
        <f>IFERROR(__xludf.DUMMYFUNCTION("""COMPUTED_VALUE"""),807.9300000000001)</f>
        <v>807.93</v>
      </c>
      <c r="F778" s="2">
        <f>IFERROR(__xludf.DUMMYFUNCTION("""COMPUTED_VALUE"""),772.0)</f>
        <v>772</v>
      </c>
      <c r="G778" s="2">
        <f>IFERROR(__xludf.DUMMYFUNCTION("""COMPUTED_VALUE"""),847.0)</f>
        <v>847</v>
      </c>
      <c r="H778" s="2">
        <f>IFERROR(__xludf.DUMMYFUNCTION("""COMPUTED_VALUE"""),941.0)</f>
        <v>941</v>
      </c>
      <c r="I778" s="2">
        <f>IFERROR(__xludf.DUMMYFUNCTION("""COMPUTED_VALUE"""),1035.0)</f>
        <v>1035</v>
      </c>
      <c r="J778" s="2">
        <f>IFERROR(__xludf.DUMMYFUNCTION("""COMPUTED_VALUE"""),847.0)</f>
        <v>847</v>
      </c>
      <c r="K778" s="2">
        <f>IFERROR(__xludf.DUMMYFUNCTION("""COMPUTED_VALUE"""),2.0)</f>
        <v>2</v>
      </c>
      <c r="L778" s="2" t="str">
        <f>IFERROR(__xludf.DUMMYFUNCTION("""COMPUTED_VALUE"""),"Smartbuy лампы LED")</f>
        <v>Smartbuy лампы LED</v>
      </c>
      <c r="M778" s="2" t="str">
        <f>IFERROR(__xludf.DUMMYFUNCTION("""COMPUTED_VALUE"""),"Лампы")</f>
        <v>Лампы</v>
      </c>
    </row>
    <row r="779">
      <c r="A779" s="5" t="str">
        <f>IFERROR(__xludf.DUMMYFUNCTION("""COMPUTED_VALUE"""),"4690612020464")</f>
        <v>4690612020464</v>
      </c>
      <c r="B779" s="5" t="str">
        <f>IFERROR(__xludf.DUMMYFUNCTION("""COMPUTED_VALUE"""),"LED-СВЕЧА-VC 11Вт 230В Е14 3000К 1050Лм IN HOME")</f>
        <v>LED-СВЕЧА-VC 11Вт 230В Е14 3000К 1050Лм IN HOME</v>
      </c>
      <c r="C779" s="2">
        <f>IFERROR(__xludf.DUMMYFUNCTION("""COMPUTED_VALUE"""),0.035)</f>
        <v>0.035</v>
      </c>
      <c r="D779" s="2">
        <f>IFERROR(__xludf.DUMMYFUNCTION("""COMPUTED_VALUE"""),1.9E-4)</f>
        <v>0.00019</v>
      </c>
      <c r="E779" s="2">
        <f>IFERROR(__xludf.DUMMYFUNCTION("""COMPUTED_VALUE"""),40.2)</f>
        <v>40.2</v>
      </c>
      <c r="F779" s="2">
        <f>IFERROR(__xludf.DUMMYFUNCTION("""COMPUTED_VALUE"""),46.0)</f>
        <v>46</v>
      </c>
      <c r="G779" s="2">
        <f>IFERROR(__xludf.DUMMYFUNCTION("""COMPUTED_VALUE"""),52.0)</f>
        <v>52</v>
      </c>
      <c r="H779" s="2">
        <f>IFERROR(__xludf.DUMMYFUNCTION("""COMPUTED_VALUE"""),60.0)</f>
        <v>60</v>
      </c>
      <c r="I779" s="2">
        <f>IFERROR(__xludf.DUMMYFUNCTION("""COMPUTED_VALUE"""),69.8)</f>
        <v>69.8</v>
      </c>
      <c r="J779" s="2">
        <f>IFERROR(__xludf.DUMMYFUNCTION("""COMPUTED_VALUE"""),35.0)</f>
        <v>35</v>
      </c>
      <c r="K779" s="2">
        <f>IFERROR(__xludf.DUMMYFUNCTION("""COMPUTED_VALUE"""),36.0)</f>
        <v>36</v>
      </c>
      <c r="L779" s="2" t="str">
        <f>IFERROR(__xludf.DUMMYFUNCTION("""COMPUTED_VALUE"""),"Лампа светодиодная LED-СВЕЧА-standard")</f>
        <v>Лампа светодиодная LED-СВЕЧА-standard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IFERROR(__xludf.DUMMYFUNCTION("""COMPUTED_VALUE"""),"Fefco/0203-1")</f>
        <v>Fefco/0203-1</v>
      </c>
      <c r="B780" s="5" t="str">
        <f>IFERROR(__xludf.DUMMYFUNCTION("""COMPUTED_VALUE"""),"Короб 605х30х605 (картон Т-24 ""В"" бурый)")</f>
        <v>Короб 605х30х605 (картон Т-24 "В" бурый)</v>
      </c>
      <c r="C780" s="2">
        <f>IFERROR(__xludf.DUMMYFUNCTION("""COMPUTED_VALUE"""),0.36)</f>
        <v>0.36</v>
      </c>
      <c r="D780" s="2">
        <f>IFERROR(__xludf.DUMMYFUNCTION("""COMPUTED_VALUE"""),0.004)</f>
        <v>0.004</v>
      </c>
      <c r="E780" s="2">
        <f>IFERROR(__xludf.DUMMYFUNCTION("""COMPUTED_VALUE"""),55.4)</f>
        <v>55.4</v>
      </c>
      <c r="F780" s="2">
        <f>IFERROR(__xludf.DUMMYFUNCTION("""COMPUTED_VALUE"""),1.0)</f>
        <v>1</v>
      </c>
      <c r="G780" s="2">
        <f>IFERROR(__xludf.DUMMYFUNCTION("""COMPUTED_VALUE"""),1.0)</f>
        <v>1</v>
      </c>
      <c r="H780" s="2">
        <f>IFERROR(__xludf.DUMMYFUNCTION("""COMPUTED_VALUE"""),1.0)</f>
        <v>1</v>
      </c>
      <c r="I780" s="2">
        <f>IFERROR(__xludf.DUMMYFUNCTION("""COMPUTED_VALUE"""),1.5)</f>
        <v>1.5</v>
      </c>
      <c r="J780" s="2">
        <f>IFERROR(__xludf.DUMMYFUNCTION("""COMPUTED_VALUE"""),1.5)</f>
        <v>1.5</v>
      </c>
      <c r="K780" s="2">
        <f>IFERROR(__xludf.DUMMYFUNCTION("""COMPUTED_VALUE"""),-276.0)</f>
        <v>-276</v>
      </c>
      <c r="L780" s="2" t="str">
        <f>IFERROR(__xludf.DUMMYFUNCTION("""COMPUTED_VALUE"""),"Упаковка")</f>
        <v>Упаковка</v>
      </c>
      <c r="M780" s="2" t="str">
        <f>IFERROR(__xludf.DUMMYFUNCTION("""COMPUTED_VALUE"""),"Прочие товары")</f>
        <v>Прочие товары</v>
      </c>
    </row>
    <row r="781">
      <c r="A781" s="5" t="str">
        <f>IFERROR(__xludf.DUMMYFUNCTION("""COMPUTED_VALUE"""),"4690612050829-10")</f>
        <v>4690612050829-10</v>
      </c>
      <c r="B78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2">
        <f>IFERROR(__xludf.DUMMYFUNCTION("""COMPUTED_VALUE"""),0.07)</f>
        <v>0.07</v>
      </c>
      <c r="D781" s="2">
        <f>IFERROR(__xludf.DUMMYFUNCTION("""COMPUTED_VALUE"""),0.004200000000000001)</f>
        <v>0.0042</v>
      </c>
      <c r="E781" s="2">
        <f>IFERROR(__xludf.DUMMYFUNCTION("""COMPUTED_VALUE"""),1164.0)</f>
        <v>1164</v>
      </c>
      <c r="F781" s="2">
        <f>IFERROR(__xludf.DUMMYFUNCTION("""COMPUTED_VALUE"""),1277.0)</f>
        <v>1277</v>
      </c>
      <c r="G781" s="2">
        <f>IFERROR(__xludf.DUMMYFUNCTION("""COMPUTED_VALUE"""),1490.0)</f>
        <v>1490</v>
      </c>
      <c r="H781" s="2">
        <f>IFERROR(__xludf.DUMMYFUNCTION("""COMPUTED_VALUE"""),1676.0)</f>
        <v>1676</v>
      </c>
      <c r="I781" s="2">
        <f>IFERROR(__xludf.DUMMYFUNCTION("""COMPUTED_VALUE"""),1862.0)</f>
        <v>1862</v>
      </c>
      <c r="J781" s="2">
        <f>IFERROR(__xludf.DUMMYFUNCTION("""COMPUTED_VALUE"""),931.0)</f>
        <v>931</v>
      </c>
      <c r="K781" s="2">
        <f>IFERROR(__xludf.DUMMYFUNCTION("""COMPUTED_VALUE"""),5.0)</f>
        <v>5</v>
      </c>
      <c r="L781" s="2" t="str">
        <f>IFERROR(__xludf.DUMMYFUNCTION("""COMPUTED_VALUE"""),"Лампы производство, упаковка")</f>
        <v>Лампы производство, упаковка</v>
      </c>
      <c r="M781" s="2" t="str">
        <f>IFERROR(__xludf.DUMMYFUNCTION("""COMPUTED_VALUE"""),"Лампы")</f>
        <v>Лампы</v>
      </c>
    </row>
    <row r="782">
      <c r="A782" s="5" t="str">
        <f>IFERROR(__xludf.DUMMYFUNCTION("""COMPUTED_VALUE"""),"4690612026107")</f>
        <v>4690612026107</v>
      </c>
      <c r="B782" s="5" t="str">
        <f>IFERROR(__xludf.DUMMYFUNCTION("""COMPUTED_VALUE"""),"LED-A60-deco 9Вт 230В Е27 6500К 1040Лм прозрачная IN HOME")</f>
        <v>LED-A60-deco 9Вт 230В Е27 6500К 1040Лм прозрачная IN HOME</v>
      </c>
      <c r="C782" s="2">
        <f>IFERROR(__xludf.DUMMYFUNCTION("""COMPUTED_VALUE"""),0.044)</f>
        <v>0.044</v>
      </c>
      <c r="D782" s="2">
        <f>IFERROR(__xludf.DUMMYFUNCTION("""COMPUTED_VALUE"""),5.600000000000001E-4)</f>
        <v>0.00056</v>
      </c>
      <c r="E782" s="2">
        <f>IFERROR(__xludf.DUMMYFUNCTION("""COMPUTED_VALUE"""),68.34)</f>
        <v>68.34</v>
      </c>
      <c r="F782" s="2">
        <f>IFERROR(__xludf.DUMMYFUNCTION("""COMPUTED_VALUE"""),69.0)</f>
        <v>69</v>
      </c>
      <c r="G782" s="2">
        <f>IFERROR(__xludf.DUMMYFUNCTION("""COMPUTED_VALUE"""),77.0)</f>
        <v>77</v>
      </c>
      <c r="H782" s="2">
        <f>IFERROR(__xludf.DUMMYFUNCTION("""COMPUTED_VALUE"""),90.0)</f>
        <v>90</v>
      </c>
      <c r="I782" s="2">
        <f>IFERROR(__xludf.DUMMYFUNCTION("""COMPUTED_VALUE"""),103.5)</f>
        <v>103.5</v>
      </c>
      <c r="J782" s="2">
        <f>IFERROR(__xludf.DUMMYFUNCTION("""COMPUTED_VALUE"""),52.0)</f>
        <v>52</v>
      </c>
      <c r="K782" s="2">
        <f>IFERROR(__xludf.DUMMYFUNCTION("""COMPUTED_VALUE"""),40.0)</f>
        <v>40</v>
      </c>
      <c r="L782" s="2" t="str">
        <f>IFERROR(__xludf.DUMMYFUNCTION("""COMPUTED_VALUE"""),"Лампа светодиодная LED-A60 DECO")</f>
        <v>Лампа светодиодная LED-A60 DECO</v>
      </c>
      <c r="M782" s="2" t="str">
        <f>IFERROR(__xludf.DUMMYFUNCTION("""COMPUTED_VALUE"""),"Лампы")</f>
        <v>Лампы</v>
      </c>
    </row>
    <row r="783">
      <c r="A783" s="5" t="str">
        <f>IFERROR(__xludf.DUMMYFUNCTION("""COMPUTED_VALUE"""),"4690612029412")</f>
        <v>4690612029412</v>
      </c>
      <c r="B783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3" s="2">
        <f>IFERROR(__xludf.DUMMYFUNCTION("""COMPUTED_VALUE"""),0.018)</f>
        <v>0.018</v>
      </c>
      <c r="D783" s="2">
        <f>IFERROR(__xludf.DUMMYFUNCTION("""COMPUTED_VALUE"""),3.0E-5)</f>
        <v>0.00003</v>
      </c>
      <c r="E783" s="2">
        <f>IFERROR(__xludf.DUMMYFUNCTION("""COMPUTED_VALUE"""),31.9)</f>
        <v>31.9</v>
      </c>
      <c r="F783" s="2">
        <f>IFERROR(__xludf.DUMMYFUNCTION("""COMPUTED_VALUE"""),33.0)</f>
        <v>33</v>
      </c>
      <c r="G783" s="2">
        <f>IFERROR(__xludf.DUMMYFUNCTION("""COMPUTED_VALUE"""),37.0)</f>
        <v>37</v>
      </c>
      <c r="H783" s="2">
        <f>IFERROR(__xludf.DUMMYFUNCTION("""COMPUTED_VALUE"""),43.0)</f>
        <v>43</v>
      </c>
      <c r="I783" s="2">
        <f>IFERROR(__xludf.DUMMYFUNCTION("""COMPUTED_VALUE"""),49.0)</f>
        <v>49</v>
      </c>
      <c r="J783" s="2">
        <f>IFERROR(__xludf.DUMMYFUNCTION("""COMPUTED_VALUE"""),25.0)</f>
        <v>25</v>
      </c>
      <c r="K783" s="2">
        <f>IFERROR(__xludf.DUMMYFUNCTION("""COMPUTED_VALUE"""),10.0)</f>
        <v>10</v>
      </c>
      <c r="L783" s="2" t="str">
        <f>IFERROR(__xludf.DUMMYFUNCTION("""COMPUTED_VALUE"""),"Шинопровод и комплектующие")</f>
        <v>Шинопровод и комплектующие</v>
      </c>
      <c r="M783" s="2" t="str">
        <f>IFERROR(__xludf.DUMMYFUNCTION("""COMPUTED_VALUE"""),"Прочие товары")</f>
        <v>Прочие товары</v>
      </c>
    </row>
    <row r="784">
      <c r="A784" s="5" t="str">
        <f>IFERROR(__xludf.DUMMYFUNCTION("""COMPUTED_VALUE"""),"4690612007267")</f>
        <v>4690612007267</v>
      </c>
      <c r="B784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4" s="2">
        <f>IFERROR(__xludf.DUMMYFUNCTION("""COMPUTED_VALUE"""),0.21)</f>
        <v>0.21</v>
      </c>
      <c r="D784" s="2">
        <f>IFERROR(__xludf.DUMMYFUNCTION("""COMPUTED_VALUE"""),8.500000000000001E-4)</f>
        <v>0.00085</v>
      </c>
      <c r="E784" s="2">
        <f>IFERROR(__xludf.DUMMYFUNCTION("""COMPUTED_VALUE"""),193.92)</f>
        <v>193.92</v>
      </c>
      <c r="F784" s="2">
        <f>IFERROR(__xludf.DUMMYFUNCTION("""COMPUTED_VALUE"""),1.0)</f>
        <v>1</v>
      </c>
      <c r="G784" s="2">
        <f>IFERROR(__xludf.DUMMYFUNCTION("""COMPUTED_VALUE"""),1.0)</f>
        <v>1</v>
      </c>
      <c r="H784" s="2">
        <f>IFERROR(__xludf.DUMMYFUNCTION("""COMPUTED_VALUE"""),1.0)</f>
        <v>1</v>
      </c>
      <c r="I784" s="2">
        <f>IFERROR(__xludf.DUMMYFUNCTION("""COMPUTED_VALUE"""),1.5)</f>
        <v>1.5</v>
      </c>
      <c r="J784" s="2">
        <f>IFERROR(__xludf.DUMMYFUNCTION("""COMPUTED_VALUE"""),1.5)</f>
        <v>1.5</v>
      </c>
      <c r="K784" s="2">
        <f>IFERROR(__xludf.DUMMYFUNCTION("""COMPUTED_VALUE"""),13.0)</f>
        <v>13</v>
      </c>
      <c r="L784" s="2" t="str">
        <f>IFERROR(__xludf.DUMMYFUNCTION("""COMPUTED_VALUE"""),"Лампа светодиодная LED-ШАР-standard")</f>
        <v>Лампа светодиодная LED-ШАР-standard</v>
      </c>
      <c r="M784" s="2" t="str">
        <f>IFERROR(__xludf.DUMMYFUNCTION("""COMPUTED_VALUE"""),"Лампы")</f>
        <v>Лампы</v>
      </c>
    </row>
    <row r="785">
      <c r="A785" s="5" t="str">
        <f>IFERROR(__xludf.DUMMYFUNCTION("""COMPUTED_VALUE"""),"4690612057286-1")</f>
        <v>4690612057286-1</v>
      </c>
      <c r="B785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5" s="2">
        <f>IFERROR(__xludf.DUMMYFUNCTION("""COMPUTED_VALUE"""),0.0)</f>
        <v>0</v>
      </c>
      <c r="D785" s="2">
        <f>IFERROR(__xludf.DUMMYFUNCTION("""COMPUTED_VALUE"""),0.0)</f>
        <v>0</v>
      </c>
      <c r="E785" s="2">
        <f>IFERROR(__xludf.DUMMYFUNCTION("""COMPUTED_VALUE"""),990.86)</f>
        <v>990.86</v>
      </c>
      <c r="F785" s="2">
        <f>IFERROR(__xludf.DUMMYFUNCTION("""COMPUTED_VALUE"""),1087.0)</f>
        <v>1087</v>
      </c>
      <c r="G785" s="2">
        <f>IFERROR(__xludf.DUMMYFUNCTION("""COMPUTED_VALUE"""),1268.0)</f>
        <v>1268</v>
      </c>
      <c r="H785" s="2">
        <f>IFERROR(__xludf.DUMMYFUNCTION("""COMPUTED_VALUE"""),1427.0)</f>
        <v>1427</v>
      </c>
      <c r="I785" s="2">
        <f>IFERROR(__xludf.DUMMYFUNCTION("""COMPUTED_VALUE"""),1585.0)</f>
        <v>1585</v>
      </c>
      <c r="J785" s="2">
        <f>IFERROR(__xludf.DUMMYFUNCTION("""COMPUTED_VALUE"""),793.0)</f>
        <v>793</v>
      </c>
      <c r="K785" s="2">
        <f>IFERROR(__xludf.DUMMYFUNCTION("""COMPUTED_VALUE"""),4.0)</f>
        <v>4</v>
      </c>
      <c r="L7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