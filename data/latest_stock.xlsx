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<sst xmlns="http://schemas.openxmlformats.org/spreadsheetml/2006/main" count="18" uniqueCount="14">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</sst>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://darion-svet.com/web/binary/image?model=product.product&amp;id=20454&amp;field=image" TargetMode="External"/><Relationship Id="rId10" Type="http://schemas.openxmlformats.org/officeDocument/2006/relationships/hyperlink" Target="http://darion-svet.com/shop/product/4690626002869-sbl-ufo-18-4k-e27" TargetMode="External"/><Relationship Id="rId13" Type="http://schemas.openxmlformats.org/officeDocument/2006/relationships/drawing" Target="../drawings/drawing4.xml"/><Relationship Id="rId12" Type="http://schemas.openxmlformats.org/officeDocument/2006/relationships/hyperlink" Target="http://darion-svet.com/shop/product/4690626079649-svetodiodnaya-led-lampa-fito-smartbuy-5-lepestkov-40we27-sbl-5-leaves-40-fito-e2725" TargetMode="External"/><Relationship Id="rId1" Type="http://schemas.openxmlformats.org/officeDocument/2006/relationships/hyperlink" Target="http://darion-svet.com/web/binary/image?model=product.product&amp;id=8377&amp;field=image" TargetMode="External"/><Relationship Id="rId2" Type="http://schemas.openxmlformats.org/officeDocument/2006/relationships/hyperlink" Target="http://darion-svet.com/shop/product/4690612007250-led-svecha-eco-5vt-230v-e27-4000k-375lm-5sht-v-upakovke-in-home" TargetMode="External"/><Relationship Id="rId3" Type="http://schemas.openxmlformats.org/officeDocument/2006/relationships/hyperlink" Target="http://darion-svet.com/web/binary/image?model=product.product&amp;id=8380&amp;field=image" TargetMode="External"/><Relationship Id="rId4" Type="http://schemas.openxmlformats.org/officeDocument/2006/relationships/hyperlink" Target="http://darion-svet.com/shop/product/4690612007267-led-shar-eco-5vt-230v-e14-4000k-375lm-5sht-v-upakovke-in-home" TargetMode="External"/><Relationship Id="rId9" Type="http://schemas.openxmlformats.org/officeDocument/2006/relationships/hyperlink" Target="http://darion-svet.com/web/binary/image?model=product.product&amp;id=16001&amp;field=image" TargetMode="External"/><Relationship Id="rId5" Type="http://schemas.openxmlformats.org/officeDocument/2006/relationships/hyperlink" Target="http://darion-svet.com/web/binary/image?model=product.product&amp;id=8381&amp;field=image" TargetMode="External"/><Relationship Id="rId6" Type="http://schemas.openxmlformats.org/officeDocument/2006/relationships/hyperlink" Target="http://darion-svet.com/shop/product/4690612007274-led-shar-eco-5vt-230v-e27-4000k-375lm-5sht-v-upakovke-in-home" TargetMode="External"/><Relationship Id="rId7" Type="http://schemas.openxmlformats.org/officeDocument/2006/relationships/hyperlink" Target="http://darion-svet.com/web/binary/image?model=product.product&amp;id=8379&amp;field=image" TargetMode="External"/><Relationship Id="rId8" Type="http://schemas.openxmlformats.org/officeDocument/2006/relationships/hyperlink" Target="http://darion-svet.com/shop/product/4690612007298-led-jcdr-eco-7vt-230v-gu53-4000k-525lm-5sht-v-upakovke-in-hom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MAX(BL3:BL1000)</f>
        <v>19</v>
      </c>
    </row>
    <row r="3">
      <c r="A3" s="2">
        <f>IFERROR(__xludf.DUMMYFUNCTION("""COMPUTED_VALUE"""),4.69061200725E12)</f>
        <v>4690612007250</v>
      </c>
      <c r="B3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3" s="2" t="str">
        <f>IFERROR(__xludf.DUMMYFUNCTION("""COMPUTED_VALUE"""),"Лампа светодиодная LED-СВЕЧА-standard")</f>
        <v>Лампа светодиодная LED-СВЕЧА-standard</v>
      </c>
      <c r="D3" s="2"/>
      <c r="E3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>
        <f>IFERROR(__xludf.DUMMYFUNCTION("""COMPUTED_VALUE"""),0.0)</f>
        <v>0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 t="str">
        <f>IFERROR(__xludf.DUMMYFUNCTION("""COMPUTED_VALUE"""),"Да")</f>
        <v>Да</v>
      </c>
      <c r="AU3" s="2">
        <f>IFERROR(__xludf.DUMMYFUNCTION("""COMPUTED_VALUE"""),0.00102)</f>
        <v>0.00102</v>
      </c>
      <c r="AV3" s="2">
        <f>IFERROR(__xludf.DUMMYFUNCTION("""COMPUTED_VALUE"""),0.22)</f>
        <v>0.22</v>
      </c>
      <c r="AW3" s="2">
        <f>IFERROR(__xludf.DUMMYFUNCTION("""COMPUTED_VALUE"""),20.0)</f>
        <v>20</v>
      </c>
      <c r="AX3" s="2"/>
      <c r="AY3" s="2"/>
      <c r="AZ3" s="2"/>
      <c r="BA3" s="2">
        <f>IFERROR(__xludf.DUMMYFUNCTION("""COMPUTED_VALUE"""),0.0203)</f>
        <v>0.0203</v>
      </c>
      <c r="BB3" s="2">
        <f>IFERROR(__xludf.DUMMYFUNCTION("""COMPUTED_VALUE"""),4.4)</f>
        <v>4.4</v>
      </c>
      <c r="BC3" s="2"/>
      <c r="BD3" s="2"/>
      <c r="BE3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3" s="2"/>
      <c r="BG3" s="2"/>
      <c r="BH3" s="2"/>
      <c r="BI3" s="2">
        <f>IFERROR(__xludf.DUMMYFUNCTION("""COMPUTED_VALUE"""),1.0)</f>
        <v>1</v>
      </c>
      <c r="BJ3" s="2">
        <f>IFERROR(__xludf.DUMMYFUNCTION("""COMPUTED_VALUE"""),1.5)</f>
        <v>1.5</v>
      </c>
      <c r="BK3" s="2">
        <f>IFERROR(__xludf.DUMMYFUNCTION("""COMPUTED_VALUE"""),0.0)</f>
        <v>0</v>
      </c>
      <c r="BL3" s="2">
        <f t="shared" ref="BL3:BL132" si="1">COUNTA(A3:BH3)</f>
        <v>12</v>
      </c>
    </row>
    <row r="4">
      <c r="A4" s="2">
        <f>IFERROR(__xludf.DUMMYFUNCTION("""COMPUTED_VALUE"""),4.690612007267E12)</f>
        <v>4690612007267</v>
      </c>
      <c r="B4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4" s="2" t="str">
        <f>IFERROR(__xludf.DUMMYFUNCTION("""COMPUTED_VALUE"""),"Лампа светодиодная LED-ШАР-standard")</f>
        <v>Лампа светодиодная LED-ШАР-standard</v>
      </c>
      <c r="D4" s="2"/>
      <c r="E4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4" s="2"/>
      <c r="G4" s="2"/>
      <c r="H4" s="2"/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IFERROR(__xludf.DUMMYFUNCTION("""COMPUTED_VALUE"""),5.0)</f>
        <v>5</v>
      </c>
      <c r="N4" s="2" t="str">
        <f>IFERROR(__xludf.DUMMYFUNCTION("""COMPUTED_VALUE"""),"E14")</f>
        <v>E14</v>
      </c>
      <c r="O4" s="2"/>
      <c r="P4" s="2">
        <f>IFERROR(__xludf.DUMMYFUNCTION("""COMPUTED_VALUE"""),375.0)</f>
        <v>375</v>
      </c>
      <c r="Q4" s="2">
        <f>IFERROR(__xludf.DUMMYFUNCTION("""COMPUTED_VALUE"""),4000.0)</f>
        <v>4000</v>
      </c>
      <c r="R4" s="2"/>
      <c r="S4" s="2"/>
      <c r="T4" s="2"/>
      <c r="U4" s="2">
        <f>IFERROR(__xludf.DUMMYFUNCTION("""COMPUTED_VALUE"""),0.0)</f>
        <v>0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 t="str">
        <f>IFERROR(__xludf.DUMMYFUNCTION("""COMPUTED_VALUE"""),"Да")</f>
        <v>Да</v>
      </c>
      <c r="AU4" s="2">
        <f>IFERROR(__xludf.DUMMYFUNCTION("""COMPUTED_VALUE"""),8.5E-4)</f>
        <v>0.00085</v>
      </c>
      <c r="AV4" s="2">
        <f>IFERROR(__xludf.DUMMYFUNCTION("""COMPUTED_VALUE"""),0.21)</f>
        <v>0.21</v>
      </c>
      <c r="AW4" s="2">
        <f>IFERROR(__xludf.DUMMYFUNCTION("""COMPUTED_VALUE"""),20.0)</f>
        <v>20</v>
      </c>
      <c r="AX4" s="2"/>
      <c r="AY4" s="2"/>
      <c r="AZ4" s="2"/>
      <c r="BA4" s="2">
        <f>IFERROR(__xludf.DUMMYFUNCTION("""COMPUTED_VALUE"""),0.017)</f>
        <v>0.017</v>
      </c>
      <c r="BB4" s="2">
        <f>IFERROR(__xludf.DUMMYFUNCTION("""COMPUTED_VALUE"""),4.2)</f>
        <v>4.2</v>
      </c>
      <c r="BC4" s="2"/>
      <c r="BD4" s="2"/>
      <c r="BE4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4" s="2"/>
      <c r="BG4" s="2"/>
      <c r="BH4" s="2"/>
      <c r="BI4" s="2">
        <f>IFERROR(__xludf.DUMMYFUNCTION("""COMPUTED_VALUE"""),13.0)</f>
        <v>13</v>
      </c>
      <c r="BJ4" s="2">
        <f>IFERROR(__xludf.DUMMYFUNCTION("""COMPUTED_VALUE"""),1.5)</f>
        <v>1.5</v>
      </c>
      <c r="BK4" s="2">
        <f>IFERROR(__xludf.DUMMYFUNCTION("""COMPUTED_VALUE"""),0.0)</f>
        <v>0</v>
      </c>
      <c r="BL4" s="2">
        <f t="shared" si="1"/>
        <v>17</v>
      </c>
    </row>
    <row r="5">
      <c r="A5" s="2">
        <f>IFERROR(__xludf.DUMMYFUNCTION("""COMPUTED_VALUE"""),4.690612007274E12)</f>
        <v>4690612007274</v>
      </c>
      <c r="B5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5" s="2" t="str">
        <f>IFERROR(__xludf.DUMMYFUNCTION("""COMPUTED_VALUE"""),"Лампа светодиодная LED-ШАР-standard")</f>
        <v>Лампа светодиодная LED-ШАР-standard</v>
      </c>
      <c r="D5" s="2"/>
      <c r="E5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>
        <f>IFERROR(__xludf.DUMMYFUNCTION("""COMPUTED_VALUE"""),0.0)</f>
        <v>0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 t="str">
        <f>IFERROR(__xludf.DUMMYFUNCTION("""COMPUTED_VALUE"""),"Да")</f>
        <v>Да</v>
      </c>
      <c r="AU5" s="2">
        <f>IFERROR(__xludf.DUMMYFUNCTION("""COMPUTED_VALUE"""),9.5E-4)</f>
        <v>0.00095</v>
      </c>
      <c r="AV5" s="2">
        <f>IFERROR(__xludf.DUMMYFUNCTION("""COMPUTED_VALUE"""),0.22)</f>
        <v>0.22</v>
      </c>
      <c r="AW5" s="2">
        <f>IFERROR(__xludf.DUMMYFUNCTION("""COMPUTED_VALUE"""),20.0)</f>
        <v>20</v>
      </c>
      <c r="AX5" s="2"/>
      <c r="AY5" s="2"/>
      <c r="AZ5" s="2"/>
      <c r="BA5" s="2">
        <f>IFERROR(__xludf.DUMMYFUNCTION("""COMPUTED_VALUE"""),0.019)</f>
        <v>0.019</v>
      </c>
      <c r="BB5" s="2">
        <f>IFERROR(__xludf.DUMMYFUNCTION("""COMPUTED_VALUE"""),4.4)</f>
        <v>4.4</v>
      </c>
      <c r="BC5" s="2"/>
      <c r="BD5" s="2"/>
      <c r="BE5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5" s="2"/>
      <c r="BG5" s="2"/>
      <c r="BH5" s="2"/>
      <c r="BI5" s="2">
        <f>IFERROR(__xludf.DUMMYFUNCTION("""COMPUTED_VALUE"""),6.0)</f>
        <v>6</v>
      </c>
      <c r="BJ5" s="2">
        <f>IFERROR(__xludf.DUMMYFUNCTION("""COMPUTED_VALUE"""),1.5)</f>
        <v>1.5</v>
      </c>
      <c r="BK5" s="2">
        <f>IFERROR(__xludf.DUMMYFUNCTION("""COMPUTED_VALUE"""),0.0)</f>
        <v>0</v>
      </c>
      <c r="BL5" s="2">
        <f t="shared" si="1"/>
        <v>12</v>
      </c>
    </row>
    <row r="6">
      <c r="A6" s="2">
        <f>IFERROR(__xludf.DUMMYFUNCTION("""COMPUTED_VALUE"""),4.690612007298E12)</f>
        <v>4690612007298</v>
      </c>
      <c r="B6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6" s="2" t="str">
        <f>IFERROR(__xludf.DUMMYFUNCTION("""COMPUTED_VALUE"""),"Лампа светодиодная LED-JCDR-standard")</f>
        <v>Лампа светодиодная LED-JCDR-standard</v>
      </c>
      <c r="D6" s="2"/>
      <c r="E6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6" s="2"/>
      <c r="G6" s="2"/>
      <c r="H6" s="2"/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IFERROR(__xludf.DUMMYFUNCTION("""COMPUTED_VALUE"""),7.0)</f>
        <v>7</v>
      </c>
      <c r="N6" s="2" t="str">
        <f>IFERROR(__xludf.DUMMYFUNCTION("""COMPUTED_VALUE"""),"GU5.3")</f>
        <v>GU5.3</v>
      </c>
      <c r="O6" s="2"/>
      <c r="P6" s="2">
        <f>IFERROR(__xludf.DUMMYFUNCTION("""COMPUTED_VALUE"""),525.0)</f>
        <v>525</v>
      </c>
      <c r="Q6" s="2">
        <f>IFERROR(__xludf.DUMMYFUNCTION("""COMPUTED_VALUE"""),4000.0)</f>
        <v>4000</v>
      </c>
      <c r="R6" s="2"/>
      <c r="S6" s="2"/>
      <c r="T6" s="2"/>
      <c r="U6" s="2">
        <f>IFERROR(__xludf.DUMMYFUNCTION("""COMPUTED_VALUE"""),0.0)</f>
        <v>0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 t="str">
        <f>IFERROR(__xludf.DUMMYFUNCTION("""COMPUTED_VALUE"""),"Да")</f>
        <v>Да</v>
      </c>
      <c r="AU6" s="2">
        <f>IFERROR(__xludf.DUMMYFUNCTION("""COMPUTED_VALUE"""),7.5E-4)</f>
        <v>0.00075</v>
      </c>
      <c r="AV6" s="2">
        <f>IFERROR(__xludf.DUMMYFUNCTION("""COMPUTED_VALUE"""),0.19)</f>
        <v>0.19</v>
      </c>
      <c r="AW6" s="2">
        <f>IFERROR(__xludf.DUMMYFUNCTION("""COMPUTED_VALUE"""),20.0)</f>
        <v>20</v>
      </c>
      <c r="AX6" s="2"/>
      <c r="AY6" s="2"/>
      <c r="AZ6" s="2"/>
      <c r="BA6" s="2">
        <f>IFERROR(__xludf.DUMMYFUNCTION("""COMPUTED_VALUE"""),0.015)</f>
        <v>0.015</v>
      </c>
      <c r="BB6" s="2">
        <f>IFERROR(__xludf.DUMMYFUNCTION("""COMPUTED_VALUE"""),3.8)</f>
        <v>3.8</v>
      </c>
      <c r="BC6" s="2"/>
      <c r="BD6" s="2"/>
      <c r="BE6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IFERROR(__xludf.DUMMYFUNCTION("""COMPUTED_VALUE"""),1.5)</f>
        <v>1.5</v>
      </c>
      <c r="BK6" s="2">
        <f>IFERROR(__xludf.DUMMYFUNCTION("""COMPUTED_VALUE"""),0.0)</f>
        <v>0</v>
      </c>
      <c r="BL6" s="2">
        <f t="shared" si="1"/>
        <v>17</v>
      </c>
    </row>
    <row r="7">
      <c r="A7" s="2">
        <f>IFERROR(__xludf.DUMMYFUNCTION("""COMPUTED_VALUE"""),4.690626002869E12)</f>
        <v>4690626002869</v>
      </c>
      <c r="B7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7" s="2" t="str">
        <f>IFERROR(__xludf.DUMMYFUNCTION("""COMPUTED_VALUE"""),"Smartbuy лампы LED")</f>
        <v>Smartbuy лампы LED</v>
      </c>
      <c r="D7" s="2"/>
      <c r="E7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7" s="2"/>
      <c r="G7" s="2" t="str">
        <f>IFERROR(__xludf.DUMMYFUNCTION("""COMPUTED_VALUE"""),"Китай")</f>
        <v>Китай</v>
      </c>
      <c r="H7" s="2" t="str">
        <f>IFERROR(__xludf.DUMMYFUNCTION("""COMPUTED_VALUE"""),"Smartbuy")</f>
        <v>Smartbuy</v>
      </c>
      <c r="I7" s="2"/>
      <c r="J7" s="2"/>
      <c r="K7" s="2"/>
      <c r="L7" s="2"/>
      <c r="M7" s="2">
        <f>IFERROR(__xludf.DUMMYFUNCTION("""COMPUTED_VALUE"""),18.0)</f>
        <v>18</v>
      </c>
      <c r="N7" s="2" t="str">
        <f>IFERROR(__xludf.DUMMYFUNCTION("""COMPUTED_VALUE"""),"E27")</f>
        <v>E27</v>
      </c>
      <c r="O7" s="2"/>
      <c r="P7" s="2"/>
      <c r="Q7" s="2">
        <f>IFERROR(__xludf.DUMMYFUNCTION("""COMPUTED_VALUE"""),4000.0)</f>
        <v>4000</v>
      </c>
      <c r="R7" s="2"/>
      <c r="S7" s="2"/>
      <c r="T7" s="2"/>
      <c r="U7" s="2" t="str">
        <f>IFERROR(__xludf.DUMMYFUNCTION("""COMPUTED_VALUE"""),"30 000 ч")</f>
        <v>30 000 ч</v>
      </c>
      <c r="V7" s="2"/>
      <c r="W7" s="2"/>
      <c r="X7" s="2"/>
      <c r="Y7" s="2"/>
      <c r="Z7" s="2"/>
      <c r="AA7" s="2"/>
      <c r="AB7" s="2">
        <f>IFERROR(__xludf.DUMMYFUNCTION("""COMPUTED_VALUE"""),0.2)</f>
        <v>0.2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IFERROR(__xludf.DUMMYFUNCTION("""COMPUTED_VALUE"""),0.00211)</f>
        <v>0.00211</v>
      </c>
      <c r="AV7" s="2">
        <f>IFERROR(__xludf.DUMMYFUNCTION("""COMPUTED_VALUE"""),0.2)</f>
        <v>0.2</v>
      </c>
      <c r="AW7" s="2">
        <f>IFERROR(__xludf.DUMMYFUNCTION("""COMPUTED_VALUE"""),16.0)</f>
        <v>16</v>
      </c>
      <c r="AX7" s="2"/>
      <c r="AY7" s="2"/>
      <c r="AZ7" s="2"/>
      <c r="BA7" s="2">
        <f>IFERROR(__xludf.DUMMYFUNCTION("""COMPUTED_VALUE"""),0.03376)</f>
        <v>0.03376</v>
      </c>
      <c r="BB7" s="2">
        <f>IFERROR(__xludf.DUMMYFUNCTION("""COMPUTED_VALUE"""),3.2)</f>
        <v>3.2</v>
      </c>
      <c r="BC7" s="2"/>
      <c r="BD7" s="2"/>
      <c r="BE7" s="4" t="str">
        <f>IFERROR(__xludf.DUMMYFUNCTION("""COMPUTED_VALUE"""),"http://darion-svet.com/shop/product/4690626002869-sbl-ufo-18-4k-e27")</f>
        <v>http://darion-svet.com/shop/product/4690626002869-sbl-ufo-18-4k-e27</v>
      </c>
      <c r="BF7" s="2"/>
      <c r="BG7" s="2"/>
      <c r="BH7" s="2"/>
      <c r="BI7" s="2">
        <f>IFERROR(__xludf.DUMMYFUNCTION("""COMPUTED_VALUE"""),7.0)</f>
        <v>7</v>
      </c>
      <c r="BJ7" s="2">
        <f>IFERROR(__xludf.DUMMYFUNCTION("""COMPUTED_VALUE"""),137.0)</f>
        <v>137</v>
      </c>
      <c r="BK7" s="2">
        <f>IFERROR(__xludf.DUMMYFUNCTION("""COMPUTED_VALUE"""),0.0)</f>
        <v>0</v>
      </c>
      <c r="BL7" s="2">
        <f t="shared" si="1"/>
        <v>19</v>
      </c>
    </row>
    <row r="8">
      <c r="A8" s="2">
        <f>IFERROR(__xludf.DUMMYFUNCTION("""COMPUTED_VALUE"""),4.690626079649E12)</f>
        <v>4690626079649</v>
      </c>
      <c r="B8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8" s="2" t="str">
        <f>IFERROR(__xludf.DUMMYFUNCTION("""COMPUTED_VALUE"""),"Smartbuy лампы LED")</f>
        <v>Smartbuy лампы LED</v>
      </c>
      <c r="D8" s="2"/>
      <c r="E8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8" s="2"/>
      <c r="BG8" s="2"/>
      <c r="BH8" s="2"/>
      <c r="BI8" s="2">
        <f>IFERROR(__xludf.DUMMYFUNCTION("""COMPUTED_VALUE"""),2.0)</f>
        <v>2</v>
      </c>
      <c r="BJ8" s="2">
        <f>IFERROR(__xludf.DUMMYFUNCTION("""COMPUTED_VALUE"""),847.0)</f>
        <v>847</v>
      </c>
      <c r="BK8" s="2">
        <f>IFERROR(__xludf.DUMMYFUNCTION("""COMPUTED_VALUE"""),0.0)</f>
        <v>0</v>
      </c>
      <c r="BL8" s="2">
        <f t="shared" si="1"/>
        <v>5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O48" s="3"/>
      <c r="T48" s="3"/>
      <c r="V48" s="3"/>
      <c r="W48" s="3"/>
      <c r="X48" s="3"/>
      <c r="Y48" s="3"/>
      <c r="Z48" s="3"/>
      <c r="AA48" s="3"/>
      <c r="AF48" s="3"/>
      <c r="AG48" s="3"/>
      <c r="AI48" s="3"/>
      <c r="AJ48" s="3"/>
      <c r="AK48" s="3"/>
      <c r="AM48" s="3"/>
      <c r="AN48" s="3"/>
      <c r="AO48" s="3"/>
      <c r="AP48" s="3"/>
      <c r="AQ48" s="3"/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  <row r="127">
      <c r="BL127" s="2">
        <f t="shared" si="1"/>
        <v>0</v>
      </c>
    </row>
    <row r="128">
      <c r="BL128" s="2">
        <f t="shared" si="1"/>
        <v>0</v>
      </c>
    </row>
    <row r="129">
      <c r="BL129" s="2">
        <f t="shared" si="1"/>
        <v>0</v>
      </c>
    </row>
    <row r="130">
      <c r="BL130" s="2">
        <f t="shared" si="1"/>
        <v>0</v>
      </c>
    </row>
    <row r="131">
      <c r="BL131" s="2">
        <f t="shared" si="1"/>
        <v>0</v>
      </c>
    </row>
    <row r="132">
      <c r="BL132" s="2">
        <f t="shared" si="1"/>
        <v>0</v>
      </c>
    </row>
  </sheetData>
  <hyperlinks>
    <hyperlink r:id="rId1" ref="E3"/>
    <hyperlink r:id="rId2" ref="BE3"/>
    <hyperlink r:id="rId3" ref="E4"/>
    <hyperlink r:id="rId4" ref="BE4"/>
    <hyperlink r:id="rId5" ref="E5"/>
    <hyperlink r:id="rId6" ref="BE5"/>
    <hyperlink r:id="rId7" ref="E6"/>
    <hyperlink r:id="rId8" ref="BE6"/>
    <hyperlink r:id="rId9" ref="E7"/>
    <hyperlink r:id="rId10" ref="BE7"/>
    <hyperlink r:id="rId11" ref="E8"/>
    <hyperlink r:id="rId12" ref="BE8"/>
  </hyperlinks>
  <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06.10.2026 Stock")</f>
        <v>Отчёт о товарах 06.10.2026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IFERROR(__xludf.DUMMYFUNCTION("""COMPUTED_VALUE"""),"R101082")</f>
        <v>R101082</v>
      </c>
      <c r="B4" s="5" t="str">
        <f>IFERROR(__xludf.DUMMYFUNCTION("""COMPUTED_VALUE"""),"RSV-SPO-02-120W-6500K OPL")</f>
        <v>RSV-SPO-02-120W-6500K OPL</v>
      </c>
      <c r="C4" s="2">
        <f>IFERROR(__xludf.DUMMYFUNCTION("""COMPUTED_VALUE"""),0.42)</f>
        <v>0.42</v>
      </c>
      <c r="D4" s="2">
        <f>IFERROR(__xludf.DUMMYFUNCTION("""COMPUTED_VALUE"""),0.00355)</f>
        <v>0.00355</v>
      </c>
      <c r="E4" s="2">
        <f>IFERROR(__xludf.DUMMYFUNCTION("""COMPUTED_VALUE"""),559.35)</f>
        <v>559.35</v>
      </c>
      <c r="F4" s="2">
        <f>IFERROR(__xludf.DUMMYFUNCTION("""COMPUTED_VALUE"""),388.0)</f>
        <v>388</v>
      </c>
      <c r="G4" s="2">
        <f>IFERROR(__xludf.DUMMYFUNCTION("""COMPUTED_VALUE"""),457.0)</f>
        <v>457</v>
      </c>
      <c r="H4" s="2">
        <f>IFERROR(__xludf.DUMMYFUNCTION("""COMPUTED_VALUE"""),470.0)</f>
        <v>470</v>
      </c>
      <c r="I4" s="2">
        <f>IFERROR(__xludf.DUMMYFUNCTION("""COMPUTED_VALUE"""),541.0)</f>
        <v>541</v>
      </c>
      <c r="J4" s="2">
        <f>IFERROR(__xludf.DUMMYFUNCTION("""COMPUTED_VALUE"""),541.0)</f>
        <v>541</v>
      </c>
      <c r="K4" s="2">
        <f>IFERROR(__xludf.DUMMYFUNCTION("""COMPUTED_VALUE"""),9.0)</f>
        <v>9</v>
      </c>
      <c r="L4" s="2" t="str">
        <f>IFERROR(__xludf.DUMMYFUNCTION("""COMPUTED_VALUE"""),"Офисный светильник RSV-SPO-02, SPO-03 (Сталь)")</f>
        <v>Офисный светильник RSV-SPO-02, SPO-03 (Сталь)</v>
      </c>
      <c r="M4" s="2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5" t="str">
        <f>IFERROR(__xludf.DUMMYFUNCTION("""COMPUTED_VALUE"""),"GL8290")</f>
        <v>GL8290</v>
      </c>
      <c r="B5" s="5" t="str">
        <f>IFERROR(__xludf.DUMMYFUNCTION("""COMPUTED_VALUE"""),"GLERIO Line Ultra 48 Вт 4000К 94P-48D-4N-M")</f>
        <v>GLERIO Line Ultra 48 Вт 4000К 94P-48D-4N-M</v>
      </c>
      <c r="C5" s="2">
        <f>IFERROR(__xludf.DUMMYFUNCTION("""COMPUTED_VALUE"""),0.7200000000000001)</f>
        <v>0.72</v>
      </c>
      <c r="D5" s="2">
        <f>IFERROR(__xludf.DUMMYFUNCTION("""COMPUTED_VALUE"""),0.00485)</f>
        <v>0.00485</v>
      </c>
      <c r="E5" s="2">
        <f>IFERROR(__xludf.DUMMYFUNCTION("""COMPUTED_VALUE"""),2475.31)</f>
        <v>2475.31</v>
      </c>
      <c r="F5" s="2">
        <f>IFERROR(__xludf.DUMMYFUNCTION("""COMPUTED_VALUE"""),3060.0)</f>
        <v>3060</v>
      </c>
      <c r="G5" s="2">
        <f>IFERROR(__xludf.DUMMYFUNCTION("""COMPUTED_VALUE"""),3853.0)</f>
        <v>3853</v>
      </c>
      <c r="H5" s="2">
        <f>IFERROR(__xludf.DUMMYFUNCTION("""COMPUTED_VALUE"""),4327.0)</f>
        <v>4327</v>
      </c>
      <c r="I5" s="2">
        <f>IFERROR(__xludf.DUMMYFUNCTION("""COMPUTED_VALUE"""),4801.0)</f>
        <v>4801</v>
      </c>
      <c r="J5" s="2">
        <f>IFERROR(__xludf.DUMMYFUNCTION("""COMPUTED_VALUE"""),3853.0)</f>
        <v>3853</v>
      </c>
      <c r="K5" s="2">
        <f>IFERROR(__xludf.DUMMYFUNCTION("""COMPUTED_VALUE"""),7.0)</f>
        <v>7</v>
      </c>
      <c r="L5" s="2" t="str">
        <f>IFERROR(__xludf.DUMMYFUNCTION("""COMPUTED_VALUE"""),"Line Ultra (Сеть) до 10.2025")</f>
        <v>Line Ultra (Сеть) до 10.2025</v>
      </c>
      <c r="M5" s="2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5" t="str">
        <f>IFERROR(__xludf.DUMMYFUNCTION("""COMPUTED_VALUE"""),"4690612053011-2")</f>
        <v>4690612053011-2</v>
      </c>
      <c r="B6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2">
        <f>IFERROR(__xludf.DUMMYFUNCTION("""COMPUTED_VALUE"""),1.38)</f>
        <v>1.38</v>
      </c>
      <c r="D6" s="2">
        <f>IFERROR(__xludf.DUMMYFUNCTION("""COMPUTED_VALUE"""),0.0)</f>
        <v>0</v>
      </c>
      <c r="E6" s="2">
        <f>IFERROR(__xludf.DUMMYFUNCTION("""COMPUTED_VALUE"""),1099.56)</f>
        <v>1099.56</v>
      </c>
      <c r="F6" s="2">
        <f>IFERROR(__xludf.DUMMYFUNCTION("""COMPUTED_VALUE"""),1206.0)</f>
        <v>1206</v>
      </c>
      <c r="G6" s="2">
        <f>IFERROR(__xludf.DUMMYFUNCTION("""COMPUTED_VALUE"""),1407.0)</f>
        <v>1407</v>
      </c>
      <c r="H6" s="2">
        <f>IFERROR(__xludf.DUMMYFUNCTION("""COMPUTED_VALUE"""),1583.0)</f>
        <v>1583</v>
      </c>
      <c r="I6" s="2">
        <f>IFERROR(__xludf.DUMMYFUNCTION("""COMPUTED_VALUE"""),1759.0)</f>
        <v>1759</v>
      </c>
      <c r="J6" s="2">
        <f>IFERROR(__xludf.DUMMYFUNCTION("""COMPUTED_VALUE"""),880.0)</f>
        <v>880</v>
      </c>
      <c r="K6" s="2">
        <f>IFERROR(__xludf.DUMMYFUNCTION("""COMPUTED_VALUE"""),4.0)</f>
        <v>4</v>
      </c>
      <c r="L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5" t="str">
        <f>IFERROR(__xludf.DUMMYFUNCTION("""COMPUTED_VALUE"""),"4690612000879")</f>
        <v>4690612000879</v>
      </c>
      <c r="B7" s="5" t="str">
        <f>IFERROR(__xludf.DUMMYFUNCTION("""COMPUTED_VALUE"""),"LS50-RGB CС 20см")</f>
        <v>LS50-RGB CС 20см</v>
      </c>
      <c r="C7" s="2">
        <f>IFERROR(__xludf.DUMMYFUNCTION("""COMPUTED_VALUE"""),0.001)</f>
        <v>0.001</v>
      </c>
      <c r="D7" s="2">
        <f>IFERROR(__xludf.DUMMYFUNCTION("""COMPUTED_VALUE"""),1.0E-5)</f>
        <v>0.00001</v>
      </c>
      <c r="E7" s="2">
        <f>IFERROR(__xludf.DUMMYFUNCTION("""COMPUTED_VALUE"""),27.65)</f>
        <v>27.65</v>
      </c>
      <c r="F7" s="2">
        <f>IFERROR(__xludf.DUMMYFUNCTION("""COMPUTED_VALUE"""),30.0)</f>
        <v>30</v>
      </c>
      <c r="G7" s="2">
        <f>IFERROR(__xludf.DUMMYFUNCTION("""COMPUTED_VALUE"""),34.0)</f>
        <v>34</v>
      </c>
      <c r="H7" s="2">
        <f>IFERROR(__xludf.DUMMYFUNCTION("""COMPUTED_VALUE"""),39.0)</f>
        <v>39</v>
      </c>
      <c r="I7" s="2">
        <f>IFERROR(__xludf.DUMMYFUNCTION("""COMPUTED_VALUE"""),45.0)</f>
        <v>45</v>
      </c>
      <c r="J7" s="2">
        <f>IFERROR(__xludf.DUMMYFUNCTION("""COMPUTED_VALUE"""),23.0)</f>
        <v>23</v>
      </c>
      <c r="K7" s="2">
        <f>IFERROR(__xludf.DUMMYFUNCTION("""COMPUTED_VALUE"""),97.0)</f>
        <v>97</v>
      </c>
      <c r="L7" s="2" t="str">
        <f>IFERROR(__xludf.DUMMYFUNCTION("""COMPUTED_VALUE"""),"ASD Комплектующие")</f>
        <v>ASD Комплектующие</v>
      </c>
      <c r="M7" s="2" t="str">
        <f>IFERROR(__xludf.DUMMYFUNCTION("""COMPUTED_VALUE"""),"Прочие товары")</f>
        <v>Прочие товары</v>
      </c>
    </row>
    <row r="8">
      <c r="A8" s="5" t="str">
        <f>IFERROR(__xludf.DUMMYFUNCTION("""COMPUTED_VALUE"""),"4690612053028")</f>
        <v>4690612053028</v>
      </c>
      <c r="B8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2">
        <f>IFERROR(__xludf.DUMMYFUNCTION("""COMPUTED_VALUE"""),1.14)</f>
        <v>1.14</v>
      </c>
      <c r="D8" s="2">
        <f>IFERROR(__xludf.DUMMYFUNCTION("""COMPUTED_VALUE"""),0.008)</f>
        <v>0.008</v>
      </c>
      <c r="E8" s="2">
        <f>IFERROR(__xludf.DUMMYFUNCTION("""COMPUTED_VALUE"""),551.91)</f>
        <v>551.91</v>
      </c>
      <c r="F8" s="2">
        <f>IFERROR(__xludf.DUMMYFUNCTION("""COMPUTED_VALUE"""),644.0)</f>
        <v>644</v>
      </c>
      <c r="G8" s="2">
        <f>IFERROR(__xludf.DUMMYFUNCTION("""COMPUTED_VALUE"""),725.0)</f>
        <v>725</v>
      </c>
      <c r="H8" s="2">
        <f>IFERROR(__xludf.DUMMYFUNCTION("""COMPUTED_VALUE"""),840.0)</f>
        <v>840</v>
      </c>
      <c r="I8" s="2">
        <f>IFERROR(__xludf.DUMMYFUNCTION("""COMPUTED_VALUE"""),966.0)</f>
        <v>966</v>
      </c>
      <c r="J8" s="2">
        <f>IFERROR(__xludf.DUMMYFUNCTION("""COMPUTED_VALUE"""),483.0)</f>
        <v>483</v>
      </c>
      <c r="K8" s="2">
        <f>IFERROR(__xludf.DUMMYFUNCTION("""COMPUTED_VALUE"""),1.0)</f>
        <v>1</v>
      </c>
      <c r="L8" s="2" t="str">
        <f>IFERROR(__xludf.DUMMYFUNCTION("""COMPUTED_VALUE"""),"NEOX Светильники LED ДВО")</f>
        <v>NEOX Светильники LED ДВО</v>
      </c>
      <c r="M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5" t="str">
        <f>IFERROR(__xludf.DUMMYFUNCTION("""COMPUTED_VALUE"""),"4690612020792")</f>
        <v>4690612020792</v>
      </c>
      <c r="B9" s="5" t="str">
        <f>IFERROR(__xludf.DUMMYFUNCTION("""COMPUTED_VALUE"""),"LED-GX53-VC 12Вт 230В 4000К 1140Лм IN HOME")</f>
        <v>LED-GX53-VC 12Вт 230В 4000К 1140Лм IN HOME</v>
      </c>
      <c r="C9" s="2">
        <f>IFERROR(__xludf.DUMMYFUNCTION("""COMPUTED_VALUE"""),0.03800000000000001)</f>
        <v>0.038</v>
      </c>
      <c r="D9" s="2">
        <f>IFERROR(__xludf.DUMMYFUNCTION("""COMPUTED_VALUE"""),2.1E-4)</f>
        <v>0.00021</v>
      </c>
      <c r="E9" s="2">
        <f>IFERROR(__xludf.DUMMYFUNCTION("""COMPUTED_VALUE"""),47.09)</f>
        <v>47.09</v>
      </c>
      <c r="F9" s="2">
        <f>IFERROR(__xludf.DUMMYFUNCTION("""COMPUTED_VALUE"""),48.0)</f>
        <v>48</v>
      </c>
      <c r="G9" s="2">
        <f>IFERROR(__xludf.DUMMYFUNCTION("""COMPUTED_VALUE"""),54.0)</f>
        <v>54</v>
      </c>
      <c r="H9" s="2">
        <f>IFERROR(__xludf.DUMMYFUNCTION("""COMPUTED_VALUE"""),62.0)</f>
        <v>62</v>
      </c>
      <c r="I9" s="2">
        <f>IFERROR(__xludf.DUMMYFUNCTION("""COMPUTED_VALUE"""),71.9)</f>
        <v>71.9</v>
      </c>
      <c r="J9" s="2">
        <f>IFERROR(__xludf.DUMMYFUNCTION("""COMPUTED_VALUE"""),36.0)</f>
        <v>36</v>
      </c>
      <c r="K9" s="2">
        <f>IFERROR(__xludf.DUMMYFUNCTION("""COMPUTED_VALUE"""),1.0)</f>
        <v>1</v>
      </c>
      <c r="L9" s="2" t="str">
        <f>IFERROR(__xludf.DUMMYFUNCTION("""COMPUTED_VALUE"""),"Лампа светодиодная LED-GX53-standard")</f>
        <v>Лампа светодиодная LED-GX53-standard</v>
      </c>
      <c r="M9" s="2" t="str">
        <f>IFERROR(__xludf.DUMMYFUNCTION("""COMPUTED_VALUE"""),"Лампы")</f>
        <v>Лампы</v>
      </c>
    </row>
    <row r="10">
      <c r="A10" s="5" t="str">
        <f>IFERROR(__xludf.DUMMYFUNCTION("""COMPUTED_VALUE"""),"ves033")</f>
        <v>ves033</v>
      </c>
      <c r="B10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IFERROR(__xludf.DUMMYFUNCTION("""COMPUTED_VALUE"""),335.03)</f>
        <v>335.03</v>
      </c>
      <c r="F10" s="2">
        <f>IFERROR(__xludf.DUMMYFUNCTION("""COMPUTED_VALUE"""),525.0)</f>
        <v>525</v>
      </c>
      <c r="G10" s="2">
        <f>IFERROR(__xludf.DUMMYFUNCTION("""COMPUTED_VALUE"""),560.0)</f>
        <v>560</v>
      </c>
      <c r="H10" s="2">
        <f>IFERROR(__xludf.DUMMYFUNCTION("""COMPUTED_VALUE"""),630.0)</f>
        <v>630</v>
      </c>
      <c r="I10" s="2">
        <f>IFERROR(__xludf.DUMMYFUNCTION("""COMPUTED_VALUE"""),700.0)</f>
        <v>700</v>
      </c>
      <c r="J10" s="2">
        <f>IFERROR(__xludf.DUMMYFUNCTION("""COMPUTED_VALUE"""),335.0)</f>
        <v>335</v>
      </c>
      <c r="K10" s="2">
        <f>IFERROR(__xludf.DUMMYFUNCTION("""COMPUTED_VALUE"""),30.0)</f>
        <v>30</v>
      </c>
      <c r="L10" s="2" t="str">
        <f>IFERROR(__xludf.DUMMYFUNCTION("""COMPUTED_VALUE"""),"ves")</f>
        <v>ves</v>
      </c>
      <c r="M10" s="2" t="str">
        <f>IFERROR(__xludf.DUMMYFUNCTION("""COMPUTED_VALUE"""),"LED Светильники")</f>
        <v>LED Светильники</v>
      </c>
    </row>
    <row r="11">
      <c r="A11" s="5" t="str">
        <f>IFERROR(__xludf.DUMMYFUNCTION("""COMPUTED_VALUE"""),"4690612036717")</f>
        <v>4690612036717</v>
      </c>
      <c r="B11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2">
        <f>IFERROR(__xludf.DUMMYFUNCTION("""COMPUTED_VALUE"""),0.225)</f>
        <v>0.225</v>
      </c>
      <c r="D11" s="2">
        <f>IFERROR(__xludf.DUMMYFUNCTION("""COMPUTED_VALUE"""),0.002)</f>
        <v>0.002</v>
      </c>
      <c r="E11" s="2">
        <f>IFERROR(__xludf.DUMMYFUNCTION("""COMPUTED_VALUE"""),390.15)</f>
        <v>390.15</v>
      </c>
      <c r="F11" s="2">
        <f>IFERROR(__xludf.DUMMYFUNCTION("""COMPUTED_VALUE"""),363.0)</f>
        <v>363</v>
      </c>
      <c r="G11" s="2">
        <f>IFERROR(__xludf.DUMMYFUNCTION("""COMPUTED_VALUE"""),408.0)</f>
        <v>408</v>
      </c>
      <c r="H11" s="2">
        <f>IFERROR(__xludf.DUMMYFUNCTION("""COMPUTED_VALUE"""),474.0)</f>
        <v>474</v>
      </c>
      <c r="I11" s="2">
        <f>IFERROR(__xludf.DUMMYFUNCTION("""COMPUTED_VALUE"""),545.0)</f>
        <v>545</v>
      </c>
      <c r="J11" s="2">
        <f>IFERROR(__xludf.DUMMYFUNCTION("""COMPUTED_VALUE"""),273.0)</f>
        <v>273</v>
      </c>
      <c r="K11" s="2">
        <f>IFERROR(__xludf.DUMMYFUNCTION("""COMPUTED_VALUE"""),2.0)</f>
        <v>2</v>
      </c>
      <c r="L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2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5" t="str">
        <f>IFERROR(__xludf.DUMMYFUNCTION("""COMPUTED_VALUE"""),"4690612037653-2")</f>
        <v>4690612037653-2</v>
      </c>
      <c r="B12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2">
        <f>IFERROR(__xludf.DUMMYFUNCTION("""COMPUTED_VALUE"""),1.24)</f>
        <v>1.24</v>
      </c>
      <c r="D12" s="2">
        <f>IFERROR(__xludf.DUMMYFUNCTION("""COMPUTED_VALUE"""),0.0)</f>
        <v>0</v>
      </c>
      <c r="E12" s="2">
        <f>IFERROR(__xludf.DUMMYFUNCTION("""COMPUTED_VALUE"""),1230.51)</f>
        <v>1230.51</v>
      </c>
      <c r="F12" s="2">
        <f>IFERROR(__xludf.DUMMYFUNCTION("""COMPUTED_VALUE"""),1350.0)</f>
        <v>1350</v>
      </c>
      <c r="G12" s="2">
        <f>IFERROR(__xludf.DUMMYFUNCTION("""COMPUTED_VALUE"""),1575.0)</f>
        <v>1575</v>
      </c>
      <c r="H12" s="2">
        <f>IFERROR(__xludf.DUMMYFUNCTION("""COMPUTED_VALUE"""),1772.0)</f>
        <v>1772</v>
      </c>
      <c r="I12" s="2">
        <f>IFERROR(__xludf.DUMMYFUNCTION("""COMPUTED_VALUE"""),1969.0)</f>
        <v>1969</v>
      </c>
      <c r="J12" s="2">
        <f>IFERROR(__xludf.DUMMYFUNCTION("""COMPUTED_VALUE"""),985.0)</f>
        <v>985</v>
      </c>
      <c r="K12" s="2">
        <f>IFERROR(__xludf.DUMMYFUNCTION("""COMPUTED_VALUE"""),12.0)</f>
        <v>12</v>
      </c>
      <c r="L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5" t="str">
        <f>IFERROR(__xludf.DUMMYFUNCTION("""COMPUTED_VALUE"""),"4690612062877")</f>
        <v>4690612062877</v>
      </c>
      <c r="B13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2">
        <f>IFERROR(__xludf.DUMMYFUNCTION("""COMPUTED_VALUE"""),1.1)</f>
        <v>1.1</v>
      </c>
      <c r="D13" s="2">
        <f>IFERROR(__xludf.DUMMYFUNCTION("""COMPUTED_VALUE"""),0.007500000000000001)</f>
        <v>0.0075</v>
      </c>
      <c r="E13" s="2">
        <f>IFERROR(__xludf.DUMMYFUNCTION("""COMPUTED_VALUE"""),600.14)</f>
        <v>600.14</v>
      </c>
      <c r="F13" s="2">
        <f>IFERROR(__xludf.DUMMYFUNCTION("""COMPUTED_VALUE"""),707.0)</f>
        <v>707</v>
      </c>
      <c r="G13" s="2">
        <f>IFERROR(__xludf.DUMMYFUNCTION("""COMPUTED_VALUE"""),796.0)</f>
        <v>796</v>
      </c>
      <c r="H13" s="2">
        <f>IFERROR(__xludf.DUMMYFUNCTION("""COMPUTED_VALUE"""),923.0)</f>
        <v>923</v>
      </c>
      <c r="I13" s="2">
        <f>IFERROR(__xludf.DUMMYFUNCTION("""COMPUTED_VALUE"""),1061.0)</f>
        <v>1061</v>
      </c>
      <c r="J13" s="2">
        <f>IFERROR(__xludf.DUMMYFUNCTION("""COMPUTED_VALUE"""),1061.0)</f>
        <v>1061</v>
      </c>
      <c r="K13" s="2">
        <f>IFERROR(__xludf.DUMMYFUNCTION("""COMPUTED_VALUE"""),2.0)</f>
        <v>2</v>
      </c>
      <c r="L13" s="2" t="str">
        <f>IFERROR(__xludf.DUMMYFUNCTION("""COMPUTED_VALUE"""),"NEOX Светильники LED ДВО")</f>
        <v>NEOX Светильники LED ДВО</v>
      </c>
      <c r="M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5" t="str">
        <f>IFERROR(__xludf.DUMMYFUNCTION("""COMPUTED_VALUE"""),"4690612029818")</f>
        <v>4690612029818</v>
      </c>
      <c r="B14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2">
        <f>IFERROR(__xludf.DUMMYFUNCTION("""COMPUTED_VALUE"""),1.2)</f>
        <v>1.2</v>
      </c>
      <c r="D14" s="2">
        <f>IFERROR(__xludf.DUMMYFUNCTION("""COMPUTED_VALUE"""),0.00525)</f>
        <v>0.00525</v>
      </c>
      <c r="E14" s="2">
        <f>IFERROR(__xludf.DUMMYFUNCTION("""COMPUTED_VALUE"""),485.21)</f>
        <v>485.21</v>
      </c>
      <c r="F14" s="2">
        <f>IFERROR(__xludf.DUMMYFUNCTION("""COMPUTED_VALUE"""),537.0)</f>
        <v>537</v>
      </c>
      <c r="G14" s="2">
        <f>IFERROR(__xludf.DUMMYFUNCTION("""COMPUTED_VALUE"""),605.0)</f>
        <v>605</v>
      </c>
      <c r="H14" s="2">
        <f>IFERROR(__xludf.DUMMYFUNCTION("""COMPUTED_VALUE"""),701.0)</f>
        <v>701</v>
      </c>
      <c r="I14" s="2">
        <f>IFERROR(__xludf.DUMMYFUNCTION("""COMPUTED_VALUE"""),806.0)</f>
        <v>806</v>
      </c>
      <c r="J14" s="2">
        <f>IFERROR(__xludf.DUMMYFUNCTION("""COMPUTED_VALUE"""),403.0)</f>
        <v>403</v>
      </c>
      <c r="K14" s="2">
        <f>IFERROR(__xludf.DUMMYFUNCTION("""COMPUTED_VALUE"""),11.0)</f>
        <v>11</v>
      </c>
      <c r="L14" s="2" t="str">
        <f>IFERROR(__xludf.DUMMYFUNCTION("""COMPUTED_VALUE"""),"Панели светодиодные LP серии ПРИЗМА")</f>
        <v>Панели светодиодные LP серии ПРИЗМА</v>
      </c>
      <c r="M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5" t="str">
        <f>IFERROR(__xludf.DUMMYFUNCTION("""COMPUTED_VALUE"""),"12-0133")</f>
        <v>12-0133</v>
      </c>
      <c r="B15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IFERROR(__xludf.DUMMYFUNCTION("""COMPUTED_VALUE"""),1.0)</f>
        <v>1</v>
      </c>
      <c r="F15" s="2">
        <f>IFERROR(__xludf.DUMMYFUNCTION("""COMPUTED_VALUE"""),794.0)</f>
        <v>794</v>
      </c>
      <c r="G15" s="2">
        <f>IFERROR(__xludf.DUMMYFUNCTION("""COMPUTED_VALUE"""),847.0)</f>
        <v>847</v>
      </c>
      <c r="H15" s="2">
        <f>IFERROR(__xludf.DUMMYFUNCTION("""COMPUTED_VALUE"""),952.0)</f>
        <v>952</v>
      </c>
      <c r="I15" s="2">
        <f>IFERROR(__xludf.DUMMYFUNCTION("""COMPUTED_VALUE"""),1058.26)</f>
        <v>1058.26</v>
      </c>
      <c r="J15" s="2">
        <f>IFERROR(__xludf.DUMMYFUNCTION("""COMPUTED_VALUE"""),529.0)</f>
        <v>529</v>
      </c>
      <c r="K15" s="2">
        <f>IFERROR(__xludf.DUMMYFUNCTION("""COMPUTED_VALUE"""),1.0)</f>
        <v>1</v>
      </c>
      <c r="L15" s="2" t="str">
        <f>IFERROR(__xludf.DUMMYFUNCTION("""COMPUTED_VALUE"""),"Rexant")</f>
        <v>Rexant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IFERROR(__xludf.DUMMYFUNCTION("""COMPUTED_VALUE"""),"83800404")</f>
        <v>83800404</v>
      </c>
      <c r="B16" s="5" t="str">
        <f>IFERROR(__xludf.DUMMYFUNCTION("""COMPUTED_VALUE"""),"ДВП 3.2 мм 1220X610 мм 0.75 м²")</f>
        <v>ДВП 3.2 мм 1220X610 мм 0.75 м²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IFERROR(__xludf.DUMMYFUNCTION("""COMPUTED_VALUE"""),144.33)</f>
        <v>144.33</v>
      </c>
      <c r="F16" s="2">
        <f>IFERROR(__xludf.DUMMYFUNCTION("""COMPUTED_VALUE"""),0.0)</f>
        <v>0</v>
      </c>
      <c r="G16" s="2">
        <f>IFERROR(__xludf.DUMMYFUNCTION("""COMPUTED_VALUE"""),0.0)</f>
        <v>0</v>
      </c>
      <c r="H16" s="2">
        <f>IFERROR(__xludf.DUMMYFUNCTION("""COMPUTED_VALUE"""),0.0)</f>
        <v>0</v>
      </c>
      <c r="I16" s="2">
        <f>IFERROR(__xludf.DUMMYFUNCTION("""COMPUTED_VALUE"""),0.5)</f>
        <v>0.5</v>
      </c>
      <c r="J16" s="2">
        <f>IFERROR(__xludf.DUMMYFUNCTION("""COMPUTED_VALUE"""),0.5)</f>
        <v>0.5</v>
      </c>
      <c r="K16" s="2">
        <f>IFERROR(__xludf.DUMMYFUNCTION("""COMPUTED_VALUE"""),71.0)</f>
        <v>71</v>
      </c>
      <c r="L16" s="2" t="str">
        <f>IFERROR(__xludf.DUMMYFUNCTION("""COMPUTED_VALUE"""),"Упаковка")</f>
        <v>Упаковка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IFERROR(__xludf.DUMMYFUNCTION("""COMPUTED_VALUE"""),"4690612003047")</f>
        <v>4690612003047</v>
      </c>
      <c r="B17" s="5" t="str">
        <f>IFERROR(__xludf.DUMMYFUNCTION("""COMPUTED_VALUE"""),"СПБ-Т5 10Вт 230В 4000К 900Лм 900мм IN HOME")</f>
        <v>СПБ-Т5 10Вт 230В 4000К 900Лм 900мм IN HOME</v>
      </c>
      <c r="C17" s="2">
        <f>IFERROR(__xludf.DUMMYFUNCTION("""COMPUTED_VALUE"""),0.2)</f>
        <v>0.2</v>
      </c>
      <c r="D17" s="2">
        <f>IFERROR(__xludf.DUMMYFUNCTION("""COMPUTED_VALUE"""),0.00124)</f>
        <v>0.00124</v>
      </c>
      <c r="E17" s="2">
        <f>IFERROR(__xludf.DUMMYFUNCTION("""COMPUTED_VALUE"""),224.41)</f>
        <v>224.41</v>
      </c>
      <c r="F17" s="2">
        <f>IFERROR(__xludf.DUMMYFUNCTION("""COMPUTED_VALUE"""),260.0)</f>
        <v>260</v>
      </c>
      <c r="G17" s="2">
        <f>IFERROR(__xludf.DUMMYFUNCTION("""COMPUTED_VALUE"""),293.0)</f>
        <v>293</v>
      </c>
      <c r="H17" s="2">
        <f>IFERROR(__xludf.DUMMYFUNCTION("""COMPUTED_VALUE"""),340.0)</f>
        <v>340</v>
      </c>
      <c r="I17" s="2">
        <f>IFERROR(__xludf.DUMMYFUNCTION("""COMPUTED_VALUE"""),391.0)</f>
        <v>391</v>
      </c>
      <c r="J17" s="2">
        <f>IFERROR(__xludf.DUMMYFUNCTION("""COMPUTED_VALUE"""),391.0)</f>
        <v>391</v>
      </c>
      <c r="K17" s="2">
        <f>IFERROR(__xludf.DUMMYFUNCTION("""COMPUTED_VALUE"""),50.0)</f>
        <v>50</v>
      </c>
      <c r="L17" s="2" t="str">
        <f>IFERROR(__xludf.DUMMYFUNCTION("""COMPUTED_VALUE"""),"Светильники светодиодные СПБ-T5, СПБ-Т5Д ")</f>
        <v>Светильники светодиодные СПБ-T5, СПБ-Т5Д </v>
      </c>
      <c r="M17" s="2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5" t="str">
        <f>IFERROR(__xludf.DUMMYFUNCTION("""COMPUTED_VALUE"""),"12-3441")</f>
        <v>12-3441</v>
      </c>
      <c r="B18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IFERROR(__xludf.DUMMYFUNCTION("""COMPUTED_VALUE"""),978.0)</f>
        <v>978</v>
      </c>
      <c r="G18" s="2">
        <f>IFERROR(__xludf.DUMMYFUNCTION("""COMPUTED_VALUE"""),1043.0)</f>
        <v>1043</v>
      </c>
      <c r="H18" s="2">
        <f>IFERROR(__xludf.DUMMYFUNCTION("""COMPUTED_VALUE"""),1173.0)</f>
        <v>1173</v>
      </c>
      <c r="I18" s="2">
        <f>IFERROR(__xludf.DUMMYFUNCTION("""COMPUTED_VALUE"""),1303.52)</f>
        <v>1303.52</v>
      </c>
      <c r="J18" s="2">
        <f>IFERROR(__xludf.DUMMYFUNCTION("""COMPUTED_VALUE"""),652.0)</f>
        <v>652</v>
      </c>
      <c r="K18" s="2">
        <f>IFERROR(__xludf.DUMMYFUNCTION("""COMPUTED_VALUE"""),2.0)</f>
        <v>2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IFERROR(__xludf.DUMMYFUNCTION("""COMPUTED_VALUE"""),"4690612008141")</f>
        <v>4690612008141</v>
      </c>
      <c r="B19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2">
        <f>IFERROR(__xludf.DUMMYFUNCTION("""COMPUTED_VALUE"""),0.5860000000000001)</f>
        <v>0.586</v>
      </c>
      <c r="D19" s="2">
        <f>IFERROR(__xludf.DUMMYFUNCTION("""COMPUTED_VALUE"""),0.004350000000000001)</f>
        <v>0.00435</v>
      </c>
      <c r="E19" s="2">
        <f>IFERROR(__xludf.DUMMYFUNCTION("""COMPUTED_VALUE"""),515.9)</f>
        <v>515.9</v>
      </c>
      <c r="F19" s="2">
        <f>IFERROR(__xludf.DUMMYFUNCTION("""COMPUTED_VALUE"""),504.0)</f>
        <v>504</v>
      </c>
      <c r="G19" s="2">
        <f>IFERROR(__xludf.DUMMYFUNCTION("""COMPUTED_VALUE"""),567.0)</f>
        <v>567</v>
      </c>
      <c r="H19" s="2">
        <f>IFERROR(__xludf.DUMMYFUNCTION("""COMPUTED_VALUE"""),658.0)</f>
        <v>658</v>
      </c>
      <c r="I19" s="2">
        <f>IFERROR(__xludf.DUMMYFUNCTION("""COMPUTED_VALUE"""),756.0)</f>
        <v>756</v>
      </c>
      <c r="J19" s="2">
        <f>IFERROR(__xludf.DUMMYFUNCTION("""COMPUTED_VALUE"""),378.0)</f>
        <v>378</v>
      </c>
      <c r="K19" s="2">
        <f>IFERROR(__xludf.DUMMYFUNCTION("""COMPUTED_VALUE"""),1.0)</f>
        <v>1</v>
      </c>
      <c r="L1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2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5" t="str">
        <f>IFERROR(__xludf.DUMMYFUNCTION("""COMPUTED_VALUE"""),"06-0107-A")</f>
        <v>06-0107-A</v>
      </c>
      <c r="B20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IFERROR(__xludf.DUMMYFUNCTION("""COMPUTED_VALUE"""),45.0)</f>
        <v>45</v>
      </c>
      <c r="G20" s="2">
        <f>IFERROR(__xludf.DUMMYFUNCTION("""COMPUTED_VALUE"""),48.0)</f>
        <v>48</v>
      </c>
      <c r="H20" s="2">
        <f>IFERROR(__xludf.DUMMYFUNCTION("""COMPUTED_VALUE"""),54.0)</f>
        <v>54</v>
      </c>
      <c r="I20" s="2">
        <f>IFERROR(__xludf.DUMMYFUNCTION("""COMPUTED_VALUE"""),59.5)</f>
        <v>59.5</v>
      </c>
      <c r="J20" s="2">
        <f>IFERROR(__xludf.DUMMYFUNCTION("""COMPUTED_VALUE"""),30.0)</f>
        <v>30</v>
      </c>
      <c r="K20" s="2">
        <f>IFERROR(__xludf.DUMMYFUNCTION("""COMPUTED_VALUE"""),8.0)</f>
        <v>8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IFERROR(__xludf.DUMMYFUNCTION("""COMPUTED_VALUE"""),"4260652193284")</f>
        <v>4260652193284</v>
      </c>
      <c r="B21" s="5" t="str">
        <f>IFERROR(__xludf.DUMMYFUNCTION("""COMPUTED_VALUE"""),"LCL04-8W-R11-6K-SOA")</f>
        <v>LCL04-8W-R11-6K-SOA</v>
      </c>
      <c r="C21" s="2">
        <f>IFERROR(__xludf.DUMMYFUNCTION("""COMPUTED_VALUE"""),0.09200000000000001)</f>
        <v>0.092</v>
      </c>
      <c r="D21" s="2">
        <f>IFERROR(__xludf.DUMMYFUNCTION("""COMPUTED_VALUE"""),0.0)</f>
        <v>0</v>
      </c>
      <c r="E21" s="2">
        <f>IFERROR(__xludf.DUMMYFUNCTION("""COMPUTED_VALUE"""),120.0)</f>
        <v>120</v>
      </c>
      <c r="F21" s="2">
        <f>IFERROR(__xludf.DUMMYFUNCTION("""COMPUTED_VALUE"""),291.0)</f>
        <v>291</v>
      </c>
      <c r="G21" s="2">
        <f>IFERROR(__xludf.DUMMYFUNCTION("""COMPUTED_VALUE"""),301.0)</f>
        <v>301</v>
      </c>
      <c r="H21" s="2">
        <f>IFERROR(__xludf.DUMMYFUNCTION("""COMPUTED_VALUE"""),394.0)</f>
        <v>394</v>
      </c>
      <c r="I21" s="2">
        <f>IFERROR(__xludf.DUMMYFUNCTION("""COMPUTED_VALUE"""),493.0)</f>
        <v>493</v>
      </c>
      <c r="J21" s="2">
        <f>IFERROR(__xludf.DUMMYFUNCTION("""COMPUTED_VALUE"""),247.0)</f>
        <v>247</v>
      </c>
      <c r="K21" s="2">
        <f>IFERROR(__xludf.DUMMYFUNCTION("""COMPUTED_VALUE"""),17.0)</f>
        <v>17</v>
      </c>
      <c r="L21" s="2" t="str">
        <f>IFERROR(__xludf.DUMMYFUNCTION("""COMPUTED_VALUE"""),"Wolta ЖКХ")</f>
        <v>Wolta ЖКХ</v>
      </c>
      <c r="M21" s="2" t="str">
        <f>IFERROR(__xludf.DUMMYFUNCTION("""COMPUTED_VALUE"""),"Для ЖКХ, дома, дачи, LED Светильники")</f>
        <v>Для ЖКХ, дома, дачи, LED Светильники</v>
      </c>
    </row>
    <row r="22">
      <c r="A22" s="5" t="str">
        <f>IFERROR(__xludf.DUMMYFUNCTION("""COMPUTED_VALUE"""),"12-0180")</f>
        <v>12-0180</v>
      </c>
      <c r="B22" s="5" t="str">
        <f>IFERROR(__xludf.DUMMYFUNCTION("""COMPUTED_VALUE"""),"Паяльник Мини (питание через USB) 5 V/8 Вт REXANT")</f>
        <v>Паяльник Мини (питание через USB) 5 V/8 Вт REXANT</v>
      </c>
      <c r="C22" s="2">
        <f>IFERROR(__xludf.DUMMYFUNCTION("""COMPUTED_VALUE"""),0.0)</f>
        <v>0</v>
      </c>
      <c r="D22" s="2">
        <f>IFERROR(__xludf.DUMMYFUNCTION("""COMPUTED_VALUE"""),0.0)</f>
        <v>0</v>
      </c>
      <c r="E22" s="2">
        <f>IFERROR(__xludf.DUMMYFUNCTION("""COMPUTED_VALUE"""),1.0)</f>
        <v>1</v>
      </c>
      <c r="F22" s="2">
        <f>IFERROR(__xludf.DUMMYFUNCTION("""COMPUTED_VALUE"""),937.0)</f>
        <v>937</v>
      </c>
      <c r="G22" s="2">
        <f>IFERROR(__xludf.DUMMYFUNCTION("""COMPUTED_VALUE"""),1000.0)</f>
        <v>1000</v>
      </c>
      <c r="H22" s="2">
        <f>IFERROR(__xludf.DUMMYFUNCTION("""COMPUTED_VALUE"""),1125.0)</f>
        <v>1125</v>
      </c>
      <c r="I22" s="2">
        <f>IFERROR(__xludf.DUMMYFUNCTION("""COMPUTED_VALUE"""),1249.5)</f>
        <v>1249.5</v>
      </c>
      <c r="J22" s="2">
        <f>IFERROR(__xludf.DUMMYFUNCTION("""COMPUTED_VALUE"""),625.0)</f>
        <v>625</v>
      </c>
      <c r="K22" s="2">
        <f>IFERROR(__xludf.DUMMYFUNCTION("""COMPUTED_VALUE"""),12.0)</f>
        <v>12</v>
      </c>
      <c r="L22" s="2" t="str">
        <f>IFERROR(__xludf.DUMMYFUNCTION("""COMPUTED_VALUE"""),"Rexant")</f>
        <v>Rexant</v>
      </c>
      <c r="M22" s="2" t="str">
        <f>IFERROR(__xludf.DUMMYFUNCTION("""COMPUTED_VALUE"""),"Прочие товары")</f>
        <v>Прочие товары</v>
      </c>
    </row>
    <row r="23">
      <c r="A23" s="5" t="str">
        <f>IFERROR(__xludf.DUMMYFUNCTION("""COMPUTED_VALUE"""),"4690612024653")</f>
        <v>4690612024653</v>
      </c>
      <c r="B23" s="5" t="str">
        <f>IFERROR(__xludf.DUMMYFUNCTION("""COMPUTED_VALUE"""),"LED-A70-std 30Вт 230В Е27 4000К 2700Лм ASD")</f>
        <v>LED-A70-std 30Вт 230В Е27 4000К 2700Лм ASD</v>
      </c>
      <c r="C23" s="2">
        <f>IFERROR(__xludf.DUMMYFUNCTION("""COMPUTED_VALUE"""),0.085)</f>
        <v>0.085</v>
      </c>
      <c r="D23" s="2">
        <f>IFERROR(__xludf.DUMMYFUNCTION("""COMPUTED_VALUE"""),8.0E-4)</f>
        <v>0.0008</v>
      </c>
      <c r="E23" s="2">
        <f>IFERROR(__xludf.DUMMYFUNCTION("""COMPUTED_VALUE"""),116.9)</f>
        <v>116.9</v>
      </c>
      <c r="F23" s="2">
        <f>IFERROR(__xludf.DUMMYFUNCTION("""COMPUTED_VALUE"""),93.0)</f>
        <v>93</v>
      </c>
      <c r="G23" s="2">
        <f>IFERROR(__xludf.DUMMYFUNCTION("""COMPUTED_VALUE"""),105.0)</f>
        <v>105</v>
      </c>
      <c r="H23" s="2">
        <f>IFERROR(__xludf.DUMMYFUNCTION("""COMPUTED_VALUE"""),122.0)</f>
        <v>122</v>
      </c>
      <c r="I23" s="2">
        <f>IFERROR(__xludf.DUMMYFUNCTION("""COMPUTED_VALUE"""),140.5)</f>
        <v>140.5</v>
      </c>
      <c r="J23" s="2">
        <f>IFERROR(__xludf.DUMMYFUNCTION("""COMPUTED_VALUE"""),105.0)</f>
        <v>105</v>
      </c>
      <c r="K23" s="2">
        <f>IFERROR(__xludf.DUMMYFUNCTION("""COMPUTED_VALUE"""),39.0)</f>
        <v>39</v>
      </c>
      <c r="L23" s="2" t="str">
        <f>IFERROR(__xludf.DUMMYFUNCTION("""COMPUTED_VALUE"""),"Лампа светодиодная LED-A60-standard")</f>
        <v>Лампа светодиодная LED-A60-standard</v>
      </c>
      <c r="M23" s="2" t="str">
        <f>IFERROR(__xludf.DUMMYFUNCTION("""COMPUTED_VALUE"""),"Лампы")</f>
        <v>Лампы</v>
      </c>
    </row>
    <row r="24">
      <c r="A24" s="5" t="str">
        <f>IFERROR(__xludf.DUMMYFUNCTION("""COMPUTED_VALUE"""),"4690612053059")</f>
        <v>4690612053059</v>
      </c>
      <c r="B24" s="5" t="str">
        <f>IFERROR(__xludf.DUMMYFUNCTION("""COMPUTED_VALUE"""),"ДВО-02 5040-ОПАЛ 50Вт 4000К 595х595х25 NEOX")</f>
        <v>ДВО-02 5040-ОПАЛ 50Вт 4000К 595х595х25 NEOX</v>
      </c>
      <c r="C24" s="2">
        <f>IFERROR(__xludf.DUMMYFUNCTION("""COMPUTED_VALUE"""),1.2)</f>
        <v>1.2</v>
      </c>
      <c r="D24" s="2">
        <f>IFERROR(__xludf.DUMMYFUNCTION("""COMPUTED_VALUE"""),0.00975)</f>
        <v>0.00975</v>
      </c>
      <c r="E24" s="2">
        <f>IFERROR(__xludf.DUMMYFUNCTION("""COMPUTED_VALUE"""),674.94)</f>
        <v>674.94</v>
      </c>
      <c r="F24" s="2">
        <f>IFERROR(__xludf.DUMMYFUNCTION("""COMPUTED_VALUE"""),896.0)</f>
        <v>896</v>
      </c>
      <c r="G24" s="2">
        <f>IFERROR(__xludf.DUMMYFUNCTION("""COMPUTED_VALUE"""),1008.0)</f>
        <v>1008</v>
      </c>
      <c r="H24" s="2">
        <f>IFERROR(__xludf.DUMMYFUNCTION("""COMPUTED_VALUE"""),1169.0)</f>
        <v>1169</v>
      </c>
      <c r="I24" s="2">
        <f>IFERROR(__xludf.DUMMYFUNCTION("""COMPUTED_VALUE"""),1344.0)</f>
        <v>1344</v>
      </c>
      <c r="J24" s="2">
        <f>IFERROR(__xludf.DUMMYFUNCTION("""COMPUTED_VALUE"""),672.0)</f>
        <v>672</v>
      </c>
      <c r="K24" s="2">
        <f>IFERROR(__xludf.DUMMYFUNCTION("""COMPUTED_VALUE"""),2.0)</f>
        <v>2</v>
      </c>
      <c r="L24" s="2" t="str">
        <f>IFERROR(__xludf.DUMMYFUNCTION("""COMPUTED_VALUE"""),"NEOX Светильники LED ДВО")</f>
        <v>NEOX Светильники LED ДВО</v>
      </c>
      <c r="M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5" t="str">
        <f>IFERROR(__xludf.DUMMYFUNCTION("""COMPUTED_VALUE"""),"4690612029115")</f>
        <v>4690612029115</v>
      </c>
      <c r="B25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2">
        <f>IFERROR(__xludf.DUMMYFUNCTION("""COMPUTED_VALUE"""),0.05792000000000001)</f>
        <v>0.05792</v>
      </c>
      <c r="D25" s="2">
        <f>IFERROR(__xludf.DUMMYFUNCTION("""COMPUTED_VALUE"""),7.1E-4)</f>
        <v>0.00071</v>
      </c>
      <c r="E25" s="2">
        <f>IFERROR(__xludf.DUMMYFUNCTION("""COMPUTED_VALUE"""),82.52)</f>
        <v>82.52</v>
      </c>
      <c r="F25" s="2">
        <f>IFERROR(__xludf.DUMMYFUNCTION("""COMPUTED_VALUE"""),93.0)</f>
        <v>93</v>
      </c>
      <c r="G25" s="2">
        <f>IFERROR(__xludf.DUMMYFUNCTION("""COMPUTED_VALUE"""),104.0)</f>
        <v>104</v>
      </c>
      <c r="H25" s="2">
        <f>IFERROR(__xludf.DUMMYFUNCTION("""COMPUTED_VALUE"""),121.0)</f>
        <v>121</v>
      </c>
      <c r="I25" s="2">
        <f>IFERROR(__xludf.DUMMYFUNCTION("""COMPUTED_VALUE"""),139.0)</f>
        <v>139</v>
      </c>
      <c r="J25" s="2">
        <f>IFERROR(__xludf.DUMMYFUNCTION("""COMPUTED_VALUE"""),70.0)</f>
        <v>70</v>
      </c>
      <c r="K25" s="2">
        <f>IFERROR(__xludf.DUMMYFUNCTION("""COMPUTED_VALUE"""),1.0)</f>
        <v>1</v>
      </c>
      <c r="L25" s="2" t="str">
        <f>IFERROR(__xludf.DUMMYFUNCTION("""COMPUTED_VALUE"""),"Светильники ночники")</f>
        <v>Светильники ночники</v>
      </c>
      <c r="M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5" t="str">
        <f>IFERROR(__xludf.DUMMYFUNCTION("""COMPUTED_VALUE"""),"4690612047492")</f>
        <v>4690612047492</v>
      </c>
      <c r="B26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2">
        <f>IFERROR(__xludf.DUMMYFUNCTION("""COMPUTED_VALUE"""),0.275)</f>
        <v>0.275</v>
      </c>
      <c r="D26" s="2">
        <f>IFERROR(__xludf.DUMMYFUNCTION("""COMPUTED_VALUE"""),0.00118)</f>
        <v>0.00118</v>
      </c>
      <c r="E26" s="2">
        <f>IFERROR(__xludf.DUMMYFUNCTION("""COMPUTED_VALUE"""),453.0)</f>
        <v>453</v>
      </c>
      <c r="F26" s="2">
        <f>IFERROR(__xludf.DUMMYFUNCTION("""COMPUTED_VALUE"""),609.0)</f>
        <v>609</v>
      </c>
      <c r="G26" s="2">
        <f>IFERROR(__xludf.DUMMYFUNCTION("""COMPUTED_VALUE"""),685.0)</f>
        <v>685</v>
      </c>
      <c r="H26" s="2">
        <f>IFERROR(__xludf.DUMMYFUNCTION("""COMPUTED_VALUE"""),794.0)</f>
        <v>794</v>
      </c>
      <c r="I26" s="2">
        <f>IFERROR(__xludf.DUMMYFUNCTION("""COMPUTED_VALUE"""),913.0)</f>
        <v>913</v>
      </c>
      <c r="J26" s="2">
        <f>IFERROR(__xludf.DUMMYFUNCTION("""COMPUTED_VALUE"""),457.0)</f>
        <v>457</v>
      </c>
      <c r="K26" s="2">
        <f>IFERROR(__xludf.DUMMYFUNCTION("""COMPUTED_VALUE"""),8.0)</f>
        <v>8</v>
      </c>
      <c r="L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2" t="str">
        <f>IFERROR(__xludf.DUMMYFUNCTION("""COMPUTED_VALUE"""),"Трековые, LED Светильники")</f>
        <v>Трековые, LED Светильники</v>
      </c>
    </row>
    <row r="27">
      <c r="A27" s="5" t="str">
        <f>IFERROR(__xludf.DUMMYFUNCTION("""COMPUTED_VALUE"""),"KRAS030")</f>
        <v>KRAS030</v>
      </c>
      <c r="B27" s="5" t="str">
        <f>IFERROR(__xludf.DUMMYFUNCTION("""COMPUTED_VALUE"""),"Светильник ПСХ-60-002")</f>
        <v>Светильник ПСХ-60-002</v>
      </c>
      <c r="C27" s="2">
        <f>IFERROR(__xludf.DUMMYFUNCTION("""COMPUTED_VALUE"""),0.0)</f>
        <v>0</v>
      </c>
      <c r="D27" s="2">
        <f>IFERROR(__xludf.DUMMYFUNCTION("""COMPUTED_VALUE"""),0.0)</f>
        <v>0</v>
      </c>
      <c r="E27" s="2">
        <f>IFERROR(__xludf.DUMMYFUNCTION("""COMPUTED_VALUE"""),158.49)</f>
        <v>158.49</v>
      </c>
      <c r="F27" s="2">
        <f>IFERROR(__xludf.DUMMYFUNCTION("""COMPUTED_VALUE"""),387.0)</f>
        <v>387</v>
      </c>
      <c r="G27" s="2">
        <f>IFERROR(__xludf.DUMMYFUNCTION("""COMPUTED_VALUE"""),413.0)</f>
        <v>413</v>
      </c>
      <c r="H27" s="2">
        <f>IFERROR(__xludf.DUMMYFUNCTION("""COMPUTED_VALUE"""),464.0)</f>
        <v>464</v>
      </c>
      <c r="I27" s="2">
        <f>IFERROR(__xludf.DUMMYFUNCTION("""COMPUTED_VALUE"""),516.0)</f>
        <v>516</v>
      </c>
      <c r="J27" s="2">
        <f>IFERROR(__xludf.DUMMYFUNCTION("""COMPUTED_VALUE"""),158.0)</f>
        <v>158</v>
      </c>
      <c r="K27" s="2">
        <f>IFERROR(__xludf.DUMMYFUNCTION("""COMPUTED_VALUE"""),26.0)</f>
        <v>26</v>
      </c>
      <c r="L27" s="2" t="str">
        <f>IFERROR(__xludf.DUMMYFUNCTION("""COMPUTED_VALUE"""),"KRAS (тендер)")</f>
        <v>KRAS (тендер)</v>
      </c>
      <c r="M27" s="2" t="str">
        <f>IFERROR(__xludf.DUMMYFUNCTION("""COMPUTED_VALUE"""),"LED Светильники")</f>
        <v>LED Светильники</v>
      </c>
    </row>
    <row r="28">
      <c r="A28" s="5" t="str">
        <f>IFERROR(__xludf.DUMMYFUNCTION("""COMPUTED_VALUE"""),"4690612000398")</f>
        <v>4690612000398</v>
      </c>
      <c r="B28" s="5" t="str">
        <f>IFERROR(__xludf.DUMMYFUNCTION("""COMPUTED_VALUE"""),"Розетка ТЛФ BOLLETO белая накл 7034")</f>
        <v>Розетка ТЛФ BOLLETO белая накл 7034</v>
      </c>
      <c r="C28" s="2">
        <f>IFERROR(__xludf.DUMMYFUNCTION("""COMPUTED_VALUE"""),0.04)</f>
        <v>0.04</v>
      </c>
      <c r="D28" s="2">
        <f>IFERROR(__xludf.DUMMYFUNCTION("""COMPUTED_VALUE"""),3.0E-4)</f>
        <v>0.0003</v>
      </c>
      <c r="E28" s="2">
        <f>IFERROR(__xludf.DUMMYFUNCTION("""COMPUTED_VALUE"""),39.72)</f>
        <v>39.72</v>
      </c>
      <c r="F28" s="2">
        <f>IFERROR(__xludf.DUMMYFUNCTION("""COMPUTED_VALUE"""),69.0)</f>
        <v>69</v>
      </c>
      <c r="G28" s="2">
        <f>IFERROR(__xludf.DUMMYFUNCTION("""COMPUTED_VALUE"""),78.0)</f>
        <v>78</v>
      </c>
      <c r="H28" s="2">
        <f>IFERROR(__xludf.DUMMYFUNCTION("""COMPUTED_VALUE"""),90.0)</f>
        <v>90</v>
      </c>
      <c r="I28" s="2">
        <f>IFERROR(__xludf.DUMMYFUNCTION("""COMPUTED_VALUE"""),104.0)</f>
        <v>104</v>
      </c>
      <c r="J28" s="2">
        <f>IFERROR(__xludf.DUMMYFUNCTION("""COMPUTED_VALUE"""),52.0)</f>
        <v>52</v>
      </c>
      <c r="K28" s="2">
        <f>IFERROR(__xludf.DUMMYFUNCTION("""COMPUTED_VALUE"""),3.0)</f>
        <v>3</v>
      </c>
      <c r="L28" s="2" t="str">
        <f>IFERROR(__xludf.DUMMYFUNCTION("""COMPUTED_VALUE"""),"ASD электромонтажные изделия")</f>
        <v>ASD электромонтажные изделия</v>
      </c>
      <c r="M28" s="2" t="str">
        <f>IFERROR(__xludf.DUMMYFUNCTION("""COMPUTED_VALUE"""),"Прочие товары")</f>
        <v>Прочие товары</v>
      </c>
    </row>
    <row r="29">
      <c r="A29" s="5" t="str">
        <f>IFERROR(__xludf.DUMMYFUNCTION("""COMPUTED_VALUE"""),"4260652191099")</f>
        <v>4260652191099</v>
      </c>
      <c r="B29" s="5" t="str">
        <f>IFERROR(__xludf.DUMMYFUNCTION("""COMPUTED_VALUE"""),"WLFS18W05")</f>
        <v>WLFS18W05</v>
      </c>
      <c r="C29" s="2">
        <f>IFERROR(__xludf.DUMMYFUNCTION("""COMPUTED_VALUE"""),0.25)</f>
        <v>0.25</v>
      </c>
      <c r="D29" s="2">
        <f>IFERROR(__xludf.DUMMYFUNCTION("""COMPUTED_VALUE"""),4.7E-4)</f>
        <v>0.00047</v>
      </c>
      <c r="E29" s="2">
        <f>IFERROR(__xludf.DUMMYFUNCTION("""COMPUTED_VALUE"""),272.74)</f>
        <v>272.74</v>
      </c>
      <c r="F29" s="2">
        <f>IFERROR(__xludf.DUMMYFUNCTION("""COMPUTED_VALUE"""),208.0)</f>
        <v>208</v>
      </c>
      <c r="G29" s="2">
        <f>IFERROR(__xludf.DUMMYFUNCTION("""COMPUTED_VALUE"""),215.0)</f>
        <v>215</v>
      </c>
      <c r="H29" s="2">
        <f>IFERROR(__xludf.DUMMYFUNCTION("""COMPUTED_VALUE"""),282.0)</f>
        <v>282</v>
      </c>
      <c r="I29" s="2">
        <f>IFERROR(__xludf.DUMMYFUNCTION("""COMPUTED_VALUE"""),353.0)</f>
        <v>353</v>
      </c>
      <c r="J29" s="2">
        <f>IFERROR(__xludf.DUMMYFUNCTION("""COMPUTED_VALUE"""),177.0)</f>
        <v>177</v>
      </c>
      <c r="K29" s="2">
        <f>IFERROR(__xludf.DUMMYFUNCTION("""COMPUTED_VALUE"""),17.0)</f>
        <v>17</v>
      </c>
      <c r="L29" s="2" t="str">
        <f>IFERROR(__xludf.DUMMYFUNCTION("""COMPUTED_VALUE"""),"Wolta офисные")</f>
        <v>Wolta офисные</v>
      </c>
      <c r="M29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5" t="str">
        <f>IFERROR(__xludf.DUMMYFUNCTION("""COMPUTED_VALUE"""),"4690612057293-2")</f>
        <v>4690612057293-2</v>
      </c>
      <c r="B30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2">
        <f>IFERROR(__xludf.DUMMYFUNCTION("""COMPUTED_VALUE"""),0.0)</f>
        <v>0</v>
      </c>
      <c r="D30" s="2">
        <f>IFERROR(__xludf.DUMMYFUNCTION("""COMPUTED_VALUE"""),0.0)</f>
        <v>0</v>
      </c>
      <c r="E30" s="2">
        <f>IFERROR(__xludf.DUMMYFUNCTION("""COMPUTED_VALUE"""),1665.9)</f>
        <v>1665.9</v>
      </c>
      <c r="F30" s="2">
        <f>IFERROR(__xludf.DUMMYFUNCTION("""COMPUTED_VALUE"""),1828.0)</f>
        <v>1828</v>
      </c>
      <c r="G30" s="2">
        <f>IFERROR(__xludf.DUMMYFUNCTION("""COMPUTED_VALUE"""),2132.0)</f>
        <v>2132</v>
      </c>
      <c r="H30" s="2">
        <f>IFERROR(__xludf.DUMMYFUNCTION("""COMPUTED_VALUE"""),2399.0)</f>
        <v>2399</v>
      </c>
      <c r="I30" s="2">
        <f>IFERROR(__xludf.DUMMYFUNCTION("""COMPUTED_VALUE"""),2665.0)</f>
        <v>2665</v>
      </c>
      <c r="J30" s="2">
        <f>IFERROR(__xludf.DUMMYFUNCTION("""COMPUTED_VALUE"""),1333.0)</f>
        <v>1333</v>
      </c>
      <c r="K30" s="2">
        <f>IFERROR(__xludf.DUMMYFUNCTION("""COMPUTED_VALUE"""),20.0)</f>
        <v>20</v>
      </c>
      <c r="L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5" t="str">
        <f>IFERROR(__xludf.DUMMYFUNCTION("""COMPUTED_VALUE"""),"4690612030999")</f>
        <v>4690612030999</v>
      </c>
      <c r="B31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2">
        <f>IFERROR(__xludf.DUMMYFUNCTION("""COMPUTED_VALUE"""),0.188)</f>
        <v>0.188</v>
      </c>
      <c r="D31" s="2">
        <f>IFERROR(__xludf.DUMMYFUNCTION("""COMPUTED_VALUE"""),0.00144)</f>
        <v>0.00144</v>
      </c>
      <c r="E31" s="2">
        <f>IFERROR(__xludf.DUMMYFUNCTION("""COMPUTED_VALUE"""),87.60000000000001)</f>
        <v>87.6</v>
      </c>
      <c r="F31" s="2">
        <f>IFERROR(__xludf.DUMMYFUNCTION("""COMPUTED_VALUE"""),111.0)</f>
        <v>111</v>
      </c>
      <c r="G31" s="2">
        <f>IFERROR(__xludf.DUMMYFUNCTION("""COMPUTED_VALUE"""),125.0)</f>
        <v>125</v>
      </c>
      <c r="H31" s="2">
        <f>IFERROR(__xludf.DUMMYFUNCTION("""COMPUTED_VALUE"""),145.0)</f>
        <v>145</v>
      </c>
      <c r="I31" s="2">
        <f>IFERROR(__xludf.DUMMYFUNCTION("""COMPUTED_VALUE"""),166.6)</f>
        <v>166.6</v>
      </c>
      <c r="J31" s="2">
        <f>IFERROR(__xludf.DUMMYFUNCTION("""COMPUTED_VALUE"""),83.0)</f>
        <v>83</v>
      </c>
      <c r="K31" s="2">
        <f>IFERROR(__xludf.DUMMYFUNCTION("""COMPUTED_VALUE"""),10.0)</f>
        <v>10</v>
      </c>
      <c r="L31" s="2" t="str">
        <f>IFERROR(__xludf.DUMMYFUNCTION("""COMPUTED_VALUE"""),"Лампа светодиодная LED-T8")</f>
        <v>Лампа светодиодная LED-T8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IFERROR(__xludf.DUMMYFUNCTION("""COMPUTED_VALUE"""),"4690612015446")</f>
        <v>4690612015446</v>
      </c>
      <c r="B32" s="5" t="str">
        <f>IFERROR(__xludf.DUMMYFUNCTION("""COMPUTED_VALUE"""),"LED-ШАР-standard 10Вт 230В Е14 3000К 900Лм ASD")</f>
        <v>LED-ШАР-standard 10Вт 230В Е14 3000К 900Лм ASD</v>
      </c>
      <c r="C32" s="2">
        <f>IFERROR(__xludf.DUMMYFUNCTION("""COMPUTED_VALUE"""),0.036)</f>
        <v>0.036</v>
      </c>
      <c r="D32" s="2">
        <f>IFERROR(__xludf.DUMMYFUNCTION("""COMPUTED_VALUE"""),2.3E-4)</f>
        <v>0.00023</v>
      </c>
      <c r="E32" s="2">
        <f>IFERROR(__xludf.DUMMYFUNCTION("""COMPUTED_VALUE"""),48.02)</f>
        <v>48.02</v>
      </c>
      <c r="F32" s="2">
        <f>IFERROR(__xludf.DUMMYFUNCTION("""COMPUTED_VALUE"""),33.0)</f>
        <v>33</v>
      </c>
      <c r="G32" s="2">
        <f>IFERROR(__xludf.DUMMYFUNCTION("""COMPUTED_VALUE"""),37.0)</f>
        <v>37</v>
      </c>
      <c r="H32" s="2">
        <f>IFERROR(__xludf.DUMMYFUNCTION("""COMPUTED_VALUE"""),43.0)</f>
        <v>43</v>
      </c>
      <c r="I32" s="2">
        <f>IFERROR(__xludf.DUMMYFUNCTION("""COMPUTED_VALUE"""),49.9)</f>
        <v>49.9</v>
      </c>
      <c r="J32" s="2">
        <f>IFERROR(__xludf.DUMMYFUNCTION("""COMPUTED_VALUE"""),25.0)</f>
        <v>25</v>
      </c>
      <c r="K32" s="2">
        <f>IFERROR(__xludf.DUMMYFUNCTION("""COMPUTED_VALUE"""),30.0)</f>
        <v>30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IFERROR(__xludf.DUMMYFUNCTION("""COMPUTED_VALUE"""),"4690612002125")</f>
        <v>4690612002125</v>
      </c>
      <c r="B33" s="5" t="str">
        <f>IFERROR(__xludf.DUMMYFUNCTION("""COMPUTED_VALUE"""),"LED-ШАР-standard 5.0Вт 220В Е14 3000К 400Лм")</f>
        <v>LED-ШАР-standard 5.0Вт 220В Е14 3000К 400Лм</v>
      </c>
      <c r="C33" s="2">
        <f>IFERROR(__xludf.DUMMYFUNCTION("""COMPUTED_VALUE"""),0.029)</f>
        <v>0.029</v>
      </c>
      <c r="D33" s="2">
        <f>IFERROR(__xludf.DUMMYFUNCTION("""COMPUTED_VALUE"""),2.3E-4)</f>
        <v>0.00023</v>
      </c>
      <c r="E33" s="2">
        <f>IFERROR(__xludf.DUMMYFUNCTION("""COMPUTED_VALUE"""),33.58)</f>
        <v>33.58</v>
      </c>
      <c r="F33" s="2">
        <f>IFERROR(__xludf.DUMMYFUNCTION("""COMPUTED_VALUE"""),25.0)</f>
        <v>25</v>
      </c>
      <c r="G33" s="2">
        <f>IFERROR(__xludf.DUMMYFUNCTION("""COMPUTED_VALUE"""),29.0)</f>
        <v>29</v>
      </c>
      <c r="H33" s="2">
        <f>IFERROR(__xludf.DUMMYFUNCTION("""COMPUTED_VALUE"""),33.0)</f>
        <v>33</v>
      </c>
      <c r="I33" s="2">
        <f>IFERROR(__xludf.DUMMYFUNCTION("""COMPUTED_VALUE"""),38.5)</f>
        <v>38.5</v>
      </c>
      <c r="J33" s="2">
        <f>IFERROR(__xludf.DUMMYFUNCTION("""COMPUTED_VALUE"""),19.0)</f>
        <v>19</v>
      </c>
      <c r="K33" s="2">
        <f>IFERROR(__xludf.DUMMYFUNCTION("""COMPUTED_VALUE"""),10.0)</f>
        <v>10</v>
      </c>
      <c r="L33" s="2" t="str">
        <f>IFERROR(__xludf.DUMMYFUNCTION("""COMPUTED_VALUE"""),"Лампа светодиодная LED-ШАР-standard")</f>
        <v>Лампа светодиодная LED-ШАР-standard</v>
      </c>
      <c r="M33" s="2" t="str">
        <f>IFERROR(__xludf.DUMMYFUNCTION("""COMPUTED_VALUE"""),"Лампы")</f>
        <v>Лампы</v>
      </c>
    </row>
    <row r="34">
      <c r="A34" s="5" t="str">
        <f>IFERROR(__xludf.DUMMYFUNCTION("""COMPUTED_VALUE"""),"GL8111")</f>
        <v>GL8111</v>
      </c>
      <c r="B34" s="5" t="str">
        <f>IFERROR(__xludf.DUMMYFUNCTION("""COMPUTED_VALUE"""),"GLERIO Office Casual 24 Вт 4000К 81P-24D-4V-P")</f>
        <v>GLERIO Office Casual 24 Вт 4000К 81P-24D-4V-P</v>
      </c>
      <c r="C34" s="2">
        <f>IFERROR(__xludf.DUMMYFUNCTION("""COMPUTED_VALUE"""),1.04)</f>
        <v>1.04</v>
      </c>
      <c r="D34" s="2">
        <f>IFERROR(__xludf.DUMMYFUNCTION("""COMPUTED_VALUE"""),0.008190000000000001)</f>
        <v>0.00819</v>
      </c>
      <c r="E34" s="2">
        <f>IFERROR(__xludf.DUMMYFUNCTION("""COMPUTED_VALUE"""),1464.7)</f>
        <v>1464.7</v>
      </c>
      <c r="F34" s="2">
        <f>IFERROR(__xludf.DUMMYFUNCTION("""COMPUTED_VALUE"""),1700.0)</f>
        <v>1700</v>
      </c>
      <c r="G34" s="2">
        <f>IFERROR(__xludf.DUMMYFUNCTION("""COMPUTED_VALUE"""),2140.0)</f>
        <v>2140</v>
      </c>
      <c r="H34" s="2">
        <f>IFERROR(__xludf.DUMMYFUNCTION("""COMPUTED_VALUE"""),2404.0)</f>
        <v>2404</v>
      </c>
      <c r="I34" s="2">
        <f>IFERROR(__xludf.DUMMYFUNCTION("""COMPUTED_VALUE"""),2667.0)</f>
        <v>2667</v>
      </c>
      <c r="J34" s="2">
        <f>IFERROR(__xludf.DUMMYFUNCTION("""COMPUTED_VALUE"""),2667.0)</f>
        <v>2667</v>
      </c>
      <c r="K34" s="2">
        <f>IFERROR(__xludf.DUMMYFUNCTION("""COMPUTED_VALUE"""),-4.0)</f>
        <v>-4</v>
      </c>
      <c r="L34" s="2" t="str">
        <f>IFERROR(__xludf.DUMMYFUNCTION("""COMPUTED_VALUE"""),"Office Casual (Офис) до 10.2025")</f>
        <v>Office Casual (Офис) до 10.2025</v>
      </c>
      <c r="M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5" t="str">
        <f>IFERROR(__xludf.DUMMYFUNCTION("""COMPUTED_VALUE"""),"4690612016597")</f>
        <v>4690612016597</v>
      </c>
      <c r="B35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2">
        <f>IFERROR(__xludf.DUMMYFUNCTION("""COMPUTED_VALUE"""),1.5E-4)</f>
        <v>0.00015</v>
      </c>
      <c r="D35" s="2">
        <f>IFERROR(__xludf.DUMMYFUNCTION("""COMPUTED_VALUE"""),1.5E-4)</f>
        <v>0.00015</v>
      </c>
      <c r="E35" s="2">
        <f>IFERROR(__xludf.DUMMYFUNCTION("""COMPUTED_VALUE"""),221.1)</f>
        <v>221.1</v>
      </c>
      <c r="F35" s="2">
        <f>IFERROR(__xludf.DUMMYFUNCTION("""COMPUTED_VALUE"""),220.0)</f>
        <v>220</v>
      </c>
      <c r="G35" s="2">
        <f>IFERROR(__xludf.DUMMYFUNCTION("""COMPUTED_VALUE"""),248.0)</f>
        <v>248</v>
      </c>
      <c r="H35" s="2">
        <f>IFERROR(__xludf.DUMMYFUNCTION("""COMPUTED_VALUE"""),287.0)</f>
        <v>287</v>
      </c>
      <c r="I35" s="2">
        <f>IFERROR(__xludf.DUMMYFUNCTION("""COMPUTED_VALUE"""),330.0)</f>
        <v>330</v>
      </c>
      <c r="J35" s="2">
        <f>IFERROR(__xludf.DUMMYFUNCTION("""COMPUTED_VALUE"""),165.0)</f>
        <v>165</v>
      </c>
      <c r="K35" s="2">
        <f>IFERROR(__xludf.DUMMYFUNCTION("""COMPUTED_VALUE"""),2.0)</f>
        <v>2</v>
      </c>
      <c r="L35" s="2" t="str">
        <f>IFERROR(__xludf.DUMMYFUNCTION("""COMPUTED_VALUE"""),"ASD электромонтажные изделия")</f>
        <v>ASD электромонтажные изделия</v>
      </c>
      <c r="M35" s="2" t="str">
        <f>IFERROR(__xludf.DUMMYFUNCTION("""COMPUTED_VALUE"""),"Прочие товары")</f>
        <v>Прочие товары</v>
      </c>
    </row>
    <row r="36">
      <c r="A36" s="5" t="str">
        <f>IFERROR(__xludf.DUMMYFUNCTION("""COMPUTED_VALUE"""),"V12008")</f>
        <v>V12008</v>
      </c>
      <c r="B36" s="5" t="str">
        <f>IFERROR(__xludf.DUMMYFUNCTION("""COMPUTED_VALUE"""),"VRN-LME136X78-64-A50K67-K, 64Вт, Консольный")</f>
        <v>VRN-LME136X78-64-A50K67-K, 64Вт, Консольный</v>
      </c>
      <c r="C36" s="2">
        <f>IFERROR(__xludf.DUMMYFUNCTION("""COMPUTED_VALUE"""),0.16)</f>
        <v>0.16</v>
      </c>
      <c r="D36" s="2">
        <f>IFERROR(__xludf.DUMMYFUNCTION("""COMPUTED_VALUE"""),0.00902)</f>
        <v>0.00902</v>
      </c>
      <c r="E36" s="2">
        <f>IFERROR(__xludf.DUMMYFUNCTION("""COMPUTED_VALUE"""),3255.57)</f>
        <v>3255.57</v>
      </c>
      <c r="F36" s="2">
        <f>IFERROR(__xludf.DUMMYFUNCTION("""COMPUTED_VALUE"""),3760.0)</f>
        <v>3760</v>
      </c>
      <c r="G36" s="2">
        <f>IFERROR(__xludf.DUMMYFUNCTION("""COMPUTED_VALUE"""),4888.0)</f>
        <v>4888</v>
      </c>
      <c r="H36" s="2">
        <f>IFERROR(__xludf.DUMMYFUNCTION("""COMPUTED_VALUE"""),5132.0)</f>
        <v>5132</v>
      </c>
      <c r="I36" s="2">
        <f>IFERROR(__xludf.DUMMYFUNCTION("""COMPUTED_VALUE"""),5377.0)</f>
        <v>5377</v>
      </c>
      <c r="J36" s="2">
        <f>IFERROR(__xludf.DUMMYFUNCTION("""COMPUTED_VALUE"""),2689.0)</f>
        <v>2689</v>
      </c>
      <c r="K36" s="2">
        <f>IFERROR(__xludf.DUMMYFUNCTION("""COMPUTED_VALUE"""),5.0)</f>
        <v>5</v>
      </c>
      <c r="L36" s="2" t="str">
        <f>IFERROR(__xludf.DUMMYFUNCTION("""COMPUTED_VALUE"""),"Магистраль Эконом")</f>
        <v>Магистраль Эконом</v>
      </c>
      <c r="M36" s="2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5" t="str">
        <f>IFERROR(__xludf.DUMMYFUNCTION("""COMPUTED_VALUE"""),"4690612006789")</f>
        <v>4690612006789</v>
      </c>
      <c r="B37" s="5" t="str">
        <f>IFERROR(__xludf.DUMMYFUNCTION("""COMPUTED_VALUE"""),"LED-СВЕЧА-deco 7Вт 230В Е14 4000К 630Лм матовая IN HOME")</f>
        <v>LED-СВЕЧА-deco 7Вт 230В Е14 4000К 630Лм матовая IN HOME</v>
      </c>
      <c r="C37" s="2">
        <f>IFERROR(__xludf.DUMMYFUNCTION("""COMPUTED_VALUE"""),0.025)</f>
        <v>0.025</v>
      </c>
      <c r="D37" s="2">
        <f>IFERROR(__xludf.DUMMYFUNCTION("""COMPUTED_VALUE"""),2.6E-4)</f>
        <v>0.00026</v>
      </c>
      <c r="E37" s="2">
        <f>IFERROR(__xludf.DUMMYFUNCTION("""COMPUTED_VALUE"""),53.14)</f>
        <v>53.14</v>
      </c>
      <c r="F37" s="2">
        <f>IFERROR(__xludf.DUMMYFUNCTION("""COMPUTED_VALUE"""),53.0)</f>
        <v>53</v>
      </c>
      <c r="G37" s="2">
        <f>IFERROR(__xludf.DUMMYFUNCTION("""COMPUTED_VALUE"""),60.0)</f>
        <v>60</v>
      </c>
      <c r="H37" s="2">
        <f>IFERROR(__xludf.DUMMYFUNCTION("""COMPUTED_VALUE"""),70.0)</f>
        <v>70</v>
      </c>
      <c r="I37" s="2">
        <f>IFERROR(__xludf.DUMMYFUNCTION("""COMPUTED_VALUE"""),80.5)</f>
        <v>80.5</v>
      </c>
      <c r="J37" s="2">
        <f>IFERROR(__xludf.DUMMYFUNCTION("""COMPUTED_VALUE"""),40.0)</f>
        <v>40</v>
      </c>
      <c r="K37" s="2">
        <f>IFERROR(__xludf.DUMMYFUNCTION("""COMPUTED_VALUE"""),1.0)</f>
        <v>1</v>
      </c>
      <c r="L37" s="2" t="str">
        <f>IFERROR(__xludf.DUMMYFUNCTION("""COMPUTED_VALUE"""),"Лампа светодиодная LED-СВЕЧА-DECO")</f>
        <v>Лампа светодиодная LED-СВЕЧА-DECO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IFERROR(__xludf.DUMMYFUNCTION("""COMPUTED_VALUE"""),"G101505205-10")</f>
        <v>G101505205-10</v>
      </c>
      <c r="B38" s="5" t="str">
        <f>IFERROR(__xludf.DUMMYFUNCTION("""COMPUTED_VALUE"""),"10 шт. Лампа MR16 GU5.3 5W 4100K 1/10/100 (Комплект 10 шт)")</f>
        <v>10 шт. Лампа MR16 GU5.3 5W 4100K 1/10/100 (Комплект 10 шт)</v>
      </c>
      <c r="C38" s="2">
        <f>IFERROR(__xludf.DUMMYFUNCTION("""COMPUTED_VALUE"""),0.04)</f>
        <v>0.04</v>
      </c>
      <c r="D38" s="2">
        <f>IFERROR(__xludf.DUMMYFUNCTION("""COMPUTED_VALUE"""),0.0)</f>
        <v>0</v>
      </c>
      <c r="E38" s="2">
        <f>IFERROR(__xludf.DUMMYFUNCTION("""COMPUTED_VALUE"""),664.1)</f>
        <v>664.1</v>
      </c>
      <c r="F38" s="2">
        <f>IFERROR(__xludf.DUMMYFUNCTION("""COMPUTED_VALUE"""),729.0)</f>
        <v>729</v>
      </c>
      <c r="G38" s="2">
        <f>IFERROR(__xludf.DUMMYFUNCTION("""COMPUTED_VALUE"""),850.0)</f>
        <v>850</v>
      </c>
      <c r="H38" s="2">
        <f>IFERROR(__xludf.DUMMYFUNCTION("""COMPUTED_VALUE"""),957.0)</f>
        <v>957</v>
      </c>
      <c r="I38" s="2">
        <f>IFERROR(__xludf.DUMMYFUNCTION("""COMPUTED_VALUE"""),1063.0)</f>
        <v>1063</v>
      </c>
      <c r="J38" s="2">
        <f>IFERROR(__xludf.DUMMYFUNCTION("""COMPUTED_VALUE"""),532.0)</f>
        <v>532</v>
      </c>
      <c r="K38" s="2">
        <f>IFERROR(__xludf.DUMMYFUNCTION("""COMPUTED_VALUE"""),7.0)</f>
        <v>7</v>
      </c>
      <c r="L38" s="2" t="str">
        <f>IFERROR(__xludf.DUMMYFUNCTION("""COMPUTED_VALUE"""),"Лампы производство, упаковка")</f>
        <v>Лампы производство, упаковка</v>
      </c>
      <c r="M38" s="2" t="str">
        <f>IFERROR(__xludf.DUMMYFUNCTION("""COMPUTED_VALUE"""),"Лампы")</f>
        <v>Лампы</v>
      </c>
    </row>
    <row r="39">
      <c r="A39" s="5" t="str">
        <f>IFERROR(__xludf.DUMMYFUNCTION("""COMPUTED_VALUE"""),"4690612035765")</f>
        <v>4690612035765</v>
      </c>
      <c r="B39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2">
        <f>IFERROR(__xludf.DUMMYFUNCTION("""COMPUTED_VALUE"""),3.4)</f>
        <v>3.4</v>
      </c>
      <c r="D39" s="2">
        <f>IFERROR(__xludf.DUMMYFUNCTION("""COMPUTED_VALUE"""),0.028)</f>
        <v>0.028</v>
      </c>
      <c r="E39" s="2">
        <f>IFERROR(__xludf.DUMMYFUNCTION("""COMPUTED_VALUE"""),2092.0)</f>
        <v>2092</v>
      </c>
      <c r="F39" s="2">
        <f>IFERROR(__xludf.DUMMYFUNCTION("""COMPUTED_VALUE"""),3517.0)</f>
        <v>3517</v>
      </c>
      <c r="G39" s="2">
        <f>IFERROR(__xludf.DUMMYFUNCTION("""COMPUTED_VALUE"""),3956.0)</f>
        <v>3956</v>
      </c>
      <c r="H39" s="2">
        <f>IFERROR(__xludf.DUMMYFUNCTION("""COMPUTED_VALUE"""),4589.0)</f>
        <v>4589</v>
      </c>
      <c r="I39" s="2">
        <f>IFERROR(__xludf.DUMMYFUNCTION("""COMPUTED_VALUE"""),5275.0)</f>
        <v>5275</v>
      </c>
      <c r="J39" s="2">
        <f>IFERROR(__xludf.DUMMYFUNCTION("""COMPUTED_VALUE"""),5275.0)</f>
        <v>5275</v>
      </c>
      <c r="K39" s="2">
        <f>IFERROR(__xludf.DUMMYFUNCTION("""COMPUTED_VALUE"""),1.0)</f>
        <v>1</v>
      </c>
      <c r="L39" s="2" t="str">
        <f>IFERROR(__xludf.DUMMYFUNCTION("""COMPUTED_VALUE"""),"Светильники светодиодные GEO")</f>
        <v>Светильники светодиодные GEO</v>
      </c>
      <c r="M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5" t="str">
        <f>IFERROR(__xludf.DUMMYFUNCTION("""COMPUTED_VALUE"""),"4690612038179-2")</f>
        <v>4690612038179-2</v>
      </c>
      <c r="B40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2">
        <f>IFERROR(__xludf.DUMMYFUNCTION("""COMPUTED_VALUE"""),1.29)</f>
        <v>1.29</v>
      </c>
      <c r="D40" s="2">
        <f>IFERROR(__xludf.DUMMYFUNCTION("""COMPUTED_VALUE"""),0.0)</f>
        <v>0</v>
      </c>
      <c r="E40" s="2">
        <f>IFERROR(__xludf.DUMMYFUNCTION("""COMPUTED_VALUE"""),946.86)</f>
        <v>946.86</v>
      </c>
      <c r="F40" s="2">
        <f>IFERROR(__xludf.DUMMYFUNCTION("""COMPUTED_VALUE"""),1039.0)</f>
        <v>1039</v>
      </c>
      <c r="G40" s="2">
        <f>IFERROR(__xludf.DUMMYFUNCTION("""COMPUTED_VALUE"""),1212.0)</f>
        <v>1212</v>
      </c>
      <c r="H40" s="2">
        <f>IFERROR(__xludf.DUMMYFUNCTION("""COMPUTED_VALUE"""),1364.0)</f>
        <v>1364</v>
      </c>
      <c r="I40" s="2">
        <f>IFERROR(__xludf.DUMMYFUNCTION("""COMPUTED_VALUE"""),1515.0)</f>
        <v>1515</v>
      </c>
      <c r="J40" s="2">
        <f>IFERROR(__xludf.DUMMYFUNCTION("""COMPUTED_VALUE"""),758.0)</f>
        <v>758</v>
      </c>
      <c r="K40" s="2">
        <f>IFERROR(__xludf.DUMMYFUNCTION("""COMPUTED_VALUE"""),6.0)</f>
        <v>6</v>
      </c>
      <c r="L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5" t="str">
        <f>IFERROR(__xludf.DUMMYFUNCTION("""COMPUTED_VALUE"""),"4690612051970")</f>
        <v>4690612051970</v>
      </c>
      <c r="B41" s="5" t="str">
        <f>IFERROR(__xludf.DUMMYFUNCTION("""COMPUTED_VALUE"""),"ДБУ TWIN-1030BL 10Вт 3000К IP54 черный IN HOME")</f>
        <v>ДБУ TWIN-1030BL 10Вт 3000К IP54 черный IN HOME</v>
      </c>
      <c r="C41" s="2">
        <f>IFERROR(__xludf.DUMMYFUNCTION("""COMPUTED_VALUE"""),0.343)</f>
        <v>0.343</v>
      </c>
      <c r="D41" s="2">
        <f>IFERROR(__xludf.DUMMYFUNCTION("""COMPUTED_VALUE"""),0.00132)</f>
        <v>0.00132</v>
      </c>
      <c r="E41" s="2">
        <f>IFERROR(__xludf.DUMMYFUNCTION("""COMPUTED_VALUE"""),478.2)</f>
        <v>478.2</v>
      </c>
      <c r="F41" s="2">
        <f>IFERROR(__xludf.DUMMYFUNCTION("""COMPUTED_VALUE"""),527.0)</f>
        <v>527</v>
      </c>
      <c r="G41" s="2">
        <f>IFERROR(__xludf.DUMMYFUNCTION("""COMPUTED_VALUE"""),593.0)</f>
        <v>593</v>
      </c>
      <c r="H41" s="2">
        <f>IFERROR(__xludf.DUMMYFUNCTION("""COMPUTED_VALUE"""),688.0)</f>
        <v>688</v>
      </c>
      <c r="I41" s="2">
        <f>IFERROR(__xludf.DUMMYFUNCTION("""COMPUTED_VALUE"""),791.0)</f>
        <v>791</v>
      </c>
      <c r="J41" s="2">
        <f>IFERROR(__xludf.DUMMYFUNCTION("""COMPUTED_VALUE"""),396.0)</f>
        <v>396</v>
      </c>
      <c r="K41" s="2">
        <f>IFERROR(__xludf.DUMMYFUNCTION("""COMPUTED_VALUE"""),3.0)</f>
        <v>3</v>
      </c>
      <c r="L41" s="2" t="str">
        <f>IFERROR(__xludf.DUMMYFUNCTION("""COMPUTED_VALUE"""),"Светильники светодиодные уличные ДБУ")</f>
        <v>Светильники светодиодные уличные ДБУ</v>
      </c>
      <c r="M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5" t="str">
        <f>IFERROR(__xludf.DUMMYFUNCTION("""COMPUTED_VALUE"""),"4260652193512")</f>
        <v>4260652193512</v>
      </c>
      <c r="B42" s="5" t="str">
        <f>IFERROR(__xludf.DUMMYFUNCTION("""COMPUTED_VALUE"""),"LCL04-18W-R11-4K-SOA")</f>
        <v>LCL04-18W-R11-4K-SOA</v>
      </c>
      <c r="C42" s="2">
        <f>IFERROR(__xludf.DUMMYFUNCTION("""COMPUTED_VALUE"""),0.149)</f>
        <v>0.149</v>
      </c>
      <c r="D42" s="2">
        <f>IFERROR(__xludf.DUMMYFUNCTION("""COMPUTED_VALUE"""),0.043)</f>
        <v>0.043</v>
      </c>
      <c r="E42" s="2">
        <f>IFERROR(__xludf.DUMMYFUNCTION("""COMPUTED_VALUE"""),402.82)</f>
        <v>402.82</v>
      </c>
      <c r="F42" s="2">
        <f>IFERROR(__xludf.DUMMYFUNCTION("""COMPUTED_VALUE"""),417.0)</f>
        <v>417</v>
      </c>
      <c r="G42" s="2">
        <f>IFERROR(__xludf.DUMMYFUNCTION("""COMPUTED_VALUE"""),431.0)</f>
        <v>431</v>
      </c>
      <c r="H42" s="2">
        <f>IFERROR(__xludf.DUMMYFUNCTION("""COMPUTED_VALUE"""),565.0)</f>
        <v>565</v>
      </c>
      <c r="I42" s="2">
        <f>IFERROR(__xludf.DUMMYFUNCTION("""COMPUTED_VALUE"""),707.0)</f>
        <v>707</v>
      </c>
      <c r="J42" s="2">
        <f>IFERROR(__xludf.DUMMYFUNCTION("""COMPUTED_VALUE"""),354.0)</f>
        <v>354</v>
      </c>
      <c r="K42" s="2">
        <f>IFERROR(__xludf.DUMMYFUNCTION("""COMPUTED_VALUE"""),43.0)</f>
        <v>43</v>
      </c>
      <c r="L42" s="2" t="str">
        <f>IFERROR(__xludf.DUMMYFUNCTION("""COMPUTED_VALUE"""),"Wolta ЖКХ")</f>
        <v>Wolta ЖКХ</v>
      </c>
      <c r="M42" s="2" t="str">
        <f>IFERROR(__xludf.DUMMYFUNCTION("""COMPUTED_VALUE"""),"Для ЖКХ, дома, дачи, LED Светильники")</f>
        <v>Для ЖКХ, дома, дачи, LED Светильники</v>
      </c>
    </row>
    <row r="43">
      <c r="A43" s="5" t="str">
        <f>IFERROR(__xludf.DUMMYFUNCTION("""COMPUTED_VALUE"""),"4690612020747-10")</f>
        <v>4690612020747-10</v>
      </c>
      <c r="B43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2">
        <f>IFERROR(__xludf.DUMMYFUNCTION("""COMPUTED_VALUE"""),0.04)</f>
        <v>0.04</v>
      </c>
      <c r="D43" s="2">
        <f>IFERROR(__xludf.DUMMYFUNCTION("""COMPUTED_VALUE"""),0.0021)</f>
        <v>0.0021</v>
      </c>
      <c r="E43" s="2">
        <f>IFERROR(__xludf.DUMMYFUNCTION("""COMPUTED_VALUE"""),390.0)</f>
        <v>390</v>
      </c>
      <c r="F43" s="2">
        <f>IFERROR(__xludf.DUMMYFUNCTION("""COMPUTED_VALUE"""),428.0)</f>
        <v>428</v>
      </c>
      <c r="G43" s="2">
        <f>IFERROR(__xludf.DUMMYFUNCTION("""COMPUTED_VALUE"""),499.0)</f>
        <v>499</v>
      </c>
      <c r="H43" s="2">
        <f>IFERROR(__xludf.DUMMYFUNCTION("""COMPUTED_VALUE"""),562.0)</f>
        <v>562</v>
      </c>
      <c r="I43" s="2">
        <f>IFERROR(__xludf.DUMMYFUNCTION("""COMPUTED_VALUE"""),624.0)</f>
        <v>624</v>
      </c>
      <c r="J43" s="2">
        <f>IFERROR(__xludf.DUMMYFUNCTION("""COMPUTED_VALUE"""),312.0)</f>
        <v>312</v>
      </c>
      <c r="K43" s="2">
        <f>IFERROR(__xludf.DUMMYFUNCTION("""COMPUTED_VALUE"""),10.0)</f>
        <v>10</v>
      </c>
      <c r="L43" s="2" t="str">
        <f>IFERROR(__xludf.DUMMYFUNCTION("""COMPUTED_VALUE"""),"Лампы производство, упаковка")</f>
        <v>Лампы производство, упаковка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IFERROR(__xludf.DUMMYFUNCTION("""COMPUTED_VALUE"""),689.0)</f>
        <v>689</v>
      </c>
      <c r="H48" s="2">
        <f>IFERROR(__xludf.DUMMYFUNCTION("""COMPUTED_VALUE"""),775.0)</f>
        <v>775</v>
      </c>
      <c r="I48" s="2">
        <f>IFERROR(__xludf.DUMMYFUNCTION("""COMPUTED_VALUE"""),861.0)</f>
        <v>861</v>
      </c>
      <c r="J48" s="2">
        <f>IFERROR(__xludf.DUMMYFUNCTION("""COMPUTED_VALUE"""),431.0)</f>
        <v>431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IFERROR(__xludf.DUMMYFUNCTION("""COMPUTED_VALUE"""),683.0)</f>
        <v>683</v>
      </c>
      <c r="H54" s="2">
        <f>IFERROR(__xludf.DUMMYFUNCTION("""COMPUTED_VALUE"""),769.0)</f>
        <v>769</v>
      </c>
      <c r="I54" s="2">
        <f>IFERROR(__xludf.DUMMYFUNCTION("""COMPUTED_VALUE"""),854.0)</f>
        <v>854</v>
      </c>
      <c r="J54" s="2">
        <f>IFERROR(__xludf.DUMMYFUNCTION("""COMPUTED_VALUE"""),427.0)</f>
        <v>427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IFERROR(__xludf.DUMMYFUNCTION("""COMPUTED_VALUE"""),"4690612036748")</f>
        <v>4690612036748</v>
      </c>
      <c r="B57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5" t="str">
        <f>IFERROR(__xludf.DUMMYFUNCTION("""COMPUTED_VALUE"""),"55083")</f>
        <v>55083</v>
      </c>
      <c r="B58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5" t="str">
        <f>IFERROR(__xludf.DUMMYFUNCTION("""COMPUTED_VALUE"""),"4680005959013-10")</f>
        <v>4680005959013-10</v>
      </c>
      <c r="B59" s="5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IFERROR(__xludf.DUMMYFUNCTION("""COMPUTED_VALUE"""),"4260693449494")</f>
        <v>4260693449494</v>
      </c>
      <c r="B60" s="5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IFERROR(__xludf.DUMMYFUNCTION("""COMPUTED_VALUE"""),"12-9926")</f>
        <v>12-9926</v>
      </c>
      <c r="B61" s="5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IFERROR(__xludf.DUMMYFUNCTION("""COMPUTED_VALUE"""),"AR12524")</f>
        <v>AR12524</v>
      </c>
      <c r="B62" s="5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5" t="str">
        <f>IFERROR(__xludf.DUMMYFUNCTION("""COMPUTED_VALUE"""),"G13629")</f>
        <v>G13629</v>
      </c>
      <c r="B63" s="5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IFERROR(__xludf.DUMMYFUNCTION("""COMPUTED_VALUE"""),"4690612040189")</f>
        <v>4690612040189</v>
      </c>
      <c r="B64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5" t="str">
        <f>IFERROR(__xludf.DUMMYFUNCTION("""COMPUTED_VALUE"""),"01-4015")</f>
        <v>01-4015</v>
      </c>
      <c r="B65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IFERROR(__xludf.DUMMYFUNCTION("""COMPUTED_VALUE"""),"4690612029337")</f>
        <v>4690612029337</v>
      </c>
      <c r="B66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IFERROR(__xludf.DUMMYFUNCTION("""COMPUTED_VALUE"""),"ves029")</f>
        <v>ves029</v>
      </c>
      <c r="B67" s="5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5" t="str">
        <f>IFERROR(__xludf.DUMMYFUNCTION("""COMPUTED_VALUE"""),"4630015264812")</f>
        <v>4630015264812</v>
      </c>
      <c r="B68" s="5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5" t="str">
        <f>IFERROR(__xludf.DUMMYFUNCTION("""COMPUTED_VALUE"""),"4690612020273")</f>
        <v>4690612020273</v>
      </c>
      <c r="B69" s="5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IFERROR(__xludf.DUMMYFUNCTION("""COMPUTED_VALUE"""),"4690612031101")</f>
        <v>4690612031101</v>
      </c>
      <c r="B70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IFERROR(__xludf.DUMMYFUNCTION("""COMPUTED_VALUE"""),"4690612035345")</f>
        <v>4690612035345</v>
      </c>
      <c r="B71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IFERROR(__xludf.DUMMYFUNCTION("""COMPUTED_VALUE"""),"4690612035734")</f>
        <v>4690612035734</v>
      </c>
      <c r="B72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5" t="str">
        <f>IFERROR(__xludf.DUMMYFUNCTION("""COMPUTED_VALUE"""),"V5004")</f>
        <v>V5004</v>
      </c>
      <c r="B73" s="5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5" t="str">
        <f>IFERROR(__xludf.DUMMYFUNCTION("""COMPUTED_VALUE"""),"4690612020839")</f>
        <v>4690612020839</v>
      </c>
      <c r="B74" s="5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IFERROR(__xludf.DUMMYFUNCTION("""COMPUTED_VALUE"""),"4690612052984-1")</f>
        <v>4690612052984-1</v>
      </c>
      <c r="B75" s="5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IFERROR(__xludf.DUMMYFUNCTION("""COMPUTED_VALUE"""),859.4)</f>
        <v>859.4</v>
      </c>
      <c r="F75" s="2">
        <f>IFERROR(__xludf.DUMMYFUNCTION("""COMPUTED_VALUE"""),943.0)</f>
        <v>943</v>
      </c>
      <c r="G75" s="2">
        <f>IFERROR(__xludf.DUMMYFUNCTION("""COMPUTED_VALUE"""),1100.0)</f>
        <v>1100</v>
      </c>
      <c r="H75" s="2">
        <f>IFERROR(__xludf.DUMMYFUNCTION("""COMPUTED_VALUE"""),1238.0)</f>
        <v>1238</v>
      </c>
      <c r="I75" s="2">
        <f>IFERROR(__xludf.DUMMYFUNCTION("""COMPUTED_VALUE"""),1375.0)</f>
        <v>1375</v>
      </c>
      <c r="J75" s="2">
        <f>IFERROR(__xludf.DUMMYFUNCTION("""COMPUTED_VALUE"""),688.0)</f>
        <v>688</v>
      </c>
      <c r="K75" s="2">
        <f>IFERROR(__xludf.DUMMYFUNCTION("""COMPUTED_VALUE"""),0.0)</f>
        <v>0</v>
      </c>
      <c r="L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">
      <c r="A76" s="5" t="str">
        <f>IFERROR(__xludf.DUMMYFUNCTION("""COMPUTED_VALUE"""),"4690612015125")</f>
        <v>4690612015125</v>
      </c>
      <c r="B76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6" s="2">
        <f>IFERROR(__xludf.DUMMYFUNCTION("""COMPUTED_VALUE"""),0.115)</f>
        <v>0.115</v>
      </c>
      <c r="D76" s="2">
        <f>IFERROR(__xludf.DUMMYFUNCTION("""COMPUTED_VALUE"""),0.0023)</f>
        <v>0.0023</v>
      </c>
      <c r="E76" s="2">
        <f>IFERROR(__xludf.DUMMYFUNCTION("""COMPUTED_VALUE"""),100.5)</f>
        <v>100.5</v>
      </c>
      <c r="F76" s="2">
        <f>IFERROR(__xludf.DUMMYFUNCTION("""COMPUTED_VALUE"""),100.0)</f>
        <v>100</v>
      </c>
      <c r="G76" s="2">
        <f>IFERROR(__xludf.DUMMYFUNCTION("""COMPUTED_VALUE"""),113.0)</f>
        <v>113</v>
      </c>
      <c r="H76" s="2">
        <f>IFERROR(__xludf.DUMMYFUNCTION("""COMPUTED_VALUE"""),131.0)</f>
        <v>131</v>
      </c>
      <c r="I76" s="2">
        <f>IFERROR(__xludf.DUMMYFUNCTION("""COMPUTED_VALUE"""),150.0)</f>
        <v>150</v>
      </c>
      <c r="J76" s="2">
        <f>IFERROR(__xludf.DUMMYFUNCTION("""COMPUTED_VALUE"""),75.0)</f>
        <v>75</v>
      </c>
      <c r="K76" s="2">
        <f>IFERROR(__xludf.DUMMYFUNCTION("""COMPUTED_VALUE"""),7.0)</f>
        <v>7</v>
      </c>
      <c r="L76" s="2" t="str">
        <f>IFERROR(__xludf.DUMMYFUNCTION("""COMPUTED_VALUE"""),"Светильники ночники")</f>
        <v>Светильники ночники</v>
      </c>
      <c r="M7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7">
      <c r="A77" s="5" t="str">
        <f>IFERROR(__xludf.DUMMYFUNCTION("""COMPUTED_VALUE"""),"G106001104")</f>
        <v>G106001104</v>
      </c>
      <c r="B77" s="5" t="str">
        <f>IFERROR(__xludf.DUMMYFUNCTION("""COMPUTED_VALUE"""),"Reflector R39 E14 4W 2700K 1/10/50")</f>
        <v>Reflector R39 E14 4W 2700K 1/10/50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IFERROR(__xludf.DUMMYFUNCTION("""COMPUTED_VALUE"""),109.0)</f>
        <v>109</v>
      </c>
      <c r="F77" s="2">
        <f>IFERROR(__xludf.DUMMYFUNCTION("""COMPUTED_VALUE"""),131.0)</f>
        <v>131</v>
      </c>
      <c r="G77" s="2">
        <f>IFERROR(__xludf.DUMMYFUNCTION("""COMPUTED_VALUE"""),144.0)</f>
        <v>144</v>
      </c>
      <c r="H77" s="2">
        <f>IFERROR(__xludf.DUMMYFUNCTION("""COMPUTED_VALUE"""),170.0)</f>
        <v>170</v>
      </c>
      <c r="I77" s="2">
        <f>IFERROR(__xludf.DUMMYFUNCTION("""COMPUTED_VALUE"""),215.0)</f>
        <v>215</v>
      </c>
      <c r="J77" s="2">
        <f>IFERROR(__xludf.DUMMYFUNCTION("""COMPUTED_VALUE"""),108.0)</f>
        <v>108</v>
      </c>
      <c r="K77" s="2">
        <f>IFERROR(__xludf.DUMMYFUNCTION("""COMPUTED_VALUE"""),8.0)</f>
        <v>8</v>
      </c>
      <c r="L77" s="2" t="str">
        <f>IFERROR(__xludf.DUMMYFUNCTION("""COMPUTED_VALUE"""),"Зеркальные Лампы")</f>
        <v>Зеркальные Лампы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IFERROR(__xludf.DUMMYFUNCTION("""COMPUTED_VALUE"""),"4690612029375")</f>
        <v>4690612029375</v>
      </c>
      <c r="B78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8" s="2">
        <f>IFERROR(__xludf.DUMMYFUNCTION("""COMPUTED_VALUE"""),0.0288)</f>
        <v>0.0288</v>
      </c>
      <c r="D78" s="2">
        <f>IFERROR(__xludf.DUMMYFUNCTION("""COMPUTED_VALUE"""),6.000000000000001E-5)</f>
        <v>0.00006</v>
      </c>
      <c r="E78" s="2">
        <f>IFERROR(__xludf.DUMMYFUNCTION("""COMPUTED_VALUE"""),49.24)</f>
        <v>49.24</v>
      </c>
      <c r="F78" s="2">
        <f>IFERROR(__xludf.DUMMYFUNCTION("""COMPUTED_VALUE"""),65.0)</f>
        <v>65</v>
      </c>
      <c r="G78" s="2">
        <f>IFERROR(__xludf.DUMMYFUNCTION("""COMPUTED_VALUE"""),73.0)</f>
        <v>73</v>
      </c>
      <c r="H78" s="2">
        <f>IFERROR(__xludf.DUMMYFUNCTION("""COMPUTED_VALUE"""),84.0)</f>
        <v>84</v>
      </c>
      <c r="I78" s="2">
        <f>IFERROR(__xludf.DUMMYFUNCTION("""COMPUTED_VALUE"""),97.0)</f>
        <v>97</v>
      </c>
      <c r="J78" s="2">
        <f>IFERROR(__xludf.DUMMYFUNCTION("""COMPUTED_VALUE"""),49.0)</f>
        <v>49</v>
      </c>
      <c r="K78" s="2">
        <f>IFERROR(__xludf.DUMMYFUNCTION("""COMPUTED_VALUE"""),14.0)</f>
        <v>14</v>
      </c>
      <c r="L78" s="2" t="str">
        <f>IFERROR(__xludf.DUMMYFUNCTION("""COMPUTED_VALUE"""),"Шинопровод и комплектующие")</f>
        <v>Шинопровод и комплектующие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IFERROR(__xludf.DUMMYFUNCTION("""COMPUTED_VALUE"""),"14690612057306")</f>
        <v>14690612057306</v>
      </c>
      <c r="B79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IFERROR(__xludf.DUMMYFUNCTION("""COMPUTED_VALUE"""),3739.86)</f>
        <v>3739.86</v>
      </c>
      <c r="F79" s="2">
        <f>IFERROR(__xludf.DUMMYFUNCTION("""COMPUTED_VALUE"""),4103.0)</f>
        <v>4103</v>
      </c>
      <c r="G79" s="2">
        <f>IFERROR(__xludf.DUMMYFUNCTION("""COMPUTED_VALUE"""),4787.0)</f>
        <v>4787</v>
      </c>
      <c r="H79" s="2">
        <f>IFERROR(__xludf.DUMMYFUNCTION("""COMPUTED_VALUE"""),5386.0)</f>
        <v>5386</v>
      </c>
      <c r="I79" s="2">
        <f>IFERROR(__xludf.DUMMYFUNCTION("""COMPUTED_VALUE"""),5984.0)</f>
        <v>5984</v>
      </c>
      <c r="J79" s="2">
        <f>IFERROR(__xludf.DUMMYFUNCTION("""COMPUTED_VALUE"""),2992.0)</f>
        <v>2992</v>
      </c>
      <c r="K79" s="2">
        <f>IFERROR(__xludf.DUMMYFUNCTION("""COMPUTED_VALUE"""),5.0)</f>
        <v>5</v>
      </c>
      <c r="L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0">
      <c r="A80" s="5" t="str">
        <f>IFERROR(__xludf.DUMMYFUNCTION("""COMPUTED_VALUE"""),"HD016")</f>
        <v>HD016</v>
      </c>
      <c r="B80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80" s="2">
        <f>IFERROR(__xludf.DUMMYFUNCTION("""COMPUTED_VALUE"""),0.0)</f>
        <v>0</v>
      </c>
      <c r="D80" s="2">
        <f>IFERROR(__xludf.DUMMYFUNCTION("""COMPUTED_VALUE"""),0.0)</f>
        <v>0</v>
      </c>
      <c r="E80" s="2">
        <f>IFERROR(__xludf.DUMMYFUNCTION("""COMPUTED_VALUE"""),0.0)</f>
        <v>0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IFERROR(__xludf.DUMMYFUNCTION("""COMPUTED_VALUE"""),0.0)</f>
        <v>0</v>
      </c>
      <c r="J80" s="2">
        <f>IFERROR(__xludf.DUMMYFUNCTION("""COMPUTED_VALUE"""),0.0)</f>
        <v>0</v>
      </c>
      <c r="K80" s="2">
        <f>IFERROR(__xludf.DUMMYFUNCTION("""COMPUTED_VALUE"""),1.0)</f>
        <v>1</v>
      </c>
      <c r="L80" s="2" t="str">
        <f>IFERROR(__xludf.DUMMYFUNCTION("""COMPUTED_VALUE"""),"Gauss светильники")</f>
        <v>Gauss светильники</v>
      </c>
      <c r="M80" s="2" t="str">
        <f>IFERROR(__xludf.DUMMYFUNCTION("""COMPUTED_VALUE"""),"Ламповые светильники")</f>
        <v>Ламповые светильники</v>
      </c>
    </row>
    <row r="81">
      <c r="A81" s="5" t="str">
        <f>IFERROR(__xludf.DUMMYFUNCTION("""COMPUTED_VALUE"""),"V9001")</f>
        <v>V9001</v>
      </c>
      <c r="B81" s="5" t="str">
        <f>IFERROR(__xludf.DUMMYFUNCTION("""COMPUTED_VALUE"""),"VRN-UNE-32-G40K67-U, 32Вт, Универсальный")</f>
        <v>VRN-UNE-32-G40K67-U, 32Вт, Универсальный</v>
      </c>
      <c r="C81" s="2">
        <f>IFERROR(__xludf.DUMMYFUNCTION("""COMPUTED_VALUE"""),0.9400000000000001)</f>
        <v>0.94</v>
      </c>
      <c r="D81" s="2">
        <f>IFERROR(__xludf.DUMMYFUNCTION("""COMPUTED_VALUE"""),0.004030000000000001)</f>
        <v>0.00403</v>
      </c>
      <c r="E81" s="2">
        <f>IFERROR(__xludf.DUMMYFUNCTION("""COMPUTED_VALUE"""),1807.24)</f>
        <v>1807.24</v>
      </c>
      <c r="F81" s="2">
        <f>IFERROR(__xludf.DUMMYFUNCTION("""COMPUTED_VALUE"""),2020.0)</f>
        <v>2020</v>
      </c>
      <c r="G81" s="2">
        <f>IFERROR(__xludf.DUMMYFUNCTION("""COMPUTED_VALUE"""),2626.0)</f>
        <v>2626</v>
      </c>
      <c r="H81" s="2">
        <f>IFERROR(__xludf.DUMMYFUNCTION("""COMPUTED_VALUE"""),2757.0)</f>
        <v>2757</v>
      </c>
      <c r="I81" s="2">
        <f>IFERROR(__xludf.DUMMYFUNCTION("""COMPUTED_VALUE"""),2889.0)</f>
        <v>2889</v>
      </c>
      <c r="J81" s="2">
        <f>IFERROR(__xludf.DUMMYFUNCTION("""COMPUTED_VALUE"""),2889.0)</f>
        <v>2889</v>
      </c>
      <c r="K81" s="2">
        <f>IFERROR(__xludf.DUMMYFUNCTION("""COMPUTED_VALUE"""),10.0)</f>
        <v>10</v>
      </c>
      <c r="L81" s="2" t="str">
        <f>IFERROR(__xludf.DUMMYFUNCTION("""COMPUTED_VALUE"""),"Универсал Эконом")</f>
        <v>Универсал Эконом</v>
      </c>
      <c r="M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2">
      <c r="A82" s="5" t="str">
        <f>IFERROR(__xludf.DUMMYFUNCTION("""COMPUTED_VALUE"""),"4690612004235")</f>
        <v>4690612004235</v>
      </c>
      <c r="B82" s="5" t="str">
        <f>IFERROR(__xludf.DUMMYFUNCTION("""COMPUTED_VALUE"""),"LED-T8-PREMIUM 18Вт 160-260В G13 6500К 1980Лм 1200мм ASD")</f>
        <v>LED-T8-PREMIUM 18Вт 160-260В G13 6500К 1980Лм 1200мм ASD</v>
      </c>
      <c r="C82" s="2">
        <f>IFERROR(__xludf.DUMMYFUNCTION("""COMPUTED_VALUE"""),0.3780000000000001)</f>
        <v>0.378</v>
      </c>
      <c r="D82" s="2">
        <f>IFERROR(__xludf.DUMMYFUNCTION("""COMPUTED_VALUE"""),0.0)</f>
        <v>0</v>
      </c>
      <c r="E82" s="2">
        <f>IFERROR(__xludf.DUMMYFUNCTION("""COMPUTED_VALUE"""),256.8)</f>
        <v>256.8</v>
      </c>
      <c r="F82" s="2">
        <f>IFERROR(__xludf.DUMMYFUNCTION("""COMPUTED_VALUE"""),0.0)</f>
        <v>0</v>
      </c>
      <c r="G82" s="2">
        <f>IFERROR(__xludf.DUMMYFUNCTION("""COMPUTED_VALUE"""),0.0)</f>
        <v>0</v>
      </c>
      <c r="H82" s="2">
        <f>IFERROR(__xludf.DUMMYFUNCTION("""COMPUTED_VALUE"""),0.0)</f>
        <v>0</v>
      </c>
      <c r="I82" s="2">
        <f>IFERROR(__xludf.DUMMYFUNCTION("""COMPUTED_VALUE"""),0.5)</f>
        <v>0.5</v>
      </c>
      <c r="J82" s="2">
        <f>IFERROR(__xludf.DUMMYFUNCTION("""COMPUTED_VALUE"""),0.5)</f>
        <v>0.5</v>
      </c>
      <c r="K82" s="2">
        <f>IFERROR(__xludf.DUMMYFUNCTION("""COMPUTED_VALUE"""),1.0)</f>
        <v>1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IFERROR(__xludf.DUMMYFUNCTION("""COMPUTED_VALUE"""),"4690612034683")</f>
        <v>4690612034683</v>
      </c>
      <c r="B83" s="5" t="str">
        <f>IFERROR(__xludf.DUMMYFUNCTION("""COMPUTED_VALUE"""),"СДО-7 20Вт 230В 6500К IP65 белый IN HOME")</f>
        <v>СДО-7 20Вт 230В 6500К IP65 белый IN HOME</v>
      </c>
      <c r="C83" s="2">
        <f>IFERROR(__xludf.DUMMYFUNCTION("""COMPUTED_VALUE"""),0.175)</f>
        <v>0.175</v>
      </c>
      <c r="D83" s="2">
        <f>IFERROR(__xludf.DUMMYFUNCTION("""COMPUTED_VALUE"""),4.800000000000001E-4)</f>
        <v>0.00048</v>
      </c>
      <c r="E83" s="2">
        <f>IFERROR(__xludf.DUMMYFUNCTION("""COMPUTED_VALUE"""),166.23)</f>
        <v>166.23</v>
      </c>
      <c r="F83" s="2">
        <f>IFERROR(__xludf.DUMMYFUNCTION("""COMPUTED_VALUE"""),153.0)</f>
        <v>153</v>
      </c>
      <c r="G83" s="2">
        <f>IFERROR(__xludf.DUMMYFUNCTION("""COMPUTED_VALUE"""),172.0)</f>
        <v>172</v>
      </c>
      <c r="H83" s="2">
        <f>IFERROR(__xludf.DUMMYFUNCTION("""COMPUTED_VALUE"""),199.0)</f>
        <v>199</v>
      </c>
      <c r="I83" s="2">
        <f>IFERROR(__xludf.DUMMYFUNCTION("""COMPUTED_VALUE"""),229.0)</f>
        <v>229</v>
      </c>
      <c r="J83" s="2">
        <f>IFERROR(__xludf.DUMMYFUNCTION("""COMPUTED_VALUE"""),115.0)</f>
        <v>115</v>
      </c>
      <c r="K83" s="2">
        <f>IFERROR(__xludf.DUMMYFUNCTION("""COMPUTED_VALUE"""),17.0)</f>
        <v>17</v>
      </c>
      <c r="L83" s="2" t="str">
        <f>IFERROR(__xludf.DUMMYFUNCTION("""COMPUTED_VALUE"""),"Прожекторы светодиодные СДО-07")</f>
        <v>Прожекторы светодиодные СДО-07</v>
      </c>
      <c r="M8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4">
      <c r="A84" s="5" t="str">
        <f>IFERROR(__xludf.DUMMYFUNCTION("""COMPUTED_VALUE"""),"12-0480")</f>
        <v>12-0480</v>
      </c>
      <c r="B84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IFERROR(__xludf.DUMMYFUNCTION("""COMPUTED_VALUE"""),1.0)</f>
        <v>1</v>
      </c>
      <c r="F84" s="2">
        <f>IFERROR(__xludf.DUMMYFUNCTION("""COMPUTED_VALUE"""),954.0)</f>
        <v>954</v>
      </c>
      <c r="G84" s="2">
        <f>IFERROR(__xludf.DUMMYFUNCTION("""COMPUTED_VALUE"""),1018.0)</f>
        <v>1018</v>
      </c>
      <c r="H84" s="2">
        <f>IFERROR(__xludf.DUMMYFUNCTION("""COMPUTED_VALUE"""),1145.0)</f>
        <v>1145</v>
      </c>
      <c r="I84" s="2">
        <f>IFERROR(__xludf.DUMMYFUNCTION("""COMPUTED_VALUE"""),1272.0)</f>
        <v>1272</v>
      </c>
      <c r="J84" s="2">
        <f>IFERROR(__xludf.DUMMYFUNCTION("""COMPUTED_VALUE"""),636.0)</f>
        <v>636</v>
      </c>
      <c r="K84" s="2">
        <f>IFERROR(__xludf.DUMMYFUNCTION("""COMPUTED_VALUE"""),2.0)</f>
        <v>2</v>
      </c>
      <c r="L84" s="2" t="str">
        <f>IFERROR(__xludf.DUMMYFUNCTION("""COMPUTED_VALUE"""),"Rexant")</f>
        <v>Rexant</v>
      </c>
      <c r="M84" s="2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IFERROR(__xludf.DUMMYFUNCTION("""COMPUTED_VALUE"""),"4690612042633")</f>
        <v>4690612042633</v>
      </c>
      <c r="B85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5" s="2">
        <f>IFERROR(__xludf.DUMMYFUNCTION("""COMPUTED_VALUE"""),1.41)</f>
        <v>1.41</v>
      </c>
      <c r="D85" s="2">
        <f>IFERROR(__xludf.DUMMYFUNCTION("""COMPUTED_VALUE"""),0.0054)</f>
        <v>0.0054</v>
      </c>
      <c r="E85" s="2">
        <f>IFERROR(__xludf.DUMMYFUNCTION("""COMPUTED_VALUE"""),1777.2)</f>
        <v>1777.2</v>
      </c>
      <c r="F85" s="2">
        <f>IFERROR(__xludf.DUMMYFUNCTION("""COMPUTED_VALUE"""),1378.0)</f>
        <v>1378</v>
      </c>
      <c r="G85" s="2">
        <f>IFERROR(__xludf.DUMMYFUNCTION("""COMPUTED_VALUE"""),1550.0)</f>
        <v>1550</v>
      </c>
      <c r="H85" s="2">
        <f>IFERROR(__xludf.DUMMYFUNCTION("""COMPUTED_VALUE"""),1798.0)</f>
        <v>1798</v>
      </c>
      <c r="I85" s="2">
        <f>IFERROR(__xludf.DUMMYFUNCTION("""COMPUTED_VALUE"""),2067.0)</f>
        <v>2067</v>
      </c>
      <c r="J85" s="2">
        <f>IFERROR(__xludf.DUMMYFUNCTION("""COMPUTED_VALUE"""),1034.0)</f>
        <v>1034</v>
      </c>
      <c r="K85" s="2">
        <f>IFERROR(__xludf.DUMMYFUNCTION("""COMPUTED_VALUE"""),1.0)</f>
        <v>1</v>
      </c>
      <c r="L85" s="2" t="str">
        <f>IFERROR(__xludf.DUMMYFUNCTION("""COMPUTED_VALUE"""),"NEOX Светильники LED LHB, WHB")</f>
        <v>NEOX Светильники LED LHB, WHB</v>
      </c>
      <c r="M8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6">
      <c r="A86" s="5" t="str">
        <f>IFERROR(__xludf.DUMMYFUNCTION("""COMPUTED_VALUE"""),"4690612000923")</f>
        <v>4690612000923</v>
      </c>
      <c r="B86" s="5" t="str">
        <f>IFERROR(__xludf.DUMMYFUNCTION("""COMPUTED_VALUE"""),"LS-AA-12.5 12.5А 150Вт 12В алюминий")</f>
        <v>LS-AA-12.5 12.5А 150Вт 12В алюминий</v>
      </c>
      <c r="C86" s="2">
        <f>IFERROR(__xludf.DUMMYFUNCTION("""COMPUTED_VALUE"""),0.5888000000000001)</f>
        <v>0.5888</v>
      </c>
      <c r="D86" s="2">
        <f>IFERROR(__xludf.DUMMYFUNCTION("""COMPUTED_VALUE"""),0.00115)</f>
        <v>0.00115</v>
      </c>
      <c r="E86" s="2">
        <f>IFERROR(__xludf.DUMMYFUNCTION("""COMPUTED_VALUE"""),544.17)</f>
        <v>544.17</v>
      </c>
      <c r="F86" s="2">
        <f>IFERROR(__xludf.DUMMYFUNCTION("""COMPUTED_VALUE"""),800.0)</f>
        <v>800</v>
      </c>
      <c r="G86" s="2">
        <f>IFERROR(__xludf.DUMMYFUNCTION("""COMPUTED_VALUE"""),900.0)</f>
        <v>900</v>
      </c>
      <c r="H86" s="2">
        <f>IFERROR(__xludf.DUMMYFUNCTION("""COMPUTED_VALUE"""),1044.0)</f>
        <v>1044</v>
      </c>
      <c r="I86" s="2">
        <f>IFERROR(__xludf.DUMMYFUNCTION("""COMPUTED_VALUE"""),1200.0)</f>
        <v>1200</v>
      </c>
      <c r="J86" s="2">
        <f>IFERROR(__xludf.DUMMYFUNCTION("""COMPUTED_VALUE"""),544.0)</f>
        <v>544</v>
      </c>
      <c r="K86" s="2">
        <f>IFERROR(__xludf.DUMMYFUNCTION("""COMPUTED_VALUE"""),5.0)</f>
        <v>5</v>
      </c>
      <c r="L86" s="2" t="str">
        <f>IFERROR(__xludf.DUMMYFUNCTION("""COMPUTED_VALUE"""),"ASD электромонтажные изделия")</f>
        <v>ASD электромонтажные изделия</v>
      </c>
      <c r="M86" s="2" t="str">
        <f>IFERROR(__xludf.DUMMYFUNCTION("""COMPUTED_VALUE"""),"Прочие товары")</f>
        <v>Прочие товары</v>
      </c>
    </row>
    <row r="87">
      <c r="A87" s="5" t="str">
        <f>IFERROR(__xludf.DUMMYFUNCTION("""COMPUTED_VALUE"""),"GL8143")</f>
        <v>GL8143</v>
      </c>
      <c r="B87" s="5" t="str">
        <f>IFERROR(__xludf.DUMMYFUNCTION("""COMPUTED_VALUE"""),"GLERIO Office Special 24 Вт 4000К 82P-24D-4V-K")</f>
        <v>GLERIO Office Special 24 Вт 4000К 82P-24D-4V-K</v>
      </c>
      <c r="C87" s="2">
        <f>IFERROR(__xludf.DUMMYFUNCTION("""COMPUTED_VALUE"""),1.04)</f>
        <v>1.04</v>
      </c>
      <c r="D87" s="2">
        <f>IFERROR(__xludf.DUMMYFUNCTION("""COMPUTED_VALUE"""),0.008190000000000001)</f>
        <v>0.00819</v>
      </c>
      <c r="E87" s="2">
        <f>IFERROR(__xludf.DUMMYFUNCTION("""COMPUTED_VALUE"""),1464.7)</f>
        <v>1464.7</v>
      </c>
      <c r="F87" s="2">
        <f>IFERROR(__xludf.DUMMYFUNCTION("""COMPUTED_VALUE"""),1700.0)</f>
        <v>1700</v>
      </c>
      <c r="G87" s="2">
        <f>IFERROR(__xludf.DUMMYFUNCTION("""COMPUTED_VALUE"""),2140.0)</f>
        <v>2140</v>
      </c>
      <c r="H87" s="2">
        <f>IFERROR(__xludf.DUMMYFUNCTION("""COMPUTED_VALUE"""),2404.0)</f>
        <v>2404</v>
      </c>
      <c r="I87" s="2">
        <f>IFERROR(__xludf.DUMMYFUNCTION("""COMPUTED_VALUE"""),2667.0)</f>
        <v>2667</v>
      </c>
      <c r="J87" s="2">
        <f>IFERROR(__xludf.DUMMYFUNCTION("""COMPUTED_VALUE"""),2140.0)</f>
        <v>2140</v>
      </c>
      <c r="K87" s="2">
        <f>IFERROR(__xludf.DUMMYFUNCTION("""COMPUTED_VALUE"""),10.0)</f>
        <v>10</v>
      </c>
      <c r="L87" s="2" t="str">
        <f>IFERROR(__xludf.DUMMYFUNCTION("""COMPUTED_VALUE"""),"Office Special (Офис Премиум) до 10.2025")</f>
        <v>Office Special (Офис Премиум) до 10.2025</v>
      </c>
      <c r="M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8">
      <c r="A88" s="5" t="str">
        <f>IFERROR(__xludf.DUMMYFUNCTION("""COMPUTED_VALUE"""),"4690612020815")</f>
        <v>4690612020815</v>
      </c>
      <c r="B88" s="5" t="str">
        <f>IFERROR(__xludf.DUMMYFUNCTION("""COMPUTED_VALUE"""),"LED-GX53-VC 15Вт 230В 3000К 1430Лм IN HOME")</f>
        <v>LED-GX53-VC 15Вт 230В 3000К 1430Лм IN HOME</v>
      </c>
      <c r="C88" s="2">
        <f>IFERROR(__xludf.DUMMYFUNCTION("""COMPUTED_VALUE"""),0.051)</f>
        <v>0.051</v>
      </c>
      <c r="D88" s="2">
        <f>IFERROR(__xludf.DUMMYFUNCTION("""COMPUTED_VALUE"""),2.1E-4)</f>
        <v>0.00021</v>
      </c>
      <c r="E88" s="2">
        <f>IFERROR(__xludf.DUMMYFUNCTION("""COMPUTED_VALUE"""),53.4)</f>
        <v>53.4</v>
      </c>
      <c r="F88" s="2">
        <f>IFERROR(__xludf.DUMMYFUNCTION("""COMPUTED_VALUE"""),57.0)</f>
        <v>57</v>
      </c>
      <c r="G88" s="2">
        <f>IFERROR(__xludf.DUMMYFUNCTION("""COMPUTED_VALUE"""),64.0)</f>
        <v>64</v>
      </c>
      <c r="H88" s="2">
        <f>IFERROR(__xludf.DUMMYFUNCTION("""COMPUTED_VALUE"""),74.0)</f>
        <v>74</v>
      </c>
      <c r="I88" s="2">
        <f>IFERROR(__xludf.DUMMYFUNCTION("""COMPUTED_VALUE"""),85.55)</f>
        <v>85.55</v>
      </c>
      <c r="J88" s="2">
        <f>IFERROR(__xludf.DUMMYFUNCTION("""COMPUTED_VALUE"""),43.0)</f>
        <v>43</v>
      </c>
      <c r="K88" s="2">
        <f>IFERROR(__xludf.DUMMYFUNCTION("""COMPUTED_VALUE"""),9.0)</f>
        <v>9</v>
      </c>
      <c r="L88" s="2" t="str">
        <f>IFERROR(__xludf.DUMMYFUNCTION("""COMPUTED_VALUE"""),"Лампа светодиодная LED-GX53-standard")</f>
        <v>Лампа светодиодная LED-GX53-standard</v>
      </c>
      <c r="M88" s="2" t="str">
        <f>IFERROR(__xludf.DUMMYFUNCTION("""COMPUTED_VALUE"""),"Лампы")</f>
        <v>Лампы</v>
      </c>
    </row>
    <row r="89">
      <c r="A89" s="5" t="str">
        <f>IFERROR(__xludf.DUMMYFUNCTION("""COMPUTED_VALUE"""),"4690612030920")</f>
        <v>4690612030920</v>
      </c>
      <c r="B89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9" s="2">
        <f>IFERROR(__xludf.DUMMYFUNCTION("""COMPUTED_VALUE"""),0.108)</f>
        <v>0.108</v>
      </c>
      <c r="D89" s="2">
        <f>IFERROR(__xludf.DUMMYFUNCTION("""COMPUTED_VALUE"""),7.2E-4)</f>
        <v>0.00072</v>
      </c>
      <c r="E89" s="2">
        <f>IFERROR(__xludf.DUMMYFUNCTION("""COMPUTED_VALUE"""),76.49)</f>
        <v>76.49</v>
      </c>
      <c r="F89" s="2">
        <f>IFERROR(__xludf.DUMMYFUNCTION("""COMPUTED_VALUE"""),90.0)</f>
        <v>90</v>
      </c>
      <c r="G89" s="2">
        <f>IFERROR(__xludf.DUMMYFUNCTION("""COMPUTED_VALUE"""),101.0)</f>
        <v>101</v>
      </c>
      <c r="H89" s="2">
        <f>IFERROR(__xludf.DUMMYFUNCTION("""COMPUTED_VALUE"""),118.0)</f>
        <v>118</v>
      </c>
      <c r="I89" s="2">
        <f>IFERROR(__xludf.DUMMYFUNCTION("""COMPUTED_VALUE"""),135.8)</f>
        <v>135.8</v>
      </c>
      <c r="J89" s="2">
        <f>IFERROR(__xludf.DUMMYFUNCTION("""COMPUTED_VALUE"""),135.8)</f>
        <v>135.8</v>
      </c>
      <c r="K89" s="2">
        <f>IFERROR(__xludf.DUMMYFUNCTION("""COMPUTED_VALUE"""),15.0)</f>
        <v>15</v>
      </c>
      <c r="L89" s="2" t="str">
        <f>IFERROR(__xludf.DUMMYFUNCTION("""COMPUTED_VALUE"""),"Лампа светодиодная LED-T8")</f>
        <v>Лампа светодиодная LED-T8</v>
      </c>
      <c r="M89" s="2" t="str">
        <f>IFERROR(__xludf.DUMMYFUNCTION("""COMPUTED_VALUE"""),"Лампы")</f>
        <v>Лампы</v>
      </c>
    </row>
    <row r="90">
      <c r="A90" s="5" t="str">
        <f>IFERROR(__xludf.DUMMYFUNCTION("""COMPUTED_VALUE"""),"4690612034508")</f>
        <v>4690612034508</v>
      </c>
      <c r="B90" s="5" t="str">
        <f>IFERROR(__xludf.DUMMYFUNCTION("""COMPUTED_VALUE"""),"БС М1P с аккумулятором USB розовый IN HOME")</f>
        <v>БС М1P с аккумулятором USB розовый IN HOME</v>
      </c>
      <c r="C90" s="2">
        <f>IFERROR(__xludf.DUMMYFUNCTION("""COMPUTED_VALUE"""),0.08)</f>
        <v>0.08</v>
      </c>
      <c r="D90" s="2">
        <f>IFERROR(__xludf.DUMMYFUNCTION("""COMPUTED_VALUE"""),2.0E-4)</f>
        <v>0.0002</v>
      </c>
      <c r="E90" s="2">
        <f>IFERROR(__xludf.DUMMYFUNCTION("""COMPUTED_VALUE"""),1092.1)</f>
        <v>1092.1</v>
      </c>
      <c r="F90" s="2">
        <f>IFERROR(__xludf.DUMMYFUNCTION("""COMPUTED_VALUE"""),880.0)</f>
        <v>880</v>
      </c>
      <c r="G90" s="2">
        <f>IFERROR(__xludf.DUMMYFUNCTION("""COMPUTED_VALUE"""),990.0)</f>
        <v>990</v>
      </c>
      <c r="H90" s="2">
        <f>IFERROR(__xludf.DUMMYFUNCTION("""COMPUTED_VALUE"""),1148.0)</f>
        <v>1148</v>
      </c>
      <c r="I90" s="2">
        <f>IFERROR(__xludf.DUMMYFUNCTION("""COMPUTED_VALUE"""),1320.0)</f>
        <v>1320</v>
      </c>
      <c r="J90" s="2">
        <f>IFERROR(__xludf.DUMMYFUNCTION("""COMPUTED_VALUE"""),660.0)</f>
        <v>660</v>
      </c>
      <c r="K90" s="2">
        <f>IFERROR(__xludf.DUMMYFUNCTION("""COMPUTED_VALUE"""),6.0)</f>
        <v>6</v>
      </c>
      <c r="L9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9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1">
      <c r="A91" s="5" t="str">
        <f>IFERROR(__xludf.DUMMYFUNCTION("""COMPUTED_VALUE"""),"ms6168")</f>
        <v>ms6168</v>
      </c>
      <c r="B91" s="5" t="str">
        <f>IFERROR(__xludf.DUMMYFUNCTION("""COMPUTED_VALUE"""),"Светодиод L132-XID Красный")</f>
        <v>Светодиод L132-XID Красный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IFERROR(__xludf.DUMMYFUNCTION("""COMPUTED_VALUE"""),12.23)</f>
        <v>12.23</v>
      </c>
      <c r="F91" s="2">
        <f>IFERROR(__xludf.DUMMYFUNCTION("""COMPUTED_VALUE"""),15.0)</f>
        <v>15</v>
      </c>
      <c r="G91" s="2">
        <f>IFERROR(__xludf.DUMMYFUNCTION("""COMPUTED_VALUE"""),16.0)</f>
        <v>16</v>
      </c>
      <c r="H91" s="2">
        <f>IFERROR(__xludf.DUMMYFUNCTION("""COMPUTED_VALUE"""),18.0)</f>
        <v>18</v>
      </c>
      <c r="I91" s="2">
        <f>IFERROR(__xludf.DUMMYFUNCTION("""COMPUTED_VALUE"""),19.99)</f>
        <v>19.99</v>
      </c>
      <c r="J91" s="2">
        <f>IFERROR(__xludf.DUMMYFUNCTION("""COMPUTED_VALUE"""),10.0)</f>
        <v>10</v>
      </c>
      <c r="K91" s="2">
        <f>IFERROR(__xludf.DUMMYFUNCTION("""COMPUTED_VALUE"""),6.0)</f>
        <v>6</v>
      </c>
      <c r="L91" s="2" t="str">
        <f>IFERROR(__xludf.DUMMYFUNCTION("""COMPUTED_VALUE"""),"ms6 (тендер)")</f>
        <v>ms6 (тендер)</v>
      </c>
      <c r="M91" s="2" t="str">
        <f>IFERROR(__xludf.DUMMYFUNCTION("""COMPUTED_VALUE"""),"LED Светильники")</f>
        <v>LED Светильники</v>
      </c>
    </row>
    <row r="92">
      <c r="A92" s="5" t="str">
        <f>IFERROR(__xludf.DUMMYFUNCTION("""COMPUTED_VALUE"""),"4690612033471")</f>
        <v>4690612033471</v>
      </c>
      <c r="B92" s="5" t="str">
        <f>IFERROR(__xludf.DUMMYFUNCTION("""COMPUTED_VALUE"""),"DECO НОЧНОЕ НЕБО 18Вт 230В 4000К 1620Лм 260х55мм IN HOME")</f>
        <v>DECO НОЧНОЕ НЕБО 18Вт 230В 4000К 1620Лм 260х55мм IN HOME</v>
      </c>
      <c r="C92" s="2">
        <f>IFERROR(__xludf.DUMMYFUNCTION("""COMPUTED_VALUE"""),0.31)</f>
        <v>0.31</v>
      </c>
      <c r="D92" s="2">
        <f>IFERROR(__xludf.DUMMYFUNCTION("""COMPUTED_VALUE"""),0.004500000000000001)</f>
        <v>0.0045</v>
      </c>
      <c r="E92" s="2">
        <f>IFERROR(__xludf.DUMMYFUNCTION("""COMPUTED_VALUE"""),298.25)</f>
        <v>298.25</v>
      </c>
      <c r="F92" s="2">
        <f>IFERROR(__xludf.DUMMYFUNCTION("""COMPUTED_VALUE"""),356.0)</f>
        <v>356</v>
      </c>
      <c r="G92" s="2">
        <f>IFERROR(__xludf.DUMMYFUNCTION("""COMPUTED_VALUE"""),401.0)</f>
        <v>401</v>
      </c>
      <c r="H92" s="2">
        <f>IFERROR(__xludf.DUMMYFUNCTION("""COMPUTED_VALUE"""),465.0)</f>
        <v>465</v>
      </c>
      <c r="I92" s="2">
        <f>IFERROR(__xludf.DUMMYFUNCTION("""COMPUTED_VALUE"""),534.0)</f>
        <v>534</v>
      </c>
      <c r="J92" s="2">
        <f>IFERROR(__xludf.DUMMYFUNCTION("""COMPUTED_VALUE"""),267.0)</f>
        <v>267</v>
      </c>
      <c r="K92" s="2">
        <f>IFERROR(__xludf.DUMMYFUNCTION("""COMPUTED_VALUE"""),22.0)</f>
        <v>22</v>
      </c>
      <c r="L92" s="2" t="str">
        <f>IFERROR(__xludf.DUMMYFUNCTION("""COMPUTED_VALUE"""),"Светильник светодиодный серии DECO")</f>
        <v>Светильник светодиодный серии DECO</v>
      </c>
      <c r="M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3">
      <c r="A93" s="5" t="str">
        <f>IFERROR(__xludf.DUMMYFUNCTION("""COMPUTED_VALUE"""),"55085")</f>
        <v>55085</v>
      </c>
      <c r="B93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IFERROR(__xludf.DUMMYFUNCTION("""COMPUTED_VALUE"""),526.95)</f>
        <v>526.95</v>
      </c>
      <c r="F93" s="2">
        <f>IFERROR(__xludf.DUMMYFUNCTION("""COMPUTED_VALUE"""),585.0)</f>
        <v>585</v>
      </c>
      <c r="G93" s="2">
        <f>IFERROR(__xludf.DUMMYFUNCTION("""COMPUTED_VALUE"""),638.0)</f>
        <v>638</v>
      </c>
      <c r="H93" s="2">
        <f>IFERROR(__xludf.DUMMYFUNCTION("""COMPUTED_VALUE"""),691.0)</f>
        <v>691</v>
      </c>
      <c r="I93" s="2">
        <f>IFERROR(__xludf.DUMMYFUNCTION("""COMPUTED_VALUE"""),745.0)</f>
        <v>745</v>
      </c>
      <c r="J93" s="2">
        <f>IFERROR(__xludf.DUMMYFUNCTION("""COMPUTED_VALUE"""),373.0)</f>
        <v>373</v>
      </c>
      <c r="K93" s="2">
        <f>IFERROR(__xludf.DUMMYFUNCTION("""COMPUTED_VALUE"""),33.0)</f>
        <v>33</v>
      </c>
      <c r="L93" s="2" t="str">
        <f>IFERROR(__xludf.DUMMYFUNCTION("""COMPUTED_VALUE"""),"Праздничная иллюминация")</f>
        <v>Праздничная иллюминация</v>
      </c>
      <c r="M9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4">
      <c r="A94" s="5" t="str">
        <f>IFERROR(__xludf.DUMMYFUNCTION("""COMPUTED_VALUE"""),"4690612029535")</f>
        <v>4690612029535</v>
      </c>
      <c r="B94" s="5" t="str">
        <f>IFERROR(__xludf.DUMMYFUNCTION("""COMPUTED_VALUE"""),"СБА 1098-90DC 90 LED 2.2Ah lithium battery DC IN HOME")</f>
        <v>СБА 1098-90DC 90 LED 2.2Ah lithium battery DC IN HOME</v>
      </c>
      <c r="C94" s="2">
        <f>IFERROR(__xludf.DUMMYFUNCTION("""COMPUTED_VALUE"""),0.39)</f>
        <v>0.39</v>
      </c>
      <c r="D94" s="2">
        <f>IFERROR(__xludf.DUMMYFUNCTION("""COMPUTED_VALUE"""),0.00135)</f>
        <v>0.00135</v>
      </c>
      <c r="E94" s="2">
        <f>IFERROR(__xludf.DUMMYFUNCTION("""COMPUTED_VALUE"""),642.6)</f>
        <v>642.6</v>
      </c>
      <c r="F94" s="2">
        <f>IFERROR(__xludf.DUMMYFUNCTION("""COMPUTED_VALUE"""),829.0)</f>
        <v>829</v>
      </c>
      <c r="G94" s="2">
        <f>IFERROR(__xludf.DUMMYFUNCTION("""COMPUTED_VALUE"""),933.0)</f>
        <v>933</v>
      </c>
      <c r="H94" s="2">
        <f>IFERROR(__xludf.DUMMYFUNCTION("""COMPUTED_VALUE"""),1082.0)</f>
        <v>1082</v>
      </c>
      <c r="I94" s="2">
        <f>IFERROR(__xludf.DUMMYFUNCTION("""COMPUTED_VALUE"""),1244.0)</f>
        <v>1244</v>
      </c>
      <c r="J94" s="2">
        <f>IFERROR(__xludf.DUMMYFUNCTION("""COMPUTED_VALUE"""),622.0)</f>
        <v>622</v>
      </c>
      <c r="K94" s="2">
        <f>IFERROR(__xludf.DUMMYFUNCTION("""COMPUTED_VALUE"""),8.0)</f>
        <v>8</v>
      </c>
      <c r="L94" s="2" t="str">
        <f>IFERROR(__xludf.DUMMYFUNCTION("""COMPUTED_VALUE"""),"Светильники аварийные ВЫХОД, СБА")</f>
        <v>Светильники аварийные ВЫХОД, СБА</v>
      </c>
      <c r="M94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5">
      <c r="A95" s="5" t="str">
        <f>IFERROR(__xludf.DUMMYFUNCTION("""COMPUTED_VALUE"""),"013176")</f>
        <v>013176</v>
      </c>
      <c r="B95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IFERROR(__xludf.DUMMYFUNCTION("""COMPUTED_VALUE"""),6799.09)</f>
        <v>6799.09</v>
      </c>
      <c r="F95" s="2">
        <f>IFERROR(__xludf.DUMMYFUNCTION("""COMPUTED_VALUE"""),6630.0)</f>
        <v>6630</v>
      </c>
      <c r="G95" s="2">
        <f>IFERROR(__xludf.DUMMYFUNCTION("""COMPUTED_VALUE"""),7072.0)</f>
        <v>7072</v>
      </c>
      <c r="H95" s="2">
        <f>IFERROR(__xludf.DUMMYFUNCTION("""COMPUTED_VALUE"""),7956.0)</f>
        <v>7956</v>
      </c>
      <c r="I95" s="2">
        <f>IFERROR(__xludf.DUMMYFUNCTION("""COMPUTED_VALUE"""),8839.5)</f>
        <v>8839.5</v>
      </c>
      <c r="J95" s="2">
        <f>IFERROR(__xludf.DUMMYFUNCTION("""COMPUTED_VALUE"""),4420.0)</f>
        <v>4420</v>
      </c>
      <c r="K95" s="2">
        <f>IFERROR(__xludf.DUMMYFUNCTION("""COMPUTED_VALUE"""),1.0)</f>
        <v>1</v>
      </c>
      <c r="L95" s="2" t="str">
        <f>IFERROR(__xludf.DUMMYFUNCTION("""COMPUTED_VALUE"""),"FALDI")</f>
        <v>FALDI</v>
      </c>
      <c r="M95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6">
      <c r="A96" s="5" t="str">
        <f>IFERROR(__xludf.DUMMYFUNCTION("""COMPUTED_VALUE"""),"4690612002521")</f>
        <v>4690612002521</v>
      </c>
      <c r="B96" s="5" t="str">
        <f>IFERROR(__xludf.DUMMYFUNCTION("""COMPUTED_VALUE"""),"СПБ-2 5Вт 230В 4000К 400лм 155мм белый LLT")</f>
        <v>СПБ-2 5Вт 230В 4000К 400лм 155мм белый LLT</v>
      </c>
      <c r="C96" s="2">
        <f>IFERROR(__xludf.DUMMYFUNCTION("""COMPUTED_VALUE"""),0.22)</f>
        <v>0.22</v>
      </c>
      <c r="D96" s="2">
        <f>IFERROR(__xludf.DUMMYFUNCTION("""COMPUTED_VALUE"""),0.0013)</f>
        <v>0.0013</v>
      </c>
      <c r="E96" s="2">
        <f>IFERROR(__xludf.DUMMYFUNCTION("""COMPUTED_VALUE"""),184.1)</f>
        <v>184.1</v>
      </c>
      <c r="F96" s="2">
        <f>IFERROR(__xludf.DUMMYFUNCTION("""COMPUTED_VALUE"""),153.0)</f>
        <v>153</v>
      </c>
      <c r="G96" s="2">
        <f>IFERROR(__xludf.DUMMYFUNCTION("""COMPUTED_VALUE"""),172.0)</f>
        <v>172</v>
      </c>
      <c r="H96" s="2">
        <f>IFERROR(__xludf.DUMMYFUNCTION("""COMPUTED_VALUE"""),199.0)</f>
        <v>199</v>
      </c>
      <c r="I96" s="2">
        <f>IFERROR(__xludf.DUMMYFUNCTION("""COMPUTED_VALUE"""),229.0)</f>
        <v>229</v>
      </c>
      <c r="J96" s="2">
        <f>IFERROR(__xludf.DUMMYFUNCTION("""COMPUTED_VALUE"""),115.0)</f>
        <v>115</v>
      </c>
      <c r="K96" s="2">
        <f>IFERROR(__xludf.DUMMYFUNCTION("""COMPUTED_VALUE"""),5.0)</f>
        <v>5</v>
      </c>
      <c r="L96" s="2" t="str">
        <f>IFERROR(__xludf.DUMMYFUNCTION("""COMPUTED_VALUE"""),"Светильники светодиодные СПБ-2, СПБ-3")</f>
        <v>Светильники светодиодные СПБ-2, СПБ-3</v>
      </c>
      <c r="M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7">
      <c r="A97" s="5" t="str">
        <f>IFERROR(__xludf.DUMMYFUNCTION("""COMPUTED_VALUE"""),"71-0666")</f>
        <v>71-0666</v>
      </c>
      <c r="B97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7" s="2">
        <f>IFERROR(__xludf.DUMMYFUNCTION("""COMPUTED_VALUE"""),0.0)</f>
        <v>0</v>
      </c>
      <c r="D97" s="2">
        <f>IFERROR(__xludf.DUMMYFUNCTION("""COMPUTED_VALUE"""),0.0)</f>
        <v>0</v>
      </c>
      <c r="E97" s="2">
        <f>IFERROR(__xludf.DUMMYFUNCTION("""COMPUTED_VALUE"""),1.0)</f>
        <v>1</v>
      </c>
      <c r="F97" s="2">
        <f>IFERROR(__xludf.DUMMYFUNCTION("""COMPUTED_VALUE"""),3673.0)</f>
        <v>3673</v>
      </c>
      <c r="G97" s="2">
        <f>IFERROR(__xludf.DUMMYFUNCTION("""COMPUTED_VALUE"""),3918.0)</f>
        <v>3918</v>
      </c>
      <c r="H97" s="2">
        <f>IFERROR(__xludf.DUMMYFUNCTION("""COMPUTED_VALUE"""),4408.0)</f>
        <v>4408</v>
      </c>
      <c r="I97" s="2">
        <f>IFERROR(__xludf.DUMMYFUNCTION("""COMPUTED_VALUE"""),4897.51)</f>
        <v>4897.51</v>
      </c>
      <c r="J97" s="2">
        <f>IFERROR(__xludf.DUMMYFUNCTION("""COMPUTED_VALUE"""),2449.0)</f>
        <v>2449</v>
      </c>
      <c r="K97" s="2">
        <f>IFERROR(__xludf.DUMMYFUNCTION("""COMPUTED_VALUE"""),1.0)</f>
        <v>1</v>
      </c>
      <c r="L97" s="2" t="str">
        <f>IFERROR(__xludf.DUMMYFUNCTION("""COMPUTED_VALUE"""),"Rexant")</f>
        <v>Rexant</v>
      </c>
      <c r="M97" s="2" t="str">
        <f>IFERROR(__xludf.DUMMYFUNCTION("""COMPUTED_VALUE"""),"Прочие товары")</f>
        <v>Прочие товары</v>
      </c>
    </row>
    <row r="98">
      <c r="A98" s="5" t="str">
        <f>IFERROR(__xludf.DUMMYFUNCTION("""COMPUTED_VALUE"""),"4690612029634")</f>
        <v>4690612029634</v>
      </c>
      <c r="B98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8" s="2">
        <f>IFERROR(__xludf.DUMMYFUNCTION("""COMPUTED_VALUE"""),4.4)</f>
        <v>4.4</v>
      </c>
      <c r="D98" s="2">
        <f>IFERROR(__xludf.DUMMYFUNCTION("""COMPUTED_VALUE"""),0.033)</f>
        <v>0.033</v>
      </c>
      <c r="E98" s="2">
        <f>IFERROR(__xludf.DUMMYFUNCTION("""COMPUTED_VALUE"""),530.91)</f>
        <v>530.91</v>
      </c>
      <c r="F98" s="2">
        <f>IFERROR(__xludf.DUMMYFUNCTION("""COMPUTED_VALUE"""),550.0)</f>
        <v>550</v>
      </c>
      <c r="G98" s="2">
        <f>IFERROR(__xludf.DUMMYFUNCTION("""COMPUTED_VALUE"""),619.0)</f>
        <v>619</v>
      </c>
      <c r="H98" s="2">
        <f>IFERROR(__xludf.DUMMYFUNCTION("""COMPUTED_VALUE"""),718.0)</f>
        <v>718</v>
      </c>
      <c r="I98" s="2">
        <f>IFERROR(__xludf.DUMMYFUNCTION("""COMPUTED_VALUE"""),825.0)</f>
        <v>825</v>
      </c>
      <c r="J98" s="2">
        <f>IFERROR(__xludf.DUMMYFUNCTION("""COMPUTED_VALUE"""),413.0)</f>
        <v>413</v>
      </c>
      <c r="K98" s="2">
        <f>IFERROR(__xludf.DUMMYFUNCTION("""COMPUTED_VALUE"""),10.0)</f>
        <v>10</v>
      </c>
      <c r="L98" s="2" t="str">
        <f>IFERROR(__xludf.DUMMYFUNCTION("""COMPUTED_VALUE"""),"Панели светодиодные LP серии ПРИЗМА")</f>
        <v>Панели светодиодные LP серии ПРИЗМА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IFERROR(__xludf.DUMMYFUNCTION("""COMPUTED_VALUE"""),"4690612020310")</f>
        <v>4690612020310</v>
      </c>
      <c r="B99" s="5" t="str">
        <f>IFERROR(__xludf.DUMMYFUNCTION("""COMPUTED_VALUE"""),"LED-A60-VC 20Вт 230В Е27 6500К 1900Лм IN HOME")</f>
        <v>LED-A60-VC 20Вт 230В Е27 6500К 1900Лм IN HOME</v>
      </c>
      <c r="C99" s="2">
        <f>IFERROR(__xludf.DUMMYFUNCTION("""COMPUTED_VALUE"""),0.05500000000000001)</f>
        <v>0.055</v>
      </c>
      <c r="D99" s="2">
        <f>IFERROR(__xludf.DUMMYFUNCTION("""COMPUTED_VALUE"""),4.0E-4)</f>
        <v>0.0004</v>
      </c>
      <c r="E99" s="2">
        <f>IFERROR(__xludf.DUMMYFUNCTION("""COMPUTED_VALUE"""),46.2)</f>
        <v>46.2</v>
      </c>
      <c r="F99" s="2">
        <f>IFERROR(__xludf.DUMMYFUNCTION("""COMPUTED_VALUE"""),60.0)</f>
        <v>60</v>
      </c>
      <c r="G99" s="2">
        <f>IFERROR(__xludf.DUMMYFUNCTION("""COMPUTED_VALUE"""),68.0)</f>
        <v>68</v>
      </c>
      <c r="H99" s="2">
        <f>IFERROR(__xludf.DUMMYFUNCTION("""COMPUTED_VALUE"""),78.0)</f>
        <v>78</v>
      </c>
      <c r="I99" s="2">
        <f>IFERROR(__xludf.DUMMYFUNCTION("""COMPUTED_VALUE"""),90.5)</f>
        <v>90.5</v>
      </c>
      <c r="J99" s="2">
        <f>IFERROR(__xludf.DUMMYFUNCTION("""COMPUTED_VALUE"""),45.0)</f>
        <v>45</v>
      </c>
      <c r="K99" s="2">
        <f>IFERROR(__xludf.DUMMYFUNCTION("""COMPUTED_VALUE"""),3.0)</f>
        <v>3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IFERROR(__xludf.DUMMYFUNCTION("""COMPUTED_VALUE"""),"V9049")</f>
        <v>V9049</v>
      </c>
      <c r="B100" s="5" t="str">
        <f>IFERROR(__xludf.DUMMYFUNCTION("""COMPUTED_VALUE"""),"VRN-UNE-124D-G40K67-UV, 124Вт, Галочка")</f>
        <v>VRN-UNE-124D-G40K67-UV, 124Вт, Галочка</v>
      </c>
      <c r="C100" s="2">
        <f>IFERROR(__xludf.DUMMYFUNCTION("""COMPUTED_VALUE"""),3.0)</f>
        <v>3</v>
      </c>
      <c r="D100" s="2">
        <f>IFERROR(__xludf.DUMMYFUNCTION("""COMPUTED_VALUE"""),0.015)</f>
        <v>0.015</v>
      </c>
      <c r="E100" s="2">
        <f>IFERROR(__xludf.DUMMYFUNCTION("""COMPUTED_VALUE"""),4457.6)</f>
        <v>4457.6</v>
      </c>
      <c r="F100" s="2">
        <f>IFERROR(__xludf.DUMMYFUNCTION("""COMPUTED_VALUE"""),5205.0)</f>
        <v>5205</v>
      </c>
      <c r="G100" s="2">
        <f>IFERROR(__xludf.DUMMYFUNCTION("""COMPUTED_VALUE"""),6767.0)</f>
        <v>6767</v>
      </c>
      <c r="H100" s="2">
        <f>IFERROR(__xludf.DUMMYFUNCTION("""COMPUTED_VALUE"""),7105.0)</f>
        <v>7105</v>
      </c>
      <c r="I100" s="2">
        <f>IFERROR(__xludf.DUMMYFUNCTION("""COMPUTED_VALUE"""),7443.0)</f>
        <v>7443</v>
      </c>
      <c r="J100" s="2">
        <f>IFERROR(__xludf.DUMMYFUNCTION("""COMPUTED_VALUE"""),7105.0)</f>
        <v>7105</v>
      </c>
      <c r="K100" s="2">
        <f>IFERROR(__xludf.DUMMYFUNCTION("""COMPUTED_VALUE"""),43.0)</f>
        <v>43</v>
      </c>
      <c r="L100" s="2" t="str">
        <f>IFERROR(__xludf.DUMMYFUNCTION("""COMPUTED_VALUE"""),"Универсал Эконом")</f>
        <v>Универсал Эконом</v>
      </c>
      <c r="M1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1">
      <c r="A101" s="5" t="str">
        <f>IFERROR(__xludf.DUMMYFUNCTION("""COMPUTED_VALUE"""),"4690612024066")</f>
        <v>4690612024066</v>
      </c>
      <c r="B101" s="5" t="str">
        <f>IFERROR(__xludf.DUMMYFUNCTION("""COMPUTED_VALUE"""),"LED-A65-VC 25Вт 230В Е27 3000К 2380Лм IN HOME")</f>
        <v>LED-A65-VC 25Вт 230В Е27 3000К 2380Лм IN HOME</v>
      </c>
      <c r="C101" s="2">
        <f>IFERROR(__xludf.DUMMYFUNCTION("""COMPUTED_VALUE"""),0.08)</f>
        <v>0.08</v>
      </c>
      <c r="D101" s="2">
        <f>IFERROR(__xludf.DUMMYFUNCTION("""COMPUTED_VALUE"""),6.000000000000001E-4)</f>
        <v>0.0006</v>
      </c>
      <c r="E101" s="2">
        <f>IFERROR(__xludf.DUMMYFUNCTION("""COMPUTED_VALUE"""),66.26)</f>
        <v>66.26</v>
      </c>
      <c r="F101" s="2">
        <f>IFERROR(__xludf.DUMMYFUNCTION("""COMPUTED_VALUE"""),71.0)</f>
        <v>71</v>
      </c>
      <c r="G101" s="2">
        <f>IFERROR(__xludf.DUMMYFUNCTION("""COMPUTED_VALUE"""),80.0)</f>
        <v>80</v>
      </c>
      <c r="H101" s="2">
        <f>IFERROR(__xludf.DUMMYFUNCTION("""COMPUTED_VALUE"""),92.0)</f>
        <v>92</v>
      </c>
      <c r="I101" s="2">
        <f>IFERROR(__xludf.DUMMYFUNCTION("""COMPUTED_VALUE"""),106.5)</f>
        <v>106.5</v>
      </c>
      <c r="J101" s="2">
        <f>IFERROR(__xludf.DUMMYFUNCTION("""COMPUTED_VALUE"""),53.0)</f>
        <v>53</v>
      </c>
      <c r="K101" s="2">
        <f>IFERROR(__xludf.DUMMYFUNCTION("""COMPUTED_VALUE"""),2.0)</f>
        <v>2</v>
      </c>
      <c r="L101" s="2" t="str">
        <f>IFERROR(__xludf.DUMMYFUNCTION("""COMPUTED_VALUE"""),"Лампа светодиодная LED-A60-standard")</f>
        <v>Лампа светодиодная LED-A60-standard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IFERROR(__xludf.DUMMYFUNCTION("""COMPUTED_VALUE"""),"4690612033082")</f>
        <v>4690612033082</v>
      </c>
      <c r="B102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2" s="2">
        <f>IFERROR(__xludf.DUMMYFUNCTION("""COMPUTED_VALUE"""),0.55)</f>
        <v>0.55</v>
      </c>
      <c r="D102" s="2">
        <f>IFERROR(__xludf.DUMMYFUNCTION("""COMPUTED_VALUE"""),0.003)</f>
        <v>0.003</v>
      </c>
      <c r="E102" s="2">
        <f>IFERROR(__xludf.DUMMYFUNCTION("""COMPUTED_VALUE"""),476.57)</f>
        <v>476.57</v>
      </c>
      <c r="F102" s="2">
        <f>IFERROR(__xludf.DUMMYFUNCTION("""COMPUTED_VALUE"""),409.0)</f>
        <v>409</v>
      </c>
      <c r="G102" s="2">
        <f>IFERROR(__xludf.DUMMYFUNCTION("""COMPUTED_VALUE"""),461.0)</f>
        <v>461</v>
      </c>
      <c r="H102" s="2">
        <f>IFERROR(__xludf.DUMMYFUNCTION("""COMPUTED_VALUE"""),534.0)</f>
        <v>534</v>
      </c>
      <c r="I102" s="2">
        <f>IFERROR(__xludf.DUMMYFUNCTION("""COMPUTED_VALUE"""),614.0)</f>
        <v>614</v>
      </c>
      <c r="J102" s="2">
        <f>IFERROR(__xludf.DUMMYFUNCTION("""COMPUTED_VALUE"""),409.0)</f>
        <v>409</v>
      </c>
      <c r="K102" s="2">
        <f>IFERROR(__xludf.DUMMYFUNCTION("""COMPUTED_VALUE"""),2.0)</f>
        <v>2</v>
      </c>
      <c r="L10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2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3">
      <c r="A103" s="5" t="str">
        <f>IFERROR(__xludf.DUMMYFUNCTION("""COMPUTED_VALUE"""),"4690612025131")</f>
        <v>4690612025131</v>
      </c>
      <c r="B103" s="5" t="str">
        <f>IFERROR(__xludf.DUMMYFUNCTION("""COMPUTED_VALUE"""),"DECO 24Вт 230В 6500К 1560Лм 300х55мм СОЗВЕЗДИЕ IN HOME")</f>
        <v>DECO 24Вт 230В 6500К 1560Лм 300х55мм СОЗВЕЗДИЕ IN HOME</v>
      </c>
      <c r="C103" s="2">
        <f>IFERROR(__xludf.DUMMYFUNCTION("""COMPUTED_VALUE"""),0.43333)</f>
        <v>0.43333</v>
      </c>
      <c r="D103" s="2">
        <f>IFERROR(__xludf.DUMMYFUNCTION("""COMPUTED_VALUE"""),0.006670000000000001)</f>
        <v>0.00667</v>
      </c>
      <c r="E103" s="2">
        <f>IFERROR(__xludf.DUMMYFUNCTION("""COMPUTED_VALUE"""),379.42)</f>
        <v>379.42</v>
      </c>
      <c r="F103" s="2">
        <f>IFERROR(__xludf.DUMMYFUNCTION("""COMPUTED_VALUE"""),473.0)</f>
        <v>473</v>
      </c>
      <c r="G103" s="2">
        <f>IFERROR(__xludf.DUMMYFUNCTION("""COMPUTED_VALUE"""),533.0)</f>
        <v>533</v>
      </c>
      <c r="H103" s="2">
        <f>IFERROR(__xludf.DUMMYFUNCTION("""COMPUTED_VALUE"""),618.0)</f>
        <v>618</v>
      </c>
      <c r="I103" s="2">
        <f>IFERROR(__xludf.DUMMYFUNCTION("""COMPUTED_VALUE"""),710.0)</f>
        <v>710</v>
      </c>
      <c r="J103" s="2">
        <f>IFERROR(__xludf.DUMMYFUNCTION("""COMPUTED_VALUE"""),618.0)</f>
        <v>618</v>
      </c>
      <c r="K103" s="2">
        <f>IFERROR(__xludf.DUMMYFUNCTION("""COMPUTED_VALUE"""),31.0)</f>
        <v>31</v>
      </c>
      <c r="L103" s="2" t="str">
        <f>IFERROR(__xludf.DUMMYFUNCTION("""COMPUTED_VALUE"""),"Светильник светодиодный серии DECO")</f>
        <v>Светильник светодиодный серии DECO</v>
      </c>
      <c r="M1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4">
      <c r="A104" s="5" t="str">
        <f>IFERROR(__xludf.DUMMYFUNCTION("""COMPUTED_VALUE"""),"GL8151")</f>
        <v>GL8151</v>
      </c>
      <c r="B104" s="5" t="str">
        <f>IFERROR(__xludf.DUMMYFUNCTION("""COMPUTED_VALUE"""),"GLERIO Office Special 48 Вт 4000К 82P-48D-4V-P")</f>
        <v>GLERIO Office Special 48 Вт 4000К 82P-48D-4V-P</v>
      </c>
      <c r="C104" s="2">
        <f>IFERROR(__xludf.DUMMYFUNCTION("""COMPUTED_VALUE"""),1.14)</f>
        <v>1.14</v>
      </c>
      <c r="D104" s="2">
        <f>IFERROR(__xludf.DUMMYFUNCTION("""COMPUTED_VALUE"""),0.008190000000000001)</f>
        <v>0.00819</v>
      </c>
      <c r="E104" s="2">
        <f>IFERROR(__xludf.DUMMYFUNCTION("""COMPUTED_VALUE"""),2095.2)</f>
        <v>2095.2</v>
      </c>
      <c r="F104" s="2">
        <f>IFERROR(__xludf.DUMMYFUNCTION("""COMPUTED_VALUE"""),2660.0)</f>
        <v>2660</v>
      </c>
      <c r="G104" s="2">
        <f>IFERROR(__xludf.DUMMYFUNCTION("""COMPUTED_VALUE"""),3349.0)</f>
        <v>3349</v>
      </c>
      <c r="H104" s="2">
        <f>IFERROR(__xludf.DUMMYFUNCTION("""COMPUTED_VALUE"""),3761.0)</f>
        <v>3761</v>
      </c>
      <c r="I104" s="2">
        <f>IFERROR(__xludf.DUMMYFUNCTION("""COMPUTED_VALUE"""),4173.0)</f>
        <v>4173</v>
      </c>
      <c r="J104" s="2">
        <f>IFERROR(__xludf.DUMMYFUNCTION("""COMPUTED_VALUE"""),2087.0)</f>
        <v>2087</v>
      </c>
      <c r="K104" s="2">
        <f>IFERROR(__xludf.DUMMYFUNCTION("""COMPUTED_VALUE"""),1.0)</f>
        <v>1</v>
      </c>
      <c r="L104" s="2" t="str">
        <f>IFERROR(__xludf.DUMMYFUNCTION("""COMPUTED_VALUE"""),"Office Special (Офис Премиум) до 10.2025")</f>
        <v>Office Special (Офис Премиум) до 10.2025</v>
      </c>
      <c r="M1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5">
      <c r="A105" s="5" t="str">
        <f>IFERROR(__xludf.DUMMYFUNCTION("""COMPUTED_VALUE"""),"4690612034690")</f>
        <v>4690612034690</v>
      </c>
      <c r="B105" s="5" t="str">
        <f>IFERROR(__xludf.DUMMYFUNCTION("""COMPUTED_VALUE"""),"СДО-7 30Вт 230В 6500К IP65 белый IN HOME")</f>
        <v>СДО-7 30Вт 230В 6500К IP65 белый IN HOME</v>
      </c>
      <c r="C105" s="2">
        <f>IFERROR(__xludf.DUMMYFUNCTION("""COMPUTED_VALUE"""),0.25)</f>
        <v>0.25</v>
      </c>
      <c r="D105" s="2">
        <f>IFERROR(__xludf.DUMMYFUNCTION("""COMPUTED_VALUE"""),6.8E-4)</f>
        <v>0.00068</v>
      </c>
      <c r="E105" s="2">
        <f>IFERROR(__xludf.DUMMYFUNCTION("""COMPUTED_VALUE"""),282.74)</f>
        <v>282.74</v>
      </c>
      <c r="F105" s="2">
        <f>IFERROR(__xludf.DUMMYFUNCTION("""COMPUTED_VALUE"""),196.0)</f>
        <v>196</v>
      </c>
      <c r="G105" s="2">
        <f>IFERROR(__xludf.DUMMYFUNCTION("""COMPUTED_VALUE"""),220.0)</f>
        <v>220</v>
      </c>
      <c r="H105" s="2">
        <f>IFERROR(__xludf.DUMMYFUNCTION("""COMPUTED_VALUE"""),256.0)</f>
        <v>256</v>
      </c>
      <c r="I105" s="2">
        <f>IFERROR(__xludf.DUMMYFUNCTION("""COMPUTED_VALUE"""),294.0)</f>
        <v>294</v>
      </c>
      <c r="J105" s="2">
        <f>IFERROR(__xludf.DUMMYFUNCTION("""COMPUTED_VALUE"""),147.0)</f>
        <v>147</v>
      </c>
      <c r="K105" s="2">
        <f>IFERROR(__xludf.DUMMYFUNCTION("""COMPUTED_VALUE"""),1.0)</f>
        <v>1</v>
      </c>
      <c r="L105" s="2" t="str">
        <f>IFERROR(__xludf.DUMMYFUNCTION("""COMPUTED_VALUE"""),"Прожекторы светодиодные СДО-07")</f>
        <v>Прожекторы светодиодные СДО-07</v>
      </c>
      <c r="M10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6">
      <c r="A106" s="5" t="str">
        <f>IFERROR(__xludf.DUMMYFUNCTION("""COMPUTED_VALUE"""),"4690612023380")</f>
        <v>4690612023380</v>
      </c>
      <c r="B106" s="5" t="str">
        <f>IFERROR(__xludf.DUMMYFUNCTION("""COMPUTED_VALUE"""),"LED-JCDRC-VC 6Вт 230В GU10 3000К 530Лм IN HOME")</f>
        <v>LED-JCDRC-VC 6Вт 230В GU10 3000К 530Лм IN HOME</v>
      </c>
      <c r="C106" s="2">
        <f>IFERROR(__xludf.DUMMYFUNCTION("""COMPUTED_VALUE"""),0.035)</f>
        <v>0.035</v>
      </c>
      <c r="D106" s="2">
        <f>IFERROR(__xludf.DUMMYFUNCTION("""COMPUTED_VALUE"""),2.1E-4)</f>
        <v>0.00021</v>
      </c>
      <c r="E106" s="2">
        <f>IFERROR(__xludf.DUMMYFUNCTION("""COMPUTED_VALUE"""),32.56)</f>
        <v>32.56</v>
      </c>
      <c r="F106" s="2">
        <f>IFERROR(__xludf.DUMMYFUNCTION("""COMPUTED_VALUE"""),35.0)</f>
        <v>35</v>
      </c>
      <c r="G106" s="2">
        <f>IFERROR(__xludf.DUMMYFUNCTION("""COMPUTED_VALUE"""),40.0)</f>
        <v>40</v>
      </c>
      <c r="H106" s="2">
        <f>IFERROR(__xludf.DUMMYFUNCTION("""COMPUTED_VALUE"""),46.0)</f>
        <v>46</v>
      </c>
      <c r="I106" s="2">
        <f>IFERROR(__xludf.DUMMYFUNCTION("""COMPUTED_VALUE"""),53.5)</f>
        <v>53.5</v>
      </c>
      <c r="J106" s="2">
        <f>IFERROR(__xludf.DUMMYFUNCTION("""COMPUTED_VALUE"""),27.0)</f>
        <v>27</v>
      </c>
      <c r="K106" s="2">
        <f>IFERROR(__xludf.DUMMYFUNCTION("""COMPUTED_VALUE"""),39.0)</f>
        <v>39</v>
      </c>
      <c r="L106" s="2" t="str">
        <f>IFERROR(__xludf.DUMMYFUNCTION("""COMPUTED_VALUE"""),"Лампа светодиодная LED-JCDR-standard")</f>
        <v>Лампа светодиодная LED-JCDR-standard</v>
      </c>
      <c r="M106" s="2" t="str">
        <f>IFERROR(__xludf.DUMMYFUNCTION("""COMPUTED_VALUE"""),"Лампы")</f>
        <v>Лампы</v>
      </c>
    </row>
    <row r="107">
      <c r="A107" s="5" t="str">
        <f>IFERROR(__xludf.DUMMYFUNCTION("""COMPUTED_VALUE"""),"4690612053936")</f>
        <v>4690612053936</v>
      </c>
      <c r="B107" s="5" t="str">
        <f>IFERROR(__xludf.DUMMYFUNCTION("""COMPUTED_VALUE"""),"ДБУ LINES-1530BL 15Вт 3000К IP54 черный IN HOME")</f>
        <v>ДБУ LINES-1530BL 15Вт 3000К IP54 черный IN HOME</v>
      </c>
      <c r="C107" s="2">
        <f>IFERROR(__xludf.DUMMYFUNCTION("""COMPUTED_VALUE"""),0.647)</f>
        <v>0.647</v>
      </c>
      <c r="D107" s="2">
        <f>IFERROR(__xludf.DUMMYFUNCTION("""COMPUTED_VALUE"""),0.00192)</f>
        <v>0.00192</v>
      </c>
      <c r="E107" s="2">
        <f>IFERROR(__xludf.DUMMYFUNCTION("""COMPUTED_VALUE"""),675.0)</f>
        <v>675</v>
      </c>
      <c r="F107" s="2">
        <f>IFERROR(__xludf.DUMMYFUNCTION("""COMPUTED_VALUE"""),689.0)</f>
        <v>689</v>
      </c>
      <c r="G107" s="2">
        <f>IFERROR(__xludf.DUMMYFUNCTION("""COMPUTED_VALUE"""),775.0)</f>
        <v>775</v>
      </c>
      <c r="H107" s="2">
        <f>IFERROR(__xludf.DUMMYFUNCTION("""COMPUTED_VALUE"""),899.0)</f>
        <v>899</v>
      </c>
      <c r="I107" s="2">
        <f>IFERROR(__xludf.DUMMYFUNCTION("""COMPUTED_VALUE"""),1033.0)</f>
        <v>1033</v>
      </c>
      <c r="J107" s="2">
        <f>IFERROR(__xludf.DUMMYFUNCTION("""COMPUTED_VALUE"""),517.0)</f>
        <v>517</v>
      </c>
      <c r="K107" s="2">
        <f>IFERROR(__xludf.DUMMYFUNCTION("""COMPUTED_VALUE"""),11.0)</f>
        <v>11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IFERROR(__xludf.DUMMYFUNCTION("""COMPUTED_VALUE"""),"R100059")</f>
        <v>R100059</v>
      </c>
      <c r="B108" s="5" t="str">
        <f>IFERROR(__xludf.DUMMYFUNCTION("""COMPUTED_VALUE"""),"RSV-SPO-03-40W-6500К, IP40 1200*65*25")</f>
        <v>RSV-SPO-03-40W-6500К, IP40 1200*65*25</v>
      </c>
      <c r="C108" s="2">
        <f>IFERROR(__xludf.DUMMYFUNCTION("""COMPUTED_VALUE"""),0.22333)</f>
        <v>0.22333</v>
      </c>
      <c r="D108" s="2">
        <f>IFERROR(__xludf.DUMMYFUNCTION("""COMPUTED_VALUE"""),0.0018)</f>
        <v>0.0018</v>
      </c>
      <c r="E108" s="2">
        <f>IFERROR(__xludf.DUMMYFUNCTION("""COMPUTED_VALUE"""),175.2)</f>
        <v>175.2</v>
      </c>
      <c r="F108" s="2">
        <f>IFERROR(__xludf.DUMMYFUNCTION("""COMPUTED_VALUE"""),198.0)</f>
        <v>198</v>
      </c>
      <c r="G108" s="2">
        <f>IFERROR(__xludf.DUMMYFUNCTION("""COMPUTED_VALUE"""),233.0)</f>
        <v>233</v>
      </c>
      <c r="H108" s="2">
        <f>IFERROR(__xludf.DUMMYFUNCTION("""COMPUTED_VALUE"""),240.0)</f>
        <v>240</v>
      </c>
      <c r="I108" s="2">
        <f>IFERROR(__xludf.DUMMYFUNCTION("""COMPUTED_VALUE"""),276.0)</f>
        <v>276</v>
      </c>
      <c r="J108" s="2">
        <f>IFERROR(__xludf.DUMMYFUNCTION("""COMPUTED_VALUE"""),138.0)</f>
        <v>138</v>
      </c>
      <c r="K108" s="2">
        <f>IFERROR(__xludf.DUMMYFUNCTION("""COMPUTED_VALUE"""),2.0)</f>
        <v>2</v>
      </c>
      <c r="L108" s="2" t="str">
        <f>IFERROR(__xludf.DUMMYFUNCTION("""COMPUTED_VALUE"""),"Офисный светильник RSV-SPO-02, SPO-03 (Сталь)")</f>
        <v>Офисный светильник RSV-SPO-02, SPO-03 (Сталь)</v>
      </c>
      <c r="M108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9">
      <c r="A109" s="5" t="str">
        <f>IFERROR(__xludf.DUMMYFUNCTION("""COMPUTED_VALUE"""),"4690626062757")</f>
        <v>4690626062757</v>
      </c>
      <c r="B109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IFERROR(__xludf.DUMMYFUNCTION("""COMPUTED_VALUE"""),440.15)</f>
        <v>440.15</v>
      </c>
      <c r="F109" s="2">
        <f>IFERROR(__xludf.DUMMYFUNCTION("""COMPUTED_VALUE"""),328.0)</f>
        <v>328</v>
      </c>
      <c r="G109" s="2">
        <f>IFERROR(__xludf.DUMMYFUNCTION("""COMPUTED_VALUE"""),360.0)</f>
        <v>360</v>
      </c>
      <c r="H109" s="2">
        <f>IFERROR(__xludf.DUMMYFUNCTION("""COMPUTED_VALUE"""),400.0)</f>
        <v>400</v>
      </c>
      <c r="I109" s="2">
        <f>IFERROR(__xludf.DUMMYFUNCTION("""COMPUTED_VALUE"""),440.0)</f>
        <v>440</v>
      </c>
      <c r="J109" s="2">
        <f>IFERROR(__xludf.DUMMYFUNCTION("""COMPUTED_VALUE"""),220.0)</f>
        <v>220</v>
      </c>
      <c r="K109" s="2">
        <f>IFERROR(__xludf.DUMMYFUNCTION("""COMPUTED_VALUE"""),4.0)</f>
        <v>4</v>
      </c>
      <c r="L109" s="2" t="str">
        <f>IFERROR(__xludf.DUMMYFUNCTION("""COMPUTED_VALUE"""),"Smartbuy фонари")</f>
        <v>Smartbuy фонари</v>
      </c>
      <c r="M109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10">
      <c r="A110" s="5" t="str">
        <f>IFERROR(__xludf.DUMMYFUNCTION("""COMPUTED_VALUE"""),"13-0049")</f>
        <v>13-0049</v>
      </c>
      <c r="B110" s="5" t="str">
        <f>IFERROR(__xludf.DUMMYFUNCTION("""COMPUTED_VALUE"""),"Профессиональный мультиметр UNI-T UT71E")</f>
        <v>Профессиональный мультиметр UNI-T UT71E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IFERROR(__xludf.DUMMYFUNCTION("""COMPUTED_VALUE"""),36150.0)</f>
        <v>36150</v>
      </c>
      <c r="G110" s="2">
        <f>IFERROR(__xludf.DUMMYFUNCTION("""COMPUTED_VALUE"""),38561.0)</f>
        <v>38561</v>
      </c>
      <c r="H110" s="2">
        <f>IFERROR(__xludf.DUMMYFUNCTION("""COMPUTED_VALUE"""),43381.0)</f>
        <v>43381</v>
      </c>
      <c r="I110" s="2">
        <f>IFERROR(__xludf.DUMMYFUNCTION("""COMPUTED_VALUE"""),48200.63)</f>
        <v>48200.63</v>
      </c>
      <c r="J110" s="2">
        <f>IFERROR(__xludf.DUMMYFUNCTION("""COMPUTED_VALUE"""),24100.0)</f>
        <v>24100</v>
      </c>
      <c r="K110" s="2">
        <f>IFERROR(__xludf.DUMMYFUNCTION("""COMPUTED_VALUE"""),3.0)</f>
        <v>3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IFERROR(__xludf.DUMMYFUNCTION("""COMPUTED_VALUE"""),"4690612051994")</f>
        <v>4690612051994</v>
      </c>
      <c r="B111" s="5" t="str">
        <f>IFERROR(__xludf.DUMMYFUNCTION("""COMPUTED_VALUE"""),"ДБУ ROLL-1630BL 16Вт 3000К IP54 черный IN HOME")</f>
        <v>ДБУ ROLL-1630BL 16Вт 3000К IP54 черный IN HOME</v>
      </c>
      <c r="C111" s="2">
        <f>IFERROR(__xludf.DUMMYFUNCTION("""COMPUTED_VALUE"""),0.453)</f>
        <v>0.453</v>
      </c>
      <c r="D111" s="2">
        <f>IFERROR(__xludf.DUMMYFUNCTION("""COMPUTED_VALUE"""),0.00233)</f>
        <v>0.00233</v>
      </c>
      <c r="E111" s="2">
        <f>IFERROR(__xludf.DUMMYFUNCTION("""COMPUTED_VALUE"""),715.8000000000001)</f>
        <v>715.8</v>
      </c>
      <c r="F111" s="2">
        <f>IFERROR(__xludf.DUMMYFUNCTION("""COMPUTED_VALUE"""),731.0)</f>
        <v>731</v>
      </c>
      <c r="G111" s="2">
        <f>IFERROR(__xludf.DUMMYFUNCTION("""COMPUTED_VALUE"""),823.0)</f>
        <v>823</v>
      </c>
      <c r="H111" s="2">
        <f>IFERROR(__xludf.DUMMYFUNCTION("""COMPUTED_VALUE"""),954.0)</f>
        <v>954</v>
      </c>
      <c r="I111" s="2">
        <f>IFERROR(__xludf.DUMMYFUNCTION("""COMPUTED_VALUE"""),1097.0)</f>
        <v>1097</v>
      </c>
      <c r="J111" s="2">
        <f>IFERROR(__xludf.DUMMYFUNCTION("""COMPUTED_VALUE"""),549.0)</f>
        <v>549</v>
      </c>
      <c r="K111" s="2">
        <f>IFERROR(__xludf.DUMMYFUNCTION("""COMPUTED_VALUE"""),10.0)</f>
        <v>10</v>
      </c>
      <c r="L111" s="2" t="str">
        <f>IFERROR(__xludf.DUMMYFUNCTION("""COMPUTED_VALUE"""),"Светильники светодиодные уличные ДБУ")</f>
        <v>Светильники светодиодные уличные ДБУ</v>
      </c>
      <c r="M11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2">
      <c r="A112" s="5" t="str">
        <f>IFERROR(__xludf.DUMMYFUNCTION("""COMPUTED_VALUE"""),"12-6051")</f>
        <v>12-6051</v>
      </c>
      <c r="B112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IFERROR(__xludf.DUMMYFUNCTION("""COMPUTED_VALUE"""),1.0)</f>
        <v>1</v>
      </c>
      <c r="F112" s="2">
        <f>IFERROR(__xludf.DUMMYFUNCTION("""COMPUTED_VALUE"""),498.0)</f>
        <v>498</v>
      </c>
      <c r="G112" s="2">
        <f>IFERROR(__xludf.DUMMYFUNCTION("""COMPUTED_VALUE"""),531.0)</f>
        <v>531</v>
      </c>
      <c r="H112" s="2">
        <f>IFERROR(__xludf.DUMMYFUNCTION("""COMPUTED_VALUE"""),597.0)</f>
        <v>597</v>
      </c>
      <c r="I112" s="2">
        <f>IFERROR(__xludf.DUMMYFUNCTION("""COMPUTED_VALUE"""),663.44)</f>
        <v>663.44</v>
      </c>
      <c r="J112" s="2">
        <f>IFERROR(__xludf.DUMMYFUNCTION("""COMPUTED_VALUE"""),332.0)</f>
        <v>332</v>
      </c>
      <c r="K112" s="2">
        <f>IFERROR(__xludf.DUMMYFUNCTION("""COMPUTED_VALUE"""),2.0)</f>
        <v>2</v>
      </c>
      <c r="L112" s="2" t="str">
        <f>IFERROR(__xludf.DUMMYFUNCTION("""COMPUTED_VALUE"""),"Rexant")</f>
        <v>Rexant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IFERROR(__xludf.DUMMYFUNCTION("""COMPUTED_VALUE"""),"4260652196346")</f>
        <v>4260652196346</v>
      </c>
      <c r="B113" s="5" t="str">
        <f>IFERROR(__xludf.DUMMYFUNCTION("""COMPUTED_VALUE"""),"WTL-15W/02W")</f>
        <v>WTL-15W/02W</v>
      </c>
      <c r="C113" s="2">
        <f>IFERROR(__xludf.DUMMYFUNCTION("""COMPUTED_VALUE"""),0.4950000000000001)</f>
        <v>0.495</v>
      </c>
      <c r="D113" s="2">
        <f>IFERROR(__xludf.DUMMYFUNCTION("""COMPUTED_VALUE"""),0.00193)</f>
        <v>0.00193</v>
      </c>
      <c r="E113" s="2">
        <f>IFERROR(__xludf.DUMMYFUNCTION("""COMPUTED_VALUE"""),875.0)</f>
        <v>875</v>
      </c>
      <c r="F113" s="2">
        <f>IFERROR(__xludf.DUMMYFUNCTION("""COMPUTED_VALUE"""),1446.0)</f>
        <v>1446</v>
      </c>
      <c r="G113" s="2">
        <f>IFERROR(__xludf.DUMMYFUNCTION("""COMPUTED_VALUE"""),1495.0)</f>
        <v>1495</v>
      </c>
      <c r="H113" s="2">
        <f>IFERROR(__xludf.DUMMYFUNCTION("""COMPUTED_VALUE"""),1960.0)</f>
        <v>1960</v>
      </c>
      <c r="I113" s="2">
        <f>IFERROR(__xludf.DUMMYFUNCTION("""COMPUTED_VALUE"""),2450.0)</f>
        <v>2450</v>
      </c>
      <c r="J113" s="2">
        <f>IFERROR(__xludf.DUMMYFUNCTION("""COMPUTED_VALUE"""),1225.0)</f>
        <v>1225</v>
      </c>
      <c r="K113" s="2">
        <f>IFERROR(__xludf.DUMMYFUNCTION("""COMPUTED_VALUE"""),7.0)</f>
        <v>7</v>
      </c>
      <c r="L113" s="2" t="str">
        <f>IFERROR(__xludf.DUMMYFUNCTION("""COMPUTED_VALUE"""),"Wolta трековые")</f>
        <v>Wolta трековые</v>
      </c>
      <c r="M113" s="2" t="str">
        <f>IFERROR(__xludf.DUMMYFUNCTION("""COMPUTED_VALUE"""),"Трековые, LED Светильники")</f>
        <v>Трековые, LED Светильники</v>
      </c>
    </row>
    <row r="114">
      <c r="A114" s="5" t="str">
        <f>IFERROR(__xludf.DUMMYFUNCTION("""COMPUTED_VALUE"""),"4690612034447")</f>
        <v>4690612034447</v>
      </c>
      <c r="B114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4" s="2">
        <f>IFERROR(__xludf.DUMMYFUNCTION("""COMPUTED_VALUE"""),1.7)</f>
        <v>1.7</v>
      </c>
      <c r="D114" s="2">
        <f>IFERROR(__xludf.DUMMYFUNCTION("""COMPUTED_VALUE"""),0.049)</f>
        <v>0.049</v>
      </c>
      <c r="E114" s="2">
        <f>IFERROR(__xludf.DUMMYFUNCTION("""COMPUTED_VALUE"""),2320.24)</f>
        <v>2320.24</v>
      </c>
      <c r="F114" s="2">
        <f>IFERROR(__xludf.DUMMYFUNCTION("""COMPUTED_VALUE"""),2360.0)</f>
        <v>2360</v>
      </c>
      <c r="G114" s="2">
        <f>IFERROR(__xludf.DUMMYFUNCTION("""COMPUTED_VALUE"""),2655.0)</f>
        <v>2655</v>
      </c>
      <c r="H114" s="2">
        <f>IFERROR(__xludf.DUMMYFUNCTION("""COMPUTED_VALUE"""),3080.0)</f>
        <v>3080</v>
      </c>
      <c r="I114" s="2">
        <f>IFERROR(__xludf.DUMMYFUNCTION("""COMPUTED_VALUE"""),3540.0)</f>
        <v>3540</v>
      </c>
      <c r="J114" s="2">
        <f>IFERROR(__xludf.DUMMYFUNCTION("""COMPUTED_VALUE"""),1770.0)</f>
        <v>1770</v>
      </c>
      <c r="K114" s="2">
        <f>IFERROR(__xludf.DUMMYFUNCTION("""COMPUTED_VALUE"""),5.0)</f>
        <v>5</v>
      </c>
      <c r="L114" s="2" t="str">
        <f>IFERROR(__xludf.DUMMYFUNCTION("""COMPUTED_VALUE"""),"Светильники светодиодные COMFORT")</f>
        <v>Светильники светодиодные COMFORT</v>
      </c>
      <c r="M114" s="2" t="str">
        <f>IFERROR(__xludf.DUMMYFUNCTION("""COMPUTED_VALUE"""),"Точечные круглые Downlight, LED Светильники")</f>
        <v>Точечные круглые Downlight, LED Светильники</v>
      </c>
    </row>
    <row r="115">
      <c r="A115" s="5" t="str">
        <f>IFERROR(__xludf.DUMMYFUNCTION("""COMPUTED_VALUE"""),"4690612020754")</f>
        <v>4690612020754</v>
      </c>
      <c r="B115" s="5" t="str">
        <f>IFERROR(__xludf.DUMMYFUNCTION("""COMPUTED_VALUE"""),"LED-GX53-VC 10Вт 230В 3000К 950Лм IN HOME")</f>
        <v>LED-GX53-VC 10Вт 230В 3000К 950Лм IN HOME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IFERROR(__xludf.DUMMYFUNCTION("""COMPUTED_VALUE"""),37.8)</f>
        <v>37.8</v>
      </c>
      <c r="F115" s="2">
        <f>IFERROR(__xludf.DUMMYFUNCTION("""COMPUTED_VALUE"""),45.0)</f>
        <v>45</v>
      </c>
      <c r="G115" s="2">
        <f>IFERROR(__xludf.DUMMYFUNCTION("""COMPUTED_VALUE"""),50.0)</f>
        <v>50</v>
      </c>
      <c r="H115" s="2">
        <f>IFERROR(__xludf.DUMMYFUNCTION("""COMPUTED_VALUE"""),58.0)</f>
        <v>58</v>
      </c>
      <c r="I115" s="2">
        <f>IFERROR(__xludf.DUMMYFUNCTION("""COMPUTED_VALUE"""),67.7)</f>
        <v>67.7</v>
      </c>
      <c r="J115" s="2">
        <f>IFERROR(__xludf.DUMMYFUNCTION("""COMPUTED_VALUE"""),34.0)</f>
        <v>34</v>
      </c>
      <c r="K115" s="2">
        <f>IFERROR(__xludf.DUMMYFUNCTION("""COMPUTED_VALUE"""),93.0)</f>
        <v>93</v>
      </c>
      <c r="L115" s="2" t="str">
        <f>IFERROR(__xludf.DUMMYFUNCTION("""COMPUTED_VALUE"""),"Лампа светодиодная LED-GX53-standard")</f>
        <v>Лампа светодиодная LED-GX53-standard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IFERROR(__xludf.DUMMYFUNCTION("""COMPUTED_VALUE"""),"4690612029870")</f>
        <v>4690612029870</v>
      </c>
      <c r="B116" s="5" t="str">
        <f>IFERROR(__xludf.DUMMYFUNCTION("""COMPUTED_VALUE"""),"LPU-01 40Вт ОПАЛ 230В 6500K 3600Лм 180x1195x30мм IP40 IN HOME")</f>
        <v>LPU-01 40Вт ОПАЛ 230В 6500K 3600Лм 180x1195x30мм IP40 IN HOME</v>
      </c>
      <c r="C116" s="2">
        <f>IFERROR(__xludf.DUMMYFUNCTION("""COMPUTED_VALUE"""),1.2)</f>
        <v>1.2</v>
      </c>
      <c r="D116" s="2">
        <f>IFERROR(__xludf.DUMMYFUNCTION("""COMPUTED_VALUE"""),0.008)</f>
        <v>0.008</v>
      </c>
      <c r="E116" s="2">
        <f>IFERROR(__xludf.DUMMYFUNCTION("""COMPUTED_VALUE"""),616.84)</f>
        <v>616.84</v>
      </c>
      <c r="F116" s="2">
        <f>IFERROR(__xludf.DUMMYFUNCTION("""COMPUTED_VALUE"""),617.0)</f>
        <v>617</v>
      </c>
      <c r="G116" s="2">
        <f>IFERROR(__xludf.DUMMYFUNCTION("""COMPUTED_VALUE"""),694.0)</f>
        <v>694</v>
      </c>
      <c r="H116" s="2">
        <f>IFERROR(__xludf.DUMMYFUNCTION("""COMPUTED_VALUE"""),805.0)</f>
        <v>805</v>
      </c>
      <c r="I116" s="2">
        <f>IFERROR(__xludf.DUMMYFUNCTION("""COMPUTED_VALUE"""),925.0)</f>
        <v>925</v>
      </c>
      <c r="J116" s="2">
        <f>IFERROR(__xludf.DUMMYFUNCTION("""COMPUTED_VALUE"""),463.0)</f>
        <v>463</v>
      </c>
      <c r="K116" s="2">
        <f>IFERROR(__xludf.DUMMYFUNCTION("""COMPUTED_VALUE"""),12.0)</f>
        <v>12</v>
      </c>
      <c r="L116" s="2" t="str">
        <f>IFERROR(__xludf.DUMMYFUNCTION("""COMPUTED_VALUE"""),"Панели светодиодные LP серии ОПАЛ")</f>
        <v>Панели светодиодные LP серии ОПАЛ</v>
      </c>
      <c r="M1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7">
      <c r="A117" s="5" t="str">
        <f>IFERROR(__xludf.DUMMYFUNCTION("""COMPUTED_VALUE"""),"4690612008653")</f>
        <v>4690612008653</v>
      </c>
      <c r="B117" s="5" t="str">
        <f>IFERROR(__xludf.DUMMYFUNCTION("""COMPUTED_VALUE"""),"AC-1 угловой белый LLT")</f>
        <v>AC-1 угловой белый LLT</v>
      </c>
      <c r="C117" s="2">
        <f>IFERROR(__xludf.DUMMYFUNCTION("""COMPUTED_VALUE"""),0.0264)</f>
        <v>0.0264</v>
      </c>
      <c r="D117" s="2">
        <f>IFERROR(__xludf.DUMMYFUNCTION("""COMPUTED_VALUE"""),7.000000000000001E-5)</f>
        <v>0.00007</v>
      </c>
      <c r="E117" s="2">
        <f>IFERROR(__xludf.DUMMYFUNCTION("""COMPUTED_VALUE"""),76.39)</f>
        <v>76.39</v>
      </c>
      <c r="F117" s="2">
        <f>IFERROR(__xludf.DUMMYFUNCTION("""COMPUTED_VALUE"""),67.0)</f>
        <v>67</v>
      </c>
      <c r="G117" s="2">
        <f>IFERROR(__xludf.DUMMYFUNCTION("""COMPUTED_VALUE"""),75.0)</f>
        <v>75</v>
      </c>
      <c r="H117" s="2">
        <f>IFERROR(__xludf.DUMMYFUNCTION("""COMPUTED_VALUE"""),87.0)</f>
        <v>87</v>
      </c>
      <c r="I117" s="2">
        <f>IFERROR(__xludf.DUMMYFUNCTION("""COMPUTED_VALUE"""),100.0)</f>
        <v>100</v>
      </c>
      <c r="J117" s="2">
        <f>IFERROR(__xludf.DUMMYFUNCTION("""COMPUTED_VALUE"""),50.0)</f>
        <v>50</v>
      </c>
      <c r="K117" s="2">
        <f>IFERROR(__xludf.DUMMYFUNCTION("""COMPUTED_VALUE"""),4.0)</f>
        <v>4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IFERROR(__xludf.DUMMYFUNCTION("""COMPUTED_VALUE"""),"4690612002026")</f>
        <v>4690612002026</v>
      </c>
      <c r="B118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8" s="2">
        <f>IFERROR(__xludf.DUMMYFUNCTION("""COMPUTED_VALUE"""),0.006)</f>
        <v>0.006</v>
      </c>
      <c r="D118" s="2">
        <f>IFERROR(__xludf.DUMMYFUNCTION("""COMPUTED_VALUE"""),0.0)</f>
        <v>0</v>
      </c>
      <c r="E118" s="2">
        <f>IFERROR(__xludf.DUMMYFUNCTION("""COMPUTED_VALUE"""),14.7)</f>
        <v>14.7</v>
      </c>
      <c r="F118" s="2">
        <f>IFERROR(__xludf.DUMMYFUNCTION("""COMPUTED_VALUE"""),15.0)</f>
        <v>15</v>
      </c>
      <c r="G118" s="2">
        <f>IFERROR(__xludf.DUMMYFUNCTION("""COMPUTED_VALUE"""),17.0)</f>
        <v>17</v>
      </c>
      <c r="H118" s="2">
        <f>IFERROR(__xludf.DUMMYFUNCTION("""COMPUTED_VALUE"""),19.0)</f>
        <v>19</v>
      </c>
      <c r="I118" s="2">
        <f>IFERROR(__xludf.DUMMYFUNCTION("""COMPUTED_VALUE"""),22.0)</f>
        <v>22</v>
      </c>
      <c r="J118" s="2">
        <f>IFERROR(__xludf.DUMMYFUNCTION("""COMPUTED_VALUE"""),11.0)</f>
        <v>11</v>
      </c>
      <c r="K118" s="2">
        <f>IFERROR(__xludf.DUMMYFUNCTION("""COMPUTED_VALUE"""),22.0)</f>
        <v>22</v>
      </c>
      <c r="L118" s="2" t="str">
        <f>IFERROR(__xludf.DUMMYFUNCTION("""COMPUTED_VALUE"""),"ASD Комплектующие")</f>
        <v>ASD Комплектующие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IFERROR(__xludf.DUMMYFUNCTION("""COMPUTED_VALUE"""),"ves2107")</f>
        <v>ves2107</v>
      </c>
      <c r="B119" s="5" t="str">
        <f>IFERROR(__xludf.DUMMYFUNCTION("""COMPUTED_VALUE"""),"Лампа светодиодная 18W G13 6500K")</f>
        <v>Лампа светодиодная 18W G13 6500K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IFERROR(__xludf.DUMMYFUNCTION("""COMPUTED_VALUE"""),95.64)</f>
        <v>95.64</v>
      </c>
      <c r="F119" s="2">
        <f>IFERROR(__xludf.DUMMYFUNCTION("""COMPUTED_VALUE"""),133.0)</f>
        <v>133</v>
      </c>
      <c r="G119" s="2">
        <f>IFERROR(__xludf.DUMMYFUNCTION("""COMPUTED_VALUE"""),142.0)</f>
        <v>142</v>
      </c>
      <c r="H119" s="2">
        <f>IFERROR(__xludf.DUMMYFUNCTION("""COMPUTED_VALUE"""),160.0)</f>
        <v>160</v>
      </c>
      <c r="I119" s="2">
        <f>IFERROR(__xludf.DUMMYFUNCTION("""COMPUTED_VALUE"""),177.46)</f>
        <v>177.46</v>
      </c>
      <c r="J119" s="2">
        <f>IFERROR(__xludf.DUMMYFUNCTION("""COMPUTED_VALUE"""),89.0)</f>
        <v>89</v>
      </c>
      <c r="K119" s="2">
        <f>IFERROR(__xludf.DUMMYFUNCTION("""COMPUTED_VALUE"""),30.0)</f>
        <v>30</v>
      </c>
      <c r="L119" s="2" t="str">
        <f>IFERROR(__xludf.DUMMYFUNCTION("""COMPUTED_VALUE"""),"ves2 (тендер)")</f>
        <v>ves2 (тендер)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IFERROR(__xludf.DUMMYFUNCTION("""COMPUTED_VALUE"""),"4690612015828")</f>
        <v>4690612015828</v>
      </c>
      <c r="B120" s="5" t="str">
        <f>IFERROR(__xludf.DUMMYFUNCTION("""COMPUTED_VALUE"""),"LED-JCDR-standard 10Вт 230В GU5.3 4000К 900Лм ASD")</f>
        <v>LED-JCDR-standard 10Вт 230В GU5.3 4000К 900Лм ASD</v>
      </c>
      <c r="C120" s="2">
        <f>IFERROR(__xludf.DUMMYFUNCTION("""COMPUTED_VALUE"""),0.03700000000000001)</f>
        <v>0.037</v>
      </c>
      <c r="D120" s="2">
        <f>IFERROR(__xludf.DUMMYFUNCTION("""COMPUTED_VALUE"""),2.1E-4)</f>
        <v>0.00021</v>
      </c>
      <c r="E120" s="2">
        <f>IFERROR(__xludf.DUMMYFUNCTION("""COMPUTED_VALUE"""),50.35)</f>
        <v>50.35</v>
      </c>
      <c r="F120" s="2">
        <f>IFERROR(__xludf.DUMMYFUNCTION("""COMPUTED_VALUE"""),35.0)</f>
        <v>35</v>
      </c>
      <c r="G120" s="2">
        <f>IFERROR(__xludf.DUMMYFUNCTION("""COMPUTED_VALUE"""),39.0)</f>
        <v>39</v>
      </c>
      <c r="H120" s="2">
        <f>IFERROR(__xludf.DUMMYFUNCTION("""COMPUTED_VALUE"""),45.0)</f>
        <v>45</v>
      </c>
      <c r="I120" s="2">
        <f>IFERROR(__xludf.DUMMYFUNCTION("""COMPUTED_VALUE"""),52.75)</f>
        <v>52.75</v>
      </c>
      <c r="J120" s="2">
        <f>IFERROR(__xludf.DUMMYFUNCTION("""COMPUTED_VALUE"""),26.0)</f>
        <v>26</v>
      </c>
      <c r="K120" s="2">
        <f>IFERROR(__xludf.DUMMYFUNCTION("""COMPUTED_VALUE"""),5.0)</f>
        <v>5</v>
      </c>
      <c r="L120" s="2" t="str">
        <f>IFERROR(__xludf.DUMMYFUNCTION("""COMPUTED_VALUE"""),"Лампа светодиодная LED-JCDR-standard")</f>
        <v>Лампа светодиодная LED-JCDR-standard</v>
      </c>
      <c r="M120" s="2" t="str">
        <f>IFERROR(__xludf.DUMMYFUNCTION("""COMPUTED_VALUE"""),"Лампы")</f>
        <v>Лампы</v>
      </c>
    </row>
    <row r="121">
      <c r="A121" s="5" t="str">
        <f>IFERROR(__xludf.DUMMYFUNCTION("""COMPUTED_VALUE"""),"R100022")</f>
        <v>R100022</v>
      </c>
      <c r="B121" s="5" t="str">
        <f>IFERROR(__xludf.DUMMYFUNCTION("""COMPUTED_VALUE"""),"RSV-SSP-36W-6500K-IP65")</f>
        <v>RSV-SSP-36W-6500K-IP65</v>
      </c>
      <c r="C121" s="2">
        <f>IFERROR(__xludf.DUMMYFUNCTION("""COMPUTED_VALUE"""),1.3)</f>
        <v>1.3</v>
      </c>
      <c r="D121" s="2">
        <f>IFERROR(__xludf.DUMMYFUNCTION("""COMPUTED_VALUE"""),0.008960000000000001)</f>
        <v>0.00896</v>
      </c>
      <c r="E121" s="2">
        <f>IFERROR(__xludf.DUMMYFUNCTION("""COMPUTED_VALUE"""),1038.79)</f>
        <v>1038.79</v>
      </c>
      <c r="F121" s="2">
        <f>IFERROR(__xludf.DUMMYFUNCTION("""COMPUTED_VALUE"""),1548.0)</f>
        <v>1548</v>
      </c>
      <c r="G121" s="2">
        <f>IFERROR(__xludf.DUMMYFUNCTION("""COMPUTED_VALUE"""),1821.0)</f>
        <v>1821</v>
      </c>
      <c r="H121" s="2">
        <f>IFERROR(__xludf.DUMMYFUNCTION("""COMPUTED_VALUE"""),1876.0)</f>
        <v>1876</v>
      </c>
      <c r="I121" s="2">
        <f>IFERROR(__xludf.DUMMYFUNCTION("""COMPUTED_VALUE"""),2158.0)</f>
        <v>2158</v>
      </c>
      <c r="J121" s="2">
        <f>IFERROR(__xludf.DUMMYFUNCTION("""COMPUTED_VALUE"""),1821.0)</f>
        <v>1821</v>
      </c>
      <c r="K121" s="2">
        <f>IFERROR(__xludf.DUMMYFUNCTION("""COMPUTED_VALUE"""),70.0)</f>
        <v>70</v>
      </c>
      <c r="L121" s="2" t="str">
        <f>IFERROR(__xludf.DUMMYFUNCTION("""COMPUTED_VALUE"""),"Промышленное освещение RSV")</f>
        <v>Промышленное освещение RSV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IFERROR(__xludf.DUMMYFUNCTION("""COMPUTED_VALUE"""),"4680005959112")</f>
        <v>4680005959112</v>
      </c>
      <c r="B122" s="5" t="str">
        <f>IFERROR(__xludf.DUMMYFUNCTION("""COMPUTED_VALUE"""),"LS-AA-16.6 16.6А 12В алюминий")</f>
        <v>LS-AA-16.6 16.6А 12В алюминий</v>
      </c>
      <c r="C122" s="2">
        <f>IFERROR(__xludf.DUMMYFUNCTION("""COMPUTED_VALUE"""),0.6394000000000001)</f>
        <v>0.6394</v>
      </c>
      <c r="D122" s="2">
        <f>IFERROR(__xludf.DUMMYFUNCTION("""COMPUTED_VALUE"""),0.00115)</f>
        <v>0.00115</v>
      </c>
      <c r="E122" s="2">
        <f>IFERROR(__xludf.DUMMYFUNCTION("""COMPUTED_VALUE"""),611.1)</f>
        <v>611.1</v>
      </c>
      <c r="F122" s="2">
        <f>IFERROR(__xludf.DUMMYFUNCTION("""COMPUTED_VALUE"""),1.0)</f>
        <v>1</v>
      </c>
      <c r="G122" s="2">
        <f>IFERROR(__xludf.DUMMYFUNCTION("""COMPUTED_VALUE"""),1.0)</f>
        <v>1</v>
      </c>
      <c r="H122" s="2">
        <f>IFERROR(__xludf.DUMMYFUNCTION("""COMPUTED_VALUE"""),1.0)</f>
        <v>1</v>
      </c>
      <c r="I122" s="2">
        <f>IFERROR(__xludf.DUMMYFUNCTION("""COMPUTED_VALUE"""),1.0)</f>
        <v>1</v>
      </c>
      <c r="J122" s="2">
        <f>IFERROR(__xludf.DUMMYFUNCTION("""COMPUTED_VALUE"""),1.0)</f>
        <v>1</v>
      </c>
      <c r="K122" s="2">
        <f>IFERROR(__xludf.DUMMYFUNCTION("""COMPUTED_VALUE"""),4.0)</f>
        <v>4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IFERROR(__xludf.DUMMYFUNCTION("""COMPUTED_VALUE"""),"GL82211")</f>
        <v>GL82211</v>
      </c>
      <c r="B123" s="5" t="str">
        <f>IFERROR(__xludf.DUMMYFUNCTION("""COMPUTED_VALUE"""),"GLERIO Line 20 Вт 4000K 91P-20D-4N-P")</f>
        <v>GLERIO Line 20 Вт 4000K 91P-20D-4N-P</v>
      </c>
      <c r="C123" s="2">
        <f>IFERROR(__xludf.DUMMYFUNCTION("""COMPUTED_VALUE"""),0.5)</f>
        <v>0.5</v>
      </c>
      <c r="D123" s="2">
        <f>IFERROR(__xludf.DUMMYFUNCTION("""COMPUTED_VALUE"""),0.00396)</f>
        <v>0.00396</v>
      </c>
      <c r="E123" s="2">
        <f>IFERROR(__xludf.DUMMYFUNCTION("""COMPUTED_VALUE"""),1406.0)</f>
        <v>1406</v>
      </c>
      <c r="F123" s="2">
        <f>IFERROR(__xludf.DUMMYFUNCTION("""COMPUTED_VALUE"""),1660.0)</f>
        <v>1660</v>
      </c>
      <c r="G123" s="2">
        <f>IFERROR(__xludf.DUMMYFUNCTION("""COMPUTED_VALUE"""),2090.0)</f>
        <v>2090</v>
      </c>
      <c r="H123" s="2">
        <f>IFERROR(__xludf.DUMMYFUNCTION("""COMPUTED_VALUE"""),2347.0)</f>
        <v>2347</v>
      </c>
      <c r="I123" s="2">
        <f>IFERROR(__xludf.DUMMYFUNCTION("""COMPUTED_VALUE"""),2604.0)</f>
        <v>2604</v>
      </c>
      <c r="J123" s="2">
        <f>IFERROR(__xludf.DUMMYFUNCTION("""COMPUTED_VALUE"""),2604.0)</f>
        <v>2604</v>
      </c>
      <c r="K123" s="2">
        <f>IFERROR(__xludf.DUMMYFUNCTION("""COMPUTED_VALUE"""),23.0)</f>
        <v>23</v>
      </c>
      <c r="L123" s="2" t="str">
        <f>IFERROR(__xludf.DUMMYFUNCTION("""COMPUTED_VALUE"""),"Line+ GLERIO (Айсберг)")</f>
        <v>Line+ GLERIO (Айсберг)</v>
      </c>
      <c r="M123" s="2" t="str">
        <f>IFERROR(__xludf.DUMMYFUNCTION("""COMPUTED_VALUE"""),"Пластиковые (линейные), LED Светильники")</f>
        <v>Пластиковые (линейные), LED Светильники</v>
      </c>
    </row>
    <row r="124">
      <c r="A124" s="5" t="str">
        <f>IFERROR(__xludf.DUMMYFUNCTION("""COMPUTED_VALUE"""),"4690612057286-2")</f>
        <v>4690612057286-2</v>
      </c>
      <c r="B124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IFERROR(__xludf.DUMMYFUNCTION("""COMPUTED_VALUE"""),1793.76)</f>
        <v>1793.76</v>
      </c>
      <c r="F124" s="2">
        <f>IFERROR(__xludf.DUMMYFUNCTION("""COMPUTED_VALUE"""),1968.0)</f>
        <v>1968</v>
      </c>
      <c r="G124" s="2">
        <f>IFERROR(__xludf.DUMMYFUNCTION("""COMPUTED_VALUE"""),2296.0)</f>
        <v>2296</v>
      </c>
      <c r="H124" s="2">
        <f>IFERROR(__xludf.DUMMYFUNCTION("""COMPUTED_VALUE"""),2583.0)</f>
        <v>2583</v>
      </c>
      <c r="I124" s="2">
        <f>IFERROR(__xludf.DUMMYFUNCTION("""COMPUTED_VALUE"""),2870.0)</f>
        <v>2870</v>
      </c>
      <c r="J124" s="2">
        <f>IFERROR(__xludf.DUMMYFUNCTION("""COMPUTED_VALUE"""),1435.0)</f>
        <v>1435</v>
      </c>
      <c r="K124" s="2">
        <f>IFERROR(__xludf.DUMMYFUNCTION("""COMPUTED_VALUE"""),5.0)</f>
        <v>5</v>
      </c>
      <c r="L1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IFERROR(__xludf.DUMMYFUNCTION("""COMPUTED_VALUE"""),1042.0)</f>
        <v>1042</v>
      </c>
      <c r="K134" s="2">
        <f>IFERROR(__xludf.DUMMYFUNCTION("""COMPUTED_VALUE"""),-26.0)</f>
        <v>-26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IFERROR(__xludf.DUMMYFUNCTION("""COMPUTED_VALUE"""),7450.0)</f>
        <v>7450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IFERROR(__xludf.DUMMYFUNCTION("""COMPUTED_VALUE"""),666.0)</f>
        <v>666</v>
      </c>
      <c r="H143" s="2">
        <f>IFERROR(__xludf.DUMMYFUNCTION("""COMPUTED_VALUE"""),750.0)</f>
        <v>750</v>
      </c>
      <c r="I143" s="2">
        <f>IFERROR(__xludf.DUMMYFUNCTION("""COMPUTED_VALUE"""),833.0)</f>
        <v>833</v>
      </c>
      <c r="J143" s="2">
        <f>IFERROR(__xludf.DUMMYFUNCTION("""COMPUTED_VALUE"""),417.0)</f>
        <v>417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IFERROR(__xludf.DUMMYFUNCTION("""COMPUTED_VALUE"""),1.0)</f>
        <v>1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IFERROR(__xludf.DUMMYFUNCTION("""COMPUTED_VALUE"""),516.0)</f>
        <v>516</v>
      </c>
      <c r="G146" s="2">
        <f>IFERROR(__xludf.DUMMYFUNCTION("""COMPUTED_VALUE"""),550.0)</f>
        <v>550</v>
      </c>
      <c r="H146" s="2">
        <f>IFERROR(__xludf.DUMMYFUNCTION("""COMPUTED_VALUE"""),619.0)</f>
        <v>619</v>
      </c>
      <c r="I146" s="2">
        <f>IFERROR(__xludf.DUMMYFUNCTION("""COMPUTED_VALUE"""),688.0)</f>
        <v>688</v>
      </c>
      <c r="J146" s="2">
        <f>IFERROR(__xludf.DUMMYFUNCTION("""COMPUTED_VALUE"""),344.0)</f>
        <v>344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IFERROR(__xludf.DUMMYFUNCTION("""COMPUTED_VALUE"""),1050.0)</f>
        <v>1050</v>
      </c>
      <c r="H147" s="2">
        <f>IFERROR(__xludf.DUMMYFUNCTION("""COMPUTED_VALUE"""),1181.0)</f>
        <v>1181</v>
      </c>
      <c r="I147" s="2">
        <f>IFERROR(__xludf.DUMMYFUNCTION("""COMPUTED_VALUE"""),1312.0)</f>
        <v>1312</v>
      </c>
      <c r="J147" s="2">
        <f>IFERROR(__xludf.DUMMYFUNCTION("""COMPUTED_VALUE"""),656.0)</f>
        <v>656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IFERROR(__xludf.DUMMYFUNCTION("""COMPUTED_VALUE"""),5.0)</f>
        <v>5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IFERROR(__xludf.DUMMYFUNCTION("""COMPUTED_VALUE"""),1217.0)</f>
        <v>1217</v>
      </c>
      <c r="H167" s="2">
        <f>IFERROR(__xludf.DUMMYFUNCTION("""COMPUTED_VALUE"""),1369.0)</f>
        <v>1369</v>
      </c>
      <c r="I167" s="2">
        <f>IFERROR(__xludf.DUMMYFUNCTION("""COMPUTED_VALUE"""),1521.0)</f>
        <v>1521</v>
      </c>
      <c r="J167" s="2">
        <f>IFERROR(__xludf.DUMMYFUNCTION("""COMPUTED_VALUE"""),761.0)</f>
        <v>761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IFERROR(__xludf.DUMMYFUNCTION("""COMPUTED_VALUE"""),2.0)</f>
        <v>2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IFERROR(__xludf.DUMMYFUNCTION("""COMPUTED_VALUE"""),24.0)</f>
        <v>24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IFERROR(__xludf.DUMMYFUNCTION("""COMPUTED_VALUE"""),989.0)</f>
        <v>989</v>
      </c>
      <c r="G190" s="2">
        <f>IFERROR(__xludf.DUMMYFUNCTION("""COMPUTED_VALUE"""),1054.0)</f>
        <v>1054</v>
      </c>
      <c r="H190" s="2">
        <f>IFERROR(__xludf.DUMMYFUNCTION("""COMPUTED_VALUE"""),1186.0)</f>
        <v>1186</v>
      </c>
      <c r="I190" s="2">
        <f>IFERROR(__xludf.DUMMYFUNCTION("""COMPUTED_VALUE"""),1318.0)</f>
        <v>1318</v>
      </c>
      <c r="J190" s="2">
        <f>IFERROR(__xludf.DUMMYFUNCTION("""COMPUTED_VALUE"""),659.0)</f>
        <v>659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IFERROR(__xludf.DUMMYFUNCTION("""COMPUTED_VALUE"""),12.0)</f>
        <v>12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IFERROR(__xludf.DUMMYFUNCTION("""COMPUTED_VALUE"""),2892.0)</f>
        <v>2892</v>
      </c>
      <c r="H199" s="2">
        <f>IFERROR(__xludf.DUMMYFUNCTION("""COMPUTED_VALUE"""),3254.0)</f>
        <v>3254</v>
      </c>
      <c r="I199" s="2">
        <f>IFERROR(__xludf.DUMMYFUNCTION("""COMPUTED_VALUE"""),3615.0)</f>
        <v>3615</v>
      </c>
      <c r="J199" s="2">
        <f>IFERROR(__xludf.DUMMYFUNCTION("""COMPUTED_VALUE"""),3615.0)</f>
        <v>3615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IFERROR(__xludf.DUMMYFUNCTION("""COMPUTED_VALUE"""),43.0)</f>
        <v>43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IFERROR(__xludf.DUMMYFUNCTION("""COMPUTED_VALUE"""),894.0)</f>
        <v>894</v>
      </c>
      <c r="H203" s="2">
        <f>IFERROR(__xludf.DUMMYFUNCTION("""COMPUTED_VALUE"""),1005.0)</f>
        <v>1005</v>
      </c>
      <c r="I203" s="2">
        <f>IFERROR(__xludf.DUMMYFUNCTION("""COMPUTED_VALUE"""),1117.0)</f>
        <v>1117</v>
      </c>
      <c r="J203" s="2">
        <f>IFERROR(__xludf.DUMMYFUNCTION("""COMPUTED_VALUE"""),559.0)</f>
        <v>559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IFERROR(__xludf.DUMMYFUNCTION("""COMPUTED_VALUE"""),3847.0)</f>
        <v>3847</v>
      </c>
      <c r="H222" s="2">
        <f>IFERROR(__xludf.DUMMYFUNCTION("""COMPUTED_VALUE"""),4328.0)</f>
        <v>4328</v>
      </c>
      <c r="I222" s="2">
        <f>IFERROR(__xludf.DUMMYFUNCTION("""COMPUTED_VALUE"""),4809.0)</f>
        <v>4809</v>
      </c>
      <c r="J222" s="2">
        <f>IFERROR(__xludf.DUMMYFUNCTION("""COMPUTED_VALUE"""),2405.0)</f>
        <v>2405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IFERROR(__xludf.DUMMYFUNCTION("""COMPUTED_VALUE"""),128.0)</f>
        <v>128</v>
      </c>
      <c r="G223" s="2">
        <f>IFERROR(__xludf.DUMMYFUNCTION("""COMPUTED_VALUE"""),136.0)</f>
        <v>136</v>
      </c>
      <c r="H223" s="2">
        <f>IFERROR(__xludf.DUMMYFUNCTION("""COMPUTED_VALUE"""),153.0)</f>
        <v>153</v>
      </c>
      <c r="I223" s="2">
        <f>IFERROR(__xludf.DUMMYFUNCTION("""COMPUTED_VALUE"""),170.0)</f>
        <v>170</v>
      </c>
      <c r="J223" s="2">
        <f>IFERROR(__xludf.DUMMYFUNCTION("""COMPUTED_VALUE"""),85.0)</f>
        <v>85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IFERROR(__xludf.DUMMYFUNCTION("""COMPUTED_VALUE"""),2577.0)</f>
        <v>2577</v>
      </c>
      <c r="H234" s="2">
        <f>IFERROR(__xludf.DUMMYFUNCTION("""COMPUTED_VALUE"""),2899.0)</f>
        <v>2899</v>
      </c>
      <c r="I234" s="2">
        <f>IFERROR(__xludf.DUMMYFUNCTION("""COMPUTED_VALUE"""),3221.0)</f>
        <v>3221</v>
      </c>
      <c r="J234" s="2">
        <f>IFERROR(__xludf.DUMMYFUNCTION("""COMPUTED_VALUE"""),1611.0)</f>
        <v>1611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IFERROR(__xludf.DUMMYFUNCTION("""COMPUTED_VALUE"""),8.0)</f>
        <v>8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IFERROR(__xludf.DUMMYFUNCTION("""COMPUTED_VALUE"""),953.0)</f>
        <v>953</v>
      </c>
      <c r="H249" s="2">
        <f>IFERROR(__xludf.DUMMYFUNCTION("""COMPUTED_VALUE"""),1072.0)</f>
        <v>1072</v>
      </c>
      <c r="I249" s="2">
        <f>IFERROR(__xludf.DUMMYFUNCTION("""COMPUTED_VALUE"""),1191.0)</f>
        <v>1191</v>
      </c>
      <c r="J249" s="2">
        <f>IFERROR(__xludf.DUMMYFUNCTION("""COMPUTED_VALUE"""),953.0)</f>
        <v>953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IFERROR(__xludf.DUMMYFUNCTION("""COMPUTED_VALUE"""),1750.0)</f>
        <v>1750</v>
      </c>
      <c r="H253" s="2">
        <f>IFERROR(__xludf.DUMMYFUNCTION("""COMPUTED_VALUE"""),1968.0)</f>
        <v>1968</v>
      </c>
      <c r="I253" s="2">
        <f>IFERROR(__xludf.DUMMYFUNCTION("""COMPUTED_VALUE"""),2187.0)</f>
        <v>2187</v>
      </c>
      <c r="J253" s="2">
        <f>IFERROR(__xludf.DUMMYFUNCTION("""COMPUTED_VALUE"""),1094.0)</f>
        <v>1094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IFERROR(__xludf.DUMMYFUNCTION("""COMPUTED_VALUE"""),945.0)</f>
        <v>945</v>
      </c>
      <c r="G256" s="2">
        <f>IFERROR(__xludf.DUMMYFUNCTION("""COMPUTED_VALUE"""),1008.0)</f>
        <v>1008</v>
      </c>
      <c r="H256" s="2">
        <f>IFERROR(__xludf.DUMMYFUNCTION("""COMPUTED_VALUE"""),1134.0)</f>
        <v>1134</v>
      </c>
      <c r="I256" s="2">
        <f>IFERROR(__xludf.DUMMYFUNCTION("""COMPUTED_VALUE"""),1260.0)</f>
        <v>1260</v>
      </c>
      <c r="J256" s="2">
        <f>IFERROR(__xludf.DUMMYFUNCTION("""COMPUTED_VALUE"""),630.0)</f>
        <v>630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IFERROR(__xludf.DUMMYFUNCTION("""COMPUTED_VALUE"""),1318.0)</f>
        <v>1318</v>
      </c>
      <c r="H257" s="2">
        <f>IFERROR(__xludf.DUMMYFUNCTION("""COMPUTED_VALUE"""),1482.0)</f>
        <v>1482</v>
      </c>
      <c r="I257" s="2">
        <f>IFERROR(__xludf.DUMMYFUNCTION("""COMPUTED_VALUE"""),1647.0)</f>
        <v>1647</v>
      </c>
      <c r="J257" s="2">
        <f>IFERROR(__xludf.DUMMYFUNCTION("""COMPUTED_VALUE"""),824.0)</f>
        <v>824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IFERROR(__xludf.DUMMYFUNCTION("""COMPUTED_VALUE"""),"G103101107-10")</f>
        <v>G103101107-10</v>
      </c>
      <c r="B26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IFERROR(__xludf.DUMMYFUNCTION("""COMPUTED_VALUE"""),1010.0)</f>
        <v>1010</v>
      </c>
      <c r="H268" s="2">
        <f>IFERROR(__xludf.DUMMYFUNCTION("""COMPUTED_VALUE"""),1136.0)</f>
        <v>1136</v>
      </c>
      <c r="I268" s="2">
        <f>IFERROR(__xludf.DUMMYFUNCTION("""COMPUTED_VALUE"""),1262.0)</f>
        <v>1262</v>
      </c>
      <c r="J268" s="2">
        <f>IFERROR(__xludf.DUMMYFUNCTION("""COMPUTED_VALUE"""),631.0)</f>
        <v>631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IFERROR(__xludf.DUMMYFUNCTION("""COMPUTED_VALUE"""),"4690612020303")</f>
        <v>4690612020303</v>
      </c>
      <c r="B269" s="5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IFERROR(__xludf.DUMMYFUNCTION("""COMPUTED_VALUE"""),"4690612001531")</f>
        <v>4690612001531</v>
      </c>
      <c r="B270" s="5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IFERROR(__xludf.DUMMYFUNCTION("""COMPUTED_VALUE"""),"4690612024127")</f>
        <v>4690612024127</v>
      </c>
      <c r="B271" s="5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IFERROR(__xludf.DUMMYFUNCTION("""COMPUTED_VALUE"""),"4680005957873")</f>
        <v>4680005957873</v>
      </c>
      <c r="B272" s="5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IFERROR(__xludf.DUMMYFUNCTION("""COMPUTED_VALUE"""),"4690612008660")</f>
        <v>4690612008660</v>
      </c>
      <c r="B27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IFERROR(__xludf.DUMMYFUNCTION("""COMPUTED_VALUE"""),"ms6181")</f>
        <v>ms6181</v>
      </c>
      <c r="B274" s="5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5" t="str">
        <f>IFERROR(__xludf.DUMMYFUNCTION("""COMPUTED_VALUE"""),"4690612035659-10")</f>
        <v>4690612035659-10</v>
      </c>
      <c r="B27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IFERROR(__xludf.DUMMYFUNCTION("""COMPUTED_VALUE"""),1498.0)</f>
        <v>1498</v>
      </c>
      <c r="H275" s="2">
        <f>IFERROR(__xludf.DUMMYFUNCTION("""COMPUTED_VALUE"""),1685.0)</f>
        <v>1685</v>
      </c>
      <c r="I275" s="2">
        <f>IFERROR(__xludf.DUMMYFUNCTION("""COMPUTED_VALUE"""),1872.0)</f>
        <v>1872</v>
      </c>
      <c r="J275" s="2">
        <f>IFERROR(__xludf.DUMMYFUNCTION("""COMPUTED_VALUE"""),936.0)</f>
        <v>936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IFERROR(__xludf.DUMMYFUNCTION("""COMPUTED_VALUE"""),"V9014")</f>
        <v>V9014</v>
      </c>
      <c r="B276" s="5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IFERROR(__xludf.DUMMYFUNCTION("""COMPUTED_VALUE"""),2.0)</f>
        <v>2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5" t="str">
        <f>IFERROR(__xludf.DUMMYFUNCTION("""COMPUTED_VALUE"""),"23345")</f>
        <v>23345</v>
      </c>
      <c r="B27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5" t="str">
        <f>IFERROR(__xludf.DUMMYFUNCTION("""COMPUTED_VALUE"""),"4260652192805")</f>
        <v>4260652192805</v>
      </c>
      <c r="B278" s="5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5" t="str">
        <f>IFERROR(__xludf.DUMMYFUNCTION("""COMPUTED_VALUE"""),"4690612020549")</f>
        <v>4690612020549</v>
      </c>
      <c r="B279" s="5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IFERROR(__xludf.DUMMYFUNCTION("""COMPUTED_VALUE"""),"4690612009087")</f>
        <v>4690612009087</v>
      </c>
      <c r="B28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IFERROR(__xludf.DUMMYFUNCTION("""COMPUTED_VALUE"""),"R2500x1050-ST-051")</f>
        <v>R2500x1050-ST-051</v>
      </c>
      <c r="B281" s="5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IFERROR(__xludf.DUMMYFUNCTION("""COMPUTED_VALUE"""),"4690612053080")</f>
        <v>4690612053080</v>
      </c>
      <c r="B282" s="5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5" t="str">
        <f>IFERROR(__xludf.DUMMYFUNCTION("""COMPUTED_VALUE"""),"4690612024165")</f>
        <v>4690612024165</v>
      </c>
      <c r="B283" s="5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IFERROR(__xludf.DUMMYFUNCTION("""COMPUTED_VALUE"""),"4690612053004-2")</f>
        <v>4690612053004-2</v>
      </c>
      <c r="B28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IFERROR(__xludf.DUMMYFUNCTION("""COMPUTED_VALUE"""),1951.0)</f>
        <v>1951</v>
      </c>
      <c r="H284" s="2">
        <f>IFERROR(__xludf.DUMMYFUNCTION("""COMPUTED_VALUE"""),2195.0)</f>
        <v>2195</v>
      </c>
      <c r="I284" s="2">
        <f>IFERROR(__xludf.DUMMYFUNCTION("""COMPUTED_VALUE"""),2439.0)</f>
        <v>2439</v>
      </c>
      <c r="J284" s="2">
        <f>IFERROR(__xludf.DUMMYFUNCTION("""COMPUTED_VALUE"""),1220.0)</f>
        <v>1220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IFERROR(__xludf.DUMMYFUNCTION("""COMPUTED_VALUE"""),"4690612052991-2")</f>
        <v>4690612052991-2</v>
      </c>
      <c r="B28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IFERROR(__xludf.DUMMYFUNCTION("""COMPUTED_VALUE"""),1737.0)</f>
        <v>1737</v>
      </c>
      <c r="H285" s="2">
        <f>IFERROR(__xludf.DUMMYFUNCTION("""COMPUTED_VALUE"""),1954.0)</f>
        <v>1954</v>
      </c>
      <c r="I285" s="2">
        <f>IFERROR(__xludf.DUMMYFUNCTION("""COMPUTED_VALUE"""),2171.0)</f>
        <v>2171</v>
      </c>
      <c r="J285" s="2">
        <f>IFERROR(__xludf.DUMMYFUNCTION("""COMPUTED_VALUE"""),1086.0)</f>
        <v>1086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IFERROR(__xludf.DUMMYFUNCTION("""COMPUTED_VALUE"""),"4690626071285")</f>
        <v>4690626071285</v>
      </c>
      <c r="B28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5" t="str">
        <f>IFERROR(__xludf.DUMMYFUNCTION("""COMPUTED_VALUE"""),"14690612053018")</f>
        <v>14690612053018</v>
      </c>
      <c r="B28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IFERROR(__xludf.DUMMYFUNCTION("""COMPUTED_VALUE"""),2735.0)</f>
        <v>2735</v>
      </c>
      <c r="H287" s="2">
        <f>IFERROR(__xludf.DUMMYFUNCTION("""COMPUTED_VALUE"""),3077.0)</f>
        <v>3077</v>
      </c>
      <c r="I287" s="2">
        <f>IFERROR(__xludf.DUMMYFUNCTION("""COMPUTED_VALUE"""),3419.0)</f>
        <v>3419</v>
      </c>
      <c r="J287" s="2">
        <f>IFERROR(__xludf.DUMMYFUNCTION("""COMPUTED_VALUE"""),1710.0)</f>
        <v>1710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IFERROR(__xludf.DUMMYFUNCTION("""COMPUTED_VALUE"""),"12-5022-4")</f>
        <v>12-5022-4</v>
      </c>
      <c r="B28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IFERROR(__xludf.DUMMYFUNCTION("""COMPUTED_VALUE"""),"4690612057286")</f>
        <v>4690612057286</v>
      </c>
      <c r="B28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5" t="str">
        <f>IFERROR(__xludf.DUMMYFUNCTION("""COMPUTED_VALUE"""),"4690612031095")</f>
        <v>4690612031095</v>
      </c>
      <c r="B29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IFERROR(__xludf.DUMMYFUNCTION("""COMPUTED_VALUE"""),"KR-2-45-250")</f>
        <v>KR-2-45-250</v>
      </c>
      <c r="B29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IFERROR(__xludf.DUMMYFUNCTION("""COMPUTED_VALUE"""),350.0)</f>
        <v>350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5" t="str">
        <f>IFERROR(__xludf.DUMMYFUNCTION("""COMPUTED_VALUE"""),"4690612031095-10")</f>
        <v>4690612031095-10</v>
      </c>
      <c r="B292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IFERROR(__xludf.DUMMYFUNCTION("""COMPUTED_VALUE"""),2120.0)</f>
        <v>2120</v>
      </c>
      <c r="H292" s="2">
        <f>IFERROR(__xludf.DUMMYFUNCTION("""COMPUTED_VALUE"""),2385.0)</f>
        <v>2385</v>
      </c>
      <c r="I292" s="2">
        <f>IFERROR(__xludf.DUMMYFUNCTION("""COMPUTED_VALUE"""),2650.0)</f>
        <v>2650</v>
      </c>
      <c r="J292" s="2">
        <f>IFERROR(__xludf.DUMMYFUNCTION("""COMPUTED_VALUE"""),1325.0)</f>
        <v>1325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IFERROR(__xludf.DUMMYFUNCTION("""COMPUTED_VALUE"""),"4690612064390-2")</f>
        <v>4690612064390-2</v>
      </c>
      <c r="B293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IFERROR(__xludf.DUMMYFUNCTION("""COMPUTED_VALUE"""),2031.9)</f>
        <v>2031.9</v>
      </c>
      <c r="F293" s="2">
        <f>IFERROR(__xludf.DUMMYFUNCTION("""COMPUTED_VALUE"""),2229.0)</f>
        <v>2229</v>
      </c>
      <c r="G293" s="2">
        <f>IFERROR(__xludf.DUMMYFUNCTION("""COMPUTED_VALUE"""),2601.0)</f>
        <v>2601</v>
      </c>
      <c r="H293" s="2">
        <f>IFERROR(__xludf.DUMMYFUNCTION("""COMPUTED_VALUE"""),2926.0)</f>
        <v>2926</v>
      </c>
      <c r="I293" s="2">
        <f>IFERROR(__xludf.DUMMYFUNCTION("""COMPUTED_VALUE"""),3251.0)</f>
        <v>3251</v>
      </c>
      <c r="J293" s="2">
        <f>IFERROR(__xludf.DUMMYFUNCTION("""COMPUTED_VALUE"""),1626.0)</f>
        <v>1626</v>
      </c>
      <c r="K293" s="2">
        <f>IFERROR(__xludf.DUMMYFUNCTION("""COMPUTED_VALUE"""),10.0)</f>
        <v>10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5" t="str">
        <f>IFERROR(__xludf.DUMMYFUNCTION("""COMPUTED_VALUE"""),"4690612023441-10")</f>
        <v>4690612023441-10</v>
      </c>
      <c r="B294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4" s="2">
        <f>IFERROR(__xludf.DUMMYFUNCTION("""COMPUTED_VALUE"""),0.04)</f>
        <v>0.04</v>
      </c>
      <c r="D294" s="2">
        <f>IFERROR(__xludf.DUMMYFUNCTION("""COMPUTED_VALUE"""),0.0021)</f>
        <v>0.0021</v>
      </c>
      <c r="E294" s="2">
        <f>IFERROR(__xludf.DUMMYFUNCTION("""COMPUTED_VALUE"""),330.0)</f>
        <v>330</v>
      </c>
      <c r="F294" s="2">
        <f>IFERROR(__xludf.DUMMYFUNCTION("""COMPUTED_VALUE"""),362.0)</f>
        <v>362</v>
      </c>
      <c r="G294" s="2">
        <f>IFERROR(__xludf.DUMMYFUNCTION("""COMPUTED_VALUE"""),422.0)</f>
        <v>422</v>
      </c>
      <c r="H294" s="2">
        <f>IFERROR(__xludf.DUMMYFUNCTION("""COMPUTED_VALUE"""),475.0)</f>
        <v>475</v>
      </c>
      <c r="I294" s="2">
        <f>IFERROR(__xludf.DUMMYFUNCTION("""COMPUTED_VALUE"""),528.0)</f>
        <v>528</v>
      </c>
      <c r="J294" s="2">
        <f>IFERROR(__xludf.DUMMYFUNCTION("""COMPUTED_VALUE"""),264.0)</f>
        <v>264</v>
      </c>
      <c r="K294" s="2">
        <f>IFERROR(__xludf.DUMMYFUNCTION("""COMPUTED_VALUE"""),12.0)</f>
        <v>12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IFERROR(__xludf.DUMMYFUNCTION("""COMPUTED_VALUE"""),"V9029")</f>
        <v>V9029</v>
      </c>
      <c r="B295" s="5" t="str">
        <f>IFERROR(__xludf.DUMMYFUNCTION("""COMPUTED_VALUE"""),"VRN-UNE-96-G40K67-U, 96Вт, Универсальный")</f>
        <v>VRN-UNE-96-G40K67-U, 96Вт, Универсальный</v>
      </c>
      <c r="C295" s="2">
        <f>IFERROR(__xludf.DUMMYFUNCTION("""COMPUTED_VALUE"""),0.17)</f>
        <v>0.17</v>
      </c>
      <c r="D295" s="2">
        <f>IFERROR(__xludf.DUMMYFUNCTION("""COMPUTED_VALUE"""),0.00902)</f>
        <v>0.00902</v>
      </c>
      <c r="E295" s="2">
        <f>IFERROR(__xludf.DUMMYFUNCTION("""COMPUTED_VALUE"""),3785.0)</f>
        <v>3785</v>
      </c>
      <c r="F295" s="2">
        <f>IFERROR(__xludf.DUMMYFUNCTION("""COMPUTED_VALUE"""),4165.0)</f>
        <v>4165</v>
      </c>
      <c r="G295" s="2">
        <f>IFERROR(__xludf.DUMMYFUNCTION("""COMPUTED_VALUE"""),5415.0)</f>
        <v>5415</v>
      </c>
      <c r="H295" s="2">
        <f>IFERROR(__xludf.DUMMYFUNCTION("""COMPUTED_VALUE"""),5685.0)</f>
        <v>5685</v>
      </c>
      <c r="I295" s="2">
        <f>IFERROR(__xludf.DUMMYFUNCTION("""COMPUTED_VALUE"""),5956.0)</f>
        <v>5956</v>
      </c>
      <c r="J295" s="2">
        <f>IFERROR(__xludf.DUMMYFUNCTION("""COMPUTED_VALUE"""),5956.0)</f>
        <v>5956</v>
      </c>
      <c r="K295" s="2">
        <f>IFERROR(__xludf.DUMMYFUNCTION("""COMPUTED_VALUE"""),21.0)</f>
        <v>21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5" t="str">
        <f>IFERROR(__xludf.DUMMYFUNCTION("""COMPUTED_VALUE"""),"Fefco/0201-6")</f>
        <v>Fefco/0201-6</v>
      </c>
      <c r="B296" s="5" t="str">
        <f>IFERROR(__xludf.DUMMYFUNCTION("""COMPUTED_VALUE"""),"Короб 400х380х270 (картон Т-24 ""В"" бурый)")</f>
        <v>Короб 400х380х270 (картон Т-24 "В" бурый)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IFERROR(__xludf.DUMMYFUNCTION("""COMPUTED_VALUE"""),104.0)</f>
        <v>104</v>
      </c>
      <c r="F296" s="2">
        <f>IFERROR(__xludf.DUMMYFUNCTION("""COMPUTED_VALUE"""),1.0)</f>
        <v>1</v>
      </c>
      <c r="G296" s="2">
        <f>IFERROR(__xludf.DUMMYFUNCTION("""COMPUTED_VALUE"""),1.0)</f>
        <v>1</v>
      </c>
      <c r="H296" s="2">
        <f>IFERROR(__xludf.DUMMYFUNCTION("""COMPUTED_VALUE"""),1.0)</f>
        <v>1</v>
      </c>
      <c r="I296" s="2">
        <f>IFERROR(__xludf.DUMMYFUNCTION("""COMPUTED_VALUE"""),1.5)</f>
        <v>1.5</v>
      </c>
      <c r="J296" s="2">
        <f>IFERROR(__xludf.DUMMYFUNCTION("""COMPUTED_VALUE"""),1.5)</f>
        <v>1.5</v>
      </c>
      <c r="K296" s="2">
        <f>IFERROR(__xludf.DUMMYFUNCTION("""COMPUTED_VALUE"""),80.0)</f>
        <v>80</v>
      </c>
      <c r="L296" s="2" t="str">
        <f>IFERROR(__xludf.DUMMYFUNCTION("""COMPUTED_VALUE"""),"Упаковка")</f>
        <v>Упаковка</v>
      </c>
      <c r="M296" s="2" t="str">
        <f>IFERROR(__xludf.DUMMYFUNCTION("""COMPUTED_VALUE"""),"Прочие товары")</f>
        <v>Прочие товары</v>
      </c>
    </row>
    <row r="297">
      <c r="A297" s="5" t="str">
        <f>IFERROR(__xludf.DUMMYFUNCTION("""COMPUTED_VALUE"""),"4690612004860")</f>
        <v>4690612004860</v>
      </c>
      <c r="B297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7" s="2">
        <f>IFERROR(__xludf.DUMMYFUNCTION("""COMPUTED_VALUE"""),0.1038)</f>
        <v>0.1038</v>
      </c>
      <c r="D297" s="2">
        <f>IFERROR(__xludf.DUMMYFUNCTION("""COMPUTED_VALUE"""),8.200000000000001E-4)</f>
        <v>0.00082</v>
      </c>
      <c r="E297" s="2">
        <f>IFERROR(__xludf.DUMMYFUNCTION("""COMPUTED_VALUE"""),186.11)</f>
        <v>186.11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IFERROR(__xludf.DUMMYFUNCTION("""COMPUTED_VALUE"""),1.0)</f>
        <v>1</v>
      </c>
      <c r="J297" s="2">
        <f>IFERROR(__xludf.DUMMYFUNCTION("""COMPUTED_VALUE"""),1.0)</f>
        <v>1</v>
      </c>
      <c r="K297" s="2">
        <f>IFERROR(__xludf.DUMMYFUNCTION("""COMPUTED_VALUE"""),1.0)</f>
        <v>1</v>
      </c>
      <c r="L29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7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8">
      <c r="A298" s="5" t="str">
        <f>IFERROR(__xludf.DUMMYFUNCTION("""COMPUTED_VALUE"""),"4260708178135")</f>
        <v>4260708178135</v>
      </c>
      <c r="B298" s="5" t="str">
        <f>IFERROR(__xludf.DUMMYFUNCTION("""COMPUTED_VALUE"""),"WLD-50W/01-12V")</f>
        <v>WLD-50W/01-12V</v>
      </c>
      <c r="C298" s="2">
        <f>IFERROR(__xludf.DUMMYFUNCTION("""COMPUTED_VALUE"""),0.078)</f>
        <v>0.078</v>
      </c>
      <c r="D298" s="2">
        <f>IFERROR(__xludf.DUMMYFUNCTION("""COMPUTED_VALUE"""),0.0201)</f>
        <v>0.0201</v>
      </c>
      <c r="E298" s="2">
        <f>IFERROR(__xludf.DUMMYFUNCTION("""COMPUTED_VALUE"""),324.63)</f>
        <v>324.63</v>
      </c>
      <c r="F298" s="2">
        <f>IFERROR(__xludf.DUMMYFUNCTION("""COMPUTED_VALUE"""),464.0)</f>
        <v>464</v>
      </c>
      <c r="G298" s="2">
        <f>IFERROR(__xludf.DUMMYFUNCTION("""COMPUTED_VALUE"""),480.0)</f>
        <v>480</v>
      </c>
      <c r="H298" s="2">
        <f>IFERROR(__xludf.DUMMYFUNCTION("""COMPUTED_VALUE"""),629.0)</f>
        <v>629</v>
      </c>
      <c r="I298" s="2">
        <f>IFERROR(__xludf.DUMMYFUNCTION("""COMPUTED_VALUE"""),786.0)</f>
        <v>786</v>
      </c>
      <c r="J298" s="2">
        <f>IFERROR(__xludf.DUMMYFUNCTION("""COMPUTED_VALUE"""),393.0)</f>
        <v>393</v>
      </c>
      <c r="K298" s="2">
        <f>IFERROR(__xludf.DUMMYFUNCTION("""COMPUTED_VALUE"""),2.0)</f>
        <v>2</v>
      </c>
      <c r="L298" s="2" t="str">
        <f>IFERROR(__xludf.DUMMYFUNCTION("""COMPUTED_VALUE"""),"Светодиодная лента")</f>
        <v>Светодиодная лента</v>
      </c>
      <c r="M298" s="2" t="str">
        <f>IFERROR(__xludf.DUMMYFUNCTION("""COMPUTED_VALUE"""),"Светодиодная лента, Прочие товары")</f>
        <v>Светодиодная лента, Прочие товары</v>
      </c>
    </row>
    <row r="299">
      <c r="A299" s="5" t="str">
        <f>IFERROR(__xludf.DUMMYFUNCTION("""COMPUTED_VALUE"""),"4690612057279-2")</f>
        <v>4690612057279-2</v>
      </c>
      <c r="B29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IFERROR(__xludf.DUMMYFUNCTION("""COMPUTED_VALUE"""),1478.72)</f>
        <v>1478.72</v>
      </c>
      <c r="F299" s="2">
        <f>IFERROR(__xludf.DUMMYFUNCTION("""COMPUTED_VALUE"""),1622.0)</f>
        <v>1622</v>
      </c>
      <c r="G299" s="2">
        <f>IFERROR(__xludf.DUMMYFUNCTION("""COMPUTED_VALUE"""),1893.0)</f>
        <v>1893</v>
      </c>
      <c r="H299" s="2">
        <f>IFERROR(__xludf.DUMMYFUNCTION("""COMPUTED_VALUE"""),2129.0)</f>
        <v>2129</v>
      </c>
      <c r="I299" s="2">
        <f>IFERROR(__xludf.DUMMYFUNCTION("""COMPUTED_VALUE"""),2366.0)</f>
        <v>2366</v>
      </c>
      <c r="J299" s="2">
        <f>IFERROR(__xludf.DUMMYFUNCTION("""COMPUTED_VALUE"""),1183.0)</f>
        <v>1183</v>
      </c>
      <c r="K299" s="2">
        <f>IFERROR(__xludf.DUMMYFUNCTION("""COMPUTED_VALUE"""),18.0)</f>
        <v>18</v>
      </c>
      <c r="L2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5" t="str">
        <f>IFERROR(__xludf.DUMMYFUNCTION("""COMPUTED_VALUE"""),"GL51101")</f>
        <v>GL51101</v>
      </c>
      <c r="B300" s="5" t="str">
        <f>IFERROR(__xludf.DUMMYFUNCTION("""COMPUTED_VALUE"""),"GLERIO Practical 32 Вт 5000К 6A-32D-5U+")</f>
        <v>GLERIO Practical 32 Вт 5000К 6A-32D-5U+</v>
      </c>
      <c r="C300" s="2">
        <f>IFERROR(__xludf.DUMMYFUNCTION("""COMPUTED_VALUE"""),0.8)</f>
        <v>0.8</v>
      </c>
      <c r="D300" s="2">
        <f>IFERROR(__xludf.DUMMYFUNCTION("""COMPUTED_VALUE"""),0.00204)</f>
        <v>0.00204</v>
      </c>
      <c r="E300" s="2">
        <f>IFERROR(__xludf.DUMMYFUNCTION("""COMPUTED_VALUE"""),1396.8)</f>
        <v>1396.8</v>
      </c>
      <c r="F300" s="2">
        <f>IFERROR(__xludf.DUMMYFUNCTION("""COMPUTED_VALUE"""),1600.0)</f>
        <v>1600</v>
      </c>
      <c r="G300" s="2">
        <f>IFERROR(__xludf.DUMMYFUNCTION("""COMPUTED_VALUE"""),2000.0)</f>
        <v>2000</v>
      </c>
      <c r="H300" s="2">
        <f>IFERROR(__xludf.DUMMYFUNCTION("""COMPUTED_VALUE"""),2250.0)</f>
        <v>2250</v>
      </c>
      <c r="I300" s="2">
        <f>IFERROR(__xludf.DUMMYFUNCTION("""COMPUTED_VALUE"""),2500.0)</f>
        <v>2500</v>
      </c>
      <c r="J300" s="2">
        <f>IFERROR(__xludf.DUMMYFUNCTION("""COMPUTED_VALUE"""),2500.0)</f>
        <v>2500</v>
      </c>
      <c r="K300" s="2">
        <f>IFERROR(__xludf.DUMMYFUNCTION("""COMPUTED_VALUE"""),4.0)</f>
        <v>4</v>
      </c>
      <c r="L300" s="2" t="str">
        <f>IFERROR(__xludf.DUMMYFUNCTION("""COMPUTED_VALUE"""),"Practical+ Уличные GLERIO")</f>
        <v>Practical+ Уличные GLERIO</v>
      </c>
      <c r="M300" s="2" t="str">
        <f>IFERROR(__xludf.DUMMYFUNCTION("""COMPUTED_VALUE"""),"Для обычных дорог, LED Светильники")</f>
        <v>Для обычных дорог, LED Светильники</v>
      </c>
    </row>
    <row r="301">
      <c r="A301" s="5" t="str">
        <f>IFERROR(__xludf.DUMMYFUNCTION("""COMPUTED_VALUE"""),"4690612031118")</f>
        <v>4690612031118</v>
      </c>
      <c r="B30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1" s="2">
        <f>IFERROR(__xludf.DUMMYFUNCTION("""COMPUTED_VALUE"""),0.24)</f>
        <v>0.24</v>
      </c>
      <c r="D301" s="2">
        <f>IFERROR(__xludf.DUMMYFUNCTION("""COMPUTED_VALUE"""),0.0038)</f>
        <v>0.0038</v>
      </c>
      <c r="E301" s="2">
        <f>IFERROR(__xludf.DUMMYFUNCTION("""COMPUTED_VALUE"""),215.4)</f>
        <v>215.4</v>
      </c>
      <c r="F301" s="2">
        <f>IFERROR(__xludf.DUMMYFUNCTION("""COMPUTED_VALUE"""),255.0)</f>
        <v>255</v>
      </c>
      <c r="G301" s="2">
        <f>IFERROR(__xludf.DUMMYFUNCTION("""COMPUTED_VALUE"""),287.0)</f>
        <v>287</v>
      </c>
      <c r="H301" s="2">
        <f>IFERROR(__xludf.DUMMYFUNCTION("""COMPUTED_VALUE"""),333.0)</f>
        <v>333</v>
      </c>
      <c r="I301" s="2">
        <f>IFERROR(__xludf.DUMMYFUNCTION("""COMPUTED_VALUE"""),383.3)</f>
        <v>383.3</v>
      </c>
      <c r="J301" s="2">
        <f>IFERROR(__xludf.DUMMYFUNCTION("""COMPUTED_VALUE"""),192.0)</f>
        <v>192</v>
      </c>
      <c r="K301" s="2">
        <f>IFERROR(__xludf.DUMMYFUNCTION("""COMPUTED_VALUE"""),5.0)</f>
        <v>5</v>
      </c>
      <c r="L301" s="2" t="str">
        <f>IFERROR(__xludf.DUMMYFUNCTION("""COMPUTED_VALUE"""),"Лампа светодиодная HP PRO")</f>
        <v>Лампа светодиодная HP PRO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IFERROR(__xludf.DUMMYFUNCTION("""COMPUTED_VALUE"""),"V9019")</f>
        <v>V9019</v>
      </c>
      <c r="B302" s="5" t="str">
        <f>IFERROR(__xludf.DUMMYFUNCTION("""COMPUTED_VALUE"""),"VRN-UNE-80-G40K67-U, 80Вт, Универсальный")</f>
        <v>VRN-UNE-80-G40K67-U, 80Вт, Универсальный</v>
      </c>
      <c r="C302" s="2">
        <f>IFERROR(__xludf.DUMMYFUNCTION("""COMPUTED_VALUE"""),0.148)</f>
        <v>0.148</v>
      </c>
      <c r="D302" s="2">
        <f>IFERROR(__xludf.DUMMYFUNCTION("""COMPUTED_VALUE"""),0.00805)</f>
        <v>0.00805</v>
      </c>
      <c r="E302" s="2">
        <f>IFERROR(__xludf.DUMMYFUNCTION("""COMPUTED_VALUE"""),3381.62)</f>
        <v>3381.62</v>
      </c>
      <c r="F302" s="2">
        <f>IFERROR(__xludf.DUMMYFUNCTION("""COMPUTED_VALUE"""),3925.0)</f>
        <v>3925</v>
      </c>
      <c r="G302" s="2">
        <f>IFERROR(__xludf.DUMMYFUNCTION("""COMPUTED_VALUE"""),5103.0)</f>
        <v>5103</v>
      </c>
      <c r="H302" s="2">
        <f>IFERROR(__xludf.DUMMYFUNCTION("""COMPUTED_VALUE"""),5358.0)</f>
        <v>5358</v>
      </c>
      <c r="I302" s="2">
        <f>IFERROR(__xludf.DUMMYFUNCTION("""COMPUTED_VALUE"""),5613.0)</f>
        <v>5613</v>
      </c>
      <c r="J302" s="2">
        <f>IFERROR(__xludf.DUMMYFUNCTION("""COMPUTED_VALUE"""),5358.0)</f>
        <v>5358</v>
      </c>
      <c r="K302" s="2">
        <f>IFERROR(__xludf.DUMMYFUNCTION("""COMPUTED_VALUE"""),107.0)</f>
        <v>107</v>
      </c>
      <c r="L302" s="2" t="str">
        <f>IFERROR(__xludf.DUMMYFUNCTION("""COMPUTED_VALUE"""),"Универсал Эконом")</f>
        <v>Универсал Эконом</v>
      </c>
      <c r="M3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3">
      <c r="A303" s="5" t="str">
        <f>IFERROR(__xludf.DUMMYFUNCTION("""COMPUTED_VALUE"""),"4690612009032")</f>
        <v>4690612009032</v>
      </c>
      <c r="B303" s="5" t="str">
        <f>IFERROR(__xludf.DUMMYFUNCTION("""COMPUTED_VALUE"""),"4242 Вилка прямая 10А черная IN HOME")</f>
        <v>4242 Вилка прямая 10А черная IN HOME</v>
      </c>
      <c r="C303" s="2">
        <f>IFERROR(__xludf.DUMMYFUNCTION("""COMPUTED_VALUE"""),0.02)</f>
        <v>0.02</v>
      </c>
      <c r="D303" s="2">
        <f>IFERROR(__xludf.DUMMYFUNCTION("""COMPUTED_VALUE"""),1.0E-4)</f>
        <v>0.0001</v>
      </c>
      <c r="E303" s="2">
        <f>IFERROR(__xludf.DUMMYFUNCTION("""COMPUTED_VALUE"""),59.34)</f>
        <v>59.34</v>
      </c>
      <c r="F303" s="2">
        <f>IFERROR(__xludf.DUMMYFUNCTION("""COMPUTED_VALUE"""),40.0)</f>
        <v>40</v>
      </c>
      <c r="G303" s="2">
        <f>IFERROR(__xludf.DUMMYFUNCTION("""COMPUTED_VALUE"""),45.0)</f>
        <v>45</v>
      </c>
      <c r="H303" s="2">
        <f>IFERROR(__xludf.DUMMYFUNCTION("""COMPUTED_VALUE"""),52.0)</f>
        <v>52</v>
      </c>
      <c r="I303" s="2">
        <f>IFERROR(__xludf.DUMMYFUNCTION("""COMPUTED_VALUE"""),59.0)</f>
        <v>59</v>
      </c>
      <c r="J303" s="2">
        <f>IFERROR(__xludf.DUMMYFUNCTION("""COMPUTED_VALUE"""),30.0)</f>
        <v>30</v>
      </c>
      <c r="K303" s="2">
        <f>IFERROR(__xludf.DUMMYFUNCTION("""COMPUTED_VALUE"""),3.0)</f>
        <v>3</v>
      </c>
      <c r="L303" s="2" t="str">
        <f>IFERROR(__xludf.DUMMYFUNCTION("""COMPUTED_VALUE"""),"Розетки, вилки и колодки")</f>
        <v>Розетки, вилки и колодки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IFERROR(__xludf.DUMMYFUNCTION("""COMPUTED_VALUE"""),"4690612020570")</f>
        <v>4690612020570</v>
      </c>
      <c r="B304" s="5" t="str">
        <f>IFERROR(__xludf.DUMMYFUNCTION("""COMPUTED_VALUE"""),"LED-ШАР-VC 8Вт 230В Е27 4000К 760Лм IN HOME")</f>
        <v>LED-ШАР-VC 8Вт 230В Е27 4000К 760Лм IN HOME</v>
      </c>
      <c r="C304" s="2">
        <f>IFERROR(__xludf.DUMMYFUNCTION("""COMPUTED_VALUE"""),0.031)</f>
        <v>0.031</v>
      </c>
      <c r="D304" s="2">
        <f>IFERROR(__xludf.DUMMYFUNCTION("""COMPUTED_VALUE"""),2.3E-4)</f>
        <v>0.00023</v>
      </c>
      <c r="E304" s="2">
        <f>IFERROR(__xludf.DUMMYFUNCTION("""COMPUTED_VALUE"""),39.0)</f>
        <v>39</v>
      </c>
      <c r="F304" s="2">
        <f>IFERROR(__xludf.DUMMYFUNCTION("""COMPUTED_VALUE"""),45.0)</f>
        <v>45</v>
      </c>
      <c r="G304" s="2">
        <f>IFERROR(__xludf.DUMMYFUNCTION("""COMPUTED_VALUE"""),50.0)</f>
        <v>50</v>
      </c>
      <c r="H304" s="2">
        <f>IFERROR(__xludf.DUMMYFUNCTION("""COMPUTED_VALUE"""),58.0)</f>
        <v>58</v>
      </c>
      <c r="I304" s="2">
        <f>IFERROR(__xludf.DUMMYFUNCTION("""COMPUTED_VALUE"""),67.6)</f>
        <v>67.6</v>
      </c>
      <c r="J304" s="2">
        <f>IFERROR(__xludf.DUMMYFUNCTION("""COMPUTED_VALUE"""),34.0)</f>
        <v>34</v>
      </c>
      <c r="K304" s="2">
        <f>IFERROR(__xludf.DUMMYFUNCTION("""COMPUTED_VALUE"""),2.0)</f>
        <v>2</v>
      </c>
      <c r="L304" s="2" t="str">
        <f>IFERROR(__xludf.DUMMYFUNCTION("""COMPUTED_VALUE"""),"Лампа светодиодная LED-ШАР-standard")</f>
        <v>Лампа светодиодная LED-ШАР-standard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IFERROR(__xludf.DUMMYFUNCTION("""COMPUTED_VALUE"""),"4690612020778")</f>
        <v>4690612020778</v>
      </c>
      <c r="B305" s="5" t="str">
        <f>IFERROR(__xludf.DUMMYFUNCTION("""COMPUTED_VALUE"""),"LED-GX53-VC 10Вт 230В 6500К 950Лм IN HOME")</f>
        <v>LED-GX53-VC 10Вт 230В 6500К 950Лм IN HOME</v>
      </c>
      <c r="C305" s="2">
        <f>IFERROR(__xludf.DUMMYFUNCTION("""COMPUTED_VALUE"""),0.03700000000000001)</f>
        <v>0.037</v>
      </c>
      <c r="D305" s="2">
        <f>IFERROR(__xludf.DUMMYFUNCTION("""COMPUTED_VALUE"""),2.1E-4)</f>
        <v>0.00021</v>
      </c>
      <c r="E305" s="2">
        <f>IFERROR(__xludf.DUMMYFUNCTION("""COMPUTED_VALUE"""),37.8)</f>
        <v>37.8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IFERROR(__xludf.DUMMYFUNCTION("""COMPUTED_VALUE"""),67.7)</f>
        <v>67.7</v>
      </c>
      <c r="J305" s="2">
        <f>IFERROR(__xludf.DUMMYFUNCTION("""COMPUTED_VALUE"""),34.0)</f>
        <v>34</v>
      </c>
      <c r="K305" s="2">
        <f>IFERROR(__xludf.DUMMYFUNCTION("""COMPUTED_VALUE"""),65.0)</f>
        <v>65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IFERROR(__xludf.DUMMYFUNCTION("""COMPUTED_VALUE"""),"4690612035673-10")</f>
        <v>4690612035673-10</v>
      </c>
      <c r="B30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6" s="2">
        <f>IFERROR(__xludf.DUMMYFUNCTION("""COMPUTED_VALUE"""),0.22)</f>
        <v>0.22</v>
      </c>
      <c r="D306" s="2">
        <f>IFERROR(__xludf.DUMMYFUNCTION("""COMPUTED_VALUE"""),0.004)</f>
        <v>0.004</v>
      </c>
      <c r="E306" s="2">
        <f>IFERROR(__xludf.DUMMYFUNCTION("""COMPUTED_VALUE"""),1462.1)</f>
        <v>1462.1</v>
      </c>
      <c r="F306" s="2">
        <f>IFERROR(__xludf.DUMMYFUNCTION("""COMPUTED_VALUE"""),1604.0)</f>
        <v>1604</v>
      </c>
      <c r="G306" s="2">
        <f>IFERROR(__xludf.DUMMYFUNCTION("""COMPUTED_VALUE"""),1871.0)</f>
        <v>1871</v>
      </c>
      <c r="H306" s="2">
        <f>IFERROR(__xludf.DUMMYFUNCTION("""COMPUTED_VALUE"""),2105.0)</f>
        <v>2105</v>
      </c>
      <c r="I306" s="2">
        <f>IFERROR(__xludf.DUMMYFUNCTION("""COMPUTED_VALUE"""),2339.0)</f>
        <v>2339</v>
      </c>
      <c r="J306" s="2">
        <f>IFERROR(__xludf.DUMMYFUNCTION("""COMPUTED_VALUE"""),1170.0)</f>
        <v>1170</v>
      </c>
      <c r="K306" s="2">
        <f>IFERROR(__xludf.DUMMYFUNCTION("""COMPUTED_VALUE"""),1.0)</f>
        <v>1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IFERROR(__xludf.DUMMYFUNCTION("""COMPUTED_VALUE"""),"GL8110")</f>
        <v>GL8110</v>
      </c>
      <c r="B307" s="5" t="str">
        <f>IFERROR(__xludf.DUMMYFUNCTION("""COMPUTED_VALUE"""),"GLERIO Office Casual 24 Вт 4000К 81P-24D-4V-M")</f>
        <v>GLERIO Office Casual 24 Вт 4000К 81P-24D-4V-M</v>
      </c>
      <c r="C307" s="2">
        <f>IFERROR(__xludf.DUMMYFUNCTION("""COMPUTED_VALUE"""),1.04)</f>
        <v>1.04</v>
      </c>
      <c r="D307" s="2">
        <f>IFERROR(__xludf.DUMMYFUNCTION("""COMPUTED_VALUE"""),0.008190000000000001)</f>
        <v>0.00819</v>
      </c>
      <c r="E307" s="2">
        <f>IFERROR(__xludf.DUMMYFUNCTION("""COMPUTED_VALUE"""),1464.7)</f>
        <v>1464.7</v>
      </c>
      <c r="F307" s="2">
        <f>IFERROR(__xludf.DUMMYFUNCTION("""COMPUTED_VALUE"""),1700.0)</f>
        <v>1700</v>
      </c>
      <c r="G307" s="2">
        <f>IFERROR(__xludf.DUMMYFUNCTION("""COMPUTED_VALUE"""),2140.0)</f>
        <v>2140</v>
      </c>
      <c r="H307" s="2">
        <f>IFERROR(__xludf.DUMMYFUNCTION("""COMPUTED_VALUE"""),2404.0)</f>
        <v>2404</v>
      </c>
      <c r="I307" s="2">
        <f>IFERROR(__xludf.DUMMYFUNCTION("""COMPUTED_VALUE"""),2667.0)</f>
        <v>2667</v>
      </c>
      <c r="J307" s="2">
        <f>IFERROR(__xludf.DUMMYFUNCTION("""COMPUTED_VALUE"""),2404.0)</f>
        <v>2404</v>
      </c>
      <c r="K307" s="2">
        <f>IFERROR(__xludf.DUMMYFUNCTION("""COMPUTED_VALUE"""),30.0)</f>
        <v>30</v>
      </c>
      <c r="L307" s="2" t="str">
        <f>IFERROR(__xludf.DUMMYFUNCTION("""COMPUTED_VALUE"""),"Office Casual (Офис) до 10.2025")</f>
        <v>Office Casual (Офис) до 10.2025</v>
      </c>
      <c r="M3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8">
      <c r="A308" s="5" t="str">
        <f>IFERROR(__xludf.DUMMYFUNCTION("""COMPUTED_VALUE"""),"4690612055350")</f>
        <v>4690612055350</v>
      </c>
      <c r="B308" s="5" t="str">
        <f>IFERROR(__xludf.DUMMYFUNCTION("""COMPUTED_VALUE"""),"ДПО-108 ОПАЛ 48Вт 4000К 1200мм IP40 NEOX")</f>
        <v>ДПО-108 ОПАЛ 48Вт 4000К 1200мм IP40 NEOX</v>
      </c>
      <c r="C308" s="2">
        <f>IFERROR(__xludf.DUMMYFUNCTION("""COMPUTED_VALUE"""),0.325)</f>
        <v>0.325</v>
      </c>
      <c r="D308" s="2">
        <f>IFERROR(__xludf.DUMMYFUNCTION("""COMPUTED_VALUE"""),0.0025)</f>
        <v>0.0025</v>
      </c>
      <c r="E308" s="2">
        <f>IFERROR(__xludf.DUMMYFUNCTION("""COMPUTED_VALUE"""),290.13)</f>
        <v>290.13</v>
      </c>
      <c r="F308" s="2">
        <f>IFERROR(__xludf.DUMMYFUNCTION("""COMPUTED_VALUE"""),379.0)</f>
        <v>379</v>
      </c>
      <c r="G308" s="2">
        <f>IFERROR(__xludf.DUMMYFUNCTION("""COMPUTED_VALUE"""),427.0)</f>
        <v>427</v>
      </c>
      <c r="H308" s="2">
        <f>IFERROR(__xludf.DUMMYFUNCTION("""COMPUTED_VALUE"""),495.0)</f>
        <v>495</v>
      </c>
      <c r="I308" s="2">
        <f>IFERROR(__xludf.DUMMYFUNCTION("""COMPUTED_VALUE"""),569.0)</f>
        <v>569</v>
      </c>
      <c r="J308" s="2">
        <f>IFERROR(__xludf.DUMMYFUNCTION("""COMPUTED_VALUE"""),285.0)</f>
        <v>285</v>
      </c>
      <c r="K308" s="2">
        <f>IFERROR(__xludf.DUMMYFUNCTION("""COMPUTED_VALUE"""),20.0)</f>
        <v>20</v>
      </c>
      <c r="L308" s="2" t="str">
        <f>IFERROR(__xludf.DUMMYFUNCTION("""COMPUTED_VALUE"""),"NEOX Светильники LED ДПО")</f>
        <v>NEOX Светильники LED ДПО</v>
      </c>
      <c r="M308" s="2" t="str">
        <f>IFERROR(__xludf.DUMMYFUNCTION("""COMPUTED_VALUE"""),"Накладные, LED Светильники")</f>
        <v>Накладные, LED Светильники</v>
      </c>
    </row>
    <row r="309">
      <c r="A309" s="5" t="str">
        <f>IFERROR(__xludf.DUMMYFUNCTION("""COMPUTED_VALUE"""),"4690612035673")</f>
        <v>4690612035673</v>
      </c>
      <c r="B309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9" s="2">
        <f>IFERROR(__xludf.DUMMYFUNCTION("""COMPUTED_VALUE"""),0.044)</f>
        <v>0.044</v>
      </c>
      <c r="D309" s="2">
        <f>IFERROR(__xludf.DUMMYFUNCTION("""COMPUTED_VALUE"""),8.0E-4)</f>
        <v>0.0008</v>
      </c>
      <c r="E309" s="2">
        <f>IFERROR(__xludf.DUMMYFUNCTION("""COMPUTED_VALUE"""),146.21)</f>
        <v>146.21</v>
      </c>
      <c r="F309" s="2">
        <f>IFERROR(__xludf.DUMMYFUNCTION("""COMPUTED_VALUE"""),159.0)</f>
        <v>159</v>
      </c>
      <c r="G309" s="2">
        <f>IFERROR(__xludf.DUMMYFUNCTION("""COMPUTED_VALUE"""),179.0)</f>
        <v>179</v>
      </c>
      <c r="H309" s="2">
        <f>IFERROR(__xludf.DUMMYFUNCTION("""COMPUTED_VALUE"""),207.0)</f>
        <v>207</v>
      </c>
      <c r="I309" s="2">
        <f>IFERROR(__xludf.DUMMYFUNCTION("""COMPUTED_VALUE"""),238.5)</f>
        <v>238.5</v>
      </c>
      <c r="J309" s="2">
        <f>IFERROR(__xludf.DUMMYFUNCTION("""COMPUTED_VALUE"""),119.0)</f>
        <v>119</v>
      </c>
      <c r="K309" s="2">
        <f>IFERROR(__xludf.DUMMYFUNCTION("""COMPUTED_VALUE"""),8.0)</f>
        <v>8</v>
      </c>
      <c r="L309" s="2" t="str">
        <f>IFERROR(__xludf.DUMMYFUNCTION("""COMPUTED_VALUE"""),"Лампа светодиодная LED-ST64-DECO золотистая")</f>
        <v>Лампа светодиодная LED-ST64-DECO золотистая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IFERROR(__xludf.DUMMYFUNCTION("""COMPUTED_VALUE"""),"4690612038179")</f>
        <v>4690612038179</v>
      </c>
      <c r="B310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0" s="2">
        <f>IFERROR(__xludf.DUMMYFUNCTION("""COMPUTED_VALUE"""),4.500010000000001)</f>
        <v>4.50001</v>
      </c>
      <c r="D310" s="2">
        <f>IFERROR(__xludf.DUMMYFUNCTION("""COMPUTED_VALUE"""),0.032)</f>
        <v>0.032</v>
      </c>
      <c r="E310" s="2">
        <f>IFERROR(__xludf.DUMMYFUNCTION("""COMPUTED_VALUE"""),481.53)</f>
        <v>481.53</v>
      </c>
      <c r="F310" s="2">
        <f>IFERROR(__xludf.DUMMYFUNCTION("""COMPUTED_VALUE"""),567.0)</f>
        <v>567</v>
      </c>
      <c r="G310" s="2">
        <f>IFERROR(__xludf.DUMMYFUNCTION("""COMPUTED_VALUE"""),638.0)</f>
        <v>638</v>
      </c>
      <c r="H310" s="2">
        <f>IFERROR(__xludf.DUMMYFUNCTION("""COMPUTED_VALUE"""),740.0)</f>
        <v>740</v>
      </c>
      <c r="I310" s="2">
        <f>IFERROR(__xludf.DUMMYFUNCTION("""COMPUTED_VALUE"""),850.0)</f>
        <v>850</v>
      </c>
      <c r="J310" s="2">
        <f>IFERROR(__xludf.DUMMYFUNCTION("""COMPUTED_VALUE"""),638.0)</f>
        <v>638</v>
      </c>
      <c r="K310" s="2">
        <f>IFERROR(__xludf.DUMMYFUNCTION("""COMPUTED_VALUE"""),19.0)</f>
        <v>19</v>
      </c>
      <c r="L310" s="2" t="str">
        <f>IFERROR(__xludf.DUMMYFUNCTION("""COMPUTED_VALUE"""),"NEOX Светильники LED ДВО")</f>
        <v>NEOX Светильники LED ДВО</v>
      </c>
      <c r="M3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1">
      <c r="A311" s="5" t="str">
        <f>IFERROR(__xludf.DUMMYFUNCTION("""COMPUTED_VALUE"""),"601-268")</f>
        <v>601-268</v>
      </c>
      <c r="B311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IFERROR(__xludf.DUMMYFUNCTION("""COMPUTED_VALUE"""),1.0)</f>
        <v>1</v>
      </c>
      <c r="F311" s="2">
        <f>IFERROR(__xludf.DUMMYFUNCTION("""COMPUTED_VALUE"""),2554.0)</f>
        <v>2554</v>
      </c>
      <c r="G311" s="2">
        <f>IFERROR(__xludf.DUMMYFUNCTION("""COMPUTED_VALUE"""),2725.0)</f>
        <v>2725</v>
      </c>
      <c r="H311" s="2">
        <f>IFERROR(__xludf.DUMMYFUNCTION("""COMPUTED_VALUE"""),3065.0)</f>
        <v>3065</v>
      </c>
      <c r="I311" s="2">
        <f>IFERROR(__xludf.DUMMYFUNCTION("""COMPUTED_VALUE"""),3405.98)</f>
        <v>3405.98</v>
      </c>
      <c r="J311" s="2">
        <f>IFERROR(__xludf.DUMMYFUNCTION("""COMPUTED_VALUE"""),1703.0)</f>
        <v>1703</v>
      </c>
      <c r="K311" s="2">
        <f>IFERROR(__xludf.DUMMYFUNCTION("""COMPUTED_VALUE"""),2.0)</f>
        <v>2</v>
      </c>
      <c r="L311" s="2" t="str">
        <f>IFERROR(__xludf.DUMMYFUNCTION("""COMPUTED_VALUE"""),"Rexant")</f>
        <v>Rexant</v>
      </c>
      <c r="M311" s="2" t="str">
        <f>IFERROR(__xludf.DUMMYFUNCTION("""COMPUTED_VALUE"""),"Прочие товары")</f>
        <v>Прочие товары</v>
      </c>
    </row>
    <row r="312">
      <c r="A312" s="5" t="str">
        <f>IFERROR(__xludf.DUMMYFUNCTION("""COMPUTED_VALUE"""),"15367")</f>
        <v>15367</v>
      </c>
      <c r="B312" s="5" t="str">
        <f>IFERROR(__xludf.DUMMYFUNCTION("""COMPUTED_VALUE"""),"TLR01 OL 9Вт 1070лм")</f>
        <v>TLR01 OL 9Вт 1070лм</v>
      </c>
      <c r="C312" s="2">
        <f>IFERROR(__xludf.DUMMYFUNCTION("""COMPUTED_VALUE"""),0.6000000000000001)</f>
        <v>0.6</v>
      </c>
      <c r="D312" s="2">
        <f>IFERROR(__xludf.DUMMYFUNCTION("""COMPUTED_VALUE"""),0.00602)</f>
        <v>0.00602</v>
      </c>
      <c r="E312" s="2">
        <f>IFERROR(__xludf.DUMMYFUNCTION("""COMPUTED_VALUE"""),1581.42)</f>
        <v>1581.42</v>
      </c>
      <c r="F312" s="2">
        <f>IFERROR(__xludf.DUMMYFUNCTION("""COMPUTED_VALUE"""),2276.0)</f>
        <v>2276</v>
      </c>
      <c r="G312" s="2">
        <f>IFERROR(__xludf.DUMMYFUNCTION("""COMPUTED_VALUE"""),2569.0)</f>
        <v>2569</v>
      </c>
      <c r="H312" s="2">
        <f>IFERROR(__xludf.DUMMYFUNCTION("""COMPUTED_VALUE"""),2628.0)</f>
        <v>2628</v>
      </c>
      <c r="I312" s="2">
        <f>IFERROR(__xludf.DUMMYFUNCTION("""COMPUTED_VALUE"""),3205.0)</f>
        <v>3205</v>
      </c>
      <c r="J312" s="2">
        <f>IFERROR(__xludf.DUMMYFUNCTION("""COMPUTED_VALUE"""),1603.0)</f>
        <v>1603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TLR")</f>
        <v>Технолюкс Светильники LED TLR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IFERROR(__xludf.DUMMYFUNCTION("""COMPUTED_VALUE"""),"4690612020785")</f>
        <v>4690612020785</v>
      </c>
      <c r="B313" s="5" t="str">
        <f>IFERROR(__xludf.DUMMYFUNCTION("""COMPUTED_VALUE"""),"LED-GX53-VC 12Вт 230В 3000К 1140Лм IN HOME")</f>
        <v>LED-GX53-VC 12Вт 230В 3000К 1140Лм IN HOME</v>
      </c>
      <c r="C313" s="2">
        <f>IFERROR(__xludf.DUMMYFUNCTION("""COMPUTED_VALUE"""),0.03800000000000001)</f>
        <v>0.038</v>
      </c>
      <c r="D313" s="2">
        <f>IFERROR(__xludf.DUMMYFUNCTION("""COMPUTED_VALUE"""),2.1E-4)</f>
        <v>0.00021</v>
      </c>
      <c r="E313" s="2">
        <f>IFERROR(__xludf.DUMMYFUNCTION("""COMPUTED_VALUE"""),41.08)</f>
        <v>41.08</v>
      </c>
      <c r="F313" s="2">
        <f>IFERROR(__xludf.DUMMYFUNCTION("""COMPUTED_VALUE"""),48.0)</f>
        <v>48</v>
      </c>
      <c r="G313" s="2">
        <f>IFERROR(__xludf.DUMMYFUNCTION("""COMPUTED_VALUE"""),54.0)</f>
        <v>54</v>
      </c>
      <c r="H313" s="2">
        <f>IFERROR(__xludf.DUMMYFUNCTION("""COMPUTED_VALUE"""),62.0)</f>
        <v>62</v>
      </c>
      <c r="I313" s="2">
        <f>IFERROR(__xludf.DUMMYFUNCTION("""COMPUTED_VALUE"""),71.9)</f>
        <v>71.9</v>
      </c>
      <c r="J313" s="2">
        <f>IFERROR(__xludf.DUMMYFUNCTION("""COMPUTED_VALUE"""),36.0)</f>
        <v>36</v>
      </c>
      <c r="K313" s="2">
        <f>IFERROR(__xludf.DUMMYFUNCTION("""COMPUTED_VALUE"""),68.0)</f>
        <v>68</v>
      </c>
      <c r="L313" s="2" t="str">
        <f>IFERROR(__xludf.DUMMYFUNCTION("""COMPUTED_VALUE"""),"Лампа светодиодная LED-GX53-standard")</f>
        <v>Лампа светодиодная LED-GX53-standard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IFERROR(__xludf.DUMMYFUNCTION("""COMPUTED_VALUE"""),"GL815191")</f>
        <v>GL815191</v>
      </c>
      <c r="B314" s="5" t="str">
        <f>IFERROR(__xludf.DUMMYFUNCTION("""COMPUTED_VALUE"""),"GLERIO Office Special 40 Вт 4000K 82P-40D-4G-P")</f>
        <v>GLERIO Office Special 40 Вт 4000K 82P-40D-4G-P</v>
      </c>
      <c r="C314" s="2">
        <f>IFERROR(__xludf.DUMMYFUNCTION("""COMPUTED_VALUE"""),1.14)</f>
        <v>1.14</v>
      </c>
      <c r="D314" s="2">
        <f>IFERROR(__xludf.DUMMYFUNCTION("""COMPUTED_VALUE"""),0.008190000000000001)</f>
        <v>0.00819</v>
      </c>
      <c r="E314" s="2">
        <f>IFERROR(__xludf.DUMMYFUNCTION("""COMPUTED_VALUE"""),2366.8)</f>
        <v>2366.8</v>
      </c>
      <c r="F314" s="2">
        <f>IFERROR(__xludf.DUMMYFUNCTION("""COMPUTED_VALUE"""),2730.0)</f>
        <v>2730</v>
      </c>
      <c r="G314" s="2">
        <f>IFERROR(__xludf.DUMMYFUNCTION("""COMPUTED_VALUE"""),3437.0)</f>
        <v>3437</v>
      </c>
      <c r="H314" s="2">
        <f>IFERROR(__xludf.DUMMYFUNCTION("""COMPUTED_VALUE"""),3860.0)</f>
        <v>3860</v>
      </c>
      <c r="I314" s="2">
        <f>IFERROR(__xludf.DUMMYFUNCTION("""COMPUTED_VALUE"""),4283.0)</f>
        <v>4283</v>
      </c>
      <c r="J314" s="2">
        <f>IFERROR(__xludf.DUMMYFUNCTION("""COMPUTED_VALUE"""),2142.0)</f>
        <v>2142</v>
      </c>
      <c r="K314" s="2">
        <f>IFERROR(__xludf.DUMMYFUNCTION("""COMPUTED_VALUE"""),15.0)</f>
        <v>15</v>
      </c>
      <c r="L314" s="2" t="str">
        <f>IFERROR(__xludf.DUMMYFUNCTION("""COMPUTED_VALUE"""),"Office Special+ GLERIO (Офис Премиум)")</f>
        <v>Office Special+ GLERIO (Офис Премиум)</v>
      </c>
      <c r="M3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5">
      <c r="A315" s="5" t="str">
        <f>IFERROR(__xludf.DUMMYFUNCTION("""COMPUTED_VALUE"""),"15268")</f>
        <v>15268</v>
      </c>
      <c r="B315" s="5" t="str">
        <f>IFERROR(__xludf.DUMMYFUNCTION("""COMPUTED_VALUE"""),"TLK04 OL 8Вт 750лм")</f>
        <v>TLK04 OL 8Вт 750лм</v>
      </c>
      <c r="C315" s="2">
        <f>IFERROR(__xludf.DUMMYFUNCTION("""COMPUTED_VALUE"""),0.9)</f>
        <v>0.9</v>
      </c>
      <c r="D315" s="2">
        <f>IFERROR(__xludf.DUMMYFUNCTION("""COMPUTED_VALUE"""),0.00958)</f>
        <v>0.00958</v>
      </c>
      <c r="E315" s="2">
        <f>IFERROR(__xludf.DUMMYFUNCTION("""COMPUTED_VALUE"""),1.12)</f>
        <v>1.12</v>
      </c>
      <c r="F315" s="2">
        <f>IFERROR(__xludf.DUMMYFUNCTION("""COMPUTED_VALUE"""),1299.0)</f>
        <v>1299</v>
      </c>
      <c r="G315" s="2">
        <f>IFERROR(__xludf.DUMMYFUNCTION("""COMPUTED_VALUE"""),1467.0)</f>
        <v>1467</v>
      </c>
      <c r="H315" s="2">
        <f>IFERROR(__xludf.DUMMYFUNCTION("""COMPUTED_VALUE"""),1501.0)</f>
        <v>1501</v>
      </c>
      <c r="I315" s="2">
        <f>IFERROR(__xludf.DUMMYFUNCTION("""COMPUTED_VALUE"""),1830.0)</f>
        <v>1830</v>
      </c>
      <c r="J315" s="2">
        <f>IFERROR(__xludf.DUMMYFUNCTION("""COMPUTED_VALUE"""),915.0)</f>
        <v>915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TLK")</f>
        <v>Технолюкс Светильники LED TLK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5" t="str">
        <f>IFERROR(__xludf.DUMMYFUNCTION("""COMPUTED_VALUE"""),"4690612035802")</f>
        <v>4690612035802</v>
      </c>
      <c r="B316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6" s="2">
        <f>IFERROR(__xludf.DUMMYFUNCTION("""COMPUTED_VALUE"""),3.3)</f>
        <v>3.3</v>
      </c>
      <c r="D316" s="2">
        <f>IFERROR(__xludf.DUMMYFUNCTION("""COMPUTED_VALUE"""),0.022)</f>
        <v>0.022</v>
      </c>
      <c r="E316" s="2">
        <f>IFERROR(__xludf.DUMMYFUNCTION("""COMPUTED_VALUE"""),3195.14)</f>
        <v>3195.14</v>
      </c>
      <c r="F316" s="2">
        <f>IFERROR(__xludf.DUMMYFUNCTION("""COMPUTED_VALUE"""),3267.0)</f>
        <v>3267</v>
      </c>
      <c r="G316" s="2">
        <f>IFERROR(__xludf.DUMMYFUNCTION("""COMPUTED_VALUE"""),3675.0)</f>
        <v>3675</v>
      </c>
      <c r="H316" s="2">
        <f>IFERROR(__xludf.DUMMYFUNCTION("""COMPUTED_VALUE"""),4263.0)</f>
        <v>4263</v>
      </c>
      <c r="I316" s="2">
        <f>IFERROR(__xludf.DUMMYFUNCTION("""COMPUTED_VALUE"""),4900.0)</f>
        <v>4900</v>
      </c>
      <c r="J316" s="2">
        <f>IFERROR(__xludf.DUMMYFUNCTION("""COMPUTED_VALUE"""),2450.0)</f>
        <v>2450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GEO")</f>
        <v>Светильники светодиодные GEO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IFERROR(__xludf.DUMMYFUNCTION("""COMPUTED_VALUE"""),"V4104")</f>
        <v>V4104</v>
      </c>
      <c r="B317" s="5" t="str">
        <f>IFERROR(__xludf.DUMMYFUNCTION("""COMPUTED_VALUE"""),"VRN-LME45X140-96D-A50K67-K, 96Вт, Консольный")</f>
        <v>VRN-LME45X140-96D-A50K67-K, 96Вт,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IFERROR(__xludf.DUMMYFUNCTION("""COMPUTED_VALUE"""),4000.0)</f>
        <v>4000</v>
      </c>
      <c r="F317" s="2">
        <f>IFERROR(__xludf.DUMMYFUNCTION("""COMPUTED_VALUE"""),4625.0)</f>
        <v>4625</v>
      </c>
      <c r="G317" s="2">
        <f>IFERROR(__xludf.DUMMYFUNCTION("""COMPUTED_VALUE"""),6013.0)</f>
        <v>6013</v>
      </c>
      <c r="H317" s="2">
        <f>IFERROR(__xludf.DUMMYFUNCTION("""COMPUTED_VALUE"""),6313.0)</f>
        <v>6313</v>
      </c>
      <c r="I317" s="2">
        <f>IFERROR(__xludf.DUMMYFUNCTION("""COMPUTED_VALUE"""),6614.0)</f>
        <v>6614</v>
      </c>
      <c r="J317" s="2">
        <f>IFERROR(__xludf.DUMMYFUNCTION("""COMPUTED_VALUE"""),3307.0)</f>
        <v>3307</v>
      </c>
      <c r="K317" s="2">
        <f>IFERROR(__xludf.DUMMYFUNCTION("""COMPUTED_VALUE"""),3.0)</f>
        <v>3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8">
      <c r="A318" s="5" t="str">
        <f>IFERROR(__xludf.DUMMYFUNCTION("""COMPUTED_VALUE"""),"V9035")</f>
        <v>V9035</v>
      </c>
      <c r="B318" s="5" t="str">
        <f>IFERROR(__xludf.DUMMYFUNCTION("""COMPUTED_VALUE"""),"VRN-UNE-124-G40K67-U, 124Вт, Универсальный")</f>
        <v>VRN-UNE-124-G40K67-U, 124Вт, Универсальный</v>
      </c>
      <c r="C318" s="2">
        <f>IFERROR(__xludf.DUMMYFUNCTION("""COMPUTED_VALUE"""),0.215)</f>
        <v>0.215</v>
      </c>
      <c r="D318" s="2">
        <f>IFERROR(__xludf.DUMMYFUNCTION("""COMPUTED_VALUE"""),0.01001)</f>
        <v>0.01001</v>
      </c>
      <c r="E318" s="2">
        <f>IFERROR(__xludf.DUMMYFUNCTION("""COMPUTED_VALUE"""),4567.96)</f>
        <v>4567.96</v>
      </c>
      <c r="F318" s="2">
        <f>IFERROR(__xludf.DUMMYFUNCTION("""COMPUTED_VALUE"""),5025.0)</f>
        <v>5025</v>
      </c>
      <c r="G318" s="2">
        <f>IFERROR(__xludf.DUMMYFUNCTION("""COMPUTED_VALUE"""),6533.0)</f>
        <v>6533</v>
      </c>
      <c r="H318" s="2">
        <f>IFERROR(__xludf.DUMMYFUNCTION("""COMPUTED_VALUE"""),6859.0)</f>
        <v>6859</v>
      </c>
      <c r="I318" s="2">
        <f>IFERROR(__xludf.DUMMYFUNCTION("""COMPUTED_VALUE"""),7186.0)</f>
        <v>7186</v>
      </c>
      <c r="J318" s="2">
        <f>IFERROR(__xludf.DUMMYFUNCTION("""COMPUTED_VALUE"""),7186.0)</f>
        <v>7186</v>
      </c>
      <c r="K318" s="2">
        <f>IFERROR(__xludf.DUMMYFUNCTION("""COMPUTED_VALUE"""),3.0)</f>
        <v>3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9">
      <c r="A319" s="5" t="str">
        <f>IFERROR(__xludf.DUMMYFUNCTION("""COMPUTED_VALUE"""),"G948411206")</f>
        <v>G948411206</v>
      </c>
      <c r="B319" s="5" t="str">
        <f>IFERROR(__xludf.DUMMYFUNCTION("""COMPUTED_VALUE"""),"Квадрат. Белый, 6W, 520 Lm LED 4100K")</f>
        <v>Квадрат. Белый, 6W, 520 Lm LED 4100K</v>
      </c>
      <c r="C319" s="2">
        <f>IFERROR(__xludf.DUMMYFUNCTION("""COMPUTED_VALUE"""),0.0)</f>
        <v>0</v>
      </c>
      <c r="D319" s="2">
        <f>IFERROR(__xludf.DUMMYFUNCTION("""COMPUTED_VALUE"""),4.5E-4)</f>
        <v>0.00045</v>
      </c>
      <c r="E319" s="2">
        <f>IFERROR(__xludf.DUMMYFUNCTION("""COMPUTED_VALUE"""),207.17)</f>
        <v>207.17</v>
      </c>
      <c r="F319" s="2">
        <f>IFERROR(__xludf.DUMMYFUNCTION("""COMPUTED_VALUE"""),218.0)</f>
        <v>218</v>
      </c>
      <c r="G319" s="2">
        <f>IFERROR(__xludf.DUMMYFUNCTION("""COMPUTED_VALUE"""),240.0)</f>
        <v>240</v>
      </c>
      <c r="H319" s="2">
        <f>IFERROR(__xludf.DUMMYFUNCTION("""COMPUTED_VALUE"""),283.0)</f>
        <v>283</v>
      </c>
      <c r="I319" s="2">
        <f>IFERROR(__xludf.DUMMYFUNCTION("""COMPUTED_VALUE"""),357.0)</f>
        <v>357</v>
      </c>
      <c r="J319" s="2">
        <f>IFERROR(__xludf.DUMMYFUNCTION("""COMPUTED_VALUE"""),179.0)</f>
        <v>179</v>
      </c>
      <c r="K319" s="2">
        <f>IFERROR(__xludf.DUMMYFUNCTION("""COMPUTED_VALUE"""),10.0)</f>
        <v>10</v>
      </c>
      <c r="L319" s="2" t="str">
        <f>IFERROR(__xludf.DUMMYFUNCTION("""COMPUTED_VALUE"""),"Даунлайты")</f>
        <v>Даунлайты</v>
      </c>
      <c r="M31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0">
      <c r="A320" s="5" t="str">
        <f>IFERROR(__xludf.DUMMYFUNCTION("""COMPUTED_VALUE"""),"4690612040097")</f>
        <v>4690612040097</v>
      </c>
      <c r="B320" s="5" t="str">
        <f>IFERROR(__xludf.DUMMYFUNCTION("""COMPUTED_VALUE"""),"RLP-VC 36Вт 230В 4000К 2880Лм 220мм белая IP40 IN HOME")</f>
        <v>RLP-VC 36Вт 230В 4000К 2880Лм 220мм белая IP40 IN HOME</v>
      </c>
      <c r="C320" s="2">
        <f>IFERROR(__xludf.DUMMYFUNCTION("""COMPUTED_VALUE"""),0.32)</f>
        <v>0.32</v>
      </c>
      <c r="D320" s="2">
        <f>IFERROR(__xludf.DUMMYFUNCTION("""COMPUTED_VALUE"""),0.002)</f>
        <v>0.002</v>
      </c>
      <c r="E320" s="2">
        <f>IFERROR(__xludf.DUMMYFUNCTION("""COMPUTED_VALUE"""),362.49)</f>
        <v>362.49</v>
      </c>
      <c r="F320" s="2">
        <f>IFERROR(__xludf.DUMMYFUNCTION("""COMPUTED_VALUE"""),301.0)</f>
        <v>301</v>
      </c>
      <c r="G320" s="2">
        <f>IFERROR(__xludf.DUMMYFUNCTION("""COMPUTED_VALUE"""),338.0)</f>
        <v>338</v>
      </c>
      <c r="H320" s="2">
        <f>IFERROR(__xludf.DUMMYFUNCTION("""COMPUTED_VALUE"""),392.0)</f>
        <v>392</v>
      </c>
      <c r="I320" s="2">
        <f>IFERROR(__xludf.DUMMYFUNCTION("""COMPUTED_VALUE"""),451.0)</f>
        <v>451</v>
      </c>
      <c r="J320" s="2">
        <f>IFERROR(__xludf.DUMMYFUNCTION("""COMPUTED_VALUE"""),226.0)</f>
        <v>226</v>
      </c>
      <c r="K320" s="2">
        <f>IFERROR(__xludf.DUMMYFUNCTION("""COMPUTED_VALUE"""),1.0)</f>
        <v>1</v>
      </c>
      <c r="L3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0" s="2" t="str">
        <f>IFERROR(__xludf.DUMMYFUNCTION("""COMPUTED_VALUE"""),"Точечные круглые Downlight, LED Светильники")</f>
        <v>Точечные круглые Downlight, LED Светильники</v>
      </c>
    </row>
    <row r="321">
      <c r="A321" s="5" t="str">
        <f>IFERROR(__xludf.DUMMYFUNCTION("""COMPUTED_VALUE"""),"4690612008431-5")</f>
        <v>4690612008431-5</v>
      </c>
      <c r="B32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1" s="2">
        <f>IFERROR(__xludf.DUMMYFUNCTION("""COMPUTED_VALUE"""),0.05)</f>
        <v>0.05</v>
      </c>
      <c r="D321" s="2">
        <f>IFERROR(__xludf.DUMMYFUNCTION("""COMPUTED_VALUE"""),0.01)</f>
        <v>0.01</v>
      </c>
      <c r="E321" s="2">
        <f>IFERROR(__xludf.DUMMYFUNCTION("""COMPUTED_VALUE"""),213.65)</f>
        <v>213.65</v>
      </c>
      <c r="F321" s="2">
        <f>IFERROR(__xludf.DUMMYFUNCTION("""COMPUTED_VALUE"""),234.0)</f>
        <v>234</v>
      </c>
      <c r="G321" s="2">
        <f>IFERROR(__xludf.DUMMYFUNCTION("""COMPUTED_VALUE"""),274.0)</f>
        <v>274</v>
      </c>
      <c r="H321" s="2">
        <f>IFERROR(__xludf.DUMMYFUNCTION("""COMPUTED_VALUE"""),308.0)</f>
        <v>308</v>
      </c>
      <c r="I321" s="2">
        <f>IFERROR(__xludf.DUMMYFUNCTION("""COMPUTED_VALUE"""),342.0)</f>
        <v>342</v>
      </c>
      <c r="J321" s="2">
        <f>IFERROR(__xludf.DUMMYFUNCTION("""COMPUTED_VALUE"""),171.0)</f>
        <v>171</v>
      </c>
      <c r="K321" s="2">
        <f>IFERROR(__xludf.DUMMYFUNCTION("""COMPUTED_VALUE"""),35.0)</f>
        <v>35</v>
      </c>
      <c r="L321" s="2" t="str">
        <f>IFERROR(__xludf.DUMMYFUNCTION("""COMPUTED_VALUE"""),"Лампы производство, упаковка")</f>
        <v>Лампы производство, упаковка</v>
      </c>
      <c r="M321" s="2" t="str">
        <f>IFERROR(__xludf.DUMMYFUNCTION("""COMPUTED_VALUE"""),"Лампы")</f>
        <v>Лампы</v>
      </c>
    </row>
    <row r="322">
      <c r="A322" s="5" t="str">
        <f>IFERROR(__xludf.DUMMYFUNCTION("""COMPUTED_VALUE"""),"4690612053011-1")</f>
        <v>4690612053011-1</v>
      </c>
      <c r="B32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IFERROR(__xludf.DUMMYFUNCTION("""COMPUTED_VALUE"""),570.23)</f>
        <v>570.23</v>
      </c>
      <c r="F322" s="2">
        <f>IFERROR(__xludf.DUMMYFUNCTION("""COMPUTED_VALUE"""),626.0)</f>
        <v>626</v>
      </c>
      <c r="G322" s="2">
        <f>IFERROR(__xludf.DUMMYFUNCTION("""COMPUTED_VALUE"""),730.0)</f>
        <v>730</v>
      </c>
      <c r="H322" s="2">
        <f>IFERROR(__xludf.DUMMYFUNCTION("""COMPUTED_VALUE"""),821.0)</f>
        <v>821</v>
      </c>
      <c r="I322" s="2">
        <f>IFERROR(__xludf.DUMMYFUNCTION("""COMPUTED_VALUE"""),912.0)</f>
        <v>912</v>
      </c>
      <c r="J322" s="2">
        <f>IFERROR(__xludf.DUMMYFUNCTION("""COMPUTED_VALUE"""),456.0)</f>
        <v>456</v>
      </c>
      <c r="K322" s="2">
        <f>IFERROR(__xludf.DUMMYFUNCTION("""COMPUTED_VALUE"""),5.0)</f>
        <v>5</v>
      </c>
      <c r="L3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5" t="str">
        <f>IFERROR(__xludf.DUMMYFUNCTION("""COMPUTED_VALUE"""),"21149")</f>
        <v>21149</v>
      </c>
      <c r="B323" s="5" t="str">
        <f>IFERROR(__xludf.DUMMYFUNCTION("""COMPUTED_VALUE"""),"TLWP06 PS OL ECP 30Вт 4000лм")</f>
        <v>TLWP06 PS OL ECP 30Вт 4000лм</v>
      </c>
      <c r="C323" s="2">
        <f>IFERROR(__xludf.DUMMYFUNCTION("""COMPUTED_VALUE"""),2.5)</f>
        <v>2.5</v>
      </c>
      <c r="D323" s="2">
        <f>IFERROR(__xludf.DUMMYFUNCTION("""COMPUTED_VALUE"""),0.01482)</f>
        <v>0.01482</v>
      </c>
      <c r="E323" s="2">
        <f>IFERROR(__xludf.DUMMYFUNCTION("""COMPUTED_VALUE"""),1149.5)</f>
        <v>1149.5</v>
      </c>
      <c r="F323" s="2">
        <f>IFERROR(__xludf.DUMMYFUNCTION("""COMPUTED_VALUE"""),4029.0)</f>
        <v>4029</v>
      </c>
      <c r="G323" s="2">
        <f>IFERROR(__xludf.DUMMYFUNCTION("""COMPUTED_VALUE"""),4550.0)</f>
        <v>4550</v>
      </c>
      <c r="H323" s="2">
        <f>IFERROR(__xludf.DUMMYFUNCTION("""COMPUTED_VALUE"""),4654.0)</f>
        <v>4654</v>
      </c>
      <c r="I323" s="2">
        <f>IFERROR(__xludf.DUMMYFUNCTION("""COMPUTED_VALUE"""),5675.0)</f>
        <v>5675</v>
      </c>
      <c r="J323" s="2">
        <f>IFERROR(__xludf.DUMMYFUNCTION("""COMPUTED_VALUE"""),4029.0)</f>
        <v>4029</v>
      </c>
      <c r="K323" s="2">
        <f>IFERROR(__xludf.DUMMYFUNCTION("""COMPUTED_VALUE"""),1.0)</f>
        <v>1</v>
      </c>
      <c r="L323" s="2" t="str">
        <f>IFERROR(__xludf.DUMMYFUNCTION("""COMPUTED_VALUE"""),"Технолюкс Светильники LED TLWP (IP65)")</f>
        <v>Технолюкс Светильники LED TLWP (IP65)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5" t="str">
        <f>IFERROR(__xludf.DUMMYFUNCTION("""COMPUTED_VALUE"""),"V12040")</f>
        <v>V12040</v>
      </c>
      <c r="B324" s="5" t="str">
        <f>IFERROR(__xludf.DUMMYFUNCTION("""COMPUTED_VALUE"""),"VRN-LME45X140-53-A50K67-K, 53Вт, Консольный")</f>
        <v>VRN-LME45X140-53-A50K67-K, 53Вт, Консольный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IFERROR(__xludf.DUMMYFUNCTION("""COMPUTED_VALUE"""),2700.0)</f>
        <v>2700</v>
      </c>
      <c r="F324" s="2">
        <f>IFERROR(__xludf.DUMMYFUNCTION("""COMPUTED_VALUE"""),3120.0)</f>
        <v>3120</v>
      </c>
      <c r="G324" s="2">
        <f>IFERROR(__xludf.DUMMYFUNCTION("""COMPUTED_VALUE"""),4056.0)</f>
        <v>4056</v>
      </c>
      <c r="H324" s="2">
        <f>IFERROR(__xludf.DUMMYFUNCTION("""COMPUTED_VALUE"""),4259.0)</f>
        <v>4259</v>
      </c>
      <c r="I324" s="2">
        <f>IFERROR(__xludf.DUMMYFUNCTION("""COMPUTED_VALUE"""),4462.0)</f>
        <v>4462</v>
      </c>
      <c r="J324" s="2">
        <f>IFERROR(__xludf.DUMMYFUNCTION("""COMPUTED_VALUE"""),4259.0)</f>
        <v>4259</v>
      </c>
      <c r="K324" s="2">
        <f>IFERROR(__xludf.DUMMYFUNCTION("""COMPUTED_VALUE"""),2.0)</f>
        <v>2</v>
      </c>
      <c r="L324" s="2" t="str">
        <f>IFERROR(__xludf.DUMMYFUNCTION("""COMPUTED_VALUE"""),"Магистраль Эконом")</f>
        <v>Магистраль Эконом</v>
      </c>
      <c r="M324" s="2" t="str">
        <f>IFERROR(__xludf.DUMMYFUNCTION("""COMPUTED_VALUE"""),"Для автомагистралей, LED Светильники")</f>
        <v>Для автомагистралей, LED Светильники</v>
      </c>
    </row>
    <row r="325">
      <c r="A325" s="5" t="str">
        <f>IFERROR(__xludf.DUMMYFUNCTION("""COMPUTED_VALUE"""),"4690612035505")</f>
        <v>4690612035505</v>
      </c>
      <c r="B32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5" s="2">
        <f>IFERROR(__xludf.DUMMYFUNCTION("""COMPUTED_VALUE"""),0.22)</f>
        <v>0.22</v>
      </c>
      <c r="D325" s="2">
        <f>IFERROR(__xludf.DUMMYFUNCTION("""COMPUTED_VALUE"""),0.001)</f>
        <v>0.001</v>
      </c>
      <c r="E325" s="2">
        <f>IFERROR(__xludf.DUMMYFUNCTION("""COMPUTED_VALUE"""),432.0)</f>
        <v>432</v>
      </c>
      <c r="F325" s="2">
        <f>IFERROR(__xludf.DUMMYFUNCTION("""COMPUTED_VALUE"""),489.0)</f>
        <v>489</v>
      </c>
      <c r="G325" s="2">
        <f>IFERROR(__xludf.DUMMYFUNCTION("""COMPUTED_VALUE"""),551.0)</f>
        <v>551</v>
      </c>
      <c r="H325" s="2">
        <f>IFERROR(__xludf.DUMMYFUNCTION("""COMPUTED_VALUE"""),639.0)</f>
        <v>639</v>
      </c>
      <c r="I325" s="2">
        <f>IFERROR(__xludf.DUMMYFUNCTION("""COMPUTED_VALUE"""),734.0)</f>
        <v>734</v>
      </c>
      <c r="J325" s="2">
        <f>IFERROR(__xludf.DUMMYFUNCTION("""COMPUTED_VALUE"""),367.0)</f>
        <v>367</v>
      </c>
      <c r="K325" s="2">
        <f>IFERROR(__xludf.DUMMYFUNCTION("""COMPUTED_VALUE"""),3.0)</f>
        <v>3</v>
      </c>
      <c r="L3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5" t="str">
        <f>IFERROR(__xludf.DUMMYFUNCTION("""COMPUTED_VALUE"""),"4260529290672")</f>
        <v>4260529290672</v>
      </c>
      <c r="B326" s="5" t="str">
        <f>IFERROR(__xludf.DUMMYFUNCTION("""COMPUTED_VALUE"""),"LLFW36W05")</f>
        <v>LLFW36W05</v>
      </c>
      <c r="C326" s="2">
        <f>IFERROR(__xludf.DUMMYFUNCTION("""COMPUTED_VALUE"""),0.275)</f>
        <v>0.275</v>
      </c>
      <c r="D326" s="2">
        <f>IFERROR(__xludf.DUMMYFUNCTION("""COMPUTED_VALUE"""),0.049)</f>
        <v>0.049</v>
      </c>
      <c r="E326" s="2">
        <f>IFERROR(__xludf.DUMMYFUNCTION("""COMPUTED_VALUE"""),281.91)</f>
        <v>281.91</v>
      </c>
      <c r="F326" s="2">
        <f>IFERROR(__xludf.DUMMYFUNCTION("""COMPUTED_VALUE"""),287.0)</f>
        <v>287</v>
      </c>
      <c r="G326" s="2">
        <f>IFERROR(__xludf.DUMMYFUNCTION("""COMPUTED_VALUE"""),297.0)</f>
        <v>297</v>
      </c>
      <c r="H326" s="2">
        <f>IFERROR(__xludf.DUMMYFUNCTION("""COMPUTED_VALUE"""),389.0)</f>
        <v>389</v>
      </c>
      <c r="I326" s="2">
        <f>IFERROR(__xludf.DUMMYFUNCTION("""COMPUTED_VALUE"""),487.0)</f>
        <v>487</v>
      </c>
      <c r="J326" s="2">
        <f>IFERROR(__xludf.DUMMYFUNCTION("""COMPUTED_VALUE"""),244.0)</f>
        <v>244</v>
      </c>
      <c r="K326" s="2">
        <f>IFERROR(__xludf.DUMMYFUNCTION("""COMPUTED_VALUE"""),30.0)</f>
        <v>30</v>
      </c>
      <c r="L326" s="2" t="str">
        <f>IFERROR(__xludf.DUMMYFUNCTION("""COMPUTED_VALUE"""),"Wolta офисные")</f>
        <v>Wolta офисные</v>
      </c>
      <c r="M32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7">
      <c r="A327" s="5" t="str">
        <f>IFERROR(__xludf.DUMMYFUNCTION("""COMPUTED_VALUE"""),"4690612035017")</f>
        <v>4690612035017</v>
      </c>
      <c r="B32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7" s="2">
        <f>IFERROR(__xludf.DUMMYFUNCTION("""COMPUTED_VALUE"""),0.9800000000000001)</f>
        <v>0.98</v>
      </c>
      <c r="D327" s="2">
        <f>IFERROR(__xludf.DUMMYFUNCTION("""COMPUTED_VALUE"""),0.018)</f>
        <v>0.018</v>
      </c>
      <c r="E327" s="2">
        <f>IFERROR(__xludf.DUMMYFUNCTION("""COMPUTED_VALUE"""),1301.09)</f>
        <v>1301.09</v>
      </c>
      <c r="F327" s="2">
        <f>IFERROR(__xludf.DUMMYFUNCTION("""COMPUTED_VALUE"""),1439.0)</f>
        <v>1439</v>
      </c>
      <c r="G327" s="2">
        <f>IFERROR(__xludf.DUMMYFUNCTION("""COMPUTED_VALUE"""),1619.0)</f>
        <v>1619</v>
      </c>
      <c r="H327" s="2">
        <f>IFERROR(__xludf.DUMMYFUNCTION("""COMPUTED_VALUE"""),1877.0)</f>
        <v>1877</v>
      </c>
      <c r="I327" s="2">
        <f>IFERROR(__xludf.DUMMYFUNCTION("""COMPUTED_VALUE"""),2158.0)</f>
        <v>2158</v>
      </c>
      <c r="J327" s="2">
        <f>IFERROR(__xludf.DUMMYFUNCTION("""COMPUTED_VALUE"""),1079.0)</f>
        <v>1079</v>
      </c>
      <c r="K327" s="2">
        <f>IFERROR(__xludf.DUMMYFUNCTION("""COMPUTED_VALUE"""),2.0)</f>
        <v>2</v>
      </c>
      <c r="L327" s="2" t="str">
        <f>IFERROR(__xludf.DUMMYFUNCTION("""COMPUTED_VALUE"""),"Светильники светодиодные COMFORT")</f>
        <v>Светильники светодиодные COMFORT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IFERROR(__xludf.DUMMYFUNCTION("""COMPUTED_VALUE"""),"4690612035123")</f>
        <v>4690612035123</v>
      </c>
      <c r="B32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8" s="2">
        <f>IFERROR(__xludf.DUMMYFUNCTION("""COMPUTED_VALUE"""),1.84)</f>
        <v>1.84</v>
      </c>
      <c r="D328" s="2">
        <f>IFERROR(__xludf.DUMMYFUNCTION("""COMPUTED_VALUE"""),0.0362)</f>
        <v>0.0362</v>
      </c>
      <c r="E328" s="2">
        <f>IFERROR(__xludf.DUMMYFUNCTION("""COMPUTED_VALUE"""),1.0)</f>
        <v>1</v>
      </c>
      <c r="F328" s="2">
        <f>IFERROR(__xludf.DUMMYFUNCTION("""COMPUTED_VALUE"""),1530.0)</f>
        <v>1530</v>
      </c>
      <c r="G328" s="2">
        <f>IFERROR(__xludf.DUMMYFUNCTION("""COMPUTED_VALUE"""),1721.0)</f>
        <v>1721</v>
      </c>
      <c r="H328" s="2">
        <f>IFERROR(__xludf.DUMMYFUNCTION("""COMPUTED_VALUE"""),1997.0)</f>
        <v>1997</v>
      </c>
      <c r="I328" s="2">
        <f>IFERROR(__xludf.DUMMYFUNCTION("""COMPUTED_VALUE"""),2295.0)</f>
        <v>2295</v>
      </c>
      <c r="J328" s="2">
        <f>IFERROR(__xludf.DUMMYFUNCTION("""COMPUTED_VALUE"""),1148.0)</f>
        <v>1148</v>
      </c>
      <c r="K328" s="2">
        <f>IFERROR(__xludf.DUMMYFUNCTION("""COMPUTED_VALUE"""),1.0)</f>
        <v>1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IFERROR(__xludf.DUMMYFUNCTION("""COMPUTED_VALUE"""),"4690612020365")</f>
        <v>4690612020365</v>
      </c>
      <c r="B329" s="5" t="str">
        <f>IFERROR(__xludf.DUMMYFUNCTION("""COMPUTED_VALUE"""),"LED-JCDR-VC 6Вт 230В GU5.3 3000К 530Лм IN HOME")</f>
        <v>LED-JCDR-VC 6Вт 230В GU5.3 3000К 530Лм IN HOME</v>
      </c>
      <c r="C329" s="2">
        <f>IFERROR(__xludf.DUMMYFUNCTION("""COMPUTED_VALUE"""),0.03)</f>
        <v>0.03</v>
      </c>
      <c r="D329" s="2">
        <f>IFERROR(__xludf.DUMMYFUNCTION("""COMPUTED_VALUE"""),2.1E-4)</f>
        <v>0.00021</v>
      </c>
      <c r="E329" s="2">
        <f>IFERROR(__xludf.DUMMYFUNCTION("""COMPUTED_VALUE"""),32.11)</f>
        <v>32.11</v>
      </c>
      <c r="F329" s="2">
        <f>IFERROR(__xludf.DUMMYFUNCTION("""COMPUTED_VALUE"""),43.0)</f>
        <v>43</v>
      </c>
      <c r="G329" s="2">
        <f>IFERROR(__xludf.DUMMYFUNCTION("""COMPUTED_VALUE"""),49.0)</f>
        <v>49</v>
      </c>
      <c r="H329" s="2">
        <f>IFERROR(__xludf.DUMMYFUNCTION("""COMPUTED_VALUE"""),56.0)</f>
        <v>56</v>
      </c>
      <c r="I329" s="2">
        <f>IFERROR(__xludf.DUMMYFUNCTION("""COMPUTED_VALUE"""),65.4)</f>
        <v>65.4</v>
      </c>
      <c r="J329" s="2">
        <f>IFERROR(__xludf.DUMMYFUNCTION("""COMPUTED_VALUE"""),33.0)</f>
        <v>33</v>
      </c>
      <c r="K329" s="2">
        <f>IFERROR(__xludf.DUMMYFUNCTION("""COMPUTED_VALUE"""),23.0)</f>
        <v>23</v>
      </c>
      <c r="L329" s="2" t="str">
        <f>IFERROR(__xludf.DUMMYFUNCTION("""COMPUTED_VALUE"""),"Лампа светодиодная LED-JCDR-standard")</f>
        <v>Лампа светодиодная LED-JCDR-standard</v>
      </c>
      <c r="M329" s="2" t="str">
        <f>IFERROR(__xludf.DUMMYFUNCTION("""COMPUTED_VALUE"""),"Лампы")</f>
        <v>Лампы</v>
      </c>
    </row>
    <row r="330">
      <c r="A330" s="5" t="str">
        <f>IFERROR(__xludf.DUMMYFUNCTION("""COMPUTED_VALUE"""),"4690612057309-1")</f>
        <v>4690612057309-1</v>
      </c>
      <c r="B33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IFERROR(__xludf.DUMMYFUNCTION("""COMPUTED_VALUE"""),1100.66)</f>
        <v>1100.66</v>
      </c>
      <c r="F330" s="2">
        <f>IFERROR(__xludf.DUMMYFUNCTION("""COMPUTED_VALUE"""),1208.0)</f>
        <v>1208</v>
      </c>
      <c r="G330" s="2">
        <f>IFERROR(__xludf.DUMMYFUNCTION("""COMPUTED_VALUE"""),1409.0)</f>
        <v>1409</v>
      </c>
      <c r="H330" s="2">
        <f>IFERROR(__xludf.DUMMYFUNCTION("""COMPUTED_VALUE"""),1585.0)</f>
        <v>1585</v>
      </c>
      <c r="I330" s="2">
        <f>IFERROR(__xludf.DUMMYFUNCTION("""COMPUTED_VALUE"""),1761.0)</f>
        <v>1761</v>
      </c>
      <c r="J330" s="2">
        <f>IFERROR(__xludf.DUMMYFUNCTION("""COMPUTED_VALUE"""),881.0)</f>
        <v>881</v>
      </c>
      <c r="K330" s="2">
        <f>IFERROR(__xludf.DUMMYFUNCTION("""COMPUTED_VALUE"""),5.0)</f>
        <v>5</v>
      </c>
      <c r="L3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1">
      <c r="A331" s="5" t="str">
        <f>IFERROR(__xludf.DUMMYFUNCTION("""COMPUTED_VALUE"""),"4690612033631")</f>
        <v>4690612033631</v>
      </c>
      <c r="B331" s="5" t="str">
        <f>IFERROR(__xludf.DUMMYFUNCTION("""COMPUTED_VALUE"""),"DECO 18Вт 230В 4000К 1170Лм 230х55мм ДАЙМОНД IN HOME")</f>
        <v>DECO 18Вт 230В 4000К 1170Лм 230х55мм ДАЙМОНД IN HOME</v>
      </c>
      <c r="C331" s="2">
        <f>IFERROR(__xludf.DUMMYFUNCTION("""COMPUTED_VALUE"""),0.31)</f>
        <v>0.31</v>
      </c>
      <c r="D331" s="2">
        <f>IFERROR(__xludf.DUMMYFUNCTION("""COMPUTED_VALUE"""),0.004500000000000001)</f>
        <v>0.0045</v>
      </c>
      <c r="E331" s="2">
        <f>IFERROR(__xludf.DUMMYFUNCTION("""COMPUTED_VALUE"""),300.1)</f>
        <v>300.1</v>
      </c>
      <c r="F331" s="2">
        <f>IFERROR(__xludf.DUMMYFUNCTION("""COMPUTED_VALUE"""),356.0)</f>
        <v>356</v>
      </c>
      <c r="G331" s="2">
        <f>IFERROR(__xludf.DUMMYFUNCTION("""COMPUTED_VALUE"""),401.0)</f>
        <v>401</v>
      </c>
      <c r="H331" s="2">
        <f>IFERROR(__xludf.DUMMYFUNCTION("""COMPUTED_VALUE"""),465.0)</f>
        <v>465</v>
      </c>
      <c r="I331" s="2">
        <f>IFERROR(__xludf.DUMMYFUNCTION("""COMPUTED_VALUE"""),534.0)</f>
        <v>534</v>
      </c>
      <c r="J331" s="2">
        <f>IFERROR(__xludf.DUMMYFUNCTION("""COMPUTED_VALUE"""),267.0)</f>
        <v>267</v>
      </c>
      <c r="K331" s="2">
        <f>IFERROR(__xludf.DUMMYFUNCTION("""COMPUTED_VALUE"""),4.0)</f>
        <v>4</v>
      </c>
      <c r="L331" s="2" t="str">
        <f>IFERROR(__xludf.DUMMYFUNCTION("""COMPUTED_VALUE"""),"Светильник светодиодный серии DECO")</f>
        <v>Светильник светодиодный серии DECO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5" t="str">
        <f>IFERROR(__xludf.DUMMYFUNCTION("""COMPUTED_VALUE"""),"55073")</f>
        <v>55073</v>
      </c>
      <c r="B33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IFERROR(__xludf.DUMMYFUNCTION("""COMPUTED_VALUE"""),944.6800000000001)</f>
        <v>944.68</v>
      </c>
      <c r="F332" s="2">
        <f>IFERROR(__xludf.DUMMYFUNCTION("""COMPUTED_VALUE"""),989.0)</f>
        <v>989</v>
      </c>
      <c r="G332" s="2">
        <f>IFERROR(__xludf.DUMMYFUNCTION("""COMPUTED_VALUE"""),1079.0)</f>
        <v>1079</v>
      </c>
      <c r="H332" s="2">
        <f>IFERROR(__xludf.DUMMYFUNCTION("""COMPUTED_VALUE"""),1169.0)</f>
        <v>1169</v>
      </c>
      <c r="I332" s="2">
        <f>IFERROR(__xludf.DUMMYFUNCTION("""COMPUTED_VALUE"""),1259.0)</f>
        <v>1259</v>
      </c>
      <c r="J332" s="2">
        <f>IFERROR(__xludf.DUMMYFUNCTION("""COMPUTED_VALUE"""),630.0)</f>
        <v>630</v>
      </c>
      <c r="K332" s="2">
        <f>IFERROR(__xludf.DUMMYFUNCTION("""COMPUTED_VALUE"""),8.0)</f>
        <v>8</v>
      </c>
      <c r="L332" s="2" t="str">
        <f>IFERROR(__xludf.DUMMYFUNCTION("""COMPUTED_VALUE"""),"Праздничная иллюминация")</f>
        <v>Праздничная иллюминация</v>
      </c>
      <c r="M3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3">
      <c r="A333" s="5" t="str">
        <f>IFERROR(__xludf.DUMMYFUNCTION("""COMPUTED_VALUE"""),"4260652192546")</f>
        <v>4260652192546</v>
      </c>
      <c r="B333" s="5" t="str">
        <f>IFERROR(__xludf.DUMMYFUNCTION("""COMPUTED_VALUE"""),"WTL-15W/01W")</f>
        <v>WTL-15W/01W</v>
      </c>
      <c r="C333" s="2">
        <f>IFERROR(__xludf.DUMMYFUNCTION("""COMPUTED_VALUE"""),0.235)</f>
        <v>0.235</v>
      </c>
      <c r="D333" s="2">
        <f>IFERROR(__xludf.DUMMYFUNCTION("""COMPUTED_VALUE"""),8.300000000000001E-4)</f>
        <v>0.00083</v>
      </c>
      <c r="E333" s="2">
        <f>IFERROR(__xludf.DUMMYFUNCTION("""COMPUTED_VALUE"""),472.23)</f>
        <v>472.23</v>
      </c>
      <c r="F333" s="2">
        <f>IFERROR(__xludf.DUMMYFUNCTION("""COMPUTED_VALUE"""),590.0)</f>
        <v>590</v>
      </c>
      <c r="G333" s="2">
        <f>IFERROR(__xludf.DUMMYFUNCTION("""COMPUTED_VALUE"""),610.0)</f>
        <v>610</v>
      </c>
      <c r="H333" s="2">
        <f>IFERROR(__xludf.DUMMYFUNCTION("""COMPUTED_VALUE"""),800.0)</f>
        <v>800</v>
      </c>
      <c r="I333" s="2">
        <f>IFERROR(__xludf.DUMMYFUNCTION("""COMPUTED_VALUE"""),999.0)</f>
        <v>999</v>
      </c>
      <c r="J333" s="2">
        <f>IFERROR(__xludf.DUMMYFUNCTION("""COMPUTED_VALUE"""),500.0)</f>
        <v>500</v>
      </c>
      <c r="K333" s="2">
        <f>IFERROR(__xludf.DUMMYFUNCTION("""COMPUTED_VALUE"""),1.0)</f>
        <v>1</v>
      </c>
      <c r="L333" s="2" t="str">
        <f>IFERROR(__xludf.DUMMYFUNCTION("""COMPUTED_VALUE"""),"Wolta трековые")</f>
        <v>Wolta трековые</v>
      </c>
      <c r="M333" s="2" t="str">
        <f>IFERROR(__xludf.DUMMYFUNCTION("""COMPUTED_VALUE"""),"Трековые, LED Светильники")</f>
        <v>Трековые, LED Светильники</v>
      </c>
    </row>
    <row r="334">
      <c r="A334" s="5" t="str">
        <f>IFERROR(__xludf.DUMMYFUNCTION("""COMPUTED_VALUE"""),"V9002")</f>
        <v>V9002</v>
      </c>
      <c r="B334" s="5" t="str">
        <f>IFERROR(__xludf.DUMMYFUNCTION("""COMPUTED_VALUE"""),"VRN-UNE-32-G40K67-K, 32Вт, Консольный")</f>
        <v>VRN-UNE-32-G40K67-K, 32Вт, Консольный</v>
      </c>
      <c r="C334" s="2">
        <f>IFERROR(__xludf.DUMMYFUNCTION("""COMPUTED_VALUE"""),0.106)</f>
        <v>0.106</v>
      </c>
      <c r="D334" s="2">
        <f>IFERROR(__xludf.DUMMYFUNCTION("""COMPUTED_VALUE"""),0.004030000000000001)</f>
        <v>0.00403</v>
      </c>
      <c r="E334" s="2">
        <f>IFERROR(__xludf.DUMMYFUNCTION("""COMPUTED_VALUE"""),1744.2)</f>
        <v>1744.2</v>
      </c>
      <c r="F334" s="2">
        <f>IFERROR(__xludf.DUMMYFUNCTION("""COMPUTED_VALUE"""),2020.0)</f>
        <v>2020</v>
      </c>
      <c r="G334" s="2">
        <f>IFERROR(__xludf.DUMMYFUNCTION("""COMPUTED_VALUE"""),2626.0)</f>
        <v>2626</v>
      </c>
      <c r="H334" s="2">
        <f>IFERROR(__xludf.DUMMYFUNCTION("""COMPUTED_VALUE"""),2757.0)</f>
        <v>2757</v>
      </c>
      <c r="I334" s="2">
        <f>IFERROR(__xludf.DUMMYFUNCTION("""COMPUTED_VALUE"""),2889.0)</f>
        <v>2889</v>
      </c>
      <c r="J334" s="2">
        <f>IFERROR(__xludf.DUMMYFUNCTION("""COMPUTED_VALUE"""),1445.0)</f>
        <v>1445</v>
      </c>
      <c r="K334" s="2">
        <f>IFERROR(__xludf.DUMMYFUNCTION("""COMPUTED_VALUE"""),0.0)</f>
        <v>0</v>
      </c>
      <c r="L334" s="2" t="str">
        <f>IFERROR(__xludf.DUMMYFUNCTION("""COMPUTED_VALUE"""),"Универсал Эконом")</f>
        <v>Универсал Эконом</v>
      </c>
      <c r="M334" s="2" t="str">
        <f>IFERROR(__xludf.DUMMYFUNCTION("""COMPUTED_VALUE"""),"Для обычных дорог, LED Светильники")</f>
        <v>Для обычных дорог, LED Светильники</v>
      </c>
    </row>
    <row r="335">
      <c r="A335" s="5" t="str">
        <f>IFERROR(__xludf.DUMMYFUNCTION("""COMPUTED_VALUE"""),"4690612008912")</f>
        <v>4690612008912</v>
      </c>
      <c r="B33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5" s="2">
        <f>IFERROR(__xludf.DUMMYFUNCTION("""COMPUTED_VALUE"""),1.645)</f>
        <v>1.645</v>
      </c>
      <c r="D335" s="2">
        <f>IFERROR(__xludf.DUMMYFUNCTION("""COMPUTED_VALUE"""),0.004)</f>
        <v>0.004</v>
      </c>
      <c r="E335" s="2">
        <f>IFERROR(__xludf.DUMMYFUNCTION("""COMPUTED_VALUE"""),570.92)</f>
        <v>570.92</v>
      </c>
      <c r="F335" s="2">
        <f>IFERROR(__xludf.DUMMYFUNCTION("""COMPUTED_VALUE"""),567.0)</f>
        <v>567</v>
      </c>
      <c r="G335" s="2">
        <f>IFERROR(__xludf.DUMMYFUNCTION("""COMPUTED_VALUE"""),638.0)</f>
        <v>638</v>
      </c>
      <c r="H335" s="2">
        <f>IFERROR(__xludf.DUMMYFUNCTION("""COMPUTED_VALUE"""),740.0)</f>
        <v>740</v>
      </c>
      <c r="I335" s="2">
        <f>IFERROR(__xludf.DUMMYFUNCTION("""COMPUTED_VALUE"""),850.0)</f>
        <v>850</v>
      </c>
      <c r="J335" s="2">
        <f>IFERROR(__xludf.DUMMYFUNCTION("""COMPUTED_VALUE"""),425.0)</f>
        <v>425</v>
      </c>
      <c r="K335" s="2">
        <f>IFERROR(__xludf.DUMMYFUNCTION("""COMPUTED_VALUE"""),8.0)</f>
        <v>8</v>
      </c>
      <c r="L335" s="2" t="str">
        <f>IFERROR(__xludf.DUMMYFUNCTION("""COMPUTED_VALUE"""),"Панели светодиодные LP серии PRO")</f>
        <v>Панели светодиодные LP серии PRO</v>
      </c>
      <c r="M33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6">
      <c r="A336" s="5" t="str">
        <f>IFERROR(__xludf.DUMMYFUNCTION("""COMPUTED_VALUE"""),"GL81511")</f>
        <v>GL81511</v>
      </c>
      <c r="B336" s="5" t="str">
        <f>IFERROR(__xludf.DUMMYFUNCTION("""COMPUTED_VALUE"""),"GLERIO Office Special 40 Вт 4000K 82P-40D-4V-P")</f>
        <v>GLERIO Office Special 40 Вт 4000K 82P-40D-4V-P</v>
      </c>
      <c r="C336" s="2">
        <f>IFERROR(__xludf.DUMMYFUNCTION("""COMPUTED_VALUE"""),1.14)</f>
        <v>1.14</v>
      </c>
      <c r="D336" s="2">
        <f>IFERROR(__xludf.DUMMYFUNCTION("""COMPUTED_VALUE"""),0.008190000000000001)</f>
        <v>0.00819</v>
      </c>
      <c r="E336" s="2">
        <f>IFERROR(__xludf.DUMMYFUNCTION("""COMPUTED_VALUE"""),2308.6)</f>
        <v>2308.6</v>
      </c>
      <c r="F336" s="2">
        <f>IFERROR(__xludf.DUMMYFUNCTION("""COMPUTED_VALUE"""),2660.0)</f>
        <v>2660</v>
      </c>
      <c r="G336" s="2">
        <f>IFERROR(__xludf.DUMMYFUNCTION("""COMPUTED_VALUE"""),3349.0)</f>
        <v>3349</v>
      </c>
      <c r="H336" s="2">
        <f>IFERROR(__xludf.DUMMYFUNCTION("""COMPUTED_VALUE"""),3761.0)</f>
        <v>3761</v>
      </c>
      <c r="I336" s="2">
        <f>IFERROR(__xludf.DUMMYFUNCTION("""COMPUTED_VALUE"""),4173.0)</f>
        <v>4173</v>
      </c>
      <c r="J336" s="2">
        <f>IFERROR(__xludf.DUMMYFUNCTION("""COMPUTED_VALUE"""),2087.0)</f>
        <v>2087</v>
      </c>
      <c r="K336" s="2">
        <f>IFERROR(__xludf.DUMMYFUNCTION("""COMPUTED_VALUE"""),15.0)</f>
        <v>15</v>
      </c>
      <c r="L336" s="2" t="str">
        <f>IFERROR(__xludf.DUMMYFUNCTION("""COMPUTED_VALUE"""),"Office Special+ GLERIO (Офис Премиум)")</f>
        <v>Office Special+ GLERIO (Офис Премиум)</v>
      </c>
      <c r="M3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7">
      <c r="A337" s="5" t="str">
        <f>IFERROR(__xludf.DUMMYFUNCTION("""COMPUTED_VALUE"""),"GL8273")</f>
        <v>GL8273</v>
      </c>
      <c r="B337" s="5" t="str">
        <f>IFERROR(__xludf.DUMMYFUNCTION("""COMPUTED_VALUE"""),"GLERIO Line Free 36 Вт 4000К 93P-36D-4P-K")</f>
        <v>GLERIO Line Free 36 Вт 4000К 93P-36D-4P-K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IFERROR(__xludf.DUMMYFUNCTION("""COMPUTED_VALUE"""),1823.9)</f>
        <v>1823.9</v>
      </c>
      <c r="F337" s="2">
        <f>IFERROR(__xludf.DUMMYFUNCTION("""COMPUTED_VALUE"""),2150.0)</f>
        <v>2150</v>
      </c>
      <c r="G337" s="2">
        <f>IFERROR(__xludf.DUMMYFUNCTION("""COMPUTED_VALUE"""),2707.0)</f>
        <v>2707</v>
      </c>
      <c r="H337" s="2">
        <f>IFERROR(__xludf.DUMMYFUNCTION("""COMPUTED_VALUE"""),3040.0)</f>
        <v>3040</v>
      </c>
      <c r="I337" s="2">
        <f>IFERROR(__xludf.DUMMYFUNCTION("""COMPUTED_VALUE"""),3373.0)</f>
        <v>3373</v>
      </c>
      <c r="J337" s="2">
        <f>IFERROR(__xludf.DUMMYFUNCTION("""COMPUTED_VALUE"""),2707.0)</f>
        <v>2707</v>
      </c>
      <c r="K337" s="2">
        <f>IFERROR(__xludf.DUMMYFUNCTION("""COMPUTED_VALUE"""),1.0)</f>
        <v>1</v>
      </c>
      <c r="L337" s="2" t="str">
        <f>IFERROR(__xludf.DUMMYFUNCTION("""COMPUTED_VALUE"""),"Line Shell, Free (Retail) до 10.2025")</f>
        <v>Line Shell, Free (Retail)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IFERROR(__xludf.DUMMYFUNCTION("""COMPUTED_VALUE"""),"4690612042718")</f>
        <v>4690612042718</v>
      </c>
      <c r="B33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8" s="2">
        <f>IFERROR(__xludf.DUMMYFUNCTION("""COMPUTED_VALUE"""),4.800000000000001)</f>
        <v>4.8</v>
      </c>
      <c r="D338" s="2">
        <f>IFERROR(__xludf.DUMMYFUNCTION("""COMPUTED_VALUE"""),0.032)</f>
        <v>0.032</v>
      </c>
      <c r="E338" s="2">
        <f>IFERROR(__xludf.DUMMYFUNCTION("""COMPUTED_VALUE"""),625.2)</f>
        <v>625.2</v>
      </c>
      <c r="F338" s="2">
        <f>IFERROR(__xludf.DUMMYFUNCTION("""COMPUTED_VALUE"""),818.0)</f>
        <v>818</v>
      </c>
      <c r="G338" s="2">
        <f>IFERROR(__xludf.DUMMYFUNCTION("""COMPUTED_VALUE"""),920.0)</f>
        <v>920</v>
      </c>
      <c r="H338" s="2">
        <f>IFERROR(__xludf.DUMMYFUNCTION("""COMPUTED_VALUE"""),1067.0)</f>
        <v>1067</v>
      </c>
      <c r="I338" s="2">
        <f>IFERROR(__xludf.DUMMYFUNCTION("""COMPUTED_VALUE"""),1227.0)</f>
        <v>1227</v>
      </c>
      <c r="J338" s="2">
        <f>IFERROR(__xludf.DUMMYFUNCTION("""COMPUTED_VALUE"""),614.0)</f>
        <v>614</v>
      </c>
      <c r="K338" s="2">
        <f>IFERROR(__xludf.DUMMYFUNCTION("""COMPUTED_VALUE"""),39.0)</f>
        <v>39</v>
      </c>
      <c r="L338" s="2" t="str">
        <f>IFERROR(__xludf.DUMMYFUNCTION("""COMPUTED_VALUE"""),"NEOX Светильники LED ДВО")</f>
        <v>NEOX Светильники LED ДВО</v>
      </c>
      <c r="M33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9">
      <c r="A339" s="5" t="str">
        <f>IFERROR(__xludf.DUMMYFUNCTION("""COMPUTED_VALUE"""),"CS30")</f>
        <v>CS30</v>
      </c>
      <c r="B339" s="5" t="str">
        <f>IFERROR(__xludf.DUMMYFUNCTION("""COMPUTED_VALUE"""),"Лампа светодиодная, 18W 230V G13 4000К ТВ, SBT1218")</f>
        <v>Лампа светодиодная, 18W 230V G13 4000К ТВ, SBT1218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IFERROR(__xludf.DUMMYFUNCTION("""COMPUTED_VALUE"""),92.47)</f>
        <v>92.47</v>
      </c>
      <c r="F339" s="2">
        <f>IFERROR(__xludf.DUMMYFUNCTION("""COMPUTED_VALUE"""),50.0)</f>
        <v>50</v>
      </c>
      <c r="G339" s="2">
        <f>IFERROR(__xludf.DUMMYFUNCTION("""COMPUTED_VALUE"""),53.0)</f>
        <v>53</v>
      </c>
      <c r="H339" s="2">
        <f>IFERROR(__xludf.DUMMYFUNCTION("""COMPUTED_VALUE"""),60.0)</f>
        <v>60</v>
      </c>
      <c r="I339" s="2">
        <f>IFERROR(__xludf.DUMMYFUNCTION("""COMPUTED_VALUE"""),66.24)</f>
        <v>66.24</v>
      </c>
      <c r="J339" s="2">
        <f>IFERROR(__xludf.DUMMYFUNCTION("""COMPUTED_VALUE"""),33.0)</f>
        <v>33</v>
      </c>
      <c r="K339" s="2">
        <f>IFERROR(__xludf.DUMMYFUNCTION("""COMPUTED_VALUE"""),45.0)</f>
        <v>45</v>
      </c>
      <c r="L339" s="2" t="str">
        <f>IFERROR(__xludf.DUMMYFUNCTION("""COMPUTED_VALUE"""),"CS")</f>
        <v>CS</v>
      </c>
      <c r="M339" s="2" t="str">
        <f>IFERROR(__xludf.DUMMYFUNCTION("""COMPUTED_VALUE"""),"LED Светильники")</f>
        <v>LED Светильники</v>
      </c>
    </row>
    <row r="340">
      <c r="A340" s="5" t="str">
        <f>IFERROR(__xludf.DUMMYFUNCTION("""COMPUTED_VALUE"""),"4260652193208")</f>
        <v>4260652193208</v>
      </c>
      <c r="B340" s="5" t="str">
        <f>IFERROR(__xludf.DUMMYFUNCTION("""COMPUTED_VALUE"""),"LCL04-8W-R01-6K")</f>
        <v>LCL04-8W-R01-6K</v>
      </c>
      <c r="C340" s="2">
        <f>IFERROR(__xludf.DUMMYFUNCTION("""COMPUTED_VALUE"""),0.09000000000000001)</f>
        <v>0.09</v>
      </c>
      <c r="D340" s="2">
        <f>IFERROR(__xludf.DUMMYFUNCTION("""COMPUTED_VALUE"""),0.05180000000000001)</f>
        <v>0.0518</v>
      </c>
      <c r="E340" s="2">
        <f>IFERROR(__xludf.DUMMYFUNCTION("""COMPUTED_VALUE"""),192.53)</f>
        <v>192.53</v>
      </c>
      <c r="F340" s="2">
        <f>IFERROR(__xludf.DUMMYFUNCTION("""COMPUTED_VALUE"""),179.0)</f>
        <v>179</v>
      </c>
      <c r="G340" s="2">
        <f>IFERROR(__xludf.DUMMYFUNCTION("""COMPUTED_VALUE"""),185.0)</f>
        <v>185</v>
      </c>
      <c r="H340" s="2">
        <f>IFERROR(__xludf.DUMMYFUNCTION("""COMPUTED_VALUE"""),242.0)</f>
        <v>242</v>
      </c>
      <c r="I340" s="2">
        <f>IFERROR(__xludf.DUMMYFUNCTION("""COMPUTED_VALUE"""),303.0)</f>
        <v>303</v>
      </c>
      <c r="J340" s="2">
        <f>IFERROR(__xludf.DUMMYFUNCTION("""COMPUTED_VALUE"""),185.0)</f>
        <v>185</v>
      </c>
      <c r="K340" s="2">
        <f>IFERROR(__xludf.DUMMYFUNCTION("""COMPUTED_VALUE"""),105.0)</f>
        <v>105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IFERROR(__xludf.DUMMYFUNCTION("""COMPUTED_VALUE"""),"V1046")</f>
        <v>V1046</v>
      </c>
      <c r="B341" s="5" t="str">
        <f>IFERROR(__xludf.DUMMYFUNCTION("""COMPUTED_VALUE"""),"VRN-UN-48D-G50K67-UV, 48Вт, Галочка")</f>
        <v>VRN-UN-48D-G50K67-UV, 48Вт, Галочка</v>
      </c>
      <c r="C341" s="2">
        <f>IFERROR(__xludf.DUMMYFUNCTION("""COMPUTED_VALUE"""),1.85)</f>
        <v>1.85</v>
      </c>
      <c r="D341" s="2">
        <f>IFERROR(__xludf.DUMMYFUNCTION("""COMPUTED_VALUE"""),0.0085)</f>
        <v>0.0085</v>
      </c>
      <c r="E341" s="2">
        <f>IFERROR(__xludf.DUMMYFUNCTION("""COMPUTED_VALUE"""),3781.0)</f>
        <v>3781</v>
      </c>
      <c r="F341" s="2">
        <f>IFERROR(__xludf.DUMMYFUNCTION("""COMPUTED_VALUE"""),4465.0)</f>
        <v>4465</v>
      </c>
      <c r="G341" s="2">
        <f>IFERROR(__xludf.DUMMYFUNCTION("""COMPUTED_VALUE"""),5805.0)</f>
        <v>5805</v>
      </c>
      <c r="H341" s="2">
        <f>IFERROR(__xludf.DUMMYFUNCTION("""COMPUTED_VALUE"""),6095.0)</f>
        <v>6095</v>
      </c>
      <c r="I341" s="2">
        <f>IFERROR(__xludf.DUMMYFUNCTION("""COMPUTED_VALUE"""),6385.0)</f>
        <v>6385</v>
      </c>
      <c r="J341" s="2">
        <f>IFERROR(__xludf.DUMMYFUNCTION("""COMPUTED_VALUE"""),6095.0)</f>
        <v>6095</v>
      </c>
      <c r="K341" s="2">
        <f>IFERROR(__xludf.DUMMYFUNCTION("""COMPUTED_VALUE"""),1.0)</f>
        <v>1</v>
      </c>
      <c r="L341" s="2" t="str">
        <f>IFERROR(__xludf.DUMMYFUNCTION("""COMPUTED_VALUE"""),"Универсал")</f>
        <v>Универсал</v>
      </c>
      <c r="M3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2">
      <c r="A342" s="5" t="str">
        <f>IFERROR(__xludf.DUMMYFUNCTION("""COMPUTED_VALUE"""),"4690626067448")</f>
        <v>4690626067448</v>
      </c>
      <c r="B342" s="5" t="str">
        <f>IFERROR(__xludf.DUMMYFUNCTION("""COMPUTED_VALUE"""),"SL3 Smartbuy-70w/6000K/IP65 (SBL-SL3-70-6K)")</f>
        <v>SL3 Smartbuy-70w/6000K/IP65 (SBL-SL3-70-6K)</v>
      </c>
      <c r="C342" s="2">
        <f>IFERROR(__xludf.DUMMYFUNCTION("""COMPUTED_VALUE"""),1.0)</f>
        <v>1</v>
      </c>
      <c r="D342" s="2">
        <f>IFERROR(__xludf.DUMMYFUNCTION("""COMPUTED_VALUE"""),0.0036)</f>
        <v>0.0036</v>
      </c>
      <c r="E342" s="2">
        <f>IFERROR(__xludf.DUMMYFUNCTION("""COMPUTED_VALUE"""),908.46)</f>
        <v>908.46</v>
      </c>
      <c r="F342" s="2">
        <f>IFERROR(__xludf.DUMMYFUNCTION("""COMPUTED_VALUE"""),1009.0)</f>
        <v>1009</v>
      </c>
      <c r="G342" s="2">
        <f>IFERROR(__xludf.DUMMYFUNCTION("""COMPUTED_VALUE"""),1107.0)</f>
        <v>1107</v>
      </c>
      <c r="H342" s="2">
        <f>IFERROR(__xludf.DUMMYFUNCTION("""COMPUTED_VALUE"""),1230.0)</f>
        <v>1230</v>
      </c>
      <c r="I342" s="2">
        <f>IFERROR(__xludf.DUMMYFUNCTION("""COMPUTED_VALUE"""),1353.0)</f>
        <v>1353</v>
      </c>
      <c r="J342" s="2">
        <f>IFERROR(__xludf.DUMMYFUNCTION("""COMPUTED_VALUE"""),1353.0)</f>
        <v>1353</v>
      </c>
      <c r="K342" s="2">
        <f>IFERROR(__xludf.DUMMYFUNCTION("""COMPUTED_VALUE"""),13.0)</f>
        <v>13</v>
      </c>
      <c r="L342" s="2" t="str">
        <f>IFERROR(__xludf.DUMMYFUNCTION("""COMPUTED_VALUE"""),"Smartbuy LED светильники")</f>
        <v>Smartbuy LED светильники</v>
      </c>
      <c r="M34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3">
      <c r="A343" s="5" t="str">
        <f>IFERROR(__xludf.DUMMYFUNCTION("""COMPUTED_VALUE"""),"12-0152")</f>
        <v>12-0152</v>
      </c>
      <c r="B343" s="5" t="str">
        <f>IFERROR(__xludf.DUMMYFUNCTION("""COMPUTED_VALUE"""),"Паяльная станция (160-500 град.) 220 V/48 Вт REXANT")</f>
        <v>Паяльная станция (160-500 град.) 220 V/48 Вт REXANT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IFERROR(__xludf.DUMMYFUNCTION("""COMPUTED_VALUE"""),1.0)</f>
        <v>1</v>
      </c>
      <c r="F343" s="2">
        <f>IFERROR(__xludf.DUMMYFUNCTION("""COMPUTED_VALUE"""),2337.0)</f>
        <v>2337</v>
      </c>
      <c r="G343" s="2">
        <f>IFERROR(__xludf.DUMMYFUNCTION("""COMPUTED_VALUE"""),2493.0)</f>
        <v>2493</v>
      </c>
      <c r="H343" s="2">
        <f>IFERROR(__xludf.DUMMYFUNCTION("""COMPUTED_VALUE"""),2804.0)</f>
        <v>2804</v>
      </c>
      <c r="I343" s="2">
        <f>IFERROR(__xludf.DUMMYFUNCTION("""COMPUTED_VALUE"""),3115.68)</f>
        <v>3115.68</v>
      </c>
      <c r="J343" s="2">
        <f>IFERROR(__xludf.DUMMYFUNCTION("""COMPUTED_VALUE"""),2337.0)</f>
        <v>2337</v>
      </c>
      <c r="K343" s="2">
        <f>IFERROR(__xludf.DUMMYFUNCTION("""COMPUTED_VALUE"""),1.0)</f>
        <v>1</v>
      </c>
      <c r="L343" s="2" t="str">
        <f>IFERROR(__xludf.DUMMYFUNCTION("""COMPUTED_VALUE"""),"Rexant")</f>
        <v>Rexant</v>
      </c>
      <c r="M343" s="2" t="str">
        <f>IFERROR(__xludf.DUMMYFUNCTION("""COMPUTED_VALUE"""),"Прочие товары")</f>
        <v>Прочие товары</v>
      </c>
    </row>
    <row r="344">
      <c r="A344" s="5" t="str">
        <f>IFERROR(__xludf.DUMMYFUNCTION("""COMPUTED_VALUE"""),"ves037")</f>
        <v>ves037</v>
      </c>
      <c r="B344" s="5" t="str">
        <f>IFERROR(__xludf.DUMMYFUNCTION("""COMPUTED_VALUE"""),"Светильник светодиодный AM-PL-36W")</f>
        <v>Светильник светодиодный AM-PL-36W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IFERROR(__xludf.DUMMYFUNCTION("""COMPUTED_VALUE"""),1200.0)</f>
        <v>1200</v>
      </c>
      <c r="F344" s="2">
        <f>IFERROR(__xludf.DUMMYFUNCTION("""COMPUTED_VALUE"""),1485.0)</f>
        <v>1485</v>
      </c>
      <c r="G344" s="2">
        <f>IFERROR(__xludf.DUMMYFUNCTION("""COMPUTED_VALUE"""),1584.0)</f>
        <v>1584</v>
      </c>
      <c r="H344" s="2">
        <f>IFERROR(__xludf.DUMMYFUNCTION("""COMPUTED_VALUE"""),1782.0)</f>
        <v>1782</v>
      </c>
      <c r="I344" s="2">
        <f>IFERROR(__xludf.DUMMYFUNCTION("""COMPUTED_VALUE"""),1980.0)</f>
        <v>1980</v>
      </c>
      <c r="J344" s="2">
        <f>IFERROR(__xludf.DUMMYFUNCTION("""COMPUTED_VALUE"""),990.0)</f>
        <v>990</v>
      </c>
      <c r="K344" s="2">
        <f>IFERROR(__xludf.DUMMYFUNCTION("""COMPUTED_VALUE"""),50.0)</f>
        <v>50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IFERROR(__xludf.DUMMYFUNCTION("""COMPUTED_VALUE"""),"4690612030791")</f>
        <v>4690612030791</v>
      </c>
      <c r="B345" s="5" t="str">
        <f>IFERROR(__xludf.DUMMYFUNCTION("""COMPUTED_VALUE"""),"LED-GX53-VC 6Вт 230В 4000К 570Лм IN HOME")</f>
        <v>LED-GX53-VC 6Вт 230В 4000К 570Лм IN HOME</v>
      </c>
      <c r="C345" s="2">
        <f>IFERROR(__xludf.DUMMYFUNCTION("""COMPUTED_VALUE"""),0.033)</f>
        <v>0.033</v>
      </c>
      <c r="D345" s="2">
        <f>IFERROR(__xludf.DUMMYFUNCTION("""COMPUTED_VALUE"""),2.1E-4)</f>
        <v>0.00021</v>
      </c>
      <c r="E345" s="2">
        <f>IFERROR(__xludf.DUMMYFUNCTION("""COMPUTED_VALUE"""),32.4)</f>
        <v>32.4</v>
      </c>
      <c r="F345" s="2">
        <f>IFERROR(__xludf.DUMMYFUNCTION("""COMPUTED_VALUE"""),31.0)</f>
        <v>31</v>
      </c>
      <c r="G345" s="2">
        <f>IFERROR(__xludf.DUMMYFUNCTION("""COMPUTED_VALUE"""),35.0)</f>
        <v>35</v>
      </c>
      <c r="H345" s="2">
        <f>IFERROR(__xludf.DUMMYFUNCTION("""COMPUTED_VALUE"""),40.0)</f>
        <v>40</v>
      </c>
      <c r="I345" s="2">
        <f>IFERROR(__xludf.DUMMYFUNCTION("""COMPUTED_VALUE"""),46.5)</f>
        <v>46.5</v>
      </c>
      <c r="J345" s="2">
        <f>IFERROR(__xludf.DUMMYFUNCTION("""COMPUTED_VALUE"""),23.0)</f>
        <v>23</v>
      </c>
      <c r="K345" s="2">
        <f>IFERROR(__xludf.DUMMYFUNCTION("""COMPUTED_VALUE"""),118.0)</f>
        <v>118</v>
      </c>
      <c r="L345" s="2" t="str">
        <f>IFERROR(__xludf.DUMMYFUNCTION("""COMPUTED_VALUE"""),"Лампа светодиодная LED-GX53-standard")</f>
        <v>Лампа светодиодная LED-GX53-standard</v>
      </c>
      <c r="M345" s="2" t="str">
        <f>IFERROR(__xludf.DUMMYFUNCTION("""COMPUTED_VALUE"""),"Лампы")</f>
        <v>Лампы</v>
      </c>
    </row>
    <row r="346">
      <c r="A346" s="5" t="str">
        <f>IFERROR(__xludf.DUMMYFUNCTION("""COMPUTED_VALUE"""),"4690612042336-2")</f>
        <v>4690612042336-2</v>
      </c>
      <c r="B34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6" s="2">
        <f>IFERROR(__xludf.DUMMYFUNCTION("""COMPUTED_VALUE"""),1.36)</f>
        <v>1.36</v>
      </c>
      <c r="D346" s="2">
        <f>IFERROR(__xludf.DUMMYFUNCTION("""COMPUTED_VALUE"""),0.0)</f>
        <v>0</v>
      </c>
      <c r="E346" s="2">
        <f>IFERROR(__xludf.DUMMYFUNCTION("""COMPUTED_VALUE"""),1591.35)</f>
        <v>1591.35</v>
      </c>
      <c r="F346" s="2">
        <f>IFERROR(__xludf.DUMMYFUNCTION("""COMPUTED_VALUE"""),1746.0)</f>
        <v>1746</v>
      </c>
      <c r="G346" s="2">
        <f>IFERROR(__xludf.DUMMYFUNCTION("""COMPUTED_VALUE"""),2037.0)</f>
        <v>2037</v>
      </c>
      <c r="H346" s="2">
        <f>IFERROR(__xludf.DUMMYFUNCTION("""COMPUTED_VALUE"""),2291.0)</f>
        <v>2291</v>
      </c>
      <c r="I346" s="2">
        <f>IFERROR(__xludf.DUMMYFUNCTION("""COMPUTED_VALUE"""),2546.0)</f>
        <v>2546</v>
      </c>
      <c r="J346" s="2">
        <f>IFERROR(__xludf.DUMMYFUNCTION("""COMPUTED_VALUE"""),1273.0)</f>
        <v>1273</v>
      </c>
      <c r="K346" s="2">
        <f>IFERROR(__xludf.DUMMYFUNCTION("""COMPUTED_VALUE"""),10.0)</f>
        <v>10</v>
      </c>
      <c r="L3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7">
      <c r="A347" s="5" t="str">
        <f>IFERROR(__xludf.DUMMYFUNCTION("""COMPUTED_VALUE"""),"G33127T")</f>
        <v>G33127T</v>
      </c>
      <c r="B347" s="5" t="str">
        <f>IFERROR(__xludf.DUMMYFUNCTION("""COMPUTED_VALUE"""),"Elementary Candle 7W E14 4100K 1/40 (3 лампы в упаковке)")</f>
        <v>Elementary Candle 7W E14 4100K 1/40 (3 лампы в упаковке)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IFERROR(__xludf.DUMMYFUNCTION("""COMPUTED_VALUE"""),94.9)</f>
        <v>94.9</v>
      </c>
      <c r="F347" s="2">
        <f>IFERROR(__xludf.DUMMYFUNCTION("""COMPUTED_VALUE"""),128.0)</f>
        <v>128</v>
      </c>
      <c r="G347" s="2">
        <f>IFERROR(__xludf.DUMMYFUNCTION("""COMPUTED_VALUE"""),141.0)</f>
        <v>141</v>
      </c>
      <c r="H347" s="2">
        <f>IFERROR(__xludf.DUMMYFUNCTION("""COMPUTED_VALUE"""),166.0)</f>
        <v>166</v>
      </c>
      <c r="I347" s="2">
        <f>IFERROR(__xludf.DUMMYFUNCTION("""COMPUTED_VALUE"""),210.0)</f>
        <v>210</v>
      </c>
      <c r="J347" s="2">
        <f>IFERROR(__xludf.DUMMYFUNCTION("""COMPUTED_VALUE"""),105.0)</f>
        <v>105</v>
      </c>
      <c r="K347" s="2">
        <f>IFERROR(__xludf.DUMMYFUNCTION("""COMPUTED_VALUE"""),18.0)</f>
        <v>18</v>
      </c>
      <c r="L347" s="2" t="str">
        <f>IFERROR(__xludf.DUMMYFUNCTION("""COMPUTED_VALUE"""),"Комплекты Gauss Elementary (x2, x3)")</f>
        <v>Комплекты Gauss Elementary (x2, x3)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IFERROR(__xludf.DUMMYFUNCTION("""COMPUTED_VALUE"""),"GL8213")</f>
        <v>GL8213</v>
      </c>
      <c r="B348" s="5" t="str">
        <f>IFERROR(__xludf.DUMMYFUNCTION("""COMPUTED_VALUE"""),"GLERIO Line 12 Вт 4000К 91P-12D-4N-K")</f>
        <v>GLERIO Line 12 Вт 4000К 91P-12D-4N-K</v>
      </c>
      <c r="C348" s="2">
        <f>IFERROR(__xludf.DUMMYFUNCTION("""COMPUTED_VALUE"""),0.3)</f>
        <v>0.3</v>
      </c>
      <c r="D348" s="2">
        <f>IFERROR(__xludf.DUMMYFUNCTION("""COMPUTED_VALUE"""),0.00195)</f>
        <v>0.00195</v>
      </c>
      <c r="E348" s="2">
        <f>IFERROR(__xludf.DUMMYFUNCTION("""COMPUTED_VALUE"""),921.5)</f>
        <v>921.5</v>
      </c>
      <c r="F348" s="2">
        <f>IFERROR(__xludf.DUMMYFUNCTION("""COMPUTED_VALUE"""),1070.0)</f>
        <v>1070</v>
      </c>
      <c r="G348" s="2">
        <f>IFERROR(__xludf.DUMMYFUNCTION("""COMPUTED_VALUE"""),1347.0)</f>
        <v>1347</v>
      </c>
      <c r="H348" s="2">
        <f>IFERROR(__xludf.DUMMYFUNCTION("""COMPUTED_VALUE"""),1513.0)</f>
        <v>1513</v>
      </c>
      <c r="I348" s="2">
        <f>IFERROR(__xludf.DUMMYFUNCTION("""COMPUTED_VALUE"""),1679.0)</f>
        <v>1679</v>
      </c>
      <c r="J348" s="2">
        <f>IFERROR(__xludf.DUMMYFUNCTION("""COMPUTED_VALUE"""),1347.0)</f>
        <v>1347</v>
      </c>
      <c r="K348" s="2">
        <f>IFERROR(__xludf.DUMMYFUNCTION("""COMPUTED_VALUE"""),2.0)</f>
        <v>2</v>
      </c>
      <c r="L348" s="2" t="str">
        <f>IFERROR(__xludf.DUMMYFUNCTION("""COMPUTED_VALUE"""),"Line (Айсберг) до 10.2025")</f>
        <v>Line (Айсберг) до 10.2025</v>
      </c>
      <c r="M348" s="2" t="str">
        <f>IFERROR(__xludf.DUMMYFUNCTION("""COMPUTED_VALUE"""),"Пластиковые (линейные), LED Светильники")</f>
        <v>Пластиковые (линейные), LED Светильники</v>
      </c>
    </row>
    <row r="349">
      <c r="A349" s="5" t="str">
        <f>IFERROR(__xludf.DUMMYFUNCTION("""COMPUTED_VALUE"""),"R100629-1")</f>
        <v>R100629-1</v>
      </c>
      <c r="B349" s="5" t="str">
        <f>IFERROR(__xludf.DUMMYFUNCTION("""COMPUTED_VALUE"""),"RSV-SPO-02-100W-6500K OPL (в индивидуальной упаковке)")</f>
        <v>RSV-SPO-02-100W-6500K OPL (в индивидуальной упаковке)</v>
      </c>
      <c r="C349" s="2">
        <f>IFERROR(__xludf.DUMMYFUNCTION("""COMPUTED_VALUE"""),0.0)</f>
        <v>0</v>
      </c>
      <c r="D349" s="2">
        <f>IFERROR(__xludf.DUMMYFUNCTION("""COMPUTED_VALUE"""),0.00293)</f>
        <v>0.00293</v>
      </c>
      <c r="E349" s="2">
        <f>IFERROR(__xludf.DUMMYFUNCTION("""COMPUTED_VALUE"""),503.22)</f>
        <v>503.22</v>
      </c>
      <c r="F349" s="2">
        <f>IFERROR(__xludf.DUMMYFUNCTION("""COMPUTED_VALUE"""),604.0)</f>
        <v>604</v>
      </c>
      <c r="G349" s="2">
        <f>IFERROR(__xludf.DUMMYFUNCTION("""COMPUTED_VALUE"""),644.0)</f>
        <v>644</v>
      </c>
      <c r="H349" s="2">
        <f>IFERROR(__xludf.DUMMYFUNCTION("""COMPUTED_VALUE"""),725.0)</f>
        <v>725</v>
      </c>
      <c r="I349" s="2">
        <f>IFERROR(__xludf.DUMMYFUNCTION("""COMPUTED_VALUE"""),805.0)</f>
        <v>805</v>
      </c>
      <c r="J349" s="2">
        <f>IFERROR(__xludf.DUMMYFUNCTION("""COMPUTED_VALUE"""),403.0)</f>
        <v>403</v>
      </c>
      <c r="K349" s="2">
        <f>IFERROR(__xludf.DUMMYFUNCTION("""COMPUTED_VALUE"""),1.0)</f>
        <v>1</v>
      </c>
      <c r="L34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IFERROR(__xludf.DUMMYFUNCTION("""COMPUTED_VALUE"""),2789.0)</f>
        <v>2789</v>
      </c>
      <c r="H355" s="2">
        <f>IFERROR(__xludf.DUMMYFUNCTION("""COMPUTED_VALUE"""),3137.0)</f>
        <v>3137</v>
      </c>
      <c r="I355" s="2">
        <f>IFERROR(__xludf.DUMMYFUNCTION("""COMPUTED_VALUE"""),3486.0)</f>
        <v>3486</v>
      </c>
      <c r="J355" s="2">
        <f>IFERROR(__xludf.DUMMYFUNCTION("""COMPUTED_VALUE"""),1743.0)</f>
        <v>1743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IFERROR(__xludf.DUMMYFUNCTION("""COMPUTED_VALUE"""),1.0)</f>
        <v>1</v>
      </c>
      <c r="G357" s="2">
        <f>IFERROR(__xludf.DUMMYFUNCTION("""COMPUTED_VALUE"""),1.0)</f>
        <v>1</v>
      </c>
      <c r="H357" s="2">
        <f>IFERROR(__xludf.DUMMYFUNCTION("""COMPUTED_VALUE"""),1.0)</f>
        <v>1</v>
      </c>
      <c r="I357" s="2">
        <f>IFERROR(__xludf.DUMMYFUNCTION("""COMPUTED_VALUE"""),1.5)</f>
        <v>1.5</v>
      </c>
      <c r="J357" s="2">
        <f>IFERROR(__xludf.DUMMYFUNCTION("""COMPUTED_VALUE"""),1.5)</f>
        <v>1.5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IFERROR(__xludf.DUMMYFUNCTION("""COMPUTED_VALUE"""),20.0)</f>
        <v>20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IFERROR(__xludf.DUMMYFUNCTION("""COMPUTED_VALUE"""),564.0)</f>
        <v>564</v>
      </c>
      <c r="G373" s="2">
        <f>IFERROR(__xludf.DUMMYFUNCTION("""COMPUTED_VALUE"""),602.0)</f>
        <v>602</v>
      </c>
      <c r="H373" s="2">
        <f>IFERROR(__xludf.DUMMYFUNCTION("""COMPUTED_VALUE"""),677.0)</f>
        <v>677</v>
      </c>
      <c r="I373" s="2">
        <f>IFERROR(__xludf.DUMMYFUNCTION("""COMPUTED_VALUE"""),752.0)</f>
        <v>752</v>
      </c>
      <c r="J373" s="2">
        <f>IFERROR(__xludf.DUMMYFUNCTION("""COMPUTED_VALUE"""),376.0)</f>
        <v>376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IFERROR(__xludf.DUMMYFUNCTION("""COMPUTED_VALUE"""),0.0)</f>
        <v>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IFERROR(__xludf.DUMMYFUNCTION("""COMPUTED_VALUE"""),239.0)</f>
        <v>239</v>
      </c>
      <c r="G384" s="2">
        <f>IFERROR(__xludf.DUMMYFUNCTION("""COMPUTED_VALUE"""),254.0)</f>
        <v>254</v>
      </c>
      <c r="H384" s="2">
        <f>IFERROR(__xludf.DUMMYFUNCTION("""COMPUTED_VALUE"""),286.0)</f>
        <v>286</v>
      </c>
      <c r="I384" s="2">
        <f>IFERROR(__xludf.DUMMYFUNCTION("""COMPUTED_VALUE"""),318.0)</f>
        <v>318</v>
      </c>
      <c r="J384" s="2">
        <f>IFERROR(__xludf.DUMMYFUNCTION("""COMPUTED_VALUE"""),159.0)</f>
        <v>159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IFERROR(__xludf.DUMMYFUNCTION("""COMPUTED_VALUE"""),575.0)</f>
        <v>575</v>
      </c>
      <c r="H389" s="2">
        <f>IFERROR(__xludf.DUMMYFUNCTION("""COMPUTED_VALUE"""),647.0)</f>
        <v>647</v>
      </c>
      <c r="I389" s="2">
        <f>IFERROR(__xludf.DUMMYFUNCTION("""COMPUTED_VALUE"""),719.0)</f>
        <v>719</v>
      </c>
      <c r="J389" s="2">
        <f>IFERROR(__xludf.DUMMYFUNCTION("""COMPUTED_VALUE"""),360.0)</f>
        <v>360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IFERROR(__xludf.DUMMYFUNCTION("""COMPUTED_VALUE"""),3625.0)</f>
        <v>3625</v>
      </c>
      <c r="H390" s="2">
        <f>IFERROR(__xludf.DUMMYFUNCTION("""COMPUTED_VALUE"""),4078.0)</f>
        <v>4078</v>
      </c>
      <c r="I390" s="2">
        <f>IFERROR(__xludf.DUMMYFUNCTION("""COMPUTED_VALUE"""),4531.0)</f>
        <v>4531</v>
      </c>
      <c r="J390" s="2">
        <f>IFERROR(__xludf.DUMMYFUNCTION("""COMPUTED_VALUE"""),2266.0)</f>
        <v>2266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IFERROR(__xludf.DUMMYFUNCTION("""COMPUTED_VALUE"""),376.0)</f>
        <v>376</v>
      </c>
      <c r="H398" s="2">
        <f>IFERROR(__xludf.DUMMYFUNCTION("""COMPUTED_VALUE"""),423.0)</f>
        <v>423</v>
      </c>
      <c r="I398" s="2">
        <f>IFERROR(__xludf.DUMMYFUNCTION("""COMPUTED_VALUE"""),470.0)</f>
        <v>470</v>
      </c>
      <c r="J398" s="2">
        <f>IFERROR(__xludf.DUMMYFUNCTION("""COMPUTED_VALUE"""),235.0)</f>
        <v>235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IFERROR(__xludf.DUMMYFUNCTION("""COMPUTED_VALUE"""),1986.0)</f>
        <v>1986</v>
      </c>
      <c r="H418" s="2">
        <f>IFERROR(__xludf.DUMMYFUNCTION("""COMPUTED_VALUE"""),2235.0)</f>
        <v>2235</v>
      </c>
      <c r="I418" s="2">
        <f>IFERROR(__xludf.DUMMYFUNCTION("""COMPUTED_VALUE"""),2483.0)</f>
        <v>2483</v>
      </c>
      <c r="J418" s="2">
        <f>IFERROR(__xludf.DUMMYFUNCTION("""COMPUTED_VALUE"""),1242.0)</f>
        <v>1242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IFERROR(__xludf.DUMMYFUNCTION("""COMPUTED_VALUE"""),"4690612053134")</f>
        <v>4690612053134</v>
      </c>
      <c r="B420" s="5" t="str">
        <f>IFERROR(__xludf.DUMMYFUNCTION("""COMPUTED_VALUE"""),"ДПО-110 ПРИЗМА 18Вт 6500К 600мм IP40 NEOX")</f>
        <v>ДПО-110 ПРИЗМА 18Вт 6500К 600мм IP40 NEOX</v>
      </c>
      <c r="C420" s="2">
        <f>IFERROR(__xludf.DUMMYFUNCTION("""COMPUTED_VALUE"""),0.17)</f>
        <v>0.17</v>
      </c>
      <c r="D420" s="2">
        <f>IFERROR(__xludf.DUMMYFUNCTION("""COMPUTED_VALUE"""),0.00104)</f>
        <v>0.00104</v>
      </c>
      <c r="E420" s="2">
        <f>IFERROR(__xludf.DUMMYFUNCTION("""COMPUTED_VALUE"""),165.0)</f>
        <v>165</v>
      </c>
      <c r="F420" s="2">
        <f>IFERROR(__xludf.DUMMYFUNCTION("""COMPUTED_VALUE"""),244.0)</f>
        <v>244</v>
      </c>
      <c r="G420" s="2">
        <f>IFERROR(__xludf.DUMMYFUNCTION("""COMPUTED_VALUE"""),275.0)</f>
        <v>275</v>
      </c>
      <c r="H420" s="2">
        <f>IFERROR(__xludf.DUMMYFUNCTION("""COMPUTED_VALUE"""),318.0)</f>
        <v>318</v>
      </c>
      <c r="I420" s="2">
        <f>IFERROR(__xludf.DUMMYFUNCTION("""COMPUTED_VALUE"""),366.0)</f>
        <v>366</v>
      </c>
      <c r="J420" s="2">
        <f>IFERROR(__xludf.DUMMYFUNCTION("""COMPUTED_VALUE"""),183.0)</f>
        <v>183</v>
      </c>
      <c r="K420" s="2">
        <f>IFERROR(__xludf.DUMMYFUNCTION("""COMPUTED_VALUE"""),1.0)</f>
        <v>1</v>
      </c>
      <c r="L420" s="2" t="str">
        <f>IFERROR(__xludf.DUMMYFUNCTION("""COMPUTED_VALUE"""),"NEOX Светильники LED ДПО")</f>
        <v>NEOX Светильники LED ДПО</v>
      </c>
      <c r="M420" s="2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IFERROR(__xludf.DUMMYFUNCTION("""COMPUTED_VALUE"""),429.0)</f>
        <v>429</v>
      </c>
      <c r="H443" s="2">
        <f>IFERROR(__xludf.DUMMYFUNCTION("""COMPUTED_VALUE"""),482.0)</f>
        <v>482</v>
      </c>
      <c r="I443" s="2">
        <f>IFERROR(__xludf.DUMMYFUNCTION("""COMPUTED_VALUE"""),536.0)</f>
        <v>536</v>
      </c>
      <c r="J443" s="2">
        <f>IFERROR(__xludf.DUMMYFUNCTION("""COMPUTED_VALUE"""),268.0)</f>
        <v>268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IFERROR(__xludf.DUMMYFUNCTION("""COMPUTED_VALUE"""),14.0)</f>
        <v>14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IFERROR(__xludf.DUMMYFUNCTION("""COMPUTED_VALUE"""),2826.0)</f>
        <v>2826</v>
      </c>
      <c r="H454" s="2">
        <f>IFERROR(__xludf.DUMMYFUNCTION("""COMPUTED_VALUE"""),3179.0)</f>
        <v>3179</v>
      </c>
      <c r="I454" s="2">
        <f>IFERROR(__xludf.DUMMYFUNCTION("""COMPUTED_VALUE"""),3532.0)</f>
        <v>3532</v>
      </c>
      <c r="J454" s="2">
        <f>IFERROR(__xludf.DUMMYFUNCTION("""COMPUTED_VALUE"""),1766.0)</f>
        <v>1766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IFERROR(__xludf.DUMMYFUNCTION("""COMPUTED_VALUE"""),499.0)</f>
        <v>499</v>
      </c>
      <c r="H463" s="2">
        <f>IFERROR(__xludf.DUMMYFUNCTION("""COMPUTED_VALUE"""),562.0)</f>
        <v>562</v>
      </c>
      <c r="I463" s="2">
        <f>IFERROR(__xludf.DUMMYFUNCTION("""COMPUTED_VALUE"""),624.0)</f>
        <v>624</v>
      </c>
      <c r="J463" s="2">
        <f>IFERROR(__xludf.DUMMYFUNCTION("""COMPUTED_VALUE"""),312.0)</f>
        <v>312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IFERROR(__xludf.DUMMYFUNCTION("""COMPUTED_VALUE"""),1860.0)</f>
        <v>1860</v>
      </c>
      <c r="H465" s="2">
        <f>IFERROR(__xludf.DUMMYFUNCTION("""COMPUTED_VALUE"""),2093.0)</f>
        <v>2093</v>
      </c>
      <c r="I465" s="2">
        <f>IFERROR(__xludf.DUMMYFUNCTION("""COMPUTED_VALUE"""),2325.0)</f>
        <v>2325</v>
      </c>
      <c r="J465" s="2">
        <f>IFERROR(__xludf.DUMMYFUNCTION("""COMPUTED_VALUE"""),1163.0)</f>
        <v>1163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IFERROR(__xludf.DUMMYFUNCTION("""COMPUTED_VALUE"""),693.0)</f>
        <v>693</v>
      </c>
      <c r="H470" s="2">
        <f>IFERROR(__xludf.DUMMYFUNCTION("""COMPUTED_VALUE"""),779.0)</f>
        <v>779</v>
      </c>
      <c r="I470" s="2">
        <f>IFERROR(__xludf.DUMMYFUNCTION("""COMPUTED_VALUE"""),866.0)</f>
        <v>866</v>
      </c>
      <c r="J470" s="2">
        <f>IFERROR(__xludf.DUMMYFUNCTION("""COMPUTED_VALUE"""),433.0)</f>
        <v>433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IFERROR(__xludf.DUMMYFUNCTION("""COMPUTED_VALUE"""),3866.0)</f>
        <v>3866</v>
      </c>
      <c r="H471" s="2">
        <f>IFERROR(__xludf.DUMMYFUNCTION("""COMPUTED_VALUE"""),4350.0)</f>
        <v>4350</v>
      </c>
      <c r="I471" s="2">
        <f>IFERROR(__xludf.DUMMYFUNCTION("""COMPUTED_VALUE"""),4833.0)</f>
        <v>4833</v>
      </c>
      <c r="J471" s="2">
        <f>IFERROR(__xludf.DUMMYFUNCTION("""COMPUTED_VALUE"""),3866.0)</f>
        <v>3866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IFERROR(__xludf.DUMMYFUNCTION("""COMPUTED_VALUE"""),"4690612036526")</f>
        <v>4690612036526</v>
      </c>
      <c r="B472" s="5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472" s="2">
        <f>IFERROR(__xludf.DUMMYFUNCTION("""COMPUTED_VALUE"""),0.6900000000000001)</f>
        <v>0.69</v>
      </c>
      <c r="D472" s="2">
        <f>IFERROR(__xludf.DUMMYFUNCTION("""COMPUTED_VALUE"""),0.003)</f>
        <v>0.003</v>
      </c>
      <c r="E472" s="2">
        <f>IFERROR(__xludf.DUMMYFUNCTION("""COMPUTED_VALUE"""),764.6700000000001)</f>
        <v>764.67</v>
      </c>
      <c r="F472" s="2">
        <f>IFERROR(__xludf.DUMMYFUNCTION("""COMPUTED_VALUE"""),863.0)</f>
        <v>863</v>
      </c>
      <c r="G472" s="2">
        <f>IFERROR(__xludf.DUMMYFUNCTION("""COMPUTED_VALUE"""),971.0)</f>
        <v>971</v>
      </c>
      <c r="H472" s="2">
        <f>IFERROR(__xludf.DUMMYFUNCTION("""COMPUTED_VALUE"""),1126.0)</f>
        <v>1126</v>
      </c>
      <c r="I472" s="2">
        <f>IFERROR(__xludf.DUMMYFUNCTION("""COMPUTED_VALUE"""),1295.0)</f>
        <v>1295</v>
      </c>
      <c r="J472" s="2">
        <f>IFERROR(__xludf.DUMMYFUNCTION("""COMPUTED_VALUE"""),648.0)</f>
        <v>648</v>
      </c>
      <c r="K472" s="2">
        <f>IFERROR(__xludf.DUMMYFUNCTION("""COMPUTED_VALUE"""),1.0)</f>
        <v>1</v>
      </c>
      <c r="L472" s="2" t="str">
        <f>IFERROR(__xludf.DUMMYFUNCTION("""COMPUTED_VALUE"""),"Светильники настольные светодиодные")</f>
        <v>Светильники настольные светодиодные</v>
      </c>
      <c r="M47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73">
      <c r="A473" s="5" t="str">
        <f>IFERROR(__xludf.DUMMYFUNCTION("""COMPUTED_VALUE"""),"4690612007199")</f>
        <v>4690612007199</v>
      </c>
      <c r="B473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IFERROR(__xludf.DUMMYFUNCTION("""COMPUTED_VALUE"""),"4690612035741")</f>
        <v>4690612035741</v>
      </c>
      <c r="B47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5" t="str">
        <f>IFERROR(__xludf.DUMMYFUNCTION("""COMPUTED_VALUE"""),"4690612020280")</f>
        <v>4690612020280</v>
      </c>
      <c r="B475" s="5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IFERROR(__xludf.DUMMYFUNCTION("""COMPUTED_VALUE"""),"4690612048505")</f>
        <v>4690612048505</v>
      </c>
      <c r="B476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5" t="str">
        <f>IFERROR(__xludf.DUMMYFUNCTION("""COMPUTED_VALUE"""),"R100004")</f>
        <v>R100004</v>
      </c>
      <c r="B477" s="5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5" t="str">
        <f>IFERROR(__xludf.DUMMYFUNCTION("""COMPUTED_VALUE"""),"4690612029825")</f>
        <v>4690612029825</v>
      </c>
      <c r="B478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5" t="str">
        <f>IFERROR(__xludf.DUMMYFUNCTION("""COMPUTED_VALUE"""),"DVO01-27-003-4K-90")</f>
        <v>DVO01-27-003-4K-90</v>
      </c>
      <c r="B479" s="5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5" t="str">
        <f>IFERROR(__xludf.DUMMYFUNCTION("""COMPUTED_VALUE"""),"4690612025148")</f>
        <v>4690612025148</v>
      </c>
      <c r="B480" s="5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IFERROR(__xludf.DUMMYFUNCTION("""COMPUTED_VALUE"""),"4690612012728")</f>
        <v>4690612012728</v>
      </c>
      <c r="B481" s="5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IFERROR(__xludf.DUMMYFUNCTION("""COMPUTED_VALUE"""),"4690612045481")</f>
        <v>4690612045481</v>
      </c>
      <c r="B482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5" t="str">
        <f>IFERROR(__xludf.DUMMYFUNCTION("""COMPUTED_VALUE"""),"4690612020396")</f>
        <v>4690612020396</v>
      </c>
      <c r="B483" s="5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IFERROR(__xludf.DUMMYFUNCTION("""COMPUTED_VALUE"""),"R100729-2-pvh")</f>
        <v>R100729-2-pvh</v>
      </c>
      <c r="B484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IFERROR(__xludf.DUMMYFUNCTION("""COMPUTED_VALUE"""),906.0)</f>
        <v>906</v>
      </c>
      <c r="G484" s="2">
        <f>IFERROR(__xludf.DUMMYFUNCTION("""COMPUTED_VALUE"""),966.0)</f>
        <v>966</v>
      </c>
      <c r="H484" s="2">
        <f>IFERROR(__xludf.DUMMYFUNCTION("""COMPUTED_VALUE"""),1087.0)</f>
        <v>1087</v>
      </c>
      <c r="I484" s="2">
        <f>IFERROR(__xludf.DUMMYFUNCTION("""COMPUTED_VALUE"""),1208.0)</f>
        <v>1208</v>
      </c>
      <c r="J484" s="2">
        <f>IFERROR(__xludf.DUMMYFUNCTION("""COMPUTED_VALUE"""),604.0)</f>
        <v>604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5" t="str">
        <f>IFERROR(__xludf.DUMMYFUNCTION("""COMPUTED_VALUE"""),"4690612042329-1")</f>
        <v>4690612042329-1</v>
      </c>
      <c r="B485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IFERROR(__xludf.DUMMYFUNCTION("""COMPUTED_VALUE"""),709.0)</f>
        <v>709</v>
      </c>
      <c r="H485" s="2">
        <f>IFERROR(__xludf.DUMMYFUNCTION("""COMPUTED_VALUE"""),797.0)</f>
        <v>797</v>
      </c>
      <c r="I485" s="2">
        <f>IFERROR(__xludf.DUMMYFUNCTION("""COMPUTED_VALUE"""),886.0)</f>
        <v>886</v>
      </c>
      <c r="J485" s="2">
        <f>IFERROR(__xludf.DUMMYFUNCTION("""COMPUTED_VALUE"""),443.0)</f>
        <v>443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5" t="str">
        <f>IFERROR(__xludf.DUMMYFUNCTION("""COMPUTED_VALUE"""),"V90491")</f>
        <v>V90491</v>
      </c>
      <c r="B486" s="5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5" t="str">
        <f>IFERROR(__xludf.DUMMYFUNCTION("""COMPUTED_VALUE"""),"4690612051987")</f>
        <v>4690612051987</v>
      </c>
      <c r="B487" s="5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IFERROR(__xludf.DUMMYFUNCTION("""COMPUTED_VALUE"""),"4690612008431")</f>
        <v>4690612008431</v>
      </c>
      <c r="B488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5" t="str">
        <f>IFERROR(__xludf.DUMMYFUNCTION("""COMPUTED_VALUE"""),"4690612020495")</f>
        <v>4690612020495</v>
      </c>
      <c r="B489" s="5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IFERROR(__xludf.DUMMYFUNCTION("""COMPUTED_VALUE"""),"4690612033853")</f>
        <v>4690612033853</v>
      </c>
      <c r="B490" s="5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IFERROR(__xludf.DUMMYFUNCTION("""COMPUTED_VALUE"""),"GL8361")</f>
        <v>GL8361</v>
      </c>
      <c r="B491" s="5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5" t="str">
        <f>IFERROR(__xludf.DUMMYFUNCTION("""COMPUTED_VALUE"""),"13-2060")</f>
        <v>13-2060</v>
      </c>
      <c r="B492" s="5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IFERROR(__xludf.DUMMYFUNCTION("""COMPUTED_VALUE"""),"14690612042708")</f>
        <v>14690612042708</v>
      </c>
      <c r="B493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IFERROR(__xludf.DUMMYFUNCTION("""COMPUTED_VALUE"""),2846.0)</f>
        <v>2846</v>
      </c>
      <c r="H493" s="2">
        <f>IFERROR(__xludf.DUMMYFUNCTION("""COMPUTED_VALUE"""),3201.0)</f>
        <v>3201</v>
      </c>
      <c r="I493" s="2">
        <f>IFERROR(__xludf.DUMMYFUNCTION("""COMPUTED_VALUE"""),3557.0)</f>
        <v>3557</v>
      </c>
      <c r="J493" s="2">
        <f>IFERROR(__xludf.DUMMYFUNCTION("""COMPUTED_VALUE"""),1779.0)</f>
        <v>1779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IFERROR(__xludf.DUMMYFUNCTION("""COMPUTED_VALUE"""),"GL8271")</f>
        <v>GL8271</v>
      </c>
      <c r="B494" s="5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5" t="str">
        <f>IFERROR(__xludf.DUMMYFUNCTION("""COMPUTED_VALUE"""),"V9047")</f>
        <v>V9047</v>
      </c>
      <c r="B495" s="5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IFERROR(__xludf.DUMMYFUNCTION("""COMPUTED_VALUE"""),1.0)</f>
        <v>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5" t="str">
        <f>IFERROR(__xludf.DUMMYFUNCTION("""COMPUTED_VALUE"""),"4690626002869")</f>
        <v>4690626002869</v>
      </c>
      <c r="B496" s="5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IFERROR(__xludf.DUMMYFUNCTION("""COMPUTED_VALUE"""),"4690612035406")</f>
        <v>4690612035406</v>
      </c>
      <c r="B497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IFERROR(__xludf.DUMMYFUNCTION("""COMPUTED_VALUE"""),"ves018")</f>
        <v>ves018</v>
      </c>
      <c r="B498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5" t="str">
        <f>IFERROR(__xludf.DUMMYFUNCTION("""COMPUTED_VALUE"""),"4690612056135")</f>
        <v>4690612056135</v>
      </c>
      <c r="B499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5" t="str">
        <f>IFERROR(__xludf.DUMMYFUNCTION("""COMPUTED_VALUE"""),"4690612022239")</f>
        <v>4690612022239</v>
      </c>
      <c r="B500" s="5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5" t="str">
        <f>IFERROR(__xludf.DUMMYFUNCTION("""COMPUTED_VALUE"""),"4260652195332")</f>
        <v>4260652195332</v>
      </c>
      <c r="B501" s="5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5" t="str">
        <f>IFERROR(__xludf.DUMMYFUNCTION("""COMPUTED_VALUE"""),"GL8270")</f>
        <v>GL8270</v>
      </c>
      <c r="B502" s="5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5" t="str">
        <f>IFERROR(__xludf.DUMMYFUNCTION("""COMPUTED_VALUE"""),"4690612031002")</f>
        <v>4690612031002</v>
      </c>
      <c r="B503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IFERROR(__xludf.DUMMYFUNCTION("""COMPUTED_VALUE"""),25.0)</f>
        <v>25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IFERROR(__xludf.DUMMYFUNCTION("""COMPUTED_VALUE"""),"4690612027227")</f>
        <v>4690612027227</v>
      </c>
      <c r="B504" s="5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IFERROR(__xludf.DUMMYFUNCTION("""COMPUTED_VALUE"""),24.0)</f>
        <v>24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IFERROR(__xludf.DUMMYFUNCTION("""COMPUTED_VALUE"""),"12-4832")</f>
        <v>12-4832</v>
      </c>
      <c r="B505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IFERROR(__xludf.DUMMYFUNCTION("""COMPUTED_VALUE"""),"14690612052998")</f>
        <v>14690612052998</v>
      </c>
      <c r="B506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IFERROR(__xludf.DUMMYFUNCTION("""COMPUTED_VALUE"""),3288.0)</f>
        <v>3288</v>
      </c>
      <c r="H506" s="2">
        <f>IFERROR(__xludf.DUMMYFUNCTION("""COMPUTED_VALUE"""),3699.0)</f>
        <v>3699</v>
      </c>
      <c r="I506" s="2">
        <f>IFERROR(__xludf.DUMMYFUNCTION("""COMPUTED_VALUE"""),4110.0)</f>
        <v>4110</v>
      </c>
      <c r="J506" s="2">
        <f>IFERROR(__xludf.DUMMYFUNCTION("""COMPUTED_VALUE"""),2055.0)</f>
        <v>2055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5" t="str">
        <f>IFERROR(__xludf.DUMMYFUNCTION("""COMPUTED_VALUE"""),"Fefco/0201-2")</f>
        <v>Fefco/0201-2</v>
      </c>
      <c r="B507" s="5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IFERROR(__xludf.DUMMYFUNCTION("""COMPUTED_VALUE"""),"4690612020525")</f>
        <v>4690612020525</v>
      </c>
      <c r="B508" s="5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IFERROR(__xludf.DUMMYFUNCTION("""COMPUTED_VALUE"""),"4690612035130")</f>
        <v>4690612035130</v>
      </c>
      <c r="B509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IFERROR(__xludf.DUMMYFUNCTION("""COMPUTED_VALUE"""),"Fefco/0203-3")</f>
        <v>Fefco/0203-3</v>
      </c>
      <c r="B510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IFERROR(__xludf.DUMMYFUNCTION("""COMPUTED_VALUE"""),"4690612005089")</f>
        <v>4690612005089</v>
      </c>
      <c r="B511" s="5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IFERROR(__xludf.DUMMYFUNCTION("""COMPUTED_VALUE"""),"14690612057283")</f>
        <v>14690612057283</v>
      </c>
      <c r="B512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IFERROR(__xludf.DUMMYFUNCTION("""COMPUTED_VALUE"""),4225.0)</f>
        <v>4225</v>
      </c>
      <c r="H512" s="2">
        <f>IFERROR(__xludf.DUMMYFUNCTION("""COMPUTED_VALUE"""),4753.0)</f>
        <v>4753</v>
      </c>
      <c r="I512" s="2">
        <f>IFERROR(__xludf.DUMMYFUNCTION("""COMPUTED_VALUE"""),5281.0)</f>
        <v>5281</v>
      </c>
      <c r="J512" s="2">
        <f>IFERROR(__xludf.DUMMYFUNCTION("""COMPUTED_VALUE"""),2641.0)</f>
        <v>2641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5" t="str">
        <f>IFERROR(__xludf.DUMMYFUNCTION("""COMPUTED_VALUE"""),"4690612021546")</f>
        <v>4690612021546</v>
      </c>
      <c r="B513" s="5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IFERROR(__xludf.DUMMYFUNCTION("""COMPUTED_VALUE"""),"4690612053332")</f>
        <v>4690612053332</v>
      </c>
      <c r="B514" s="5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IFERROR(__xludf.DUMMYFUNCTION("""COMPUTED_VALUE"""),"4690612010205")</f>
        <v>4690612010205</v>
      </c>
      <c r="B51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IFERROR(__xludf.DUMMYFUNCTION("""COMPUTED_VALUE"""),"ves013")</f>
        <v>ves013</v>
      </c>
      <c r="B516" s="5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IFERROR(__xludf.DUMMYFUNCTION("""COMPUTED_VALUE"""),"GL81509")</f>
        <v>GL81509</v>
      </c>
      <c r="B517" s="5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IFERROR(__xludf.DUMMYFUNCTION("""COMPUTED_VALUE"""),2.0)</f>
        <v>2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5" t="str">
        <f>IFERROR(__xludf.DUMMYFUNCTION("""COMPUTED_VALUE"""),"sra059")</f>
        <v>sra059</v>
      </c>
      <c r="B518" s="5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5" t="str">
        <f>IFERROR(__xludf.DUMMYFUNCTION("""COMPUTED_VALUE"""),"4690612008073")</f>
        <v>4690612008073</v>
      </c>
      <c r="B519" s="5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IFERROR(__xludf.DUMMYFUNCTION("""COMPUTED_VALUE"""),"GL5131")</f>
        <v>GL5131</v>
      </c>
      <c r="B520" s="5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IFERROR(__xludf.DUMMYFUNCTION("""COMPUTED_VALUE"""),"4690612042336-1")</f>
        <v>4690612042336-1</v>
      </c>
      <c r="B52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IFERROR(__xludf.DUMMYFUNCTION("""COMPUTED_VALUE"""),1037.0)</f>
        <v>1037</v>
      </c>
      <c r="H521" s="2">
        <f>IFERROR(__xludf.DUMMYFUNCTION("""COMPUTED_VALUE"""),1166.0)</f>
        <v>1166</v>
      </c>
      <c r="I521" s="2">
        <f>IFERROR(__xludf.DUMMYFUNCTION("""COMPUTED_VALUE"""),1296.0)</f>
        <v>1296</v>
      </c>
      <c r="J521" s="2">
        <f>IFERROR(__xludf.DUMMYFUNCTION("""COMPUTED_VALUE"""),648.0)</f>
        <v>648</v>
      </c>
      <c r="K521" s="2">
        <f>IFERROR(__xludf.DUMMYFUNCTION("""COMPUTED_VALUE"""),27.0)</f>
        <v>27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5" t="str">
        <f>IFERROR(__xludf.DUMMYFUNCTION("""COMPUTED_VALUE"""),"4690612052984-2")</f>
        <v>4690612052984-2</v>
      </c>
      <c r="B52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IFERROR(__xludf.DUMMYFUNCTION("""COMPUTED_VALUE"""),2063.0)</f>
        <v>2063</v>
      </c>
      <c r="H522" s="2">
        <f>IFERROR(__xludf.DUMMYFUNCTION("""COMPUTED_VALUE"""),2321.0)</f>
        <v>2321</v>
      </c>
      <c r="I522" s="2">
        <f>IFERROR(__xludf.DUMMYFUNCTION("""COMPUTED_VALUE"""),2579.0)</f>
        <v>2579</v>
      </c>
      <c r="J522" s="2">
        <f>IFERROR(__xludf.DUMMYFUNCTION("""COMPUTED_VALUE"""),1290.0)</f>
        <v>1290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5" t="str">
        <f>IFERROR(__xludf.DUMMYFUNCTION("""COMPUTED_VALUE"""),"4690626040342")</f>
        <v>4690626040342</v>
      </c>
      <c r="B523" s="5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IFERROR(__xludf.DUMMYFUNCTION("""COMPUTED_VALUE"""),"4690612031224")</f>
        <v>4690612031224</v>
      </c>
      <c r="B524" s="5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IFERROR(__xludf.DUMMYFUNCTION("""COMPUTED_VALUE"""),"4690612033693")</f>
        <v>4690612033693</v>
      </c>
      <c r="B525" s="5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5" t="str">
        <f>IFERROR(__xludf.DUMMYFUNCTION("""COMPUTED_VALUE"""),"Fefco/0201-7")</f>
        <v>Fefco/0201-7</v>
      </c>
      <c r="B526" s="5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IFERROR(__xludf.DUMMYFUNCTION("""COMPUTED_VALUE"""),"GL51201")</f>
        <v>GL51201</v>
      </c>
      <c r="B527" s="5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IFERROR(__xludf.DUMMYFUNCTION("""COMPUTED_VALUE"""),18.0)</f>
        <v>18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5" t="str">
        <f>IFERROR(__xludf.DUMMYFUNCTION("""COMPUTED_VALUE"""),"03697")</f>
        <v>03697</v>
      </c>
      <c r="B528" s="5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5" t="str">
        <f>IFERROR(__xludf.DUMMYFUNCTION("""COMPUTED_VALUE"""),"ves2014")</f>
        <v>ves2014</v>
      </c>
      <c r="B529" s="5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IFERROR(__xludf.DUMMYFUNCTION("""COMPUTED_VALUE"""),"19938")</f>
        <v>19938</v>
      </c>
      <c r="B530" s="5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5" t="str">
        <f>IFERROR(__xludf.DUMMYFUNCTION("""COMPUTED_VALUE"""),"4690612025087")</f>
        <v>4690612025087</v>
      </c>
      <c r="B531" s="5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5" t="str">
        <f>IFERROR(__xludf.DUMMYFUNCTION("""COMPUTED_VALUE"""),"4690612016573")</f>
        <v>4690612016573</v>
      </c>
      <c r="B532" s="5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5" t="str">
        <f>IFERROR(__xludf.DUMMYFUNCTION("""COMPUTED_VALUE"""),"4690612020433")</f>
        <v>4690612020433</v>
      </c>
      <c r="B533" s="5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IFERROR(__xludf.DUMMYFUNCTION("""COMPUTED_VALUE"""),"4690612035727")</f>
        <v>4690612035727</v>
      </c>
      <c r="B53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5" t="str">
        <f>IFERROR(__xludf.DUMMYFUNCTION("""COMPUTED_VALUE"""),"4690612004310")</f>
        <v>4690612004310</v>
      </c>
      <c r="B535" s="5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5" t="str">
        <f>IFERROR(__xludf.DUMMYFUNCTION("""COMPUTED_VALUE"""),"12-3212")</f>
        <v>12-3212</v>
      </c>
      <c r="B53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IFERROR(__xludf.DUMMYFUNCTION("""COMPUTED_VALUE"""),"4260652193369")</f>
        <v>4260652193369</v>
      </c>
      <c r="B537" s="5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5" t="str">
        <f>IFERROR(__xludf.DUMMYFUNCTION("""COMPUTED_VALUE"""),"4690612031019")</f>
        <v>4690612031019</v>
      </c>
      <c r="B53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IFERROR(__xludf.DUMMYFUNCTION("""COMPUTED_VALUE"""),"V12012")</f>
        <v>V12012</v>
      </c>
      <c r="B539" s="5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5" t="str">
        <f>IFERROR(__xludf.DUMMYFUNCTION("""COMPUTED_VALUE"""),"sra058")</f>
        <v>sra058</v>
      </c>
      <c r="B540" s="5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5" t="str">
        <f>IFERROR(__xludf.DUMMYFUNCTION("""COMPUTED_VALUE"""),"4690612002309")</f>
        <v>4690612002309</v>
      </c>
      <c r="B54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IFERROR(__xludf.DUMMYFUNCTION("""COMPUTED_VALUE"""),"4690626045989")</f>
        <v>4690626045989</v>
      </c>
      <c r="B54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IFERROR(__xludf.DUMMYFUNCTION("""COMPUTED_VALUE"""),"14690612057290")</f>
        <v>14690612057290</v>
      </c>
      <c r="B54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IFERROR(__xludf.DUMMYFUNCTION("""COMPUTED_VALUE"""),4086.0)</f>
        <v>4086</v>
      </c>
      <c r="H543" s="2">
        <f>IFERROR(__xludf.DUMMYFUNCTION("""COMPUTED_VALUE"""),4596.0)</f>
        <v>4596</v>
      </c>
      <c r="I543" s="2">
        <f>IFERROR(__xludf.DUMMYFUNCTION("""COMPUTED_VALUE"""),5107.0)</f>
        <v>5107</v>
      </c>
      <c r="J543" s="2">
        <f>IFERROR(__xludf.DUMMYFUNCTION("""COMPUTED_VALUE"""),2554.0)</f>
        <v>2554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5" t="str">
        <f>IFERROR(__xludf.DUMMYFUNCTION("""COMPUTED_VALUE"""),"4690612027142")</f>
        <v>4690612027142</v>
      </c>
      <c r="B544" s="5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IFERROR(__xludf.DUMMYFUNCTION("""COMPUTED_VALUE"""),"GL8220")</f>
        <v>GL8220</v>
      </c>
      <c r="B545" s="5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5" t="str">
        <f>IFERROR(__xludf.DUMMYFUNCTION("""COMPUTED_VALUE"""),"4690612020471")</f>
        <v>4690612020471</v>
      </c>
      <c r="B546" s="5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IFERROR(__xludf.DUMMYFUNCTION("""COMPUTED_VALUE"""),"4690612019765")</f>
        <v>4690612019765</v>
      </c>
      <c r="B547" s="5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IFERROR(__xludf.DUMMYFUNCTION("""COMPUTED_VALUE"""),"4690626031845")</f>
        <v>4690626031845</v>
      </c>
      <c r="B548" s="5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5" t="str">
        <f>IFERROR(__xludf.DUMMYFUNCTION("""COMPUTED_VALUE"""),"G13619")</f>
        <v>G13619</v>
      </c>
      <c r="B549" s="5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IFERROR(__xludf.DUMMYFUNCTION("""COMPUTED_VALUE"""),"P00037")</f>
        <v>P00037</v>
      </c>
      <c r="B550" s="5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IFERROR(__xludf.DUMMYFUNCTION("""COMPUTED_VALUE"""),6.0)</f>
        <v>6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5" t="str">
        <f>IFERROR(__xludf.DUMMYFUNCTION("""COMPUTED_VALUE"""),"4690612008073-10")</f>
        <v>4690612008073-10</v>
      </c>
      <c r="B55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IFERROR(__xludf.DUMMYFUNCTION("""COMPUTED_VALUE"""),1014.0)</f>
        <v>1014</v>
      </c>
      <c r="H551" s="2">
        <f>IFERROR(__xludf.DUMMYFUNCTION("""COMPUTED_VALUE"""),1140.0)</f>
        <v>1140</v>
      </c>
      <c r="I551" s="2">
        <f>IFERROR(__xludf.DUMMYFUNCTION("""COMPUTED_VALUE"""),1267.0)</f>
        <v>1267</v>
      </c>
      <c r="J551" s="2">
        <f>IFERROR(__xludf.DUMMYFUNCTION("""COMPUTED_VALUE"""),634.0)</f>
        <v>634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IFERROR(__xludf.DUMMYFUNCTION("""COMPUTED_VALUE"""),"4260375484195")</f>
        <v>4260375484195</v>
      </c>
      <c r="B552" s="5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5" t="str">
        <f>IFERROR(__xludf.DUMMYFUNCTION("""COMPUTED_VALUE"""),"4690612023403")</f>
        <v>4690612023403</v>
      </c>
      <c r="B553" s="5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IFERROR(__xludf.DUMMYFUNCTION("""COMPUTED_VALUE"""),"4690612013336")</f>
        <v>4690612013336</v>
      </c>
      <c r="B55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IFERROR(__xludf.DUMMYFUNCTION("""COMPUTED_VALUE"""),"V5037")</f>
        <v>V5037</v>
      </c>
      <c r="B555" s="5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5" t="str">
        <f>IFERROR(__xludf.DUMMYFUNCTION("""COMPUTED_VALUE"""),"4690612051925")</f>
        <v>4690612051925</v>
      </c>
      <c r="B556" s="5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5" t="str">
        <f>IFERROR(__xludf.DUMMYFUNCTION("""COMPUTED_VALUE"""),"4260375487554")</f>
        <v>4260375487554</v>
      </c>
      <c r="B557" s="5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5" t="str">
        <f>IFERROR(__xludf.DUMMYFUNCTION("""COMPUTED_VALUE"""),"GL51111")</f>
        <v>GL51111</v>
      </c>
      <c r="B558" s="5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5" t="str">
        <f>IFERROR(__xludf.DUMMYFUNCTION("""COMPUTED_VALUE"""),"4690612019864")</f>
        <v>4690612019864</v>
      </c>
      <c r="B559" s="5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IFERROR(__xludf.DUMMYFUNCTION("""COMPUTED_VALUE"""),"4690612022185")</f>
        <v>4690612022185</v>
      </c>
      <c r="B560" s="5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IFERROR(__xludf.DUMMYFUNCTION("""COMPUTED_VALUE"""),"4690612004204")</f>
        <v>4690612004204</v>
      </c>
      <c r="B561" s="5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IFERROR(__xludf.DUMMYFUNCTION("""COMPUTED_VALUE"""),"4690612020501")</f>
        <v>4690612020501</v>
      </c>
      <c r="B562" s="5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IFERROR(__xludf.DUMMYFUNCTION("""COMPUTED_VALUE"""),"4690612029344")</f>
        <v>4690612029344</v>
      </c>
      <c r="B56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IFERROR(__xludf.DUMMYFUNCTION("""COMPUTED_VALUE"""),"4690612028934")</f>
        <v>4690612028934</v>
      </c>
      <c r="B56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5" t="str">
        <f>IFERROR(__xludf.DUMMYFUNCTION("""COMPUTED_VALUE"""),"GL8420")</f>
        <v>GL8420</v>
      </c>
      <c r="B565" s="5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5" t="str">
        <f>IFERROR(__xludf.DUMMYFUNCTION("""COMPUTED_VALUE"""),"4690612007601")</f>
        <v>4690612007601</v>
      </c>
      <c r="B56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IFERROR(__xludf.DUMMYFUNCTION("""COMPUTED_VALUE"""),"4690612035529")</f>
        <v>4690612035529</v>
      </c>
      <c r="B56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5" t="str">
        <f>IFERROR(__xludf.DUMMYFUNCTION("""COMPUTED_VALUE"""),"01-8202-10")</f>
        <v>01-8202-10</v>
      </c>
      <c r="B568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IFERROR(__xludf.DUMMYFUNCTION("""COMPUTED_VALUE"""),"4690612015477")</f>
        <v>4690612015477</v>
      </c>
      <c r="B569" s="5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IFERROR(__xludf.DUMMYFUNCTION("""COMPUTED_VALUE"""),"4690612029313")</f>
        <v>4690612029313</v>
      </c>
      <c r="B570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IFERROR(__xludf.DUMMYFUNCTION("""COMPUTED_VALUE"""),"4690612042718-1")</f>
        <v>4690612042718-1</v>
      </c>
      <c r="B571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IFERROR(__xludf.DUMMYFUNCTION("""COMPUTED_VALUE"""),862.0)</f>
        <v>862</v>
      </c>
      <c r="H571" s="2">
        <f>IFERROR(__xludf.DUMMYFUNCTION("""COMPUTED_VALUE"""),970.0)</f>
        <v>970</v>
      </c>
      <c r="I571" s="2">
        <f>IFERROR(__xludf.DUMMYFUNCTION("""COMPUTED_VALUE"""),1078.0)</f>
        <v>1078</v>
      </c>
      <c r="J571" s="2">
        <f>IFERROR(__xludf.DUMMYFUNCTION("""COMPUTED_VALUE"""),539.0)</f>
        <v>539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5" t="str">
        <f>IFERROR(__xludf.DUMMYFUNCTION("""COMPUTED_VALUE"""),"4690612020402")</f>
        <v>4690612020402</v>
      </c>
      <c r="B572" s="5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IFERROR(__xludf.DUMMYFUNCTION("""COMPUTED_VALUE"""),"00863")</f>
        <v>00863</v>
      </c>
      <c r="B573" s="5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5" t="str">
        <f>IFERROR(__xludf.DUMMYFUNCTION("""COMPUTED_VALUE"""),"4260708174656")</f>
        <v>4260708174656</v>
      </c>
      <c r="B574" s="5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IFERROR(__xludf.DUMMYFUNCTION("""COMPUTED_VALUE"""),50.0)</f>
        <v>50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5" t="str">
        <f>IFERROR(__xludf.DUMMYFUNCTION("""COMPUTED_VALUE"""),"4690612035116")</f>
        <v>4690612035116</v>
      </c>
      <c r="B57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IFERROR(__xludf.DUMMYFUNCTION("""COMPUTED_VALUE"""),"4690612037417")</f>
        <v>4690612037417</v>
      </c>
      <c r="B576" s="5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IFERROR(__xludf.DUMMYFUNCTION("""COMPUTED_VALUE"""),"GL5136")</f>
        <v>GL5136</v>
      </c>
      <c r="B577" s="5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5" t="str">
        <f>IFERROR(__xludf.DUMMYFUNCTION("""COMPUTED_VALUE"""),"4690612042701")</f>
        <v>4690612042701</v>
      </c>
      <c r="B57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5" t="str">
        <f>IFERROR(__xludf.DUMMYFUNCTION("""COMPUTED_VALUE"""),"12-0141")</f>
        <v>12-0141</v>
      </c>
      <c r="B579" s="5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IFERROR(__xludf.DUMMYFUNCTION("""COMPUTED_VALUE"""),"G23225")</f>
        <v>G23225</v>
      </c>
      <c r="B580" s="5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IFERROR(__xludf.DUMMYFUNCTION("""COMPUTED_VALUE"""),"4690612020594")</f>
        <v>4690612020594</v>
      </c>
      <c r="B581" s="5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IFERROR(__xludf.DUMMYFUNCTION("""COMPUTED_VALUE"""),"БПviled32Вт")</f>
        <v>БПviled32Вт</v>
      </c>
      <c r="B582" s="5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IFERROR(__xludf.DUMMYFUNCTION("""COMPUTED_VALUE"""),"R100297")</f>
        <v>R100297</v>
      </c>
      <c r="B583" s="5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5" t="str">
        <f>IFERROR(__xludf.DUMMYFUNCTION("""COMPUTED_VALUE"""),"11700006")</f>
        <v>11700006</v>
      </c>
      <c r="B584" s="5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5" t="str">
        <f>IFERROR(__xludf.DUMMYFUNCTION("""COMPUTED_VALUE"""),"NVAS010")</f>
        <v>NVAS010</v>
      </c>
      <c r="B58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IFERROR(__xludf.DUMMYFUNCTION("""COMPUTED_VALUE"""),9480.0)</f>
        <v>9480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5" t="str">
        <f>IFERROR(__xludf.DUMMYFUNCTION("""COMPUTED_VALUE"""),"4690612009070")</f>
        <v>4690612009070</v>
      </c>
      <c r="B58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IFERROR(__xludf.DUMMYFUNCTION("""COMPUTED_VALUE"""),"4690612035338")</f>
        <v>4690612035338</v>
      </c>
      <c r="B58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5" t="str">
        <f>IFERROR(__xludf.DUMMYFUNCTION("""COMPUTED_VALUE"""),"V9007")</f>
        <v>V9007</v>
      </c>
      <c r="B588" s="5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IFERROR(__xludf.DUMMYFUNCTION("""COMPUTED_VALUE"""),59.0)</f>
        <v>59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5" t="str">
        <f>IFERROR(__xludf.DUMMYFUNCTION("""COMPUTED_VALUE"""),"ves021")</f>
        <v>ves021</v>
      </c>
      <c r="B58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5" t="str">
        <f>IFERROR(__xludf.DUMMYFUNCTION("""COMPUTED_VALUE"""),"4690612034836")</f>
        <v>4690612034836</v>
      </c>
      <c r="B59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IFERROR(__xludf.DUMMYFUNCTION("""COMPUTED_VALUE"""),"12-0105")</f>
        <v>12-0105</v>
      </c>
      <c r="B591" s="5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IFERROR(__xludf.DUMMYFUNCTION("""COMPUTED_VALUE"""),"4690612026145-10")</f>
        <v>4690612026145-10</v>
      </c>
      <c r="B59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IFERROR(__xludf.DUMMYFUNCTION("""COMPUTED_VALUE"""),1037.0)</f>
        <v>1037</v>
      </c>
      <c r="H592" s="2">
        <f>IFERROR(__xludf.DUMMYFUNCTION("""COMPUTED_VALUE"""),1166.0)</f>
        <v>1166</v>
      </c>
      <c r="I592" s="2">
        <f>IFERROR(__xludf.DUMMYFUNCTION("""COMPUTED_VALUE"""),1296.0)</f>
        <v>1296</v>
      </c>
      <c r="J592" s="2">
        <f>IFERROR(__xludf.DUMMYFUNCTION("""COMPUTED_VALUE"""),648.0)</f>
        <v>648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IFERROR(__xludf.DUMMYFUNCTION("""COMPUTED_VALUE"""),"GL8112")</f>
        <v>GL8112</v>
      </c>
      <c r="B593" s="5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IFERROR(__xludf.DUMMYFUNCTION("""COMPUTED_VALUE"""),"4690612007618")</f>
        <v>4690612007618</v>
      </c>
      <c r="B59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IFERROR(__xludf.DUMMYFUNCTION("""COMPUTED_VALUE"""),"4690612025582")</f>
        <v>4690612025582</v>
      </c>
      <c r="B595" s="5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5" t="str">
        <f>IFERROR(__xludf.DUMMYFUNCTION("""COMPUTED_VALUE"""),"Fefco/0201-10")</f>
        <v>Fefco/0201-10</v>
      </c>
      <c r="B596" s="5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IFERROR(__xludf.DUMMYFUNCTION("""COMPUTED_VALUE"""),"4690612025001")</f>
        <v>4690612025001</v>
      </c>
      <c r="B597" s="5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5" t="str">
        <f>IFERROR(__xludf.DUMMYFUNCTION("""COMPUTED_VALUE"""),"Fefco/0203-4")</f>
        <v>Fefco/0203-4</v>
      </c>
      <c r="B598" s="5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5" t="str">
        <f>IFERROR(__xludf.DUMMYFUNCTION("""COMPUTED_VALUE"""),"4690612010632")</f>
        <v>4690612010632</v>
      </c>
      <c r="B59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5" t="str">
        <f>IFERROR(__xludf.DUMMYFUNCTION("""COMPUTED_VALUE"""),"4260652192782")</f>
        <v>4260652192782</v>
      </c>
      <c r="B600" s="5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IFERROR(__xludf.DUMMYFUNCTION("""COMPUTED_VALUE"""),"4690612001791")</f>
        <v>4690612001791</v>
      </c>
      <c r="B601" s="5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IFERROR(__xludf.DUMMYFUNCTION("""COMPUTED_VALUE"""),"4690612053066-2")</f>
        <v>4690612053066-2</v>
      </c>
      <c r="B60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IFERROR(__xludf.DUMMYFUNCTION("""COMPUTED_VALUE"""),1814.0)</f>
        <v>1814</v>
      </c>
      <c r="H602" s="2">
        <f>IFERROR(__xludf.DUMMYFUNCTION("""COMPUTED_VALUE"""),2041.0)</f>
        <v>2041</v>
      </c>
      <c r="I602" s="2">
        <f>IFERROR(__xludf.DUMMYFUNCTION("""COMPUTED_VALUE"""),2268.0)</f>
        <v>2268</v>
      </c>
      <c r="J602" s="2">
        <f>IFERROR(__xludf.DUMMYFUNCTION("""COMPUTED_VALUE"""),1134.0)</f>
        <v>1134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5" t="str">
        <f>IFERROR(__xludf.DUMMYFUNCTION("""COMPUTED_VALUE"""),"4680005959815-5")</f>
        <v>4680005959815-5</v>
      </c>
      <c r="B60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IFERROR(__xludf.DUMMYFUNCTION("""COMPUTED_VALUE"""),242.0)</f>
        <v>242</v>
      </c>
      <c r="H603" s="2">
        <f>IFERROR(__xludf.DUMMYFUNCTION("""COMPUTED_VALUE"""),272.0)</f>
        <v>272</v>
      </c>
      <c r="I603" s="2">
        <f>IFERROR(__xludf.DUMMYFUNCTION("""COMPUTED_VALUE"""),302.0)</f>
        <v>302</v>
      </c>
      <c r="J603" s="2">
        <f>IFERROR(__xludf.DUMMYFUNCTION("""COMPUTED_VALUE"""),151.0)</f>
        <v>151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IFERROR(__xludf.DUMMYFUNCTION("""COMPUTED_VALUE"""),"GL8130")</f>
        <v>GL8130</v>
      </c>
      <c r="B604" s="5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IFERROR(__xludf.DUMMYFUNCTION("""COMPUTED_VALUE"""),"4690612057293-1")</f>
        <v>4690612057293-1</v>
      </c>
      <c r="B60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IFERROR(__xludf.DUMMYFUNCTION("""COMPUTED_VALUE"""),1092.0)</f>
        <v>1092</v>
      </c>
      <c r="H605" s="2">
        <f>IFERROR(__xludf.DUMMYFUNCTION("""COMPUTED_VALUE"""),1229.0)</f>
        <v>1229</v>
      </c>
      <c r="I605" s="2">
        <f>IFERROR(__xludf.DUMMYFUNCTION("""COMPUTED_VALUE"""),1365.0)</f>
        <v>1365</v>
      </c>
      <c r="J605" s="2">
        <f>IFERROR(__xludf.DUMMYFUNCTION("""COMPUTED_VALUE"""),683.0)</f>
        <v>683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IFERROR(__xludf.DUMMYFUNCTION("""COMPUTED_VALUE"""),"GL8152")</f>
        <v>GL8152</v>
      </c>
      <c r="B606" s="5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5" t="str">
        <f>IFERROR(__xludf.DUMMYFUNCTION("""COMPUTED_VALUE"""),"4690612024080")</f>
        <v>4690612024080</v>
      </c>
      <c r="B607" s="5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IFERROR(__xludf.DUMMYFUNCTION("""COMPUTED_VALUE"""),"4690612000398-5")</f>
        <v>4690612000398-5</v>
      </c>
      <c r="B608" s="5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IFERROR(__xludf.DUMMYFUNCTION("""COMPUTED_VALUE"""),"4260652193345")</f>
        <v>4260652193345</v>
      </c>
      <c r="B609" s="5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5" t="str">
        <f>IFERROR(__xludf.DUMMYFUNCTION("""COMPUTED_VALUE"""),"GL8262")</f>
        <v>GL8262</v>
      </c>
      <c r="B610" s="5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5" t="str">
        <f>IFERROR(__xludf.DUMMYFUNCTION("""COMPUTED_VALUE"""),"4690612029863")</f>
        <v>4690612029863</v>
      </c>
      <c r="B611" s="5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5" t="str">
        <f>IFERROR(__xludf.DUMMYFUNCTION("""COMPUTED_VALUE"""),"4690612040165")</f>
        <v>4690612040165</v>
      </c>
      <c r="B61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IFERROR(__xludf.DUMMYFUNCTION("""COMPUTED_VALUE"""),"4262356474683")</f>
        <v>4262356474683</v>
      </c>
      <c r="B613" s="5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5" t="str">
        <f>IFERROR(__xludf.DUMMYFUNCTION("""COMPUTED_VALUE"""),"GL8432")</f>
        <v>GL8432</v>
      </c>
      <c r="B614" s="5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5" t="str">
        <f>IFERROR(__xludf.DUMMYFUNCTION("""COMPUTED_VALUE"""),"51-0527-2")</f>
        <v>51-0527-2</v>
      </c>
      <c r="B61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IFERROR(__xludf.DUMMYFUNCTION("""COMPUTED_VALUE"""),"4690612019857")</f>
        <v>4690612019857</v>
      </c>
      <c r="B616" s="5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IFERROR(__xludf.DUMMYFUNCTION("""COMPUTED_VALUE"""),"4690612020822")</f>
        <v>4690612020822</v>
      </c>
      <c r="B617" s="5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IFERROR(__xludf.DUMMYFUNCTION("""COMPUTED_VALUE"""),"4690612020457")</f>
        <v>4690612020457</v>
      </c>
      <c r="B618" s="5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IFERROR(__xludf.DUMMYFUNCTION("""COMPUTED_VALUE"""),"4690612020204")</f>
        <v>4690612020204</v>
      </c>
      <c r="B619" s="5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IFERROR(__xludf.DUMMYFUNCTION("""COMPUTED_VALUE"""),"4690612020808")</f>
        <v>4690612020808</v>
      </c>
      <c r="B620" s="5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IFERROR(__xludf.DUMMYFUNCTION("""COMPUTED_VALUE"""),"12-0126")</f>
        <v>12-0126</v>
      </c>
      <c r="B62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IFERROR(__xludf.DUMMYFUNCTION("""COMPUTED_VALUE"""),"55082")</f>
        <v>55082</v>
      </c>
      <c r="B62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5" t="str">
        <f>IFERROR(__xludf.DUMMYFUNCTION("""COMPUTED_VALUE"""),"R100344-1")</f>
        <v>R100344-1</v>
      </c>
      <c r="B62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IFERROR(__xludf.DUMMYFUNCTION("""COMPUTED_VALUE"""),345.0)</f>
        <v>345</v>
      </c>
      <c r="G623" s="2">
        <f>IFERROR(__xludf.DUMMYFUNCTION("""COMPUTED_VALUE"""),368.0)</f>
        <v>368</v>
      </c>
      <c r="H623" s="2">
        <f>IFERROR(__xludf.DUMMYFUNCTION("""COMPUTED_VALUE"""),414.0)</f>
        <v>414</v>
      </c>
      <c r="I623" s="2">
        <f>IFERROR(__xludf.DUMMYFUNCTION("""COMPUTED_VALUE"""),460.0)</f>
        <v>460</v>
      </c>
      <c r="J623" s="2">
        <f>IFERROR(__xludf.DUMMYFUNCTION("""COMPUTED_VALUE"""),230.0)</f>
        <v>230</v>
      </c>
      <c r="K623" s="2">
        <f>IFERROR(__xludf.DUMMYFUNCTION("""COMPUTED_VALUE"""),16.0)</f>
        <v>16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5" t="str">
        <f>IFERROR(__xludf.DUMMYFUNCTION("""COMPUTED_VALUE"""),"ves003")</f>
        <v>ves003</v>
      </c>
      <c r="B62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5" t="str">
        <f>IFERROR(__xludf.DUMMYFUNCTION("""COMPUTED_VALUE"""),"4690612057279-1")</f>
        <v>4690612057279-1</v>
      </c>
      <c r="B62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IFERROR(__xludf.DUMMYFUNCTION("""COMPUTED_VALUE"""),975.0)</f>
        <v>975</v>
      </c>
      <c r="H625" s="2">
        <f>IFERROR(__xludf.DUMMYFUNCTION("""COMPUTED_VALUE"""),1097.0)</f>
        <v>1097</v>
      </c>
      <c r="I625" s="2">
        <f>IFERROR(__xludf.DUMMYFUNCTION("""COMPUTED_VALUE"""),1219.0)</f>
        <v>1219</v>
      </c>
      <c r="J625" s="2">
        <f>IFERROR(__xludf.DUMMYFUNCTION("""COMPUTED_VALUE"""),610.0)</f>
        <v>610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IFERROR(__xludf.DUMMYFUNCTION("""COMPUTED_VALUE"""),"4690612029634-2")</f>
        <v>4690612029634-2</v>
      </c>
      <c r="B62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IFERROR(__xludf.DUMMYFUNCTION("""COMPUTED_VALUE"""),1431.0)</f>
        <v>1431</v>
      </c>
      <c r="H626" s="2">
        <f>IFERROR(__xludf.DUMMYFUNCTION("""COMPUTED_VALUE"""),1610.0)</f>
        <v>1610</v>
      </c>
      <c r="I626" s="2">
        <f>IFERROR(__xludf.DUMMYFUNCTION("""COMPUTED_VALUE"""),1789.0)</f>
        <v>1789</v>
      </c>
      <c r="J626" s="2">
        <f>IFERROR(__xludf.DUMMYFUNCTION("""COMPUTED_VALUE"""),895.0)</f>
        <v>895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5" t="str">
        <f>IFERROR(__xludf.DUMMYFUNCTION("""COMPUTED_VALUE"""),"Fefco/0201-4")</f>
        <v>Fefco/0201-4</v>
      </c>
      <c r="B627" s="5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5" t="str">
        <f>IFERROR(__xludf.DUMMYFUNCTION("""COMPUTED_VALUE"""),"4260652192744")</f>
        <v>4260652192744</v>
      </c>
      <c r="B628" s="5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5" t="str">
        <f>IFERROR(__xludf.DUMMYFUNCTION("""COMPUTED_VALUE"""),"V9008")</f>
        <v>V9008</v>
      </c>
      <c r="B629" s="5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IFERROR(__xludf.DUMMYFUNCTION("""COMPUTED_VALUE"""),1613.0)</f>
        <v>1613</v>
      </c>
      <c r="K629" s="2">
        <f>IFERROR(__xludf.DUMMYFUNCTION("""COMPUTED_VALUE"""),0.0)</f>
        <v>0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5" t="str">
        <f>IFERROR(__xludf.DUMMYFUNCTION("""COMPUTED_VALUE"""),"Fefco/0201-1")</f>
        <v>Fefco/0201-1</v>
      </c>
      <c r="B630" s="5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IFERROR(__xludf.DUMMYFUNCTION("""COMPUTED_VALUE"""),"4690612007274")</f>
        <v>4690612007274</v>
      </c>
      <c r="B63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IFERROR(__xludf.DUMMYFUNCTION("""COMPUTED_VALUE"""),1.0)</f>
        <v>1</v>
      </c>
      <c r="G631" s="2">
        <f>IFERROR(__xludf.DUMMYFUNCTION("""COMPUTED_VALUE"""),1.0)</f>
        <v>1</v>
      </c>
      <c r="H631" s="2">
        <f>IFERROR(__xludf.DUMMYFUNCTION("""COMPUTED_VALUE"""),1.0)</f>
        <v>1</v>
      </c>
      <c r="I631" s="2">
        <f>IFERROR(__xludf.DUMMYFUNCTION("""COMPUTED_VALUE"""),1.5)</f>
        <v>1.5</v>
      </c>
      <c r="J631" s="2">
        <f>IFERROR(__xludf.DUMMYFUNCTION("""COMPUTED_VALUE"""),1.5)</f>
        <v>1.5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IFERROR(__xludf.DUMMYFUNCTION("""COMPUTED_VALUE"""),"06-0110-B")</f>
        <v>06-0110-B</v>
      </c>
      <c r="B63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IFERROR(__xludf.DUMMYFUNCTION("""COMPUTED_VALUE"""),"4690612035352")</f>
        <v>4690612035352</v>
      </c>
      <c r="B63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5" t="str">
        <f>IFERROR(__xludf.DUMMYFUNCTION("""COMPUTED_VALUE"""),"4690612020723")</f>
        <v>4690612020723</v>
      </c>
      <c r="B634" s="5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IFERROR(__xludf.DUMMYFUNCTION("""COMPUTED_VALUE"""),"4690626071261")</f>
        <v>4690626071261</v>
      </c>
      <c r="B63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5" t="str">
        <f>IFERROR(__xludf.DUMMYFUNCTION("""COMPUTED_VALUE"""),"ves2010")</f>
        <v>ves2010</v>
      </c>
      <c r="B636" s="5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IFERROR(__xludf.DUMMYFUNCTION("""COMPUTED_VALUE"""),"4690612042350")</f>
        <v>4690612042350</v>
      </c>
      <c r="B637" s="5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5" t="str">
        <f>IFERROR(__xludf.DUMMYFUNCTION("""COMPUTED_VALUE"""),"4690612000404-5")</f>
        <v>4690612000404-5</v>
      </c>
      <c r="B638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IFERROR(__xludf.DUMMYFUNCTION("""COMPUTED_VALUE"""),309.0)</f>
        <v>309</v>
      </c>
      <c r="H638" s="2">
        <f>IFERROR(__xludf.DUMMYFUNCTION("""COMPUTED_VALUE"""),347.0)</f>
        <v>347</v>
      </c>
      <c r="I638" s="2">
        <f>IFERROR(__xludf.DUMMYFUNCTION("""COMPUTED_VALUE"""),386.0)</f>
        <v>386</v>
      </c>
      <c r="J638" s="2">
        <f>IFERROR(__xludf.DUMMYFUNCTION("""COMPUTED_VALUE"""),193.0)</f>
        <v>193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IFERROR(__xludf.DUMMYFUNCTION("""COMPUTED_VALUE"""),"4690612037646-1")</f>
        <v>4690612037646-1</v>
      </c>
      <c r="B639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IFERROR(__xludf.DUMMYFUNCTION("""COMPUTED_VALUE"""),774.0)</f>
        <v>774</v>
      </c>
      <c r="H639" s="2">
        <f>IFERROR(__xludf.DUMMYFUNCTION("""COMPUTED_VALUE"""),871.0)</f>
        <v>871</v>
      </c>
      <c r="I639" s="2">
        <f>IFERROR(__xludf.DUMMYFUNCTION("""COMPUTED_VALUE"""),968.0)</f>
        <v>968</v>
      </c>
      <c r="J639" s="2">
        <f>IFERROR(__xludf.DUMMYFUNCTION("""COMPUTED_VALUE"""),484.0)</f>
        <v>484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5" t="str">
        <f>IFERROR(__xludf.DUMMYFUNCTION("""COMPUTED_VALUE"""),"55052")</f>
        <v>55052</v>
      </c>
      <c r="B640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IFERROR(__xludf.DUMMYFUNCTION("""COMPUTED_VALUE"""),491.0)</f>
        <v>491</v>
      </c>
      <c r="H642" s="2">
        <f>IFERROR(__xludf.DUMMYFUNCTION("""COMPUTED_VALUE"""),553.0)</f>
        <v>553</v>
      </c>
      <c r="I642" s="2">
        <f>IFERROR(__xludf.DUMMYFUNCTION("""COMPUTED_VALUE"""),614.0)</f>
        <v>614</v>
      </c>
      <c r="J642" s="2">
        <f>IFERROR(__xludf.DUMMYFUNCTION("""COMPUTED_VALUE"""),307.0)</f>
        <v>307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IFERROR(__xludf.DUMMYFUNCTION("""COMPUTED_VALUE"""),32.0)</f>
        <v>32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IFERROR(__xludf.DUMMYFUNCTION("""COMPUTED_VALUE"""),674.0)</f>
        <v>674</v>
      </c>
      <c r="H649" s="2">
        <f>IFERROR(__xludf.DUMMYFUNCTION("""COMPUTED_VALUE"""),759.0)</f>
        <v>759</v>
      </c>
      <c r="I649" s="2">
        <f>IFERROR(__xludf.DUMMYFUNCTION("""COMPUTED_VALUE"""),843.0)</f>
        <v>843</v>
      </c>
      <c r="J649" s="2">
        <f>IFERROR(__xludf.DUMMYFUNCTION("""COMPUTED_VALUE"""),422.0)</f>
        <v>422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IFERROR(__xludf.DUMMYFUNCTION("""COMPUTED_VALUE"""),683.0)</f>
        <v>683</v>
      </c>
      <c r="H654" s="2">
        <f>IFERROR(__xludf.DUMMYFUNCTION("""COMPUTED_VALUE"""),769.0)</f>
        <v>769</v>
      </c>
      <c r="I654" s="2">
        <f>IFERROR(__xludf.DUMMYFUNCTION("""COMPUTED_VALUE"""),854.0)</f>
        <v>854</v>
      </c>
      <c r="J654" s="2">
        <f>IFERROR(__xludf.DUMMYFUNCTION("""COMPUTED_VALUE"""),427.0)</f>
        <v>427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IFERROR(__xludf.DUMMYFUNCTION("""COMPUTED_VALUE"""),540.0)</f>
        <v>540</v>
      </c>
      <c r="H656" s="2">
        <f>IFERROR(__xludf.DUMMYFUNCTION("""COMPUTED_VALUE"""),608.0)</f>
        <v>608</v>
      </c>
      <c r="I656" s="2">
        <f>IFERROR(__xludf.DUMMYFUNCTION("""COMPUTED_VALUE"""),675.0)</f>
        <v>675</v>
      </c>
      <c r="J656" s="2">
        <f>IFERROR(__xludf.DUMMYFUNCTION("""COMPUTED_VALUE"""),338.0)</f>
        <v>338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IFERROR(__xludf.DUMMYFUNCTION("""COMPUTED_VALUE"""),1542.0)</f>
        <v>1542</v>
      </c>
      <c r="H659" s="2">
        <f>IFERROR(__xludf.DUMMYFUNCTION("""COMPUTED_VALUE"""),1734.0)</f>
        <v>1734</v>
      </c>
      <c r="I659" s="2">
        <f>IFERROR(__xludf.DUMMYFUNCTION("""COMPUTED_VALUE"""),1927.0)</f>
        <v>1927</v>
      </c>
      <c r="J659" s="2">
        <f>IFERROR(__xludf.DUMMYFUNCTION("""COMPUTED_VALUE"""),964.0)</f>
        <v>964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IFERROR(__xludf.DUMMYFUNCTION("""COMPUTED_VALUE"""),"R100344-3")</f>
        <v>R100344-3</v>
      </c>
      <c r="B665" s="5" t="str">
        <f>IFERROR(__xludf.DUMMYFUNCTION("""COMPUTED_VALUE"""),"RSV-SPO-02-40W-6500К, IP40 P (3 штуки в упаковке)")</f>
        <v>RSV-SPO-02-40W-6500К, IP40 P (3 штуки в упаковке)</v>
      </c>
      <c r="C665" s="2">
        <f>IFERROR(__xludf.DUMMYFUNCTION("""COMPUTED_VALUE"""),0.40333)</f>
        <v>0.40333</v>
      </c>
      <c r="D665" s="2">
        <f>IFERROR(__xludf.DUMMYFUNCTION("""COMPUTED_VALUE"""),0.0)</f>
        <v>0</v>
      </c>
      <c r="E665" s="2">
        <f>IFERROR(__xludf.DUMMYFUNCTION("""COMPUTED_VALUE"""),629.11)</f>
        <v>629.11</v>
      </c>
      <c r="F665" s="2">
        <f>IFERROR(__xludf.DUMMYFUNCTION("""COMPUTED_VALUE"""),755.0)</f>
        <v>755</v>
      </c>
      <c r="G665" s="2">
        <f>IFERROR(__xludf.DUMMYFUNCTION("""COMPUTED_VALUE"""),806.0)</f>
        <v>806</v>
      </c>
      <c r="H665" s="2">
        <f>IFERROR(__xludf.DUMMYFUNCTION("""COMPUTED_VALUE"""),906.0)</f>
        <v>906</v>
      </c>
      <c r="I665" s="2">
        <f>IFERROR(__xludf.DUMMYFUNCTION("""COMPUTED_VALUE"""),1007.0)</f>
        <v>1007</v>
      </c>
      <c r="J665" s="2">
        <f>IFERROR(__xludf.DUMMYFUNCTION("""COMPUTED_VALUE"""),504.0)</f>
        <v>504</v>
      </c>
      <c r="K665" s="2">
        <f>IFERROR(__xludf.DUMMYFUNCTION("""COMPUTED_VALUE"""),1.0)</f>
        <v>1</v>
      </c>
      <c r="L66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6">
      <c r="A666" s="5" t="str">
        <f>IFERROR(__xludf.DUMMYFUNCTION("""COMPUTED_VALUE"""),"55106")</f>
        <v>55106</v>
      </c>
      <c r="B66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5" t="str">
        <f>IFERROR(__xludf.DUMMYFUNCTION("""COMPUTED_VALUE"""),"14690612042333")</f>
        <v>14690612042333</v>
      </c>
      <c r="B66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IFERROR(__xludf.DUMMYFUNCTION("""COMPUTED_VALUE"""),3877.0)</f>
        <v>3877</v>
      </c>
      <c r="H667" s="2">
        <f>IFERROR(__xludf.DUMMYFUNCTION("""COMPUTED_VALUE"""),4361.0)</f>
        <v>4361</v>
      </c>
      <c r="I667" s="2">
        <f>IFERROR(__xludf.DUMMYFUNCTION("""COMPUTED_VALUE"""),4846.0)</f>
        <v>4846</v>
      </c>
      <c r="J667" s="2">
        <f>IFERROR(__xludf.DUMMYFUNCTION("""COMPUTED_VALUE"""),2423.0)</f>
        <v>2423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5" t="str">
        <f>IFERROR(__xludf.DUMMYFUNCTION("""COMPUTED_VALUE"""),"4680005957880")</f>
        <v>4680005957880</v>
      </c>
      <c r="B668" s="5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IFERROR(__xludf.DUMMYFUNCTION("""COMPUTED_VALUE"""),"4690612038162-1")</f>
        <v>4690612038162-1</v>
      </c>
      <c r="B66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IFERROR(__xludf.DUMMYFUNCTION("""COMPUTED_VALUE"""),671.0)</f>
        <v>671</v>
      </c>
      <c r="H669" s="2">
        <f>IFERROR(__xludf.DUMMYFUNCTION("""COMPUTED_VALUE"""),755.0)</f>
        <v>755</v>
      </c>
      <c r="I669" s="2">
        <f>IFERROR(__xludf.DUMMYFUNCTION("""COMPUTED_VALUE"""),839.0)</f>
        <v>839</v>
      </c>
      <c r="J669" s="2">
        <f>IFERROR(__xludf.DUMMYFUNCTION("""COMPUTED_VALUE"""),420.0)</f>
        <v>420</v>
      </c>
      <c r="K669" s="2">
        <f>IFERROR(__xludf.DUMMYFUNCTION("""COMPUTED_VALUE"""),88.0)</f>
        <v>88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IFERROR(__xludf.DUMMYFUNCTION("""COMPUTED_VALUE"""),"4690612020440")</f>
        <v>4690612020440</v>
      </c>
      <c r="B670" s="5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IFERROR(__xludf.DUMMYFUNCTION("""COMPUTED_VALUE"""),"4690612015507")</f>
        <v>4690612015507</v>
      </c>
      <c r="B671" s="5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IFERROR(__xludf.DUMMYFUNCTION("""COMPUTED_VALUE"""),"4690612042640")</f>
        <v>4690612042640</v>
      </c>
      <c r="B67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5" t="str">
        <f>IFERROR(__xludf.DUMMYFUNCTION("""COMPUTED_VALUE"""),"4690612053004")</f>
        <v>4690612053004</v>
      </c>
      <c r="B673" s="5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5" t="str">
        <f>IFERROR(__xludf.DUMMYFUNCTION("""COMPUTED_VALUE"""),"R100139-2")</f>
        <v>R100139-2</v>
      </c>
      <c r="B674" s="5" t="str">
        <f>IFERROR(__xludf.DUMMYFUNCTION("""COMPUTED_VALUE"""),"RSV-SPO-02-40W-4000K, IP40 (2 штуки в упаковке)")</f>
        <v>RSV-SPO-02-40W-4000K, IP40 (2 штуки в упаковке)</v>
      </c>
      <c r="C674" s="2">
        <f>IFERROR(__xludf.DUMMYFUNCTION("""COMPUTED_VALUE"""),0.42)</f>
        <v>0.42</v>
      </c>
      <c r="D674" s="2">
        <f>IFERROR(__xludf.DUMMYFUNCTION("""COMPUTED_VALUE"""),0.0)</f>
        <v>0</v>
      </c>
      <c r="E674" s="2">
        <f>IFERROR(__xludf.DUMMYFUNCTION("""COMPUTED_VALUE"""),496.22)</f>
        <v>496.22</v>
      </c>
      <c r="F674" s="2">
        <f>IFERROR(__xludf.DUMMYFUNCTION("""COMPUTED_VALUE"""),596.0)</f>
        <v>596</v>
      </c>
      <c r="G674" s="2">
        <f>IFERROR(__xludf.DUMMYFUNCTION("""COMPUTED_VALUE"""),635.0)</f>
        <v>635</v>
      </c>
      <c r="H674" s="2">
        <f>IFERROR(__xludf.DUMMYFUNCTION("""COMPUTED_VALUE"""),715.0)</f>
        <v>715</v>
      </c>
      <c r="I674" s="2">
        <f>IFERROR(__xludf.DUMMYFUNCTION("""COMPUTED_VALUE"""),794.0)</f>
        <v>794</v>
      </c>
      <c r="J674" s="2">
        <f>IFERROR(__xludf.DUMMYFUNCTION("""COMPUTED_VALUE"""),397.0)</f>
        <v>397</v>
      </c>
      <c r="K674" s="2">
        <f>IFERROR(__xludf.DUMMYFUNCTION("""COMPUTED_VALUE"""),1.0)</f>
        <v>1</v>
      </c>
      <c r="L67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5">
      <c r="A675" s="5" t="str">
        <f>IFERROR(__xludf.DUMMYFUNCTION("""COMPUTED_VALUE"""),"G207707102")</f>
        <v>G207707102</v>
      </c>
      <c r="B675" s="5" t="str">
        <f>IFERROR(__xludf.DUMMYFUNCTION("""COMPUTED_VALUE"""),"G4 12V 2W 2700K 1/20/200")</f>
        <v>G4 12V 2W 2700K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IFERROR(__xludf.DUMMYFUNCTION("""COMPUTED_VALUE"""),11.0)</f>
        <v>11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IFERROR(__xludf.DUMMYFUNCTION("""COMPUTED_VALUE"""),"GL81411")</f>
        <v>GL81411</v>
      </c>
      <c r="B676" s="5" t="str">
        <f>IFERROR(__xludf.DUMMYFUNCTION("""COMPUTED_VALUE"""),"GLERIO Office Special 20 Вт 4000K 82P-20D-4V-P")</f>
        <v>GLERIO Office Special 20 Вт 4000K 82P-20D-4V-P</v>
      </c>
      <c r="C676" s="2">
        <f>IFERROR(__xludf.DUMMYFUNCTION("""COMPUTED_VALUE"""),1.04)</f>
        <v>1.04</v>
      </c>
      <c r="D676" s="2">
        <f>IFERROR(__xludf.DUMMYFUNCTION("""COMPUTED_VALUE"""),0.008190000000000001)</f>
        <v>0.00819</v>
      </c>
      <c r="E676" s="2">
        <f>IFERROR(__xludf.DUMMYFUNCTION("""COMPUTED_VALUE"""),1464.7)</f>
        <v>1464.7</v>
      </c>
      <c r="F676" s="2">
        <f>IFERROR(__xludf.DUMMYFUNCTION("""COMPUTED_VALUE"""),1700.0)</f>
        <v>1700</v>
      </c>
      <c r="G676" s="2">
        <f>IFERROR(__xludf.DUMMYFUNCTION("""COMPUTED_VALUE"""),2140.0)</f>
        <v>2140</v>
      </c>
      <c r="H676" s="2">
        <f>IFERROR(__xludf.DUMMYFUNCTION("""COMPUTED_VALUE"""),2404.0)</f>
        <v>2404</v>
      </c>
      <c r="I676" s="2">
        <f>IFERROR(__xludf.DUMMYFUNCTION("""COMPUTED_VALUE"""),2667.0)</f>
        <v>2667</v>
      </c>
      <c r="J676" s="2">
        <f>IFERROR(__xludf.DUMMYFUNCTION("""COMPUTED_VALUE"""),1334.0)</f>
        <v>1334</v>
      </c>
      <c r="K676" s="2">
        <f>IFERROR(__xludf.DUMMYFUNCTION("""COMPUTED_VALUE"""),30.0)</f>
        <v>30</v>
      </c>
      <c r="L676" s="2" t="str">
        <f>IFERROR(__xludf.DUMMYFUNCTION("""COMPUTED_VALUE"""),"Office Special+ GLERIO (Офис Премиум)")</f>
        <v>Office Special+ GLERIO (Офис Премиум)</v>
      </c>
      <c r="M67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7">
      <c r="A677" s="5" t="str">
        <f>IFERROR(__xludf.DUMMYFUNCTION("""COMPUTED_VALUE"""),"100-300")</f>
        <v>100-300</v>
      </c>
      <c r="B677" s="5" t="str">
        <f>IFERROR(__xludf.DUMMYFUNCTION("""COMPUTED_VALUE"""),"Пиктограмма 100х300мм ""ВЫХОД""")</f>
        <v>Пиктограмма 100х300мм "ВЫХОД"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IFERROR(__xludf.DUMMYFUNCTION("""COMPUTED_VALUE"""),31.15)</f>
        <v>31.15</v>
      </c>
      <c r="F677" s="2">
        <f>IFERROR(__xludf.DUMMYFUNCTION("""COMPUTED_VALUE"""),1.0)</f>
        <v>1</v>
      </c>
      <c r="G677" s="2">
        <f>IFERROR(__xludf.DUMMYFUNCTION("""COMPUTED_VALUE"""),1.0)</f>
        <v>1</v>
      </c>
      <c r="H677" s="2">
        <f>IFERROR(__xludf.DUMMYFUNCTION("""COMPUTED_VALUE"""),1.0)</f>
        <v>1</v>
      </c>
      <c r="I677" s="2">
        <f>IFERROR(__xludf.DUMMYFUNCTION("""COMPUTED_VALUE"""),1.5)</f>
        <v>1.5</v>
      </c>
      <c r="J677" s="2">
        <f>IFERROR(__xludf.DUMMYFUNCTION("""COMPUTED_VALUE"""),1.5)</f>
        <v>1.5</v>
      </c>
      <c r="K677" s="2">
        <f>IFERROR(__xludf.DUMMYFUNCTION("""COMPUTED_VALUE"""),12.0)</f>
        <v>12</v>
      </c>
      <c r="L677" s="2" t="str">
        <f>IFERROR(__xludf.DUMMYFUNCTION("""COMPUTED_VALUE"""),"Аварийные светильники")</f>
        <v>Аварийные светильники</v>
      </c>
      <c r="M67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8">
      <c r="A678" s="5" t="str">
        <f>IFERROR(__xludf.DUMMYFUNCTION("""COMPUTED_VALUE"""),"4690612015576")</f>
        <v>4690612015576</v>
      </c>
      <c r="B678" s="5" t="str">
        <f>IFERROR(__xludf.DUMMYFUNCTION("""COMPUTED_VALUE"""),"LED-СВЕЧА-standard 10Вт 230В Е14 4000К 900Лм ASD")</f>
        <v>LED-СВЕЧА-standard 10Вт 230В Е14 4000К 900Лм ASD</v>
      </c>
      <c r="C678" s="2">
        <f>IFERROR(__xludf.DUMMYFUNCTION("""COMPUTED_VALUE"""),0.033)</f>
        <v>0.033</v>
      </c>
      <c r="D678" s="2">
        <f>IFERROR(__xludf.DUMMYFUNCTION("""COMPUTED_VALUE"""),1.9E-4)</f>
        <v>0.00019</v>
      </c>
      <c r="E678" s="2">
        <f>IFERROR(__xludf.DUMMYFUNCTION("""COMPUTED_VALUE"""),48.02)</f>
        <v>48.02</v>
      </c>
      <c r="F678" s="2">
        <f>IFERROR(__xludf.DUMMYFUNCTION("""COMPUTED_VALUE"""),33.0)</f>
        <v>33</v>
      </c>
      <c r="G678" s="2">
        <f>IFERROR(__xludf.DUMMYFUNCTION("""COMPUTED_VALUE"""),37.0)</f>
        <v>37</v>
      </c>
      <c r="H678" s="2">
        <f>IFERROR(__xludf.DUMMYFUNCTION("""COMPUTED_VALUE"""),43.0)</f>
        <v>43</v>
      </c>
      <c r="I678" s="2">
        <f>IFERROR(__xludf.DUMMYFUNCTION("""COMPUTED_VALUE"""),49.9)</f>
        <v>49.9</v>
      </c>
      <c r="J678" s="2">
        <f>IFERROR(__xludf.DUMMYFUNCTION("""COMPUTED_VALUE"""),25.0)</f>
        <v>25</v>
      </c>
      <c r="K678" s="2">
        <f>IFERROR(__xludf.DUMMYFUNCTION("""COMPUTED_VALUE"""),3.0)</f>
        <v>3</v>
      </c>
      <c r="L678" s="2" t="str">
        <f>IFERROR(__xludf.DUMMYFUNCTION("""COMPUTED_VALUE"""),"Лампа светодиодная LED-СВЕЧА-standard")</f>
        <v>Лампа светодиодная LED-СВЕЧА-standard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IFERROR(__xludf.DUMMYFUNCTION("""COMPUTED_VALUE"""),"01-4002")</f>
        <v>01-4002</v>
      </c>
      <c r="B679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IFERROR(__xludf.DUMMYFUNCTION("""COMPUTED_VALUE"""),1.0)</f>
        <v>1</v>
      </c>
      <c r="F679" s="2">
        <f>IFERROR(__xludf.DUMMYFUNCTION("""COMPUTED_VALUE"""),3387.0)</f>
        <v>3387</v>
      </c>
      <c r="G679" s="2">
        <f>IFERROR(__xludf.DUMMYFUNCTION("""COMPUTED_VALUE"""),3613.0)</f>
        <v>3613</v>
      </c>
      <c r="H679" s="2">
        <f>IFERROR(__xludf.DUMMYFUNCTION("""COMPUTED_VALUE"""),4065.0)</f>
        <v>4065</v>
      </c>
      <c r="I679" s="2">
        <f>IFERROR(__xludf.DUMMYFUNCTION("""COMPUTED_VALUE"""),4516.22)</f>
        <v>4516.22</v>
      </c>
      <c r="J679" s="2">
        <f>IFERROR(__xludf.DUMMYFUNCTION("""COMPUTED_VALUE"""),2258.0)</f>
        <v>2258</v>
      </c>
      <c r="K679" s="2">
        <f>IFERROR(__xludf.DUMMYFUNCTION("""COMPUTED_VALUE"""),3.0)</f>
        <v>3</v>
      </c>
      <c r="L679" s="2" t="str">
        <f>IFERROR(__xludf.DUMMYFUNCTION("""COMPUTED_VALUE"""),"Rexant")</f>
        <v>Rexant</v>
      </c>
      <c r="M679" s="2" t="str">
        <f>IFERROR(__xludf.DUMMYFUNCTION("""COMPUTED_VALUE"""),"Прочие товары")</f>
        <v>Прочие товары</v>
      </c>
    </row>
    <row r="680">
      <c r="A680" s="5" t="str">
        <f>IFERROR(__xludf.DUMMYFUNCTION("""COMPUTED_VALUE"""),"4690612053028-1")</f>
        <v>4690612053028-1</v>
      </c>
      <c r="B680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IFERROR(__xludf.DUMMYFUNCTION("""COMPUTED_VALUE"""),607.3100000000001)</f>
        <v>607.31</v>
      </c>
      <c r="F680" s="2">
        <f>IFERROR(__xludf.DUMMYFUNCTION("""COMPUTED_VALUE"""),666.0)</f>
        <v>666</v>
      </c>
      <c r="G680" s="2">
        <f>IFERROR(__xludf.DUMMYFUNCTION("""COMPUTED_VALUE"""),778.0)</f>
        <v>778</v>
      </c>
      <c r="H680" s="2">
        <f>IFERROR(__xludf.DUMMYFUNCTION("""COMPUTED_VALUE"""),875.0)</f>
        <v>875</v>
      </c>
      <c r="I680" s="2">
        <f>IFERROR(__xludf.DUMMYFUNCTION("""COMPUTED_VALUE"""),972.0)</f>
        <v>972</v>
      </c>
      <c r="J680" s="2">
        <f>IFERROR(__xludf.DUMMYFUNCTION("""COMPUTED_VALUE"""),486.0)</f>
        <v>486</v>
      </c>
      <c r="K680" s="2">
        <f>IFERROR(__xludf.DUMMYFUNCTION("""COMPUTED_VALUE"""),2.0)</f>
        <v>2</v>
      </c>
      <c r="L6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5" t="str">
        <f>IFERROR(__xludf.DUMMYFUNCTION("""COMPUTED_VALUE"""),"V13004")</f>
        <v>V13004</v>
      </c>
      <c r="B681" s="5" t="str">
        <f>IFERROR(__xludf.DUMMYFUNCTION("""COMPUTED_VALUE"""),"VRN-RTL-44-8MA50K65-U, 44Вт, Универсальный")</f>
        <v>VRN-RTL-44-8MA50K65-U, 44Вт, Универсальный</v>
      </c>
      <c r="C681" s="2">
        <f>IFERROR(__xludf.DUMMYFUNCTION("""COMPUTED_VALUE"""),2.3)</f>
        <v>2.3</v>
      </c>
      <c r="D681" s="2">
        <f>IFERROR(__xludf.DUMMYFUNCTION("""COMPUTED_VALUE"""),0.0255)</f>
        <v>0.0255</v>
      </c>
      <c r="E681" s="2">
        <f>IFERROR(__xludf.DUMMYFUNCTION("""COMPUTED_VALUE"""),3387.0)</f>
        <v>3387</v>
      </c>
      <c r="F681" s="2">
        <f>IFERROR(__xludf.DUMMYFUNCTION("""COMPUTED_VALUE"""),3725.0)</f>
        <v>3725</v>
      </c>
      <c r="G681" s="2">
        <f>IFERROR(__xludf.DUMMYFUNCTION("""COMPUTED_VALUE"""),4843.0)</f>
        <v>4843</v>
      </c>
      <c r="H681" s="2">
        <f>IFERROR(__xludf.DUMMYFUNCTION("""COMPUTED_VALUE"""),5085.0)</f>
        <v>5085</v>
      </c>
      <c r="I681" s="2">
        <f>IFERROR(__xludf.DUMMYFUNCTION("""COMPUTED_VALUE"""),5327.0)</f>
        <v>5327</v>
      </c>
      <c r="J681" s="2">
        <f>IFERROR(__xludf.DUMMYFUNCTION("""COMPUTED_VALUE"""),2664.0)</f>
        <v>2664</v>
      </c>
      <c r="K681" s="2">
        <f>IFERROR(__xludf.DUMMYFUNCTION("""COMPUTED_VALUE"""),6.0)</f>
        <v>6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5" t="str">
        <f>IFERROR(__xludf.DUMMYFUNCTION("""COMPUTED_VALUE"""),"4260652196285")</f>
        <v>4260652196285</v>
      </c>
      <c r="B682" s="5" t="str">
        <f>IFERROR(__xludf.DUMMYFUNCTION("""COMPUTED_VALUE"""),"WTL-15W/02B")</f>
        <v>WTL-15W/02B</v>
      </c>
      <c r="C682" s="2">
        <f>IFERROR(__xludf.DUMMYFUNCTION("""COMPUTED_VALUE"""),0.485)</f>
        <v>0.485</v>
      </c>
      <c r="D682" s="2">
        <f>IFERROR(__xludf.DUMMYFUNCTION("""COMPUTED_VALUE"""),0.00193)</f>
        <v>0.00193</v>
      </c>
      <c r="E682" s="2">
        <f>IFERROR(__xludf.DUMMYFUNCTION("""COMPUTED_VALUE"""),875.0)</f>
        <v>875</v>
      </c>
      <c r="F682" s="2">
        <f>IFERROR(__xludf.DUMMYFUNCTION("""COMPUTED_VALUE"""),1446.0)</f>
        <v>1446</v>
      </c>
      <c r="G682" s="2">
        <f>IFERROR(__xludf.DUMMYFUNCTION("""COMPUTED_VALUE"""),1495.0)</f>
        <v>1495</v>
      </c>
      <c r="H682" s="2">
        <f>IFERROR(__xludf.DUMMYFUNCTION("""COMPUTED_VALUE"""),1960.0)</f>
        <v>1960</v>
      </c>
      <c r="I682" s="2">
        <f>IFERROR(__xludf.DUMMYFUNCTION("""COMPUTED_VALUE"""),2450.0)</f>
        <v>2450</v>
      </c>
      <c r="J682" s="2">
        <f>IFERROR(__xludf.DUMMYFUNCTION("""COMPUTED_VALUE"""),1225.0)</f>
        <v>1225</v>
      </c>
      <c r="K682" s="2">
        <f>IFERROR(__xludf.DUMMYFUNCTION("""COMPUTED_VALUE"""),2.0)</f>
        <v>2</v>
      </c>
      <c r="L682" s="2" t="str">
        <f>IFERROR(__xludf.DUMMYFUNCTION("""COMPUTED_VALUE"""),"Wolta трековые")</f>
        <v>Wolta трековые</v>
      </c>
      <c r="M682" s="2" t="str">
        <f>IFERROR(__xludf.DUMMYFUNCTION("""COMPUTED_VALUE"""),"Трековые, LED Светильники")</f>
        <v>Трековые, LED Светильники</v>
      </c>
    </row>
    <row r="683">
      <c r="A683" s="5" t="str">
        <f>IFERROR(__xludf.DUMMYFUNCTION("""COMPUTED_VALUE"""),"B2100-ST-051")</f>
        <v>B2100-ST-051</v>
      </c>
      <c r="B683" s="5" t="str">
        <f>IFERROR(__xludf.DUMMYFUNCTION("""COMPUTED_VALUE"""),"Балка яруса Ш=2100 Cтeллaжа CT-051")</f>
        <v>Балка яруса Ш=2100 Cтeллaжа CT-051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IFERROR(__xludf.DUMMYFUNCTION("""COMPUTED_VALUE"""),0.0)</f>
        <v>0</v>
      </c>
      <c r="F683" s="2">
        <f>IFERROR(__xludf.DUMMYFUNCTION("""COMPUTED_VALUE"""),900.0)</f>
        <v>900</v>
      </c>
      <c r="G683" s="2">
        <f>IFERROR(__xludf.DUMMYFUNCTION("""COMPUTED_VALUE"""),960.0)</f>
        <v>960</v>
      </c>
      <c r="H683" s="2">
        <f>IFERROR(__xludf.DUMMYFUNCTION("""COMPUTED_VALUE"""),1080.0)</f>
        <v>1080</v>
      </c>
      <c r="I683" s="2">
        <f>IFERROR(__xludf.DUMMYFUNCTION("""COMPUTED_VALUE"""),1200.5)</f>
        <v>1200.5</v>
      </c>
      <c r="J683" s="2">
        <f>IFERROR(__xludf.DUMMYFUNCTION("""COMPUTED_VALUE"""),600.0)</f>
        <v>600</v>
      </c>
      <c r="K683" s="2">
        <f>IFERROR(__xludf.DUMMYFUNCTION("""COMPUTED_VALUE"""),18.0)</f>
        <v>18</v>
      </c>
      <c r="L683" s="2" t="str">
        <f>IFERROR(__xludf.DUMMYFUNCTION("""COMPUTED_VALUE"""),"Другие")</f>
        <v>Другие</v>
      </c>
      <c r="M683" s="2" t="str">
        <f>IFERROR(__xludf.DUMMYFUNCTION("""COMPUTED_VALUE"""),"Прочие товары")</f>
        <v>Прочие товары</v>
      </c>
    </row>
    <row r="684">
      <c r="A684" s="5" t="str">
        <f>IFERROR(__xludf.DUMMYFUNCTION("""COMPUTED_VALUE"""),"G103102207")</f>
        <v>G103102207</v>
      </c>
      <c r="B684" s="5" t="str">
        <f>IFERROR(__xludf.DUMMYFUNCTION("""COMPUTED_VALUE"""),"Candle E27 6.5W 4100К 1/10/100")</f>
        <v>Candle E27 6.5W 4100К 1/10/100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IFERROR(__xludf.DUMMYFUNCTION("""COMPUTED_VALUE"""),82.0)</f>
        <v>82</v>
      </c>
      <c r="K684" s="2">
        <f>IFERROR(__xludf.DUMMYFUNCTION("""COMPUTED_VALUE"""),49.0)</f>
        <v>49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IFERROR(__xludf.DUMMYFUNCTION("""COMPUTED_VALUE"""),"4690612057279")</f>
        <v>4690612057279</v>
      </c>
      <c r="B685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5" s="2">
        <f>IFERROR(__xludf.DUMMYFUNCTION("""COMPUTED_VALUE"""),0.9750000000000001)</f>
        <v>0.975</v>
      </c>
      <c r="D685" s="2">
        <f>IFERROR(__xludf.DUMMYFUNCTION("""COMPUTED_VALUE"""),0.01625)</f>
        <v>0.01625</v>
      </c>
      <c r="E685" s="2">
        <f>IFERROR(__xludf.DUMMYFUNCTION("""COMPUTED_VALUE"""),763.14)</f>
        <v>763.14</v>
      </c>
      <c r="F685" s="2">
        <f>IFERROR(__xludf.DUMMYFUNCTION("""COMPUTED_VALUE"""),964.0)</f>
        <v>964</v>
      </c>
      <c r="G685" s="2">
        <f>IFERROR(__xludf.DUMMYFUNCTION("""COMPUTED_VALUE"""),1084.0)</f>
        <v>1084</v>
      </c>
      <c r="H685" s="2">
        <f>IFERROR(__xludf.DUMMYFUNCTION("""COMPUTED_VALUE"""),1257.0)</f>
        <v>1257</v>
      </c>
      <c r="I685" s="2">
        <f>IFERROR(__xludf.DUMMYFUNCTION("""COMPUTED_VALUE"""),1445.0)</f>
        <v>1445</v>
      </c>
      <c r="J685" s="2">
        <f>IFERROR(__xludf.DUMMYFUNCTION("""COMPUTED_VALUE"""),723.0)</f>
        <v>723</v>
      </c>
      <c r="K685" s="2">
        <f>IFERROR(__xludf.DUMMYFUNCTION("""COMPUTED_VALUE"""),37.0)</f>
        <v>37</v>
      </c>
      <c r="L685" s="2" t="str">
        <f>IFERROR(__xludf.DUMMYFUNCTION("""COMPUTED_VALUE"""),"NEOX Светильники LED ДВО")</f>
        <v>NEOX Светильники LED ДВО</v>
      </c>
      <c r="M68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6">
      <c r="A686" s="5" t="str">
        <f>IFERROR(__xludf.DUMMYFUNCTION("""COMPUTED_VALUE"""),"4690612009025-5")</f>
        <v>4690612009025-5</v>
      </c>
      <c r="B686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6" s="2">
        <f>IFERROR(__xludf.DUMMYFUNCTION("""COMPUTED_VALUE"""),0.028)</f>
        <v>0.028</v>
      </c>
      <c r="D686" s="2">
        <f>IFERROR(__xludf.DUMMYFUNCTION("""COMPUTED_VALUE"""),1.3E-4)</f>
        <v>0.00013</v>
      </c>
      <c r="E686" s="2">
        <f>IFERROR(__xludf.DUMMYFUNCTION("""COMPUTED_VALUE"""),178.25)</f>
        <v>178.25</v>
      </c>
      <c r="F686" s="2">
        <f>IFERROR(__xludf.DUMMYFUNCTION("""COMPUTED_VALUE"""),196.0)</f>
        <v>196</v>
      </c>
      <c r="G686" s="2">
        <f>IFERROR(__xludf.DUMMYFUNCTION("""COMPUTED_VALUE"""),228.0)</f>
        <v>228</v>
      </c>
      <c r="H686" s="2">
        <f>IFERROR(__xludf.DUMMYFUNCTION("""COMPUTED_VALUE"""),257.0)</f>
        <v>257</v>
      </c>
      <c r="I686" s="2">
        <f>IFERROR(__xludf.DUMMYFUNCTION("""COMPUTED_VALUE"""),285.0)</f>
        <v>285</v>
      </c>
      <c r="J686" s="2">
        <f>IFERROR(__xludf.DUMMYFUNCTION("""COMPUTED_VALUE"""),143.0)</f>
        <v>143</v>
      </c>
      <c r="K686" s="2">
        <f>IFERROR(__xludf.DUMMYFUNCTION("""COMPUTED_VALUE"""),40.0)</f>
        <v>40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IFERROR(__xludf.DUMMYFUNCTION("""COMPUTED_VALUE"""),"G103101207")</f>
        <v>G103101207</v>
      </c>
      <c r="B687" s="5" t="str">
        <f>IFERROR(__xludf.DUMMYFUNCTION("""COMPUTED_VALUE"""),"Candle E14 6.5W 4100К 1/10/50")</f>
        <v>Candle E14 6.5W 4100К 1/10/50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IFERROR(__xludf.DUMMYFUNCTION("""COMPUTED_VALUE"""),78.87)</f>
        <v>78.87</v>
      </c>
      <c r="F687" s="2">
        <f>IFERROR(__xludf.DUMMYFUNCTION("""COMPUTED_VALUE"""),82.0)</f>
        <v>82</v>
      </c>
      <c r="G687" s="2">
        <f>IFERROR(__xludf.DUMMYFUNCTION("""COMPUTED_VALUE"""),90.0)</f>
        <v>90</v>
      </c>
      <c r="H687" s="2">
        <f>IFERROR(__xludf.DUMMYFUNCTION("""COMPUTED_VALUE"""),106.0)</f>
        <v>106</v>
      </c>
      <c r="I687" s="2">
        <f>IFERROR(__xludf.DUMMYFUNCTION("""COMPUTED_VALUE"""),134.0)</f>
        <v>134</v>
      </c>
      <c r="J687" s="2">
        <f>IFERROR(__xludf.DUMMYFUNCTION("""COMPUTED_VALUE"""),67.0)</f>
        <v>67</v>
      </c>
      <c r="K687" s="2">
        <f>IFERROR(__xludf.DUMMYFUNCTION("""COMPUTED_VALUE"""),1.0)</f>
        <v>1</v>
      </c>
      <c r="L687" s="2" t="str">
        <f>IFERROR(__xludf.DUMMYFUNCTION("""COMPUTED_VALUE"""),"Свечи")</f>
        <v>Свечи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IFERROR(__xludf.DUMMYFUNCTION("""COMPUTED_VALUE"""),"4690612024042")</f>
        <v>4690612024042</v>
      </c>
      <c r="B688" s="5" t="str">
        <f>IFERROR(__xludf.DUMMYFUNCTION("""COMPUTED_VALUE"""),"LED-A60-VC 8Вт 230В Е27 6500К 760Лм IN HOME")</f>
        <v>LED-A60-VC 8Вт 230В Е27 6500К 760Лм IN HOME</v>
      </c>
      <c r="C688" s="2">
        <f>IFERROR(__xludf.DUMMYFUNCTION("""COMPUTED_VALUE"""),0.05500000000000001)</f>
        <v>0.055</v>
      </c>
      <c r="D688" s="2">
        <f>IFERROR(__xludf.DUMMYFUNCTION("""COMPUTED_VALUE"""),4.0E-4)</f>
        <v>0.0004</v>
      </c>
      <c r="E688" s="2">
        <f>IFERROR(__xludf.DUMMYFUNCTION("""COMPUTED_VALUE"""),35.55)</f>
        <v>35.55</v>
      </c>
      <c r="F688" s="2">
        <f>IFERROR(__xludf.DUMMYFUNCTION("""COMPUTED_VALUE"""),43.0)</f>
        <v>43</v>
      </c>
      <c r="G688" s="2">
        <f>IFERROR(__xludf.DUMMYFUNCTION("""COMPUTED_VALUE"""),48.0)</f>
        <v>48</v>
      </c>
      <c r="H688" s="2">
        <f>IFERROR(__xludf.DUMMYFUNCTION("""COMPUTED_VALUE"""),56.0)</f>
        <v>56</v>
      </c>
      <c r="I688" s="2">
        <f>IFERROR(__xludf.DUMMYFUNCTION("""COMPUTED_VALUE"""),64.3)</f>
        <v>64.3</v>
      </c>
      <c r="J688" s="2">
        <f>IFERROR(__xludf.DUMMYFUNCTION("""COMPUTED_VALUE"""),32.0)</f>
        <v>32</v>
      </c>
      <c r="K688" s="2">
        <f>IFERROR(__xludf.DUMMYFUNCTION("""COMPUTED_VALUE"""),8.0)</f>
        <v>8</v>
      </c>
      <c r="L688" s="2" t="str">
        <f>IFERROR(__xludf.DUMMYFUNCTION("""COMPUTED_VALUE"""),"Лампа светодиодная LED-A60-standard")</f>
        <v>Лампа светодиодная LED-A60-standard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IFERROR(__xludf.DUMMYFUNCTION("""COMPUTED_VALUE"""),"4680005959754-10")</f>
        <v>4680005959754-10</v>
      </c>
      <c r="B689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9" s="2">
        <f>IFERROR(__xludf.DUMMYFUNCTION("""COMPUTED_VALUE"""),0.05)</f>
        <v>0.05</v>
      </c>
      <c r="D689" s="2">
        <f>IFERROR(__xludf.DUMMYFUNCTION("""COMPUTED_VALUE"""),2.5E-4)</f>
        <v>0.00025</v>
      </c>
      <c r="E689" s="2">
        <f>IFERROR(__xludf.DUMMYFUNCTION("""COMPUTED_VALUE"""),503.5)</f>
        <v>503.5</v>
      </c>
      <c r="F689" s="2">
        <f>IFERROR(__xludf.DUMMYFUNCTION("""COMPUTED_VALUE"""),552.0)</f>
        <v>552</v>
      </c>
      <c r="G689" s="2">
        <f>IFERROR(__xludf.DUMMYFUNCTION("""COMPUTED_VALUE"""),645.0)</f>
        <v>645</v>
      </c>
      <c r="H689" s="2">
        <f>IFERROR(__xludf.DUMMYFUNCTION("""COMPUTED_VALUE"""),725.0)</f>
        <v>725</v>
      </c>
      <c r="I689" s="2">
        <f>IFERROR(__xludf.DUMMYFUNCTION("""COMPUTED_VALUE"""),806.0)</f>
        <v>806</v>
      </c>
      <c r="J689" s="2">
        <f>IFERROR(__xludf.DUMMYFUNCTION("""COMPUTED_VALUE"""),403.0)</f>
        <v>403</v>
      </c>
      <c r="K689" s="2">
        <f>IFERROR(__xludf.DUMMYFUNCTION("""COMPUTED_VALUE"""),13.0)</f>
        <v>13</v>
      </c>
      <c r="L689" s="2" t="str">
        <f>IFERROR(__xludf.DUMMYFUNCTION("""COMPUTED_VALUE"""),"Розетки, вилки производство, упаковка")</f>
        <v>Розетки, вилки производство, упаковка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IFERROR(__xludf.DUMMYFUNCTION("""COMPUTED_VALUE"""),"11700133")</f>
        <v>11700133</v>
      </c>
      <c r="B690" s="5" t="str">
        <f>IFERROR(__xludf.DUMMYFUNCTION("""COMPUTED_VALUE"""),"LTT - BROKS L1000 4000К 30Вт")</f>
        <v>LTT - BROKS L1000 4000К 30Вт</v>
      </c>
      <c r="C690" s="2">
        <f>IFERROR(__xludf.DUMMYFUNCTION("""COMPUTED_VALUE"""),1.0)</f>
        <v>1</v>
      </c>
      <c r="D690" s="2">
        <f>IFERROR(__xludf.DUMMYFUNCTION("""COMPUTED_VALUE"""),0.006840000000000001)</f>
        <v>0.00684</v>
      </c>
      <c r="E690" s="2">
        <f>IFERROR(__xludf.DUMMYFUNCTION("""COMPUTED_VALUE"""),2302.25)</f>
        <v>2302.25</v>
      </c>
      <c r="F690" s="2">
        <f>IFERROR(__xludf.DUMMYFUNCTION("""COMPUTED_VALUE"""),3308.0)</f>
        <v>3308</v>
      </c>
      <c r="G690" s="2">
        <f>IFERROR(__xludf.DUMMYFUNCTION("""COMPUTED_VALUE"""),3701.0)</f>
        <v>3701</v>
      </c>
      <c r="H690" s="2">
        <f>IFERROR(__xludf.DUMMYFUNCTION("""COMPUTED_VALUE"""),4163.0)</f>
        <v>4163</v>
      </c>
      <c r="I690" s="2">
        <f>IFERROR(__xludf.DUMMYFUNCTION("""COMPUTED_VALUE"""),4626.0)</f>
        <v>4626</v>
      </c>
      <c r="J690" s="2">
        <f>IFERROR(__xludf.DUMMYFUNCTION("""COMPUTED_VALUE"""),2313.0)</f>
        <v>2313</v>
      </c>
      <c r="K690" s="2">
        <f>IFERROR(__xludf.DUMMYFUNCTION("""COMPUTED_VALUE"""),1.0)</f>
        <v>1</v>
      </c>
      <c r="L690" s="2" t="str">
        <f>IFERROR(__xludf.DUMMYFUNCTION("""COMPUTED_VALUE"""),"LEDOS Промышленное освещение")</f>
        <v>LEDOS Промышленное освещение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IFERROR(__xludf.DUMMYFUNCTION("""COMPUTED_VALUE"""),"4260652193406")</f>
        <v>4260652193406</v>
      </c>
      <c r="B691" s="5" t="str">
        <f>IFERROR(__xludf.DUMMYFUNCTION("""COMPUTED_VALUE"""),"LCL04-12W-R11-6K-SOA")</f>
        <v>LCL04-12W-R11-6K-SOA</v>
      </c>
      <c r="C691" s="2">
        <f>IFERROR(__xludf.DUMMYFUNCTION("""COMPUTED_VALUE"""),0.11)</f>
        <v>0.11</v>
      </c>
      <c r="D691" s="2">
        <f>IFERROR(__xludf.DUMMYFUNCTION("""COMPUTED_VALUE"""),0.0)</f>
        <v>0</v>
      </c>
      <c r="E691" s="2">
        <f>IFERROR(__xludf.DUMMYFUNCTION("""COMPUTED_VALUE"""),237.07)</f>
        <v>237.07</v>
      </c>
      <c r="F691" s="2">
        <f>IFERROR(__xludf.DUMMYFUNCTION("""COMPUTED_VALUE"""),340.0)</f>
        <v>340</v>
      </c>
      <c r="G691" s="2">
        <f>IFERROR(__xludf.DUMMYFUNCTION("""COMPUTED_VALUE"""),352.0)</f>
        <v>352</v>
      </c>
      <c r="H691" s="2">
        <f>IFERROR(__xludf.DUMMYFUNCTION("""COMPUTED_VALUE"""),461.0)</f>
        <v>461</v>
      </c>
      <c r="I691" s="2">
        <f>IFERROR(__xludf.DUMMYFUNCTION("""COMPUTED_VALUE"""),576.0)</f>
        <v>576</v>
      </c>
      <c r="J691" s="2">
        <f>IFERROR(__xludf.DUMMYFUNCTION("""COMPUTED_VALUE"""),288.0)</f>
        <v>288</v>
      </c>
      <c r="K691" s="2">
        <f>IFERROR(__xludf.DUMMYFUNCTION("""COMPUTED_VALUE"""),34.0)</f>
        <v>34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IFERROR(__xludf.DUMMYFUNCTION("""COMPUTED_VALUE"""),"GL8280")</f>
        <v>GL8280</v>
      </c>
      <c r="B692" s="5" t="str">
        <f>IFERROR(__xludf.DUMMYFUNCTION("""COMPUTED_VALUE"""),"GLERIO Line Ultra 36 Вт 4000К 94P-36D-4N-M")</f>
        <v>GLERIO Line Ultra 36 Вт 4000К 94P-36D-4N-M</v>
      </c>
      <c r="C692" s="2">
        <f>IFERROR(__xludf.DUMMYFUNCTION("""COMPUTED_VALUE"""),0.7200000000000001)</f>
        <v>0.72</v>
      </c>
      <c r="D692" s="2">
        <f>IFERROR(__xludf.DUMMYFUNCTION("""COMPUTED_VALUE"""),0.00485)</f>
        <v>0.00485</v>
      </c>
      <c r="E692" s="2">
        <f>IFERROR(__xludf.DUMMYFUNCTION("""COMPUTED_VALUE"""),2114.6)</f>
        <v>2114.6</v>
      </c>
      <c r="F692" s="2">
        <f>IFERROR(__xludf.DUMMYFUNCTION("""COMPUTED_VALUE"""),2680.0)</f>
        <v>2680</v>
      </c>
      <c r="G692" s="2">
        <f>IFERROR(__xludf.DUMMYFUNCTION("""COMPUTED_VALUE"""),3374.0)</f>
        <v>3374</v>
      </c>
      <c r="H692" s="2">
        <f>IFERROR(__xludf.DUMMYFUNCTION("""COMPUTED_VALUE"""),3789.0)</f>
        <v>3789</v>
      </c>
      <c r="I692" s="2">
        <f>IFERROR(__xludf.DUMMYFUNCTION("""COMPUTED_VALUE"""),4204.0)</f>
        <v>4204</v>
      </c>
      <c r="J692" s="2">
        <f>IFERROR(__xludf.DUMMYFUNCTION("""COMPUTED_VALUE"""),2102.0)</f>
        <v>2102</v>
      </c>
      <c r="K692" s="2">
        <f>IFERROR(__xludf.DUMMYFUNCTION("""COMPUTED_VALUE"""),3.0)</f>
        <v>3</v>
      </c>
      <c r="L692" s="2" t="str">
        <f>IFERROR(__xludf.DUMMYFUNCTION("""COMPUTED_VALUE"""),"Line Ultra (Сеть) до 10.2025")</f>
        <v>Line Ultra (Сеть) до 10.2025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IFERROR(__xludf.DUMMYFUNCTION("""COMPUTED_VALUE"""),"14690612038169")</f>
        <v>14690612038169</v>
      </c>
      <c r="B693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3" s="2">
        <f>IFERROR(__xludf.DUMMYFUNCTION("""COMPUTED_VALUE"""),1.075)</f>
        <v>1.075</v>
      </c>
      <c r="D693" s="2">
        <f>IFERROR(__xludf.DUMMYFUNCTION("""COMPUTED_VALUE"""),0.01)</f>
        <v>0.01</v>
      </c>
      <c r="E693" s="2">
        <f>IFERROR(__xludf.DUMMYFUNCTION("""COMPUTED_VALUE"""),1924.67)</f>
        <v>1924.67</v>
      </c>
      <c r="F693" s="2">
        <f>IFERROR(__xludf.DUMMYFUNCTION("""COMPUTED_VALUE"""),2112.0)</f>
        <v>2112</v>
      </c>
      <c r="G693" s="2">
        <f>IFERROR(__xludf.DUMMYFUNCTION("""COMPUTED_VALUE"""),2463.0)</f>
        <v>2463</v>
      </c>
      <c r="H693" s="2">
        <f>IFERROR(__xludf.DUMMYFUNCTION("""COMPUTED_VALUE"""),2771.0)</f>
        <v>2771</v>
      </c>
      <c r="I693" s="2">
        <f>IFERROR(__xludf.DUMMYFUNCTION("""COMPUTED_VALUE"""),3079.0)</f>
        <v>3079</v>
      </c>
      <c r="J693" s="2">
        <f>IFERROR(__xludf.DUMMYFUNCTION("""COMPUTED_VALUE"""),1540.0)</f>
        <v>1540</v>
      </c>
      <c r="K693" s="2">
        <f>IFERROR(__xludf.DUMMYFUNCTION("""COMPUTED_VALUE"""),13.0)</f>
        <v>13</v>
      </c>
      <c r="L6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5" t="str">
        <f>IFERROR(__xludf.DUMMYFUNCTION("""COMPUTED_VALUE"""),"V11013")</f>
        <v>V11013</v>
      </c>
      <c r="B694" s="5" t="str">
        <f>IFERROR(__xludf.DUMMYFUNCTION("""COMPUTED_VALUE"""),"VRN-LPE30-64-A50K67-U, 64Вт, Универсальный")</f>
        <v>VRN-LPE30-64-A50K67-U, 64Вт, Универсальный</v>
      </c>
      <c r="C694" s="2">
        <f>IFERROR(__xludf.DUMMYFUNCTION("""COMPUTED_VALUE"""),2.0)</f>
        <v>2</v>
      </c>
      <c r="D694" s="2">
        <f>IFERROR(__xludf.DUMMYFUNCTION("""COMPUTED_VALUE"""),0.0074)</f>
        <v>0.0074</v>
      </c>
      <c r="E694" s="2">
        <f>IFERROR(__xludf.DUMMYFUNCTION("""COMPUTED_VALUE"""),3250.0)</f>
        <v>3250</v>
      </c>
      <c r="F694" s="2">
        <f>IFERROR(__xludf.DUMMYFUNCTION("""COMPUTED_VALUE"""),3760.0)</f>
        <v>3760</v>
      </c>
      <c r="G694" s="2">
        <f>IFERROR(__xludf.DUMMYFUNCTION("""COMPUTED_VALUE"""),4888.0)</f>
        <v>4888</v>
      </c>
      <c r="H694" s="2">
        <f>IFERROR(__xludf.DUMMYFUNCTION("""COMPUTED_VALUE"""),5132.0)</f>
        <v>5132</v>
      </c>
      <c r="I694" s="2">
        <f>IFERROR(__xludf.DUMMYFUNCTION("""COMPUTED_VALUE"""),5377.0)</f>
        <v>5377</v>
      </c>
      <c r="J694" s="2">
        <f>IFERROR(__xludf.DUMMYFUNCTION("""COMPUTED_VALUE"""),2689.0)</f>
        <v>2689</v>
      </c>
      <c r="K694" s="2">
        <f>IFERROR(__xludf.DUMMYFUNCTION("""COMPUTED_VALUE"""),14.0)</f>
        <v>14</v>
      </c>
      <c r="L694" s="2" t="str">
        <f>IFERROR(__xludf.DUMMYFUNCTION("""COMPUTED_VALUE"""),"Прожектор Эконом")</f>
        <v>Прожектор Эконом</v>
      </c>
      <c r="M69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5">
      <c r="A695" s="5" t="str">
        <f>IFERROR(__xludf.DUMMYFUNCTION("""COMPUTED_VALUE"""),"4690612030890")</f>
        <v>4690612030890</v>
      </c>
      <c r="B695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5" s="2">
        <f>IFERROR(__xludf.DUMMYFUNCTION("""COMPUTED_VALUE"""),0.108)</f>
        <v>0.108</v>
      </c>
      <c r="D695" s="2">
        <f>IFERROR(__xludf.DUMMYFUNCTION("""COMPUTED_VALUE"""),7.2E-4)</f>
        <v>0.00072</v>
      </c>
      <c r="E695" s="2">
        <f>IFERROR(__xludf.DUMMYFUNCTION("""COMPUTED_VALUE"""),62.4)</f>
        <v>62.4</v>
      </c>
      <c r="F695" s="2">
        <f>IFERROR(__xludf.DUMMYFUNCTION("""COMPUTED_VALUE"""),80.0)</f>
        <v>80</v>
      </c>
      <c r="G695" s="2">
        <f>IFERROR(__xludf.DUMMYFUNCTION("""COMPUTED_VALUE"""),90.0)</f>
        <v>90</v>
      </c>
      <c r="H695" s="2">
        <f>IFERROR(__xludf.DUMMYFUNCTION("""COMPUTED_VALUE"""),104.0)</f>
        <v>104</v>
      </c>
      <c r="I695" s="2">
        <f>IFERROR(__xludf.DUMMYFUNCTION("""COMPUTED_VALUE"""),120.4)</f>
        <v>120.4</v>
      </c>
      <c r="J695" s="2">
        <f>IFERROR(__xludf.DUMMYFUNCTION("""COMPUTED_VALUE"""),60.0)</f>
        <v>60</v>
      </c>
      <c r="K695" s="2">
        <f>IFERROR(__xludf.DUMMYFUNCTION("""COMPUTED_VALUE"""),20.0)</f>
        <v>20</v>
      </c>
      <c r="L695" s="2" t="str">
        <f>IFERROR(__xludf.DUMMYFUNCTION("""COMPUTED_VALUE"""),"Лампа светодиодная LED-T8")</f>
        <v>Лампа светодиодная LED-T8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IFERROR(__xludf.DUMMYFUNCTION("""COMPUTED_VALUE"""),"G207707202")</f>
        <v>G207707202</v>
      </c>
      <c r="B696" s="5" t="str">
        <f>IFERROR(__xludf.DUMMYFUNCTION("""COMPUTED_VALUE"""),"G4 12V 2W 4100K 1/20/200")</f>
        <v>G4 12V 2W 4100K 1/20/200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IFERROR(__xludf.DUMMYFUNCTION("""COMPUTED_VALUE"""),169.9)</f>
        <v>169.9</v>
      </c>
      <c r="F696" s="2">
        <f>IFERROR(__xludf.DUMMYFUNCTION("""COMPUTED_VALUE"""),186.0)</f>
        <v>186</v>
      </c>
      <c r="G696" s="2">
        <f>IFERROR(__xludf.DUMMYFUNCTION("""COMPUTED_VALUE"""),205.0)</f>
        <v>205</v>
      </c>
      <c r="H696" s="2">
        <f>IFERROR(__xludf.DUMMYFUNCTION("""COMPUTED_VALUE"""),241.0)</f>
        <v>241</v>
      </c>
      <c r="I696" s="2">
        <f>IFERROR(__xludf.DUMMYFUNCTION("""COMPUTED_VALUE"""),305.0)</f>
        <v>305</v>
      </c>
      <c r="J696" s="2">
        <f>IFERROR(__xludf.DUMMYFUNCTION("""COMPUTED_VALUE"""),153.0)</f>
        <v>153</v>
      </c>
      <c r="K696" s="2">
        <f>IFERROR(__xludf.DUMMYFUNCTION("""COMPUTED_VALUE"""),8.0)</f>
        <v>8</v>
      </c>
      <c r="L696" s="2" t="str">
        <f>IFERROR(__xludf.DUMMYFUNCTION("""COMPUTED_VALUE"""),"Капсульные лампы G4, G9")</f>
        <v>Капсульные лампы G4, G9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IFERROR(__xludf.DUMMYFUNCTION("""COMPUTED_VALUE"""),"4690612023250")</f>
        <v>4690612023250</v>
      </c>
      <c r="B697" s="5" t="str">
        <f>IFERROR(__xludf.DUMMYFUNCTION("""COMPUTED_VALUE"""),"RING-1540R-W 15Вт 230В 4000К 910Лм 190мм IP65 КРУГ IN HOME")</f>
        <v>RING-1540R-W 15Вт 230В 4000К 910Лм 190мм IP65 КРУГ IN HOME</v>
      </c>
      <c r="C697" s="2">
        <f>IFERROR(__xludf.DUMMYFUNCTION("""COMPUTED_VALUE"""),0.38333)</f>
        <v>0.38333</v>
      </c>
      <c r="D697" s="2">
        <f>IFERROR(__xludf.DUMMYFUNCTION("""COMPUTED_VALUE"""),0.00208)</f>
        <v>0.00208</v>
      </c>
      <c r="E697" s="2">
        <f>IFERROR(__xludf.DUMMYFUNCTION("""COMPUTED_VALUE"""),567.97)</f>
        <v>567.97</v>
      </c>
      <c r="F697" s="2">
        <f>IFERROR(__xludf.DUMMYFUNCTION("""COMPUTED_VALUE"""),557.0)</f>
        <v>557</v>
      </c>
      <c r="G697" s="2">
        <f>IFERROR(__xludf.DUMMYFUNCTION("""COMPUTED_VALUE"""),627.0)</f>
        <v>627</v>
      </c>
      <c r="H697" s="2">
        <f>IFERROR(__xludf.DUMMYFUNCTION("""COMPUTED_VALUE"""),727.0)</f>
        <v>727</v>
      </c>
      <c r="I697" s="2">
        <f>IFERROR(__xludf.DUMMYFUNCTION("""COMPUTED_VALUE"""),836.0)</f>
        <v>836</v>
      </c>
      <c r="J697" s="2">
        <f>IFERROR(__xludf.DUMMYFUNCTION("""COMPUTED_VALUE"""),418.0)</f>
        <v>418</v>
      </c>
      <c r="K697" s="2">
        <f>IFERROR(__xludf.DUMMYFUNCTION("""COMPUTED_VALUE"""),24.0)</f>
        <v>24</v>
      </c>
      <c r="L697" s="2" t="str">
        <f>IFERROR(__xludf.DUMMYFUNCTION("""COMPUTED_VALUE"""),"Светильники светодиодные RING")</f>
        <v>Светильники светодиодные RING</v>
      </c>
      <c r="M6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5" t="str">
        <f>IFERROR(__xludf.DUMMYFUNCTION("""COMPUTED_VALUE"""),"4690612020297")</f>
        <v>4690612020297</v>
      </c>
      <c r="B698" s="5" t="str">
        <f>IFERROR(__xludf.DUMMYFUNCTION("""COMPUTED_VALUE"""),"LED-A60-VC 20Вт 230В Е27 3000К 1900Лм IN HOME")</f>
        <v>LED-A60-VC 20Вт 230В Е27 3000К 1900Лм IN HOME</v>
      </c>
      <c r="C698" s="2">
        <f>IFERROR(__xludf.DUMMYFUNCTION("""COMPUTED_VALUE"""),0.05500000000000001)</f>
        <v>0.055</v>
      </c>
      <c r="D698" s="2">
        <f>IFERROR(__xludf.DUMMYFUNCTION("""COMPUTED_VALUE"""),4.0E-4)</f>
        <v>0.0004</v>
      </c>
      <c r="E698" s="2">
        <f>IFERROR(__xludf.DUMMYFUNCTION("""COMPUTED_VALUE"""),57.0)</f>
        <v>57</v>
      </c>
      <c r="F698" s="2">
        <f>IFERROR(__xludf.DUMMYFUNCTION("""COMPUTED_VALUE"""),60.0)</f>
        <v>60</v>
      </c>
      <c r="G698" s="2">
        <f>IFERROR(__xludf.DUMMYFUNCTION("""COMPUTED_VALUE"""),68.0)</f>
        <v>68</v>
      </c>
      <c r="H698" s="2">
        <f>IFERROR(__xludf.DUMMYFUNCTION("""COMPUTED_VALUE"""),78.0)</f>
        <v>78</v>
      </c>
      <c r="I698" s="2">
        <f>IFERROR(__xludf.DUMMYFUNCTION("""COMPUTED_VALUE"""),90.5)</f>
        <v>90.5</v>
      </c>
      <c r="J698" s="2">
        <f>IFERROR(__xludf.DUMMYFUNCTION("""COMPUTED_VALUE"""),45.0)</f>
        <v>45</v>
      </c>
      <c r="K698" s="2">
        <f>IFERROR(__xludf.DUMMYFUNCTION("""COMPUTED_VALUE"""),13.0)</f>
        <v>13</v>
      </c>
      <c r="L698" s="2" t="str">
        <f>IFERROR(__xludf.DUMMYFUNCTION("""COMPUTED_VALUE"""),"Лампа светодиодная LED-A60-standard")</f>
        <v>Лампа светодиодная LED-A60-standard</v>
      </c>
      <c r="M698" s="2" t="str">
        <f>IFERROR(__xludf.DUMMYFUNCTION("""COMPUTED_VALUE"""),"Лампы")</f>
        <v>Лампы</v>
      </c>
    </row>
    <row r="699">
      <c r="A699" s="5" t="str">
        <f>IFERROR(__xludf.DUMMYFUNCTION("""COMPUTED_VALUE"""),"4690612044217")</f>
        <v>4690612044217</v>
      </c>
      <c r="B699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IFERROR(__xludf.DUMMYFUNCTION("""COMPUTED_VALUE"""),459.45)</f>
        <v>459.45</v>
      </c>
      <c r="F699" s="2">
        <f>IFERROR(__xludf.DUMMYFUNCTION("""COMPUTED_VALUE"""),576.0)</f>
        <v>576</v>
      </c>
      <c r="G699" s="2">
        <f>IFERROR(__xludf.DUMMYFUNCTION("""COMPUTED_VALUE"""),648.0)</f>
        <v>648</v>
      </c>
      <c r="H699" s="2">
        <f>IFERROR(__xludf.DUMMYFUNCTION("""COMPUTED_VALUE"""),751.0)</f>
        <v>751</v>
      </c>
      <c r="I699" s="2">
        <f>IFERROR(__xludf.DUMMYFUNCTION("""COMPUTED_VALUE"""),864.0)</f>
        <v>864</v>
      </c>
      <c r="J699" s="2">
        <f>IFERROR(__xludf.DUMMYFUNCTION("""COMPUTED_VALUE"""),432.0)</f>
        <v>432</v>
      </c>
      <c r="K699" s="2">
        <f>IFERROR(__xludf.DUMMYFUNCTION("""COMPUTED_VALUE"""),5.0)</f>
        <v>5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5" t="str">
        <f>IFERROR(__xludf.DUMMYFUNCTION("""COMPUTED_VALUE"""),"4690612029979")</f>
        <v>4690612029979</v>
      </c>
      <c r="B70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IFERROR(__xludf.DUMMYFUNCTION("""COMPUTED_VALUE"""),"4690612064390-1")</f>
        <v>4690612064390-1</v>
      </c>
      <c r="B70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IFERROR(__xludf.DUMMYFUNCTION("""COMPUTED_VALUE"""),1324.0)</f>
        <v>1324</v>
      </c>
      <c r="H701" s="2">
        <f>IFERROR(__xludf.DUMMYFUNCTION("""COMPUTED_VALUE"""),1490.0)</f>
        <v>1490</v>
      </c>
      <c r="I701" s="2">
        <f>IFERROR(__xludf.DUMMYFUNCTION("""COMPUTED_VALUE"""),1655.0)</f>
        <v>1655</v>
      </c>
      <c r="J701" s="2">
        <f>IFERROR(__xludf.DUMMYFUNCTION("""COMPUTED_VALUE"""),828.0)</f>
        <v>828</v>
      </c>
      <c r="K701" s="2">
        <f>IFERROR(__xludf.DUMMYFUNCTION("""COMPUTED_VALUE"""),22.0)</f>
        <v>22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5" t="str">
        <f>IFERROR(__xludf.DUMMYFUNCTION("""COMPUTED_VALUE"""),"4690612037561")</f>
        <v>4690612037561</v>
      </c>
      <c r="B702" s="5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5" t="str">
        <f>IFERROR(__xludf.DUMMYFUNCTION("""COMPUTED_VALUE"""),"4690612013473")</f>
        <v>4690612013473</v>
      </c>
      <c r="B70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IFERROR(__xludf.DUMMYFUNCTION("""COMPUTED_VALUE"""),"4260652193383")</f>
        <v>4260652193383</v>
      </c>
      <c r="B704" s="5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IFERROR(__xludf.DUMMYFUNCTION("""COMPUTED_VALUE"""),62.0)</f>
        <v>62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IFERROR(__xludf.DUMMYFUNCTION("""COMPUTED_VALUE"""),"4690612003757")</f>
        <v>4690612003757</v>
      </c>
      <c r="B705" s="5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IFERROR(__xludf.DUMMYFUNCTION("""COMPUTED_VALUE"""),"4690612020563")</f>
        <v>4690612020563</v>
      </c>
      <c r="B706" s="5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IFERROR(__xludf.DUMMYFUNCTION("""COMPUTED_VALUE"""),"4260652192843")</f>
        <v>4260652192843</v>
      </c>
      <c r="B707" s="5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5" t="str">
        <f>IFERROR(__xludf.DUMMYFUNCTION("""COMPUTED_VALUE"""),"ves2015")</f>
        <v>ves2015</v>
      </c>
      <c r="B708" s="5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IFERROR(__xludf.DUMMYFUNCTION("""COMPUTED_VALUE"""),"V9048")</f>
        <v>V9048</v>
      </c>
      <c r="B709" s="5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IFERROR(__xludf.DUMMYFUNCTION("""COMPUTED_VALUE"""),15.0)</f>
        <v>15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5" t="str">
        <f>IFERROR(__xludf.DUMMYFUNCTION("""COMPUTED_VALUE"""),"4690612042565")</f>
        <v>4690612042565</v>
      </c>
      <c r="B710" s="5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5" t="str">
        <f>IFERROR(__xludf.DUMMYFUNCTION("""COMPUTED_VALUE"""),"4260652193499")</f>
        <v>4260652193499</v>
      </c>
      <c r="B711" s="5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5" t="str">
        <f>IFERROR(__xludf.DUMMYFUNCTION("""COMPUTED_VALUE"""),"R102823")</f>
        <v>R102823</v>
      </c>
      <c r="B712" s="5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IFERROR(__xludf.DUMMYFUNCTION("""COMPUTED_VALUE"""),131.0)</f>
        <v>131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IFERROR(__xludf.DUMMYFUNCTION("""COMPUTED_VALUE"""),"R100872")</f>
        <v>R100872</v>
      </c>
      <c r="B713" s="5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5" t="str">
        <f>IFERROR(__xludf.DUMMYFUNCTION("""COMPUTED_VALUE"""),"V13101")</f>
        <v>V13101</v>
      </c>
      <c r="B714" s="5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5" t="str">
        <f>IFERROR(__xludf.DUMMYFUNCTION("""COMPUTED_VALUE"""),"4690612001395")</f>
        <v>4690612001395</v>
      </c>
      <c r="B715" s="5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IFERROR(__xludf.DUMMYFUNCTION("""COMPUTED_VALUE"""),"GL8113")</f>
        <v>GL8113</v>
      </c>
      <c r="B716" s="5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IFERROR(__xludf.DUMMYFUNCTION("""COMPUTED_VALUE"""),"12-0123-1")</f>
        <v>12-0123-1</v>
      </c>
      <c r="B71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IFERROR(__xludf.DUMMYFUNCTION("""COMPUTED_VALUE"""),"12-0186")</f>
        <v>12-0186</v>
      </c>
      <c r="B71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IFERROR(__xludf.DUMMYFUNCTION("""COMPUTED_VALUE"""),"V9020")</f>
        <v>V9020</v>
      </c>
      <c r="B719" s="5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IFERROR(__xludf.DUMMYFUNCTION("""COMPUTED_VALUE"""),"4690612044224")</f>
        <v>4690612044224</v>
      </c>
      <c r="B72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5" t="str">
        <f>IFERROR(__xludf.DUMMYFUNCTION("""COMPUTED_VALUE"""),"R100006")</f>
        <v>R100006</v>
      </c>
      <c r="B721" s="5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5" t="str">
        <f>IFERROR(__xludf.DUMMYFUNCTION("""COMPUTED_VALUE"""),"4690612013299")</f>
        <v>4690612013299</v>
      </c>
      <c r="B72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IFERROR(__xludf.DUMMYFUNCTION("""COMPUTED_VALUE"""),"4690612036571")</f>
        <v>4690612036571</v>
      </c>
      <c r="B72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IFERROR(__xludf.DUMMYFUNCTION("""COMPUTED_VALUE"""),"4260652193451")</f>
        <v>4260652193451</v>
      </c>
      <c r="B724" s="5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5" t="str">
        <f>IFERROR(__xludf.DUMMYFUNCTION("""COMPUTED_VALUE"""),"4690612007298")</f>
        <v>4690612007298</v>
      </c>
      <c r="B72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IFERROR(__xludf.DUMMYFUNCTION("""COMPUTED_VALUE"""),"4690612030814")</f>
        <v>4690612030814</v>
      </c>
      <c r="B726" s="5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IFERROR(__xludf.DUMMYFUNCTION("""COMPUTED_VALUE"""),"4680005959754")</f>
        <v>4680005959754</v>
      </c>
      <c r="B727" s="5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IFERROR(__xludf.DUMMYFUNCTION("""COMPUTED_VALUE"""),"ves2011")</f>
        <v>ves2011</v>
      </c>
      <c r="B728" s="5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IFERROR(__xludf.DUMMYFUNCTION("""COMPUTED_VALUE"""),"12-0183-1")</f>
        <v>12-0183-1</v>
      </c>
      <c r="B72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IFERROR(__xludf.DUMMYFUNCTION("""COMPUTED_VALUE"""),"4690612013480")</f>
        <v>4690612013480</v>
      </c>
      <c r="B73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IFERROR(__xludf.DUMMYFUNCTION("""COMPUTED_VALUE"""),"4690612013497")</f>
        <v>4690612013497</v>
      </c>
      <c r="B73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5" t="str">
        <f>IFERROR(__xludf.DUMMYFUNCTION("""COMPUTED_VALUE"""),"GL81211")</f>
        <v>GL81211</v>
      </c>
      <c r="B732" s="5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5" t="str">
        <f>IFERROR(__xludf.DUMMYFUNCTION("""COMPUTED_VALUE"""),"4690626052659")</f>
        <v>4690626052659</v>
      </c>
      <c r="B733" s="5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IFERROR(__xludf.DUMMYFUNCTION("""COMPUTED_VALUE"""),"4690612038803-1")</f>
        <v>4690612038803-1</v>
      </c>
      <c r="B73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IFERROR(__xludf.DUMMYFUNCTION("""COMPUTED_VALUE"""),918.0)</f>
        <v>918</v>
      </c>
      <c r="H734" s="2">
        <f>IFERROR(__xludf.DUMMYFUNCTION("""COMPUTED_VALUE"""),1033.0)</f>
        <v>1033</v>
      </c>
      <c r="I734" s="2">
        <f>IFERROR(__xludf.DUMMYFUNCTION("""COMPUTED_VALUE"""),1148.0)</f>
        <v>1148</v>
      </c>
      <c r="J734" s="2">
        <f>IFERROR(__xludf.DUMMYFUNCTION("""COMPUTED_VALUE"""),574.0)</f>
        <v>574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IFERROR(__xludf.DUMMYFUNCTION("""COMPUTED_VALUE"""),"4690612005102")</f>
        <v>4690612005102</v>
      </c>
      <c r="B735" s="5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IFERROR(__xludf.DUMMYFUNCTION("""COMPUTED_VALUE"""),"GL51301")</f>
        <v>GL51301</v>
      </c>
      <c r="B736" s="5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IFERROR(__xludf.DUMMYFUNCTION("""COMPUTED_VALUE"""),0.0)</f>
        <v>0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5" t="str">
        <f>IFERROR(__xludf.DUMMYFUNCTION("""COMPUTED_VALUE"""),"4690612034782")</f>
        <v>4690612034782</v>
      </c>
      <c r="B73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5" t="str">
        <f>IFERROR(__xludf.DUMMYFUNCTION("""COMPUTED_VALUE"""),"Fefco/0201-8")</f>
        <v>Fefco/0201-8</v>
      </c>
      <c r="B738" s="5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IFERROR(__xludf.DUMMYFUNCTION("""COMPUTED_VALUE"""),"4690612029887")</f>
        <v>4690612029887</v>
      </c>
      <c r="B739" s="5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IFERROR(__xludf.DUMMYFUNCTION("""COMPUTED_VALUE"""),"4680005959884")</f>
        <v>4680005959884</v>
      </c>
      <c r="B740" s="5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IFERROR(__xludf.DUMMYFUNCTION("""COMPUTED_VALUE"""),"06-0080-A2")</f>
        <v>06-0080-A2</v>
      </c>
      <c r="B74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IFERROR(__xludf.DUMMYFUNCTION("""COMPUTED_VALUE"""),"4690626031821")</f>
        <v>4690626031821</v>
      </c>
      <c r="B742" s="5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5" t="str">
        <f>IFERROR(__xludf.DUMMYFUNCTION("""COMPUTED_VALUE"""),"GL51311")</f>
        <v>GL51311</v>
      </c>
      <c r="B743" s="5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5" t="str">
        <f>IFERROR(__xludf.DUMMYFUNCTION("""COMPUTED_VALUE"""),"GL81111")</f>
        <v>GL81111</v>
      </c>
      <c r="B744" s="5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5" t="str">
        <f>IFERROR(__xludf.DUMMYFUNCTION("""COMPUTED_VALUE"""),"Fefco/0201-9")</f>
        <v>Fefco/0201-9</v>
      </c>
      <c r="B745" s="5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IFERROR(__xludf.DUMMYFUNCTION("""COMPUTED_VALUE"""),"4690612030753")</f>
        <v>4690612030753</v>
      </c>
      <c r="B746" s="5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IFERROR(__xludf.DUMMYFUNCTION("""COMPUTED_VALUE"""),"R100343")</f>
        <v>R100343</v>
      </c>
      <c r="B747" s="5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IFERROR(__xludf.DUMMYFUNCTION("""COMPUTED_VALUE"""),"4690612026145")</f>
        <v>4690612026145</v>
      </c>
      <c r="B74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IFERROR(__xludf.DUMMYFUNCTION("""COMPUTED_VALUE"""),"GL5166")</f>
        <v>GL5166</v>
      </c>
      <c r="B749" s="5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5" t="str">
        <f>IFERROR(__xludf.DUMMYFUNCTION("""COMPUTED_VALUE"""),"4690612010182")</f>
        <v>4690612010182</v>
      </c>
      <c r="B750" s="5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IFERROR(__xludf.DUMMYFUNCTION("""COMPUTED_VALUE"""),"4690612035581-10")</f>
        <v>4690612035581-10</v>
      </c>
      <c r="B751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IFERROR(__xludf.DUMMYFUNCTION("""COMPUTED_VALUE"""),1306.0)</f>
        <v>1306</v>
      </c>
      <c r="H751" s="2">
        <f>IFERROR(__xludf.DUMMYFUNCTION("""COMPUTED_VALUE"""),1469.0)</f>
        <v>1469</v>
      </c>
      <c r="I751" s="2">
        <f>IFERROR(__xludf.DUMMYFUNCTION("""COMPUTED_VALUE"""),1632.0)</f>
        <v>1632</v>
      </c>
      <c r="J751" s="2">
        <f>IFERROR(__xludf.DUMMYFUNCTION("""COMPUTED_VALUE"""),816.0)</f>
        <v>816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IFERROR(__xludf.DUMMYFUNCTION("""COMPUTED_VALUE"""),"ZUK77")</f>
        <v>ZUK77</v>
      </c>
      <c r="B752" s="5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IFERROR(__xludf.DUMMYFUNCTION("""COMPUTED_VALUE"""),"4690612042701-2")</f>
        <v>4690612042701-2</v>
      </c>
      <c r="B75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IFERROR(__xludf.DUMMYFUNCTION("""COMPUTED_VALUE"""),1469.0)</f>
        <v>1469</v>
      </c>
      <c r="H753" s="2">
        <f>IFERROR(__xludf.DUMMYFUNCTION("""COMPUTED_VALUE"""),1652.0)</f>
        <v>1652</v>
      </c>
      <c r="I753" s="2">
        <f>IFERROR(__xludf.DUMMYFUNCTION("""COMPUTED_VALUE"""),1836.0)</f>
        <v>1836</v>
      </c>
      <c r="J753" s="2">
        <f>IFERROR(__xludf.DUMMYFUNCTION("""COMPUTED_VALUE"""),918.0)</f>
        <v>918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5" t="str">
        <f>IFERROR(__xludf.DUMMYFUNCTION("""COMPUTED_VALUE"""),"4690612014111")</f>
        <v>4690612014111</v>
      </c>
      <c r="B75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IFERROR(__xludf.DUMMYFUNCTION("""COMPUTED_VALUE"""),"426052929244723")</f>
        <v>426052929244723</v>
      </c>
      <c r="B755" s="5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5" t="str">
        <f>IFERROR(__xludf.DUMMYFUNCTION("""COMPUTED_VALUE"""),"4690612008462")</f>
        <v>4690612008462</v>
      </c>
      <c r="B756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5" t="str">
        <f>IFERROR(__xludf.DUMMYFUNCTION("""COMPUTED_VALUE"""),"4690612013466")</f>
        <v>4690612013466</v>
      </c>
      <c r="B757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5" t="str">
        <f>IFERROR(__xludf.DUMMYFUNCTION("""COMPUTED_VALUE"""),"4690626071278")</f>
        <v>4690626071278</v>
      </c>
      <c r="B758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5" t="str">
        <f>IFERROR(__xludf.DUMMYFUNCTION("""COMPUTED_VALUE"""),"G103101207-10")</f>
        <v>G103101207-10</v>
      </c>
      <c r="B759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IFERROR(__xludf.DUMMYFUNCTION("""COMPUTED_VALUE"""),1010.0)</f>
        <v>1010</v>
      </c>
      <c r="H759" s="2">
        <f>IFERROR(__xludf.DUMMYFUNCTION("""COMPUTED_VALUE"""),1136.0)</f>
        <v>1136</v>
      </c>
      <c r="I759" s="2">
        <f>IFERROR(__xludf.DUMMYFUNCTION("""COMPUTED_VALUE"""),1262.0)</f>
        <v>1262</v>
      </c>
      <c r="J759" s="2">
        <f>IFERROR(__xludf.DUMMYFUNCTION("""COMPUTED_VALUE"""),631.0)</f>
        <v>631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IFERROR(__xludf.DUMMYFUNCTION("""COMPUTED_VALUE"""),"4690612029849")</f>
        <v>4690612029849</v>
      </c>
      <c r="B760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5" t="str">
        <f>IFERROR(__xludf.DUMMYFUNCTION("""COMPUTED_VALUE"""),"4260652193222")</f>
        <v>4260652193222</v>
      </c>
      <c r="B761" s="5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IFERROR(__xludf.DUMMYFUNCTION("""COMPUTED_VALUE"""),"4690612035109")</f>
        <v>4690612035109</v>
      </c>
      <c r="B762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5" t="str">
        <f>IFERROR(__xludf.DUMMYFUNCTION("""COMPUTED_VALUE"""),"4690612048291-1")</f>
        <v>4690612048291-1</v>
      </c>
      <c r="B763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IFERROR(__xludf.DUMMYFUNCTION("""COMPUTED_VALUE"""),479.0)</f>
        <v>479</v>
      </c>
      <c r="H763" s="2">
        <f>IFERROR(__xludf.DUMMYFUNCTION("""COMPUTED_VALUE"""),539.0)</f>
        <v>539</v>
      </c>
      <c r="I763" s="2">
        <f>IFERROR(__xludf.DUMMYFUNCTION("""COMPUTED_VALUE"""),599.0)</f>
        <v>599</v>
      </c>
      <c r="J763" s="2">
        <f>IFERROR(__xludf.DUMMYFUNCTION("""COMPUTED_VALUE"""),300.0)</f>
        <v>300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5" t="str">
        <f>IFERROR(__xludf.DUMMYFUNCTION("""COMPUTED_VALUE"""),"4690612037653-1")</f>
        <v>4690612037653-1</v>
      </c>
      <c r="B764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IFERROR(__xludf.DUMMYFUNCTION("""COMPUTED_VALUE"""),786.0)</f>
        <v>786</v>
      </c>
      <c r="H764" s="2">
        <f>IFERROR(__xludf.DUMMYFUNCTION("""COMPUTED_VALUE"""),884.0)</f>
        <v>884</v>
      </c>
      <c r="I764" s="2">
        <f>IFERROR(__xludf.DUMMYFUNCTION("""COMPUTED_VALUE"""),982.0)</f>
        <v>982</v>
      </c>
      <c r="J764" s="2">
        <f>IFERROR(__xludf.DUMMYFUNCTION("""COMPUTED_VALUE"""),491.0)</f>
        <v>491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IFERROR(__xludf.DUMMYFUNCTION("""COMPUTED_VALUE"""),"4262356474317")</f>
        <v>4262356474317</v>
      </c>
      <c r="B765" s="5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5" t="str">
        <f>IFERROR(__xludf.DUMMYFUNCTION("""COMPUTED_VALUE"""),"4690612053004-1")</f>
        <v>4690612053004-1</v>
      </c>
      <c r="B766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IFERROR(__xludf.DUMMYFUNCTION("""COMPUTED_VALUE"""),1006.0)</f>
        <v>1006</v>
      </c>
      <c r="H766" s="2">
        <f>IFERROR(__xludf.DUMMYFUNCTION("""COMPUTED_VALUE"""),1132.0)</f>
        <v>1132</v>
      </c>
      <c r="I766" s="2">
        <f>IFERROR(__xludf.DUMMYFUNCTION("""COMPUTED_VALUE"""),1258.0)</f>
        <v>1258</v>
      </c>
      <c r="J766" s="2">
        <f>IFERROR(__xludf.DUMMYFUNCTION("""COMPUTED_VALUE"""),629.0)</f>
        <v>629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 t="str">
        <f>IFERROR(__xludf.DUMMYFUNCTION("""COMPUTED_VALUE"""),"V12020")</f>
        <v>V12020</v>
      </c>
      <c r="B767" s="5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5" t="str">
        <f>IFERROR(__xludf.DUMMYFUNCTION("""COMPUTED_VALUE"""),"14690612038817")</f>
        <v>14690612038817</v>
      </c>
      <c r="B768" s="5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8" s="2">
        <f>IFERROR(__xludf.DUMMYFUNCTION("""COMPUTED_VALUE"""),1.3)</f>
        <v>1.3</v>
      </c>
      <c r="D768" s="2">
        <f>IFERROR(__xludf.DUMMYFUNCTION("""COMPUTED_VALUE"""),0.0)</f>
        <v>0</v>
      </c>
      <c r="E768" s="2">
        <f>IFERROR(__xludf.DUMMYFUNCTION("""COMPUTED_VALUE"""),2481.64)</f>
        <v>2481.64</v>
      </c>
      <c r="F768" s="2">
        <f>IFERROR(__xludf.DUMMYFUNCTION("""COMPUTED_VALUE"""),2723.0)</f>
        <v>2723</v>
      </c>
      <c r="G768" s="2">
        <f>IFERROR(__xludf.DUMMYFUNCTION("""COMPUTED_VALUE"""),3177.0)</f>
        <v>3177</v>
      </c>
      <c r="H768" s="2">
        <f>IFERROR(__xludf.DUMMYFUNCTION("""COMPUTED_VALUE"""),3574.0)</f>
        <v>3574</v>
      </c>
      <c r="I768" s="2">
        <f>IFERROR(__xludf.DUMMYFUNCTION("""COMPUTED_VALUE"""),3971.0)</f>
        <v>3971</v>
      </c>
      <c r="J768" s="2">
        <f>IFERROR(__xludf.DUMMYFUNCTION("""COMPUTED_VALUE"""),1986.0)</f>
        <v>1986</v>
      </c>
      <c r="K768" s="2">
        <f>IFERROR(__xludf.DUMMYFUNCTION("""COMPUTED_VALUE"""),2.0)</f>
        <v>2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5" t="str">
        <f>IFERROR(__xludf.DUMMYFUNCTION("""COMPUTED_VALUE"""),"4690612042718-2")</f>
        <v>4690612042718-2</v>
      </c>
      <c r="B76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9" s="2">
        <f>IFERROR(__xludf.DUMMYFUNCTION("""COMPUTED_VALUE"""),1.36)</f>
        <v>1.36</v>
      </c>
      <c r="D769" s="2">
        <f>IFERROR(__xludf.DUMMYFUNCTION("""COMPUTED_VALUE"""),0.0)</f>
        <v>0</v>
      </c>
      <c r="E769" s="2">
        <f>IFERROR(__xludf.DUMMYFUNCTION("""COMPUTED_VALUE"""),1298.81)</f>
        <v>1298.81</v>
      </c>
      <c r="F769" s="2">
        <f>IFERROR(__xludf.DUMMYFUNCTION("""COMPUTED_VALUE"""),1425.0)</f>
        <v>1425</v>
      </c>
      <c r="G769" s="2">
        <f>IFERROR(__xludf.DUMMYFUNCTION("""COMPUTED_VALUE"""),1662.0)</f>
        <v>1662</v>
      </c>
      <c r="H769" s="2">
        <f>IFERROR(__xludf.DUMMYFUNCTION("""COMPUTED_VALUE"""),1870.0)</f>
        <v>1870</v>
      </c>
      <c r="I769" s="2">
        <f>IFERROR(__xludf.DUMMYFUNCTION("""COMPUTED_VALUE"""),2078.0)</f>
        <v>2078</v>
      </c>
      <c r="J769" s="2">
        <f>IFERROR(__xludf.DUMMYFUNCTION("""COMPUTED_VALUE"""),1039.0)</f>
        <v>1039</v>
      </c>
      <c r="K769" s="2">
        <f>IFERROR(__xludf.DUMMYFUNCTION("""COMPUTED_VALUE"""),6.0)</f>
        <v>6</v>
      </c>
      <c r="L7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0">
      <c r="A770" s="5" t="str">
        <f>IFERROR(__xludf.DUMMYFUNCTION("""COMPUTED_VALUE"""),"CS16")</f>
        <v>CS16</v>
      </c>
      <c r="B77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70" s="2">
        <f>IFERROR(__xludf.DUMMYFUNCTION("""COMPUTED_VALUE"""),0.0)</f>
        <v>0</v>
      </c>
      <c r="D770" s="2">
        <f>IFERROR(__xludf.DUMMYFUNCTION("""COMPUTED_VALUE"""),0.0)</f>
        <v>0</v>
      </c>
      <c r="E770" s="2">
        <f>IFERROR(__xludf.DUMMYFUNCTION("""COMPUTED_VALUE"""),734.3000000000001)</f>
        <v>734.3</v>
      </c>
      <c r="F770" s="2">
        <f>IFERROR(__xludf.DUMMYFUNCTION("""COMPUTED_VALUE"""),309.0)</f>
        <v>309</v>
      </c>
      <c r="G770" s="2">
        <f>IFERROR(__xludf.DUMMYFUNCTION("""COMPUTED_VALUE"""),330.0)</f>
        <v>330</v>
      </c>
      <c r="H770" s="2">
        <f>IFERROR(__xludf.DUMMYFUNCTION("""COMPUTED_VALUE"""),371.0)</f>
        <v>371</v>
      </c>
      <c r="I770" s="2">
        <f>IFERROR(__xludf.DUMMYFUNCTION("""COMPUTED_VALUE"""),412.44)</f>
        <v>412.44</v>
      </c>
      <c r="J770" s="2">
        <f>IFERROR(__xludf.DUMMYFUNCTION("""COMPUTED_VALUE"""),206.0)</f>
        <v>206</v>
      </c>
      <c r="K770" s="2">
        <f>IFERROR(__xludf.DUMMYFUNCTION("""COMPUTED_VALUE"""),2.0)</f>
        <v>2</v>
      </c>
      <c r="L770" s="2" t="str">
        <f>IFERROR(__xludf.DUMMYFUNCTION("""COMPUTED_VALUE"""),"CS")</f>
        <v>CS</v>
      </c>
      <c r="M77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1">
      <c r="A771" s="5" t="str">
        <f>IFERROR(__xludf.DUMMYFUNCTION("""COMPUTED_VALUE"""),"4690612035369")</f>
        <v>4690612035369</v>
      </c>
      <c r="B77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1" s="2">
        <f>IFERROR(__xludf.DUMMYFUNCTION("""COMPUTED_VALUE"""),2.0)</f>
        <v>2</v>
      </c>
      <c r="D771" s="2">
        <f>IFERROR(__xludf.DUMMYFUNCTION("""COMPUTED_VALUE"""),0.016)</f>
        <v>0.016</v>
      </c>
      <c r="E771" s="2">
        <f>IFERROR(__xludf.DUMMYFUNCTION("""COMPUTED_VALUE"""),4391.08)</f>
        <v>4391.08</v>
      </c>
      <c r="F771" s="2">
        <f>IFERROR(__xludf.DUMMYFUNCTION("""COMPUTED_VALUE"""),2421.0)</f>
        <v>2421</v>
      </c>
      <c r="G771" s="2">
        <f>IFERROR(__xludf.DUMMYFUNCTION("""COMPUTED_VALUE"""),2723.0)</f>
        <v>2723</v>
      </c>
      <c r="H771" s="2">
        <f>IFERROR(__xludf.DUMMYFUNCTION("""COMPUTED_VALUE"""),3159.0)</f>
        <v>3159</v>
      </c>
      <c r="I771" s="2">
        <f>IFERROR(__xludf.DUMMYFUNCTION("""COMPUTED_VALUE"""),3631.0)</f>
        <v>3631</v>
      </c>
      <c r="J771" s="2">
        <f>IFERROR(__xludf.DUMMYFUNCTION("""COMPUTED_VALUE"""),1816.0)</f>
        <v>1816</v>
      </c>
      <c r="K771" s="2">
        <f>IFERROR(__xludf.DUMMYFUNCTION("""COMPUTED_VALUE"""),2.0)</f>
        <v>2</v>
      </c>
      <c r="L771" s="2" t="str">
        <f>IFERROR(__xludf.DUMMYFUNCTION("""COMPUTED_VALUE"""),"Светильники светодиодные серии ELEGANT IN HOME")</f>
        <v>Светильники светодиодные серии ELEGANT IN HOME</v>
      </c>
      <c r="M7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2">
      <c r="A772" s="5" t="str">
        <f>IFERROR(__xludf.DUMMYFUNCTION("""COMPUTED_VALUE"""),"4260529295639")</f>
        <v>4260529295639</v>
      </c>
      <c r="B772" s="5" t="str">
        <f>IFERROR(__xludf.DUMMYFUNCTION("""COMPUTED_VALUE"""),"WT5S6W30")</f>
        <v>WT5S6W30</v>
      </c>
      <c r="C772" s="2">
        <f>IFERROR(__xludf.DUMMYFUNCTION("""COMPUTED_VALUE"""),0.14)</f>
        <v>0.14</v>
      </c>
      <c r="D772" s="2">
        <f>IFERROR(__xludf.DUMMYFUNCTION("""COMPUTED_VALUE"""),0.014)</f>
        <v>0.014</v>
      </c>
      <c r="E772" s="2">
        <f>IFERROR(__xludf.DUMMYFUNCTION("""COMPUTED_VALUE"""),192.7)</f>
        <v>192.7</v>
      </c>
      <c r="F772" s="2">
        <f>IFERROR(__xludf.DUMMYFUNCTION("""COMPUTED_VALUE"""),227.0)</f>
        <v>227</v>
      </c>
      <c r="G772" s="2">
        <f>IFERROR(__xludf.DUMMYFUNCTION("""COMPUTED_VALUE"""),235.0)</f>
        <v>235</v>
      </c>
      <c r="H772" s="2">
        <f>IFERROR(__xludf.DUMMYFUNCTION("""COMPUTED_VALUE"""),308.0)</f>
        <v>308</v>
      </c>
      <c r="I772" s="2">
        <f>IFERROR(__xludf.DUMMYFUNCTION("""COMPUTED_VALUE"""),385.0)</f>
        <v>385</v>
      </c>
      <c r="J772" s="2">
        <f>IFERROR(__xludf.DUMMYFUNCTION("""COMPUTED_VALUE"""),193.0)</f>
        <v>193</v>
      </c>
      <c r="K772" s="2">
        <f>IFERROR(__xludf.DUMMYFUNCTION("""COMPUTED_VALUE"""),23.0)</f>
        <v>23</v>
      </c>
      <c r="L772" s="2" t="str">
        <f>IFERROR(__xludf.DUMMYFUNCTION("""COMPUTED_VALUE"""),"Wolta светильники бытовые WT4, WT5, WT8")</f>
        <v>Wolta светильники бытовые WT4, WT5, WT8</v>
      </c>
      <c r="M77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3">
      <c r="A773" s="5" t="str">
        <f>IFERROR(__xludf.DUMMYFUNCTION("""COMPUTED_VALUE"""),"4260652193185")</f>
        <v>4260652193185</v>
      </c>
      <c r="B773" s="5" t="str">
        <f>IFERROR(__xludf.DUMMYFUNCTION("""COMPUTED_VALUE"""),"LCL04-8W-R01-4K")</f>
        <v>LCL04-8W-R01-4K</v>
      </c>
      <c r="C773" s="2">
        <f>IFERROR(__xludf.DUMMYFUNCTION("""COMPUTED_VALUE"""),0.09000000000000001)</f>
        <v>0.09</v>
      </c>
      <c r="D773" s="2">
        <f>IFERROR(__xludf.DUMMYFUNCTION("""COMPUTED_VALUE"""),0.0012)</f>
        <v>0.0012</v>
      </c>
      <c r="E773" s="2">
        <f>IFERROR(__xludf.DUMMYFUNCTION("""COMPUTED_VALUE"""),208.21)</f>
        <v>208.21</v>
      </c>
      <c r="F773" s="2">
        <f>IFERROR(__xludf.DUMMYFUNCTION("""COMPUTED_VALUE"""),179.0)</f>
        <v>179</v>
      </c>
      <c r="G773" s="2">
        <f>IFERROR(__xludf.DUMMYFUNCTION("""COMPUTED_VALUE"""),185.0)</f>
        <v>185</v>
      </c>
      <c r="H773" s="2">
        <f>IFERROR(__xludf.DUMMYFUNCTION("""COMPUTED_VALUE"""),242.0)</f>
        <v>242</v>
      </c>
      <c r="I773" s="2">
        <f>IFERROR(__xludf.DUMMYFUNCTION("""COMPUTED_VALUE"""),303.0)</f>
        <v>303</v>
      </c>
      <c r="J773" s="2">
        <f>IFERROR(__xludf.DUMMYFUNCTION("""COMPUTED_VALUE"""),242.0)</f>
        <v>242</v>
      </c>
      <c r="K773" s="2">
        <f>IFERROR(__xludf.DUMMYFUNCTION("""COMPUTED_VALUE"""),2.0)</f>
        <v>2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5" t="str">
        <f>IFERROR(__xludf.DUMMYFUNCTION("""COMPUTED_VALUE"""),"GL5130")</f>
        <v>GL5130</v>
      </c>
      <c r="B774" s="5" t="str">
        <f>IFERROR(__xludf.DUMMYFUNCTION("""COMPUTED_VALUE"""),"GLERIO Practical 64 Вт 5000K 6A-64D-5U")</f>
        <v>GLERIO Practical 64 Вт 5000K 6A-64D-5U</v>
      </c>
      <c r="C774" s="2">
        <f>IFERROR(__xludf.DUMMYFUNCTION("""COMPUTED_VALUE"""),1.2)</f>
        <v>1.2</v>
      </c>
      <c r="D774" s="2">
        <f>IFERROR(__xludf.DUMMYFUNCTION("""COMPUTED_VALUE"""),0.00357)</f>
        <v>0.00357</v>
      </c>
      <c r="E774" s="2">
        <f>IFERROR(__xludf.DUMMYFUNCTION("""COMPUTED_VALUE"""),2084.81)</f>
        <v>2084.81</v>
      </c>
      <c r="F774" s="2">
        <f>IFERROR(__xludf.DUMMYFUNCTION("""COMPUTED_VALUE"""),2400.0)</f>
        <v>2400</v>
      </c>
      <c r="G774" s="2">
        <f>IFERROR(__xludf.DUMMYFUNCTION("""COMPUTED_VALUE"""),3000.0)</f>
        <v>3000</v>
      </c>
      <c r="H774" s="2">
        <f>IFERROR(__xludf.DUMMYFUNCTION("""COMPUTED_VALUE"""),3375.0)</f>
        <v>3375</v>
      </c>
      <c r="I774" s="2">
        <f>IFERROR(__xludf.DUMMYFUNCTION("""COMPUTED_VALUE"""),3750.0)</f>
        <v>3750</v>
      </c>
      <c r="J774" s="2">
        <f>IFERROR(__xludf.DUMMYFUNCTION("""COMPUTED_VALUE"""),2400.0)</f>
        <v>2400</v>
      </c>
      <c r="K774" s="2">
        <f>IFERROR(__xludf.DUMMYFUNCTION("""COMPUTED_VALUE"""),3.0)</f>
        <v>3</v>
      </c>
      <c r="L774" s="2" t="str">
        <f>IFERROR(__xludf.DUMMYFUNCTION("""COMPUTED_VALUE"""),"Practical Уличные GLERIO до 10.2025")</f>
        <v>Practical Уличные GLERIO до 10.2025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IFERROR(__xludf.DUMMYFUNCTION("""COMPUTED_VALUE"""),"4260529296704")</f>
        <v>4260529296704</v>
      </c>
      <c r="B775" s="5" t="str">
        <f>IFERROR(__xludf.DUMMYFUNCTION("""COMPUTED_VALUE"""),"ДПП01-12-021-4К-ОА")</f>
        <v>ДПП01-12-021-4К-ОА</v>
      </c>
      <c r="C775" s="2">
        <f>IFERROR(__xludf.DUMMYFUNCTION("""COMPUTED_VALUE"""),0.14)</f>
        <v>0.14</v>
      </c>
      <c r="D775" s="2">
        <f>IFERROR(__xludf.DUMMYFUNCTION("""COMPUTED_VALUE"""),0.04029000000000001)</f>
        <v>0.04029</v>
      </c>
      <c r="E775" s="2">
        <f>IFERROR(__xludf.DUMMYFUNCTION("""COMPUTED_VALUE"""),374.5)</f>
        <v>374.5</v>
      </c>
      <c r="F775" s="2">
        <f>IFERROR(__xludf.DUMMYFUNCTION("""COMPUTED_VALUE"""),913.0)</f>
        <v>913</v>
      </c>
      <c r="G775" s="2">
        <f>IFERROR(__xludf.DUMMYFUNCTION("""COMPUTED_VALUE"""),944.0)</f>
        <v>944</v>
      </c>
      <c r="H775" s="2">
        <f>IFERROR(__xludf.DUMMYFUNCTION("""COMPUTED_VALUE"""),1238.0)</f>
        <v>1238</v>
      </c>
      <c r="I775" s="2">
        <f>IFERROR(__xludf.DUMMYFUNCTION("""COMPUTED_VALUE"""),1547.0)</f>
        <v>1547</v>
      </c>
      <c r="J775" s="2">
        <f>IFERROR(__xludf.DUMMYFUNCTION("""COMPUTED_VALUE"""),774.0)</f>
        <v>774</v>
      </c>
      <c r="K775" s="2">
        <f>IFERROR(__xludf.DUMMYFUNCTION("""COMPUTED_VALUE"""),1.0)</f>
        <v>1</v>
      </c>
      <c r="L775" s="2" t="str">
        <f>IFERROR(__xludf.DUMMYFUNCTION("""COMPUTED_VALUE"""),"Wolta ЖКХ")</f>
        <v>Wolta ЖКХ</v>
      </c>
      <c r="M775" s="2" t="str">
        <f>IFERROR(__xludf.DUMMYFUNCTION("""COMPUTED_VALUE"""),"Для ЖКХ, дома, дачи, LED Светильники")</f>
        <v>Для ЖКХ, дома, дачи, LED Светильники</v>
      </c>
    </row>
    <row r="776">
      <c r="A776" s="5" t="str">
        <f>IFERROR(__xludf.DUMMYFUNCTION("""COMPUTED_VALUE"""),"R100088")</f>
        <v>R100088</v>
      </c>
      <c r="B776" s="5" t="str">
        <f>IFERROR(__xludf.DUMMYFUNCTION("""COMPUTED_VALUE"""),"RSV-STP-50-6500K-IP66")</f>
        <v>RSV-STP-50-6500K-IP66</v>
      </c>
      <c r="C776" s="2">
        <f>IFERROR(__xludf.DUMMYFUNCTION("""COMPUTED_VALUE"""),1.15)</f>
        <v>1.15</v>
      </c>
      <c r="D776" s="2">
        <f>IFERROR(__xludf.DUMMYFUNCTION("""COMPUTED_VALUE"""),5.600000000000001E-4)</f>
        <v>0.00056</v>
      </c>
      <c r="E776" s="2">
        <f>IFERROR(__xludf.DUMMYFUNCTION("""COMPUTED_VALUE"""),1411.09)</f>
        <v>1411.09</v>
      </c>
      <c r="F776" s="2">
        <f>IFERROR(__xludf.DUMMYFUNCTION("""COMPUTED_VALUE"""),1937.0)</f>
        <v>1937</v>
      </c>
      <c r="G776" s="2">
        <f>IFERROR(__xludf.DUMMYFUNCTION("""COMPUTED_VALUE"""),2279.0)</f>
        <v>2279</v>
      </c>
      <c r="H776" s="2">
        <f>IFERROR(__xludf.DUMMYFUNCTION("""COMPUTED_VALUE"""),2348.0)</f>
        <v>2348</v>
      </c>
      <c r="I776" s="2">
        <f>IFERROR(__xludf.DUMMYFUNCTION("""COMPUTED_VALUE"""),2700.0)</f>
        <v>2700</v>
      </c>
      <c r="J776" s="2">
        <f>IFERROR(__xludf.DUMMYFUNCTION("""COMPUTED_VALUE"""),1350.0)</f>
        <v>1350</v>
      </c>
      <c r="K776" s="2">
        <f>IFERROR(__xludf.DUMMYFUNCTION("""COMPUTED_VALUE"""),3.0)</f>
        <v>3</v>
      </c>
      <c r="L776" s="2" t="str">
        <f>IFERROR(__xludf.DUMMYFUNCTION("""COMPUTED_VALUE"""),"Уличное освещение RSV")</f>
        <v>Уличное освещение RSV</v>
      </c>
      <c r="M776" s="2" t="str">
        <f>IFERROR(__xludf.DUMMYFUNCTION("""COMPUTED_VALUE"""),"Для обычных дорог, LED Светильники")</f>
        <v>Для обычных дорог, LED Светильники</v>
      </c>
    </row>
    <row r="777">
      <c r="A777" s="5" t="str">
        <f>IFERROR(__xludf.DUMMYFUNCTION("""COMPUTED_VALUE"""),"V1007")</f>
        <v>V1007</v>
      </c>
      <c r="B777" s="5" t="str">
        <f>IFERROR(__xludf.DUMMYFUNCTION("""COMPUTED_VALUE"""),"VRN-UN-48-G50K67-U, 48Вт, Универсальный")</f>
        <v>VRN-UN-48-G50K67-U, 48Вт, Универсальный</v>
      </c>
      <c r="C777" s="2">
        <f>IFERROR(__xludf.DUMMYFUNCTION("""COMPUTED_VALUE"""),0.11)</f>
        <v>0.11</v>
      </c>
      <c r="D777" s="2">
        <f>IFERROR(__xludf.DUMMYFUNCTION("""COMPUTED_VALUE"""),0.00483)</f>
        <v>0.00483</v>
      </c>
      <c r="E777" s="2">
        <f>IFERROR(__xludf.DUMMYFUNCTION("""COMPUTED_VALUE"""),2529.01)</f>
        <v>2529.01</v>
      </c>
      <c r="F777" s="2">
        <f>IFERROR(__xludf.DUMMYFUNCTION("""COMPUTED_VALUE"""),2895.0)</f>
        <v>2895</v>
      </c>
      <c r="G777" s="2">
        <f>IFERROR(__xludf.DUMMYFUNCTION("""COMPUTED_VALUE"""),3764.0)</f>
        <v>3764</v>
      </c>
      <c r="H777" s="2">
        <f>IFERROR(__xludf.DUMMYFUNCTION("""COMPUTED_VALUE"""),3952.0)</f>
        <v>3952</v>
      </c>
      <c r="I777" s="2">
        <f>IFERROR(__xludf.DUMMYFUNCTION("""COMPUTED_VALUE"""),4140.0)</f>
        <v>4140</v>
      </c>
      <c r="J777" s="2">
        <f>IFERROR(__xludf.DUMMYFUNCTION("""COMPUTED_VALUE"""),4140.0)</f>
        <v>4140</v>
      </c>
      <c r="K777" s="2">
        <f>IFERROR(__xludf.DUMMYFUNCTION("""COMPUTED_VALUE"""),9.0)</f>
        <v>9</v>
      </c>
      <c r="L777" s="2" t="str">
        <f>IFERROR(__xludf.DUMMYFUNCTION("""COMPUTED_VALUE"""),"Универсал")</f>
        <v>Универсал</v>
      </c>
      <c r="M77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8">
      <c r="A778" s="5" t="str">
        <f>IFERROR(__xludf.DUMMYFUNCTION("""COMPUTED_VALUE"""),"4690626079649")</f>
        <v>4690626079649</v>
      </c>
      <c r="B77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8" s="2">
        <f>IFERROR(__xludf.DUMMYFUNCTION("""COMPUTED_VALUE"""),0.0)</f>
        <v>0</v>
      </c>
      <c r="D778" s="2">
        <f>IFERROR(__xludf.DUMMYFUNCTION("""COMPUTED_VALUE"""),0.0)</f>
        <v>0</v>
      </c>
      <c r="E778" s="2">
        <f>IFERROR(__xludf.DUMMYFUNCTION("""COMPUTED_VALUE"""),807.9300000000001)</f>
        <v>807.93</v>
      </c>
      <c r="F778" s="2">
        <f>IFERROR(__xludf.DUMMYFUNCTION("""COMPUTED_VALUE"""),772.0)</f>
        <v>772</v>
      </c>
      <c r="G778" s="2">
        <f>IFERROR(__xludf.DUMMYFUNCTION("""COMPUTED_VALUE"""),847.0)</f>
        <v>847</v>
      </c>
      <c r="H778" s="2">
        <f>IFERROR(__xludf.DUMMYFUNCTION("""COMPUTED_VALUE"""),941.0)</f>
        <v>941</v>
      </c>
      <c r="I778" s="2">
        <f>IFERROR(__xludf.DUMMYFUNCTION("""COMPUTED_VALUE"""),1035.0)</f>
        <v>1035</v>
      </c>
      <c r="J778" s="2">
        <f>IFERROR(__xludf.DUMMYFUNCTION("""COMPUTED_VALUE"""),847.0)</f>
        <v>847</v>
      </c>
      <c r="K778" s="2">
        <f>IFERROR(__xludf.DUMMYFUNCTION("""COMPUTED_VALUE"""),2.0)</f>
        <v>2</v>
      </c>
      <c r="L778" s="2" t="str">
        <f>IFERROR(__xludf.DUMMYFUNCTION("""COMPUTED_VALUE"""),"Smartbuy лампы LED")</f>
        <v>Smartbuy лампы LED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IFERROR(__xludf.DUMMYFUNCTION("""COMPUTED_VALUE"""),"4690612020464")</f>
        <v>4690612020464</v>
      </c>
      <c r="B779" s="5" t="str">
        <f>IFERROR(__xludf.DUMMYFUNCTION("""COMPUTED_VALUE"""),"LED-СВЕЧА-VC 11Вт 230В Е14 3000К 1050Лм IN HOME")</f>
        <v>LED-СВЕЧА-VC 11Вт 230В Е14 3000К 1050Лм IN HOME</v>
      </c>
      <c r="C779" s="2">
        <f>IFERROR(__xludf.DUMMYFUNCTION("""COMPUTED_VALUE"""),0.035)</f>
        <v>0.035</v>
      </c>
      <c r="D779" s="2">
        <f>IFERROR(__xludf.DUMMYFUNCTION("""COMPUTED_VALUE"""),1.9E-4)</f>
        <v>0.00019</v>
      </c>
      <c r="E779" s="2">
        <f>IFERROR(__xludf.DUMMYFUNCTION("""COMPUTED_VALUE"""),40.2)</f>
        <v>40.2</v>
      </c>
      <c r="F779" s="2">
        <f>IFERROR(__xludf.DUMMYFUNCTION("""COMPUTED_VALUE"""),46.0)</f>
        <v>46</v>
      </c>
      <c r="G779" s="2">
        <f>IFERROR(__xludf.DUMMYFUNCTION("""COMPUTED_VALUE"""),52.0)</f>
        <v>52</v>
      </c>
      <c r="H779" s="2">
        <f>IFERROR(__xludf.DUMMYFUNCTION("""COMPUTED_VALUE"""),60.0)</f>
        <v>60</v>
      </c>
      <c r="I779" s="2">
        <f>IFERROR(__xludf.DUMMYFUNCTION("""COMPUTED_VALUE"""),69.8)</f>
        <v>69.8</v>
      </c>
      <c r="J779" s="2">
        <f>IFERROR(__xludf.DUMMYFUNCTION("""COMPUTED_VALUE"""),35.0)</f>
        <v>35</v>
      </c>
      <c r="K779" s="2">
        <f>IFERROR(__xludf.DUMMYFUNCTION("""COMPUTED_VALUE"""),36.0)</f>
        <v>36</v>
      </c>
      <c r="L779" s="2" t="str">
        <f>IFERROR(__xludf.DUMMYFUNCTION("""COMPUTED_VALUE"""),"Лампа светодиодная LED-СВЕЧА-standard")</f>
        <v>Лампа светодиодная LED-СВЕЧА-standard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IFERROR(__xludf.DUMMYFUNCTION("""COMPUTED_VALUE"""),"Fefco/0203-1")</f>
        <v>Fefco/0203-1</v>
      </c>
      <c r="B780" s="5" t="str">
        <f>IFERROR(__xludf.DUMMYFUNCTION("""COMPUTED_VALUE"""),"Короб 605х30х605 (картон Т-24 ""В"" бурый)")</f>
        <v>Короб 605х30х605 (картон Т-24 "В" бурый)</v>
      </c>
      <c r="C780" s="2">
        <f>IFERROR(__xludf.DUMMYFUNCTION("""COMPUTED_VALUE"""),0.36)</f>
        <v>0.36</v>
      </c>
      <c r="D780" s="2">
        <f>IFERROR(__xludf.DUMMYFUNCTION("""COMPUTED_VALUE"""),0.004)</f>
        <v>0.004</v>
      </c>
      <c r="E780" s="2">
        <f>IFERROR(__xludf.DUMMYFUNCTION("""COMPUTED_VALUE"""),55.4)</f>
        <v>55.4</v>
      </c>
      <c r="F780" s="2">
        <f>IFERROR(__xludf.DUMMYFUNCTION("""COMPUTED_VALUE"""),1.0)</f>
        <v>1</v>
      </c>
      <c r="G780" s="2">
        <f>IFERROR(__xludf.DUMMYFUNCTION("""COMPUTED_VALUE"""),1.0)</f>
        <v>1</v>
      </c>
      <c r="H780" s="2">
        <f>IFERROR(__xludf.DUMMYFUNCTION("""COMPUTED_VALUE"""),1.0)</f>
        <v>1</v>
      </c>
      <c r="I780" s="2">
        <f>IFERROR(__xludf.DUMMYFUNCTION("""COMPUTED_VALUE"""),1.5)</f>
        <v>1.5</v>
      </c>
      <c r="J780" s="2">
        <f>IFERROR(__xludf.DUMMYFUNCTION("""COMPUTED_VALUE"""),1.5)</f>
        <v>1.5</v>
      </c>
      <c r="K780" s="2">
        <f>IFERROR(__xludf.DUMMYFUNCTION("""COMPUTED_VALUE"""),-276.0)</f>
        <v>-276</v>
      </c>
      <c r="L780" s="2" t="str">
        <f>IFERROR(__xludf.DUMMYFUNCTION("""COMPUTED_VALUE"""),"Упаковка")</f>
        <v>Упаковка</v>
      </c>
      <c r="M780" s="2" t="str">
        <f>IFERROR(__xludf.DUMMYFUNCTION("""COMPUTED_VALUE"""),"Прочие товары")</f>
        <v>Прочие товары</v>
      </c>
    </row>
    <row r="781">
      <c r="A781" s="5" t="str">
        <f>IFERROR(__xludf.DUMMYFUNCTION("""COMPUTED_VALUE"""),"4690612050829-10")</f>
        <v>4690612050829-10</v>
      </c>
      <c r="B78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2">
        <f>IFERROR(__xludf.DUMMYFUNCTION("""COMPUTED_VALUE"""),0.07)</f>
        <v>0.07</v>
      </c>
      <c r="D781" s="2">
        <f>IFERROR(__xludf.DUMMYFUNCTION("""COMPUTED_VALUE"""),0.004200000000000001)</f>
        <v>0.0042</v>
      </c>
      <c r="E781" s="2">
        <f>IFERROR(__xludf.DUMMYFUNCTION("""COMPUTED_VALUE"""),1164.0)</f>
        <v>1164</v>
      </c>
      <c r="F781" s="2">
        <f>IFERROR(__xludf.DUMMYFUNCTION("""COMPUTED_VALUE"""),1277.0)</f>
        <v>1277</v>
      </c>
      <c r="G781" s="2">
        <f>IFERROR(__xludf.DUMMYFUNCTION("""COMPUTED_VALUE"""),1490.0)</f>
        <v>1490</v>
      </c>
      <c r="H781" s="2">
        <f>IFERROR(__xludf.DUMMYFUNCTION("""COMPUTED_VALUE"""),1676.0)</f>
        <v>1676</v>
      </c>
      <c r="I781" s="2">
        <f>IFERROR(__xludf.DUMMYFUNCTION("""COMPUTED_VALUE"""),1862.0)</f>
        <v>1862</v>
      </c>
      <c r="J781" s="2">
        <f>IFERROR(__xludf.DUMMYFUNCTION("""COMPUTED_VALUE"""),931.0)</f>
        <v>931</v>
      </c>
      <c r="K781" s="2">
        <f>IFERROR(__xludf.DUMMYFUNCTION("""COMPUTED_VALUE"""),5.0)</f>
        <v>5</v>
      </c>
      <c r="L781" s="2" t="str">
        <f>IFERROR(__xludf.DUMMYFUNCTION("""COMPUTED_VALUE"""),"Лампы производство, упаковка")</f>
        <v>Лампы производство, упаковка</v>
      </c>
      <c r="M781" s="2" t="str">
        <f>IFERROR(__xludf.DUMMYFUNCTION("""COMPUTED_VALUE"""),"Лампы")</f>
        <v>Лампы</v>
      </c>
    </row>
    <row r="782">
      <c r="A782" s="5" t="str">
        <f>IFERROR(__xludf.DUMMYFUNCTION("""COMPUTED_VALUE"""),"4690612026107")</f>
        <v>4690612026107</v>
      </c>
      <c r="B782" s="5" t="str">
        <f>IFERROR(__xludf.DUMMYFUNCTION("""COMPUTED_VALUE"""),"LED-A60-deco 9Вт 230В Е27 6500К 1040Лм прозрачная IN HOME")</f>
        <v>LED-A60-deco 9Вт 230В Е27 6500К 1040Лм прозрачная IN HOME</v>
      </c>
      <c r="C782" s="2">
        <f>IFERROR(__xludf.DUMMYFUNCTION("""COMPUTED_VALUE"""),0.044)</f>
        <v>0.044</v>
      </c>
      <c r="D782" s="2">
        <f>IFERROR(__xludf.DUMMYFUNCTION("""COMPUTED_VALUE"""),5.600000000000001E-4)</f>
        <v>0.00056</v>
      </c>
      <c r="E782" s="2">
        <f>IFERROR(__xludf.DUMMYFUNCTION("""COMPUTED_VALUE"""),68.34)</f>
        <v>68.34</v>
      </c>
      <c r="F782" s="2">
        <f>IFERROR(__xludf.DUMMYFUNCTION("""COMPUTED_VALUE"""),69.0)</f>
        <v>69</v>
      </c>
      <c r="G782" s="2">
        <f>IFERROR(__xludf.DUMMYFUNCTION("""COMPUTED_VALUE"""),77.0)</f>
        <v>77</v>
      </c>
      <c r="H782" s="2">
        <f>IFERROR(__xludf.DUMMYFUNCTION("""COMPUTED_VALUE"""),90.0)</f>
        <v>90</v>
      </c>
      <c r="I782" s="2">
        <f>IFERROR(__xludf.DUMMYFUNCTION("""COMPUTED_VALUE"""),103.5)</f>
        <v>103.5</v>
      </c>
      <c r="J782" s="2">
        <f>IFERROR(__xludf.DUMMYFUNCTION("""COMPUTED_VALUE"""),52.0)</f>
        <v>52</v>
      </c>
      <c r="K782" s="2">
        <f>IFERROR(__xludf.DUMMYFUNCTION("""COMPUTED_VALUE"""),40.0)</f>
        <v>40</v>
      </c>
      <c r="L782" s="2" t="str">
        <f>IFERROR(__xludf.DUMMYFUNCTION("""COMPUTED_VALUE"""),"Лампа светодиодная LED-A60 DECO")</f>
        <v>Лампа светодиодная LED-A60 DECO</v>
      </c>
      <c r="M782" s="2" t="str">
        <f>IFERROR(__xludf.DUMMYFUNCTION("""COMPUTED_VALUE"""),"Лампы")</f>
        <v>Лампы</v>
      </c>
    </row>
    <row r="783">
      <c r="A783" s="5" t="str">
        <f>IFERROR(__xludf.DUMMYFUNCTION("""COMPUTED_VALUE"""),"4690612029412")</f>
        <v>4690612029412</v>
      </c>
      <c r="B78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3" s="2">
        <f>IFERROR(__xludf.DUMMYFUNCTION("""COMPUTED_VALUE"""),0.018)</f>
        <v>0.018</v>
      </c>
      <c r="D783" s="2">
        <f>IFERROR(__xludf.DUMMYFUNCTION("""COMPUTED_VALUE"""),3.0E-5)</f>
        <v>0.00003</v>
      </c>
      <c r="E783" s="2">
        <f>IFERROR(__xludf.DUMMYFUNCTION("""COMPUTED_VALUE"""),31.9)</f>
        <v>31.9</v>
      </c>
      <c r="F783" s="2">
        <f>IFERROR(__xludf.DUMMYFUNCTION("""COMPUTED_VALUE"""),33.0)</f>
        <v>33</v>
      </c>
      <c r="G783" s="2">
        <f>IFERROR(__xludf.DUMMYFUNCTION("""COMPUTED_VALUE"""),37.0)</f>
        <v>37</v>
      </c>
      <c r="H783" s="2">
        <f>IFERROR(__xludf.DUMMYFUNCTION("""COMPUTED_VALUE"""),43.0)</f>
        <v>43</v>
      </c>
      <c r="I783" s="2">
        <f>IFERROR(__xludf.DUMMYFUNCTION("""COMPUTED_VALUE"""),49.0)</f>
        <v>49</v>
      </c>
      <c r="J783" s="2">
        <f>IFERROR(__xludf.DUMMYFUNCTION("""COMPUTED_VALUE"""),25.0)</f>
        <v>25</v>
      </c>
      <c r="K783" s="2">
        <f>IFERROR(__xludf.DUMMYFUNCTION("""COMPUTED_VALUE"""),10.0)</f>
        <v>10</v>
      </c>
      <c r="L783" s="2" t="str">
        <f>IFERROR(__xludf.DUMMYFUNCTION("""COMPUTED_VALUE"""),"Шинопровод и комплектующие")</f>
        <v>Шинопровод и комплектующие</v>
      </c>
      <c r="M783" s="2" t="str">
        <f>IFERROR(__xludf.DUMMYFUNCTION("""COMPUTED_VALUE"""),"Прочие товары")</f>
        <v>Прочие товары</v>
      </c>
    </row>
    <row r="784">
      <c r="A784" s="5" t="str">
        <f>IFERROR(__xludf.DUMMYFUNCTION("""COMPUTED_VALUE"""),"4690612007267")</f>
        <v>4690612007267</v>
      </c>
      <c r="B78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4" s="2">
        <f>IFERROR(__xludf.DUMMYFUNCTION("""COMPUTED_VALUE"""),0.21)</f>
        <v>0.21</v>
      </c>
      <c r="D784" s="2">
        <f>IFERROR(__xludf.DUMMYFUNCTION("""COMPUTED_VALUE"""),8.500000000000001E-4)</f>
        <v>0.00085</v>
      </c>
      <c r="E784" s="2">
        <f>IFERROR(__xludf.DUMMYFUNCTION("""COMPUTED_VALUE"""),193.92)</f>
        <v>193.92</v>
      </c>
      <c r="F784" s="2">
        <f>IFERROR(__xludf.DUMMYFUNCTION("""COMPUTED_VALUE"""),1.0)</f>
        <v>1</v>
      </c>
      <c r="G784" s="2">
        <f>IFERROR(__xludf.DUMMYFUNCTION("""COMPUTED_VALUE"""),1.0)</f>
        <v>1</v>
      </c>
      <c r="H784" s="2">
        <f>IFERROR(__xludf.DUMMYFUNCTION("""COMPUTED_VALUE"""),1.0)</f>
        <v>1</v>
      </c>
      <c r="I784" s="2">
        <f>IFERROR(__xludf.DUMMYFUNCTION("""COMPUTED_VALUE"""),1.5)</f>
        <v>1.5</v>
      </c>
      <c r="J784" s="2">
        <f>IFERROR(__xludf.DUMMYFUNCTION("""COMPUTED_VALUE"""),1.5)</f>
        <v>1.5</v>
      </c>
      <c r="K784" s="2">
        <f>IFERROR(__xludf.DUMMYFUNCTION("""COMPUTED_VALUE"""),13.0)</f>
        <v>13</v>
      </c>
      <c r="L784" s="2" t="str">
        <f>IFERROR(__xludf.DUMMYFUNCTION("""COMPUTED_VALUE"""),"Лампа светодиодная LED-ШАР-standard")</f>
        <v>Лампа светодиодная LED-ШАР-standard</v>
      </c>
      <c r="M784" s="2" t="str">
        <f>IFERROR(__xludf.DUMMYFUNCTION("""COMPUTED_VALUE"""),"Лампы")</f>
        <v>Лампы</v>
      </c>
    </row>
    <row r="785">
      <c r="A785" s="5" t="str">
        <f>IFERROR(__xludf.DUMMYFUNCTION("""COMPUTED_VALUE"""),"4690612057286-1")</f>
        <v>4690612057286-1</v>
      </c>
      <c r="B78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5" s="2">
        <f>IFERROR(__xludf.DUMMYFUNCTION("""COMPUTED_VALUE"""),0.0)</f>
        <v>0</v>
      </c>
      <c r="D785" s="2">
        <f>IFERROR(__xludf.DUMMYFUNCTION("""COMPUTED_VALUE"""),0.0)</f>
        <v>0</v>
      </c>
      <c r="E785" s="2">
        <f>IFERROR(__xludf.DUMMYFUNCTION("""COMPUTED_VALUE"""),990.86)</f>
        <v>990.86</v>
      </c>
      <c r="F785" s="2">
        <f>IFERROR(__xludf.DUMMYFUNCTION("""COMPUTED_VALUE"""),1087.0)</f>
        <v>1087</v>
      </c>
      <c r="G785" s="2">
        <f>IFERROR(__xludf.DUMMYFUNCTION("""COMPUTED_VALUE"""),1268.0)</f>
        <v>1268</v>
      </c>
      <c r="H785" s="2">
        <f>IFERROR(__xludf.DUMMYFUNCTION("""COMPUTED_VALUE"""),1427.0)</f>
        <v>1427</v>
      </c>
      <c r="I785" s="2">
        <f>IFERROR(__xludf.DUMMYFUNCTION("""COMPUTED_VALUE"""),1585.0)</f>
        <v>1585</v>
      </c>
      <c r="J785" s="2">
        <f>IFERROR(__xludf.DUMMYFUNCTION("""COMPUTED_VALUE"""),793.0)</f>
        <v>793</v>
      </c>
      <c r="K785" s="2">
        <f>IFERROR(__xludf.DUMMYFUNCTION("""COMPUTED_VALUE"""),4.0)</f>
        <v>4</v>
      </c>
      <c r="L7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