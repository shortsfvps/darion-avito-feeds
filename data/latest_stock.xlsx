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<sst xmlns="http://schemas.openxmlformats.org/spreadsheetml/2006/main" count="18" uniqueCount="14">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</sst>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19.10.2026 Stock")</f>
        <v>Отчёт о товарах 19.10.2026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IFERROR(__xludf.DUMMYFUNCTION("""COMPUTED_VALUE"""),8.0)</f>
        <v>8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IFERROR(__xludf.DUMMYFUNCTION("""COMPUTED_VALUE"""),42.0)</f>
        <v>42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IFERROR(__xludf.DUMMYFUNCTION("""COMPUTED_VALUE"""),54.0)</f>
        <v>54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IFERROR(__xludf.DUMMYFUNCTION("""COMPUTED_VALUE"""),4.0)</f>
        <v>4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IFERROR(__xludf.DUMMYFUNCTION("""COMPUTED_VALUE"""),618.0)</f>
        <v>618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IFERROR(__xludf.DUMMYFUNCTION("""COMPUTED_VALUE"""),198.0)</f>
        <v>198</v>
      </c>
      <c r="G103" s="2">
        <f>IFERROR(__xludf.DUMMYFUNCTION("""COMPUTED_VALUE"""),233.0)</f>
        <v>233</v>
      </c>
      <c r="H103" s="2">
        <f>IFERROR(__xludf.DUMMYFUNCTION("""COMPUTED_VALUE"""),240.0)</f>
        <v>240</v>
      </c>
      <c r="I103" s="2">
        <f>IFERROR(__xludf.DUMMYFUNCTION("""COMPUTED_VALUE"""),276.0)</f>
        <v>276</v>
      </c>
      <c r="J103" s="2">
        <f>IFERROR(__xludf.DUMMYFUNCTION("""COMPUTED_VALUE"""),138.0)</f>
        <v>138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IFERROR(__xludf.DUMMYFUNCTION("""COMPUTED_VALUE"""),3.0)</f>
        <v>3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IFERROR(__xludf.DUMMYFUNCTION("""COMPUTED_VALUE"""),1821.0)</f>
        <v>1821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IFERROR(__xludf.DUMMYFUNCTION("""COMPUTED_VALUE"""),12.0)</f>
        <v>12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IFERROR(__xludf.DUMMYFUNCTION("""COMPUTED_VALUE"""),4.0)</f>
        <v>4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IFERROR(__xludf.DUMMYFUNCTION("""COMPUTED_VALUE"""),697.67)</f>
        <v>697.67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IFERROR(__xludf.DUMMYFUNCTION("""COMPUTED_VALUE"""),1198.0)</f>
        <v>1198</v>
      </c>
      <c r="K129" s="2">
        <f>IFERROR(__xludf.DUMMYFUNCTION("""COMPUTED_VALUE"""),-18.0)</f>
        <v>-18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IFERROR(__xludf.DUMMYFUNCTION("""COMPUTED_VALUE"""),2420.0)</f>
        <v>2420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IFERROR(__xludf.DUMMYFUNCTION("""COMPUTED_VALUE"""),4.0)</f>
        <v>4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IFERROR(__xludf.DUMMYFUNCTION("""COMPUTED_VALUE"""),1.0)</f>
        <v>1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IFERROR(__xludf.DUMMYFUNCTION("""COMPUTED_VALUE"""),1497.0)</f>
        <v>1497</v>
      </c>
      <c r="G144" s="2">
        <f>IFERROR(__xludf.DUMMYFUNCTION("""COMPUTED_VALUE"""),1762.0)</f>
        <v>1762</v>
      </c>
      <c r="H144" s="2">
        <f>IFERROR(__xludf.DUMMYFUNCTION("""COMPUTED_VALUE"""),1815.0)</f>
        <v>1815</v>
      </c>
      <c r="I144" s="2">
        <f>IFERROR(__xludf.DUMMYFUNCTION("""COMPUTED_VALUE"""),2087.0)</f>
        <v>2087</v>
      </c>
      <c r="J144" s="2">
        <f>IFERROR(__xludf.DUMMYFUNCTION("""COMPUTED_VALUE"""),1044.0)</f>
        <v>1044</v>
      </c>
      <c r="K144" s="2">
        <f>IFERROR(__xludf.DUMMYFUNCTION("""COMPUTED_VALUE"""),6.0)</f>
        <v>6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IFERROR(__xludf.DUMMYFUNCTION("""COMPUTED_VALUE"""),2150.0)</f>
        <v>2150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IFERROR(__xludf.DUMMYFUNCTION("""COMPUTED_VALUE"""),"4690612042596")</f>
        <v>4690612042596</v>
      </c>
      <c r="B180" s="5" t="str">
        <f>IFERROR(__xludf.DUMMYFUNCTION("""COMPUTED_VALUE"""),"ДСП-153Н 36Вт 230В 6500К 4500Лм 125лм/Вт 1200мм IP65 NEOX")</f>
        <v>ДСП-153Н 36Вт 230В 6500К 4500Лм 125лм/Вт 1200мм IP65 NEOX</v>
      </c>
      <c r="C180" s="2">
        <f>IFERROR(__xludf.DUMMYFUNCTION("""COMPUTED_VALUE"""),0.26)</f>
        <v>0.26</v>
      </c>
      <c r="D180" s="2">
        <f>IFERROR(__xludf.DUMMYFUNCTION("""COMPUTED_VALUE"""),0.0027)</f>
        <v>0.0027</v>
      </c>
      <c r="E180" s="2">
        <f>IFERROR(__xludf.DUMMYFUNCTION("""COMPUTED_VALUE"""),561.0)</f>
        <v>561</v>
      </c>
      <c r="F180" s="2">
        <f>IFERROR(__xludf.DUMMYFUNCTION("""COMPUTED_VALUE"""),463.0)</f>
        <v>463</v>
      </c>
      <c r="G180" s="2">
        <f>IFERROR(__xludf.DUMMYFUNCTION("""COMPUTED_VALUE"""),521.0)</f>
        <v>521</v>
      </c>
      <c r="H180" s="2">
        <f>IFERROR(__xludf.DUMMYFUNCTION("""COMPUTED_VALUE"""),605.0)</f>
        <v>605</v>
      </c>
      <c r="I180" s="2">
        <f>IFERROR(__xludf.DUMMYFUNCTION("""COMPUTED_VALUE"""),695.0)</f>
        <v>695</v>
      </c>
      <c r="J180" s="2">
        <f>IFERROR(__xludf.DUMMYFUNCTION("""COMPUTED_VALUE"""),348.0)</f>
        <v>348</v>
      </c>
      <c r="K180" s="2">
        <f>IFERROR(__xludf.DUMMYFUNCTION("""COMPUTED_VALUE"""),2.0)</f>
        <v>2</v>
      </c>
      <c r="L180" s="2" t="str">
        <f>IFERROR(__xludf.DUMMYFUNCTION("""COMPUTED_VALUE"""),"NEOX Светильники LED ДСП")</f>
        <v>NEOX Светильники LED ДСП</v>
      </c>
      <c r="M180" s="2" t="str">
        <f>IFERROR(__xludf.DUMMYFUNCTION("""COMPUTED_VALUE"""),"Пластиковые (линейные), LED Светильники")</f>
        <v>Пластиковые (линейные), LED Светильники</v>
      </c>
    </row>
    <row r="181">
      <c r="A181" s="5" t="str">
        <f>IFERROR(__xludf.DUMMYFUNCTION("""COMPUTED_VALUE"""),"4690612035161")</f>
        <v>4690612035161</v>
      </c>
      <c r="B181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1" s="2">
        <f>IFERROR(__xludf.DUMMYFUNCTION("""COMPUTED_VALUE"""),1.98)</f>
        <v>1.98</v>
      </c>
      <c r="D181" s="2">
        <f>IFERROR(__xludf.DUMMYFUNCTION("""COMPUTED_VALUE"""),0.028)</f>
        <v>0.028</v>
      </c>
      <c r="E181" s="2">
        <f>IFERROR(__xludf.DUMMYFUNCTION("""COMPUTED_VALUE"""),1970.23)</f>
        <v>1970.23</v>
      </c>
      <c r="F181" s="2">
        <f>IFERROR(__xludf.DUMMYFUNCTION("""COMPUTED_VALUE"""),1815.0)</f>
        <v>1815</v>
      </c>
      <c r="G181" s="2">
        <f>IFERROR(__xludf.DUMMYFUNCTION("""COMPUTED_VALUE"""),2042.0)</f>
        <v>2042</v>
      </c>
      <c r="H181" s="2">
        <f>IFERROR(__xludf.DUMMYFUNCTION("""COMPUTED_VALUE"""),2369.0)</f>
        <v>2369</v>
      </c>
      <c r="I181" s="2">
        <f>IFERROR(__xludf.DUMMYFUNCTION("""COMPUTED_VALUE"""),2723.0)</f>
        <v>2723</v>
      </c>
      <c r="J181" s="2">
        <f>IFERROR(__xludf.DUMMYFUNCTION("""COMPUTED_VALUE"""),1362.0)</f>
        <v>1362</v>
      </c>
      <c r="K181" s="2">
        <f>IFERROR(__xludf.DUMMYFUNCTION("""COMPUTED_VALUE"""),2.0)</f>
        <v>2</v>
      </c>
      <c r="L181" s="2" t="str">
        <f>IFERROR(__xludf.DUMMYFUNCTION("""COMPUTED_VALUE"""),"Светильники светодиодные COMFORT")</f>
        <v>Светильники светодиодные COMFORT</v>
      </c>
      <c r="M1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2">
      <c r="A182" s="5" t="str">
        <f>IFERROR(__xludf.DUMMYFUNCTION("""COMPUTED_VALUE"""),"R100627-2")</f>
        <v>R100627-2</v>
      </c>
      <c r="B182" s="5" t="str">
        <f>IFERROR(__xludf.DUMMYFUNCTION("""COMPUTED_VALUE"""),"RSV-SPO-02-56W-6500K PRI (2 штуки в упаковке)")</f>
        <v>RSV-SPO-02-56W-6500K PRI (2 штуки в упаковке)</v>
      </c>
      <c r="C182" s="2">
        <f>IFERROR(__xludf.DUMMYFUNCTION("""COMPUTED_VALUE"""),0.46)</f>
        <v>0.46</v>
      </c>
      <c r="D182" s="2">
        <f>IFERROR(__xludf.DUMMYFUNCTION("""COMPUTED_VALUE"""),0.0)</f>
        <v>0</v>
      </c>
      <c r="E182" s="2">
        <f>IFERROR(__xludf.DUMMYFUNCTION("""COMPUTED_VALUE"""),823.6)</f>
        <v>823.6</v>
      </c>
      <c r="F182" s="2">
        <f>IFERROR(__xludf.DUMMYFUNCTION("""COMPUTED_VALUE"""),1112.0)</f>
        <v>1112</v>
      </c>
      <c r="G182" s="2">
        <f>IFERROR(__xludf.DUMMYFUNCTION("""COMPUTED_VALUE"""),1186.0)</f>
        <v>1186</v>
      </c>
      <c r="H182" s="2">
        <f>IFERROR(__xludf.DUMMYFUNCTION("""COMPUTED_VALUE"""),1334.0)</f>
        <v>1334</v>
      </c>
      <c r="I182" s="2">
        <f>IFERROR(__xludf.DUMMYFUNCTION("""COMPUTED_VALUE"""),1482.0)</f>
        <v>1482</v>
      </c>
      <c r="J182" s="2">
        <f>IFERROR(__xludf.DUMMYFUNCTION("""COMPUTED_VALUE"""),741.0)</f>
        <v>741</v>
      </c>
      <c r="K182" s="2">
        <f>IFERROR(__xludf.DUMMYFUNCTION("""COMPUTED_VALUE"""),3.0)</f>
        <v>3</v>
      </c>
      <c r="L18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3">
      <c r="A183" s="5" t="str">
        <f>IFERROR(__xludf.DUMMYFUNCTION("""COMPUTED_VALUE"""),"4690612013503")</f>
        <v>4690612013503</v>
      </c>
      <c r="B183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3" s="2">
        <f>IFERROR(__xludf.DUMMYFUNCTION("""COMPUTED_VALUE"""),0.62)</f>
        <v>0.62</v>
      </c>
      <c r="D183" s="2">
        <f>IFERROR(__xludf.DUMMYFUNCTION("""COMPUTED_VALUE"""),0.004500000000000001)</f>
        <v>0.0045</v>
      </c>
      <c r="E183" s="2">
        <f>IFERROR(__xludf.DUMMYFUNCTION("""COMPUTED_VALUE"""),1023.38)</f>
        <v>1023.38</v>
      </c>
      <c r="F183" s="2">
        <f>IFERROR(__xludf.DUMMYFUNCTION("""COMPUTED_VALUE"""),813.0)</f>
        <v>813</v>
      </c>
      <c r="G183" s="2">
        <f>IFERROR(__xludf.DUMMYFUNCTION("""COMPUTED_VALUE"""),915.0)</f>
        <v>915</v>
      </c>
      <c r="H183" s="2">
        <f>IFERROR(__xludf.DUMMYFUNCTION("""COMPUTED_VALUE"""),1061.0)</f>
        <v>1061</v>
      </c>
      <c r="I183" s="2">
        <f>IFERROR(__xludf.DUMMYFUNCTION("""COMPUTED_VALUE"""),1220.0)</f>
        <v>1220</v>
      </c>
      <c r="J183" s="2">
        <f>IFERROR(__xludf.DUMMYFUNCTION("""COMPUTED_VALUE"""),610.0)</f>
        <v>610</v>
      </c>
      <c r="K183" s="2">
        <f>IFERROR(__xludf.DUMMYFUNCTION("""COMPUTED_VALUE"""),7.0)</f>
        <v>7</v>
      </c>
      <c r="L183" s="2" t="str">
        <f>IFERROR(__xludf.DUMMYFUNCTION("""COMPUTED_VALUE"""),"Светильники настольные светодиодные")</f>
        <v>Светильники настольные светодиодные</v>
      </c>
      <c r="M1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4">
      <c r="A184" s="5" t="str">
        <f>IFERROR(__xludf.DUMMYFUNCTION("""COMPUTED_VALUE"""),"GL8241")</f>
        <v>GL8241</v>
      </c>
      <c r="B184" s="5" t="str">
        <f>IFERROR(__xludf.DUMMYFUNCTION("""COMPUTED_VALUE"""),"GLERIO Line Shell 24 Вт 4000К 92P-24D-4P-P")</f>
        <v>GLERIO Line Shell 24 Вт 4000К 92P-24D-4P-P</v>
      </c>
      <c r="C184" s="2">
        <f>IFERROR(__xludf.DUMMYFUNCTION("""COMPUTED_VALUE"""),1.575)</f>
        <v>1.575</v>
      </c>
      <c r="D184" s="2">
        <f>IFERROR(__xludf.DUMMYFUNCTION("""COMPUTED_VALUE"""),0.00495)</f>
        <v>0.00495</v>
      </c>
      <c r="E184" s="2">
        <f>IFERROR(__xludf.DUMMYFUNCTION("""COMPUTED_VALUE"""),1855.42)</f>
        <v>1855.42</v>
      </c>
      <c r="F184" s="2">
        <f>IFERROR(__xludf.DUMMYFUNCTION("""COMPUTED_VALUE"""),2150.0)</f>
        <v>2150</v>
      </c>
      <c r="G184" s="2">
        <f>IFERROR(__xludf.DUMMYFUNCTION("""COMPUTED_VALUE"""),2707.0)</f>
        <v>2707</v>
      </c>
      <c r="H184" s="2">
        <f>IFERROR(__xludf.DUMMYFUNCTION("""COMPUTED_VALUE"""),3040.0)</f>
        <v>3040</v>
      </c>
      <c r="I184" s="2">
        <f>IFERROR(__xludf.DUMMYFUNCTION("""COMPUTED_VALUE"""),3373.0)</f>
        <v>3373</v>
      </c>
      <c r="J184" s="2">
        <f>IFERROR(__xludf.DUMMYFUNCTION("""COMPUTED_VALUE"""),1687.0)</f>
        <v>1687</v>
      </c>
      <c r="K184" s="2">
        <f>IFERROR(__xludf.DUMMYFUNCTION("""COMPUTED_VALUE"""),1.0)</f>
        <v>1</v>
      </c>
      <c r="L184" s="2" t="str">
        <f>IFERROR(__xludf.DUMMYFUNCTION("""COMPUTED_VALUE"""),"Line Shell, Free (Retail) до 10.2025")</f>
        <v>Line Shell, Free (Retail) до 10.2025</v>
      </c>
      <c r="M18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5">
      <c r="A185" s="5" t="str">
        <f>IFERROR(__xludf.DUMMYFUNCTION("""COMPUTED_VALUE"""),"ves2017")</f>
        <v>ves2017</v>
      </c>
      <c r="B185" s="5" t="str">
        <f>IFERROR(__xludf.DUMMYFUNCTION("""COMPUTED_VALUE"""),"Вилка переносная 025 3Р+РЕ+N 32А 380В IP44")</f>
        <v>Вилка переносная 025 3Р+РЕ+N 32А 380В IP44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IFERROR(__xludf.DUMMYFUNCTION("""COMPUTED_VALUE"""),225.18)</f>
        <v>225.18</v>
      </c>
      <c r="F185" s="2">
        <f>IFERROR(__xludf.DUMMYFUNCTION("""COMPUTED_VALUE"""),286.0)</f>
        <v>286</v>
      </c>
      <c r="G185" s="2">
        <f>IFERROR(__xludf.DUMMYFUNCTION("""COMPUTED_VALUE"""),305.0)</f>
        <v>305</v>
      </c>
      <c r="H185" s="2">
        <f>IFERROR(__xludf.DUMMYFUNCTION("""COMPUTED_VALUE"""),343.0)</f>
        <v>343</v>
      </c>
      <c r="I185" s="2">
        <f>IFERROR(__xludf.DUMMYFUNCTION("""COMPUTED_VALUE"""),381.41)</f>
        <v>381.41</v>
      </c>
      <c r="J185" s="2">
        <f>IFERROR(__xludf.DUMMYFUNCTION("""COMPUTED_VALUE"""),191.0)</f>
        <v>191</v>
      </c>
      <c r="K185" s="2">
        <f>IFERROR(__xludf.DUMMYFUNCTION("""COMPUTED_VALUE"""),3.0)</f>
        <v>3</v>
      </c>
      <c r="L185" s="2" t="str">
        <f>IFERROR(__xludf.DUMMYFUNCTION("""COMPUTED_VALUE"""),"ves2 (тендер)")</f>
        <v>ves2 (тендер)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IFERROR(__xludf.DUMMYFUNCTION("""COMPUTED_VALUE"""),"R102811")</f>
        <v>R102811</v>
      </c>
      <c r="B186" s="5" t="str">
        <f>IFERROR(__xludf.DUMMYFUNCTION("""COMPUTED_VALUE"""),"RSV-SFL-3-70W-6500K-IP65")</f>
        <v>RSV-SFL-3-70W-6500K-IP65</v>
      </c>
      <c r="C186" s="2">
        <f>IFERROR(__xludf.DUMMYFUNCTION("""COMPUTED_VALUE"""),0.645)</f>
        <v>0.645</v>
      </c>
      <c r="D186" s="2">
        <f>IFERROR(__xludf.DUMMYFUNCTION("""COMPUTED_VALUE"""),0.00145)</f>
        <v>0.00145</v>
      </c>
      <c r="E186" s="2">
        <f>IFERROR(__xludf.DUMMYFUNCTION("""COMPUTED_VALUE"""),585.52)</f>
        <v>585.52</v>
      </c>
      <c r="F186" s="2">
        <f>IFERROR(__xludf.DUMMYFUNCTION("""COMPUTED_VALUE"""),840.0)</f>
        <v>840</v>
      </c>
      <c r="G186" s="2">
        <f>IFERROR(__xludf.DUMMYFUNCTION("""COMPUTED_VALUE"""),988.0)</f>
        <v>988</v>
      </c>
      <c r="H186" s="2">
        <f>IFERROR(__xludf.DUMMYFUNCTION("""COMPUTED_VALUE"""),1018.0)</f>
        <v>1018</v>
      </c>
      <c r="I186" s="2">
        <f>IFERROR(__xludf.DUMMYFUNCTION("""COMPUTED_VALUE"""),1170.0)</f>
        <v>1170</v>
      </c>
      <c r="J186" s="2">
        <f>IFERROR(__xludf.DUMMYFUNCTION("""COMPUTED_VALUE"""),1018.0)</f>
        <v>1018</v>
      </c>
      <c r="K186" s="2">
        <f>IFERROR(__xludf.DUMMYFUNCTION("""COMPUTED_VALUE"""),7.0)</f>
        <v>7</v>
      </c>
      <c r="L186" s="2" t="str">
        <f>IFERROR(__xludf.DUMMYFUNCTION("""COMPUTED_VALUE"""),"Прожекторы RSV-SFL-3")</f>
        <v>Прожекторы RSV-SFL-3</v>
      </c>
      <c r="M186" s="2" t="str">
        <f>IFERROR(__xludf.DUMMYFUNCTION("""COMPUTED_VALUE"""),"Без датчиков, LED Светильники")</f>
        <v>Без датчиков, LED Светильники</v>
      </c>
    </row>
    <row r="187">
      <c r="A187" s="5" t="str">
        <f>IFERROR(__xludf.DUMMYFUNCTION("""COMPUTED_VALUE"""),"4690612035512")</f>
        <v>4690612035512</v>
      </c>
      <c r="B187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7" s="2">
        <f>IFERROR(__xludf.DUMMYFUNCTION("""COMPUTED_VALUE"""),0.22)</f>
        <v>0.22</v>
      </c>
      <c r="D187" s="2">
        <f>IFERROR(__xludf.DUMMYFUNCTION("""COMPUTED_VALUE"""),0.001)</f>
        <v>0.001</v>
      </c>
      <c r="E187" s="2">
        <f>IFERROR(__xludf.DUMMYFUNCTION("""COMPUTED_VALUE"""),432.0)</f>
        <v>432</v>
      </c>
      <c r="F187" s="2">
        <f>IFERROR(__xludf.DUMMYFUNCTION("""COMPUTED_VALUE"""),489.0)</f>
        <v>489</v>
      </c>
      <c r="G187" s="2">
        <f>IFERROR(__xludf.DUMMYFUNCTION("""COMPUTED_VALUE"""),551.0)</f>
        <v>551</v>
      </c>
      <c r="H187" s="2">
        <f>IFERROR(__xludf.DUMMYFUNCTION("""COMPUTED_VALUE"""),639.0)</f>
        <v>639</v>
      </c>
      <c r="I187" s="2">
        <f>IFERROR(__xludf.DUMMYFUNCTION("""COMPUTED_VALUE"""),734.0)</f>
        <v>734</v>
      </c>
      <c r="J187" s="2">
        <f>IFERROR(__xludf.DUMMYFUNCTION("""COMPUTED_VALUE"""),367.0)</f>
        <v>367</v>
      </c>
      <c r="K187" s="2">
        <f>IFERROR(__xludf.DUMMYFUNCTION("""COMPUTED_VALUE"""),10.0)</f>
        <v>10</v>
      </c>
      <c r="L1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7" s="2" t="str">
        <f>IFERROR(__xludf.DUMMYFUNCTION("""COMPUTED_VALUE"""),"Трековые, LED Светильники")</f>
        <v>Трековые, LED Светильники</v>
      </c>
    </row>
    <row r="188">
      <c r="A188" s="5" t="str">
        <f>IFERROR(__xludf.DUMMYFUNCTION("""COMPUTED_VALUE"""),"R100628")</f>
        <v>R100628</v>
      </c>
      <c r="B188" s="5" t="str">
        <f>IFERROR(__xludf.DUMMYFUNCTION("""COMPUTED_VALUE"""),"RSV-SPO-02-56W-6500К TPR")</f>
        <v>RSV-SPO-02-56W-6500К TPR</v>
      </c>
      <c r="C188" s="2">
        <f>IFERROR(__xludf.DUMMYFUNCTION("""COMPUTED_VALUE"""),0.41667)</f>
        <v>0.41667</v>
      </c>
      <c r="D188" s="2">
        <f>IFERROR(__xludf.DUMMYFUNCTION("""COMPUTED_VALUE"""),0.00287)</f>
        <v>0.00287</v>
      </c>
      <c r="E188" s="2">
        <f>IFERROR(__xludf.DUMMYFUNCTION("""COMPUTED_VALUE"""),371.58)</f>
        <v>371.58</v>
      </c>
      <c r="F188" s="2">
        <f>IFERROR(__xludf.DUMMYFUNCTION("""COMPUTED_VALUE"""),272.0)</f>
        <v>272</v>
      </c>
      <c r="G188" s="2">
        <f>IFERROR(__xludf.DUMMYFUNCTION("""COMPUTED_VALUE"""),320.0)</f>
        <v>320</v>
      </c>
      <c r="H188" s="2">
        <f>IFERROR(__xludf.DUMMYFUNCTION("""COMPUTED_VALUE"""),330.0)</f>
        <v>330</v>
      </c>
      <c r="I188" s="2">
        <f>IFERROR(__xludf.DUMMYFUNCTION("""COMPUTED_VALUE"""),380.0)</f>
        <v>380</v>
      </c>
      <c r="J188" s="2">
        <f>IFERROR(__xludf.DUMMYFUNCTION("""COMPUTED_VALUE"""),380.0)</f>
        <v>380</v>
      </c>
      <c r="K188" s="2">
        <f>IFERROR(__xludf.DUMMYFUNCTION("""COMPUTED_VALUE"""),0.0)</f>
        <v>0</v>
      </c>
      <c r="L188" s="2" t="str">
        <f>IFERROR(__xludf.DUMMYFUNCTION("""COMPUTED_VALUE"""),"Офисный светильник RSV-SPO-02, SPO-03 (Сталь)")</f>
        <v>Офисный светильник RSV-SPO-02, SPO-03 (Сталь)</v>
      </c>
      <c r="M1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9">
      <c r="A189" s="5" t="str">
        <f>IFERROR(__xludf.DUMMYFUNCTION("""COMPUTED_VALUE"""),"12-0164")</f>
        <v>12-0164</v>
      </c>
      <c r="B189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IFERROR(__xludf.DUMMYFUNCTION("""COMPUTED_VALUE"""),1275.0)</f>
        <v>1275</v>
      </c>
      <c r="G189" s="2">
        <f>IFERROR(__xludf.DUMMYFUNCTION("""COMPUTED_VALUE"""),1360.0)</f>
        <v>1360</v>
      </c>
      <c r="H189" s="2">
        <f>IFERROR(__xludf.DUMMYFUNCTION("""COMPUTED_VALUE"""),1530.0)</f>
        <v>1530</v>
      </c>
      <c r="I189" s="2">
        <f>IFERROR(__xludf.DUMMYFUNCTION("""COMPUTED_VALUE"""),1699.5)</f>
        <v>1699.5</v>
      </c>
      <c r="J189" s="2">
        <f>IFERROR(__xludf.DUMMYFUNCTION("""COMPUTED_VALUE"""),850.0)</f>
        <v>850</v>
      </c>
      <c r="K189" s="2">
        <f>IFERROR(__xludf.DUMMYFUNCTION("""COMPUTED_VALUE"""),1.0)</f>
        <v>1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IFERROR(__xludf.DUMMYFUNCTION("""COMPUTED_VALUE"""),"13-0034")</f>
        <v>13-0034</v>
      </c>
      <c r="B190" s="5" t="str">
        <f>IFERROR(__xludf.DUMMYFUNCTION("""COMPUTED_VALUE"""),"Щупы тестера UNI-T UT-L27")</f>
        <v>Щупы тестера UNI-T UT-L27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IFERROR(__xludf.DUMMYFUNCTION("""COMPUTED_VALUE"""),713.0)</f>
        <v>713</v>
      </c>
      <c r="G190" s="2">
        <f>IFERROR(__xludf.DUMMYFUNCTION("""COMPUTED_VALUE"""),760.0)</f>
        <v>760</v>
      </c>
      <c r="H190" s="2">
        <f>IFERROR(__xludf.DUMMYFUNCTION("""COMPUTED_VALUE"""),855.0)</f>
        <v>855</v>
      </c>
      <c r="I190" s="2">
        <f>IFERROR(__xludf.DUMMYFUNCTION("""COMPUTED_VALUE"""),950.5)</f>
        <v>950.5</v>
      </c>
      <c r="J190" s="2">
        <f>IFERROR(__xludf.DUMMYFUNCTION("""COMPUTED_VALUE"""),475.0)</f>
        <v>475</v>
      </c>
      <c r="K190" s="2">
        <f>IFERROR(__xludf.DUMMYFUNCTION("""COMPUTED_VALUE"""),3.0)</f>
        <v>3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IFERROR(__xludf.DUMMYFUNCTION("""COMPUTED_VALUE"""),"14690612053858")</f>
        <v>14690612053858</v>
      </c>
      <c r="B191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1" s="2">
        <f>IFERROR(__xludf.DUMMYFUNCTION("""COMPUTED_VALUE"""),1.075)</f>
        <v>1.075</v>
      </c>
      <c r="D191" s="2">
        <f>IFERROR(__xludf.DUMMYFUNCTION("""COMPUTED_VALUE"""),0.0)</f>
        <v>0</v>
      </c>
      <c r="E191" s="2">
        <f>IFERROR(__xludf.DUMMYFUNCTION("""COMPUTED_VALUE"""),2259.34)</f>
        <v>2259.34</v>
      </c>
      <c r="F191" s="2">
        <f>IFERROR(__xludf.DUMMYFUNCTION("""COMPUTED_VALUE"""),2479.0)</f>
        <v>2479</v>
      </c>
      <c r="G191" s="2">
        <f>IFERROR(__xludf.DUMMYFUNCTION("""COMPUTED_VALUE"""),3254.0)</f>
        <v>3254</v>
      </c>
      <c r="H191" s="2">
        <f>IFERROR(__xludf.DUMMYFUNCTION("""COMPUTED_VALUE"""),3660.0)</f>
        <v>3660</v>
      </c>
      <c r="I191" s="2">
        <f>IFERROR(__xludf.DUMMYFUNCTION("""COMPUTED_VALUE"""),4067.0)</f>
        <v>4067</v>
      </c>
      <c r="J191" s="2">
        <f>IFERROR(__xludf.DUMMYFUNCTION("""COMPUTED_VALUE"""),4067.0)</f>
        <v>4067</v>
      </c>
      <c r="K191" s="2">
        <f>IFERROR(__xludf.DUMMYFUNCTION("""COMPUTED_VALUE"""),0.0)</f>
        <v>0</v>
      </c>
      <c r="L1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2">
      <c r="A192" s="5" t="str">
        <f>IFERROR(__xludf.DUMMYFUNCTION("""COMPUTED_VALUE"""),"V9013")</f>
        <v>V9013</v>
      </c>
      <c r="B192" s="5" t="str">
        <f>IFERROR(__xludf.DUMMYFUNCTION("""COMPUTED_VALUE"""),"VRN-UNE-62-G40K67-U, 62Вт, Универсальный")</f>
        <v>VRN-UNE-62-G40K67-U, 62Вт, Универсальный</v>
      </c>
      <c r="C192" s="2">
        <f>IFERROR(__xludf.DUMMYFUNCTION("""COMPUTED_VALUE"""),1.4)</f>
        <v>1.4</v>
      </c>
      <c r="D192" s="2">
        <f>IFERROR(__xludf.DUMMYFUNCTION("""COMPUTED_VALUE"""),0.00564)</f>
        <v>0.00564</v>
      </c>
      <c r="E192" s="2">
        <f>IFERROR(__xludf.DUMMYFUNCTION("""COMPUTED_VALUE"""),2260.71)</f>
        <v>2260.71</v>
      </c>
      <c r="F192" s="2">
        <f>IFERROR(__xludf.DUMMYFUNCTION("""COMPUTED_VALUE"""),2605.0)</f>
        <v>2605</v>
      </c>
      <c r="G192" s="2">
        <f>IFERROR(__xludf.DUMMYFUNCTION("""COMPUTED_VALUE"""),3387.0)</f>
        <v>3387</v>
      </c>
      <c r="H192" s="2">
        <f>IFERROR(__xludf.DUMMYFUNCTION("""COMPUTED_VALUE"""),3556.0)</f>
        <v>3556</v>
      </c>
      <c r="I192" s="2">
        <f>IFERROR(__xludf.DUMMYFUNCTION("""COMPUTED_VALUE"""),3725.0)</f>
        <v>3725</v>
      </c>
      <c r="J192" s="2">
        <f>IFERROR(__xludf.DUMMYFUNCTION("""COMPUTED_VALUE"""),3725.0)</f>
        <v>3725</v>
      </c>
      <c r="K192" s="2">
        <f>IFERROR(__xludf.DUMMYFUNCTION("""COMPUTED_VALUE"""),173.0)</f>
        <v>173</v>
      </c>
      <c r="L192" s="2" t="str">
        <f>IFERROR(__xludf.DUMMYFUNCTION("""COMPUTED_VALUE"""),"Универсал Эконом")</f>
        <v>Универсал Эконом</v>
      </c>
      <c r="M1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3">
      <c r="A193" s="5" t="str">
        <f>IFERROR(__xludf.DUMMYFUNCTION("""COMPUTED_VALUE"""),"4260693449883")</f>
        <v>4260693449883</v>
      </c>
      <c r="B193" s="5" t="str">
        <f>IFERROR(__xludf.DUMMYFUNCTION("""COMPUTED_VALUE"""),"WML-PL/02B")</f>
        <v>WML-PL/02B</v>
      </c>
      <c r="C193" s="2">
        <f>IFERROR(__xludf.DUMMYFUNCTION("""COMPUTED_VALUE"""),0.07500000000000001)</f>
        <v>0.075</v>
      </c>
      <c r="D193" s="2">
        <f>IFERROR(__xludf.DUMMYFUNCTION("""COMPUTED_VALUE"""),0.0246)</f>
        <v>0.0246</v>
      </c>
      <c r="E193" s="2">
        <f>IFERROR(__xludf.DUMMYFUNCTION("""COMPUTED_VALUE"""),509.6)</f>
        <v>509.6</v>
      </c>
      <c r="F193" s="2">
        <f>IFERROR(__xludf.DUMMYFUNCTION("""COMPUTED_VALUE"""),467.0)</f>
        <v>467</v>
      </c>
      <c r="G193" s="2">
        <f>IFERROR(__xludf.DUMMYFUNCTION("""COMPUTED_VALUE"""),483.0)</f>
        <v>483</v>
      </c>
      <c r="H193" s="2">
        <f>IFERROR(__xludf.DUMMYFUNCTION("""COMPUTED_VALUE"""),634.0)</f>
        <v>634</v>
      </c>
      <c r="I193" s="2">
        <f>IFERROR(__xludf.DUMMYFUNCTION("""COMPUTED_VALUE"""),792.0)</f>
        <v>792</v>
      </c>
      <c r="J193" s="2">
        <f>IFERROR(__xludf.DUMMYFUNCTION("""COMPUTED_VALUE"""),396.0)</f>
        <v>396</v>
      </c>
      <c r="K193" s="2">
        <f>IFERROR(__xludf.DUMMYFUNCTION("""COMPUTED_VALUE"""),1.0)</f>
        <v>1</v>
      </c>
      <c r="L193" s="2" t="str">
        <f>IFERROR(__xludf.DUMMYFUNCTION("""COMPUTED_VALUE"""),"Wolta трековые")</f>
        <v>Wolta трековые</v>
      </c>
      <c r="M193" s="2" t="str">
        <f>IFERROR(__xludf.DUMMYFUNCTION("""COMPUTED_VALUE"""),"Трековые, LED Светильники")</f>
        <v>Трековые, LED Светильники</v>
      </c>
    </row>
    <row r="194">
      <c r="A194" s="5" t="str">
        <f>IFERROR(__xludf.DUMMYFUNCTION("""COMPUTED_VALUE"""),"4690612052991-1")</f>
        <v>4690612052991-1</v>
      </c>
      <c r="B19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IFERROR(__xludf.DUMMYFUNCTION("""COMPUTED_VALUE"""),698.0500000000001)</f>
        <v>698.05</v>
      </c>
      <c r="F194" s="2">
        <f>IFERROR(__xludf.DUMMYFUNCTION("""COMPUTED_VALUE"""),766.0)</f>
        <v>766</v>
      </c>
      <c r="G194" s="2">
        <f>IFERROR(__xludf.DUMMYFUNCTION("""COMPUTED_VALUE"""),1005.0)</f>
        <v>1005</v>
      </c>
      <c r="H194" s="2">
        <f>IFERROR(__xludf.DUMMYFUNCTION("""COMPUTED_VALUE"""),1130.0)</f>
        <v>1130</v>
      </c>
      <c r="I194" s="2">
        <f>IFERROR(__xludf.DUMMYFUNCTION("""COMPUTED_VALUE"""),1256.0)</f>
        <v>1256</v>
      </c>
      <c r="J194" s="2">
        <f>IFERROR(__xludf.DUMMYFUNCTION("""COMPUTED_VALUE"""),628.0)</f>
        <v>628</v>
      </c>
      <c r="K194" s="2">
        <f>IFERROR(__xludf.DUMMYFUNCTION("""COMPUTED_VALUE"""),23.0)</f>
        <v>23</v>
      </c>
      <c r="L1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5">
      <c r="A195" s="5" t="str">
        <f>IFERROR(__xludf.DUMMYFUNCTION("""COMPUTED_VALUE"""),"4690612051949")</f>
        <v>4690612051949</v>
      </c>
      <c r="B195" s="5" t="str">
        <f>IFERROR(__xludf.DUMMYFUNCTION("""COMPUTED_VALUE"""),"ДБУ BARREL-1530BL 15Вт 3000К IP54 черный IN HOME")</f>
        <v>ДБУ BARREL-1530BL 15Вт 3000К IP54 черный IN HOME</v>
      </c>
      <c r="C195" s="2">
        <f>IFERROR(__xludf.DUMMYFUNCTION("""COMPUTED_VALUE"""),0.417)</f>
        <v>0.417</v>
      </c>
      <c r="D195" s="2">
        <f>IFERROR(__xludf.DUMMYFUNCTION("""COMPUTED_VALUE"""),0.002)</f>
        <v>0.002</v>
      </c>
      <c r="E195" s="2">
        <f>IFERROR(__xludf.DUMMYFUNCTION("""COMPUTED_VALUE"""),599.4)</f>
        <v>599.4</v>
      </c>
      <c r="F195" s="2">
        <f>IFERROR(__xludf.DUMMYFUNCTION("""COMPUTED_VALUE"""),611.0)</f>
        <v>611</v>
      </c>
      <c r="G195" s="2">
        <f>IFERROR(__xludf.DUMMYFUNCTION("""COMPUTED_VALUE"""),688.0)</f>
        <v>688</v>
      </c>
      <c r="H195" s="2">
        <f>IFERROR(__xludf.DUMMYFUNCTION("""COMPUTED_VALUE"""),798.0)</f>
        <v>798</v>
      </c>
      <c r="I195" s="2">
        <f>IFERROR(__xludf.DUMMYFUNCTION("""COMPUTED_VALUE"""),917.0)</f>
        <v>917</v>
      </c>
      <c r="J195" s="2">
        <f>IFERROR(__xludf.DUMMYFUNCTION("""COMPUTED_VALUE"""),459.0)</f>
        <v>459</v>
      </c>
      <c r="K195" s="2">
        <f>IFERROR(__xludf.DUMMYFUNCTION("""COMPUTED_VALUE"""),8.0)</f>
        <v>8</v>
      </c>
      <c r="L195" s="2" t="str">
        <f>IFERROR(__xludf.DUMMYFUNCTION("""COMPUTED_VALUE"""),"Светильники светодиодные уличные ДБУ")</f>
        <v>Светильники светодиодные уличные ДБУ</v>
      </c>
      <c r="M19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5" t="str">
        <f>IFERROR(__xludf.DUMMYFUNCTION("""COMPUTED_VALUE"""),"R100344")</f>
        <v>R100344</v>
      </c>
      <c r="B196" s="5" t="str">
        <f>IFERROR(__xludf.DUMMYFUNCTION("""COMPUTED_VALUE"""),"RSV-SPO-02-40W-6500К, IP40 P")</f>
        <v>RSV-SPO-02-40W-6500К, IP40 P</v>
      </c>
      <c r="C196" s="2">
        <f>IFERROR(__xludf.DUMMYFUNCTION("""COMPUTED_VALUE"""),0.3733300000000001)</f>
        <v>0.37333</v>
      </c>
      <c r="D196" s="2">
        <f>IFERROR(__xludf.DUMMYFUNCTION("""COMPUTED_VALUE"""),0.0025)</f>
        <v>0.0025</v>
      </c>
      <c r="E196" s="2">
        <f>IFERROR(__xludf.DUMMYFUNCTION("""COMPUTED_VALUE"""),192.87)</f>
        <v>192.87</v>
      </c>
      <c r="F196" s="2">
        <f>IFERROR(__xludf.DUMMYFUNCTION("""COMPUTED_VALUE"""),153.0)</f>
        <v>153</v>
      </c>
      <c r="G196" s="2">
        <f>IFERROR(__xludf.DUMMYFUNCTION("""COMPUTED_VALUE"""),180.0)</f>
        <v>180</v>
      </c>
      <c r="H196" s="2">
        <f>IFERROR(__xludf.DUMMYFUNCTION("""COMPUTED_VALUE"""),185.0)</f>
        <v>185</v>
      </c>
      <c r="I196" s="2">
        <f>IFERROR(__xludf.DUMMYFUNCTION("""COMPUTED_VALUE"""),213.0)</f>
        <v>213</v>
      </c>
      <c r="J196" s="2">
        <f>IFERROR(__xludf.DUMMYFUNCTION("""COMPUTED_VALUE"""),213.0)</f>
        <v>213</v>
      </c>
      <c r="K196" s="2">
        <f>IFERROR(__xludf.DUMMYFUNCTION("""COMPUTED_VALUE"""),-18.0)</f>
        <v>-18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IFERROR(__xludf.DUMMYFUNCTION("""COMPUTED_VALUE"""),17.0)</f>
        <v>17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IFERROR(__xludf.DUMMYFUNCTION("""COMPUTED_VALUE"""),353.0)</f>
        <v>353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IFERROR(__xludf.DUMMYFUNCTION("""COMPUTED_VALUE"""),3.0)</f>
        <v>3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IFERROR(__xludf.DUMMYFUNCTION("""COMPUTED_VALUE"""),3.0)</f>
        <v>3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IFERROR(__xludf.DUMMYFUNCTION("""COMPUTED_VALUE"""),332.0)</f>
        <v>332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IFERROR(__xludf.DUMMYFUNCTION("""COMPUTED_VALUE"""),2368.0)</f>
        <v>2368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IFERROR(__xludf.DUMMYFUNCTION("""COMPUTED_VALUE"""),3631.8)</f>
        <v>3631.8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IFERROR(__xludf.DUMMYFUNCTION("""COMPUTED_VALUE"""),51.0)</f>
        <v>51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IFERROR(__xludf.DUMMYFUNCTION("""COMPUTED_VALUE"""),5.0)</f>
        <v>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IFERROR(__xludf.DUMMYFUNCTION("""COMPUTED_VALUE"""),19.0)</f>
        <v>19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IFERROR(__xludf.DUMMYFUNCTION("""COMPUTED_VALUE"""),0.215)</f>
        <v>0.215</v>
      </c>
      <c r="D309" s="2">
        <f>IFERROR(__xludf.DUMMYFUNCTION("""COMPUTED_VALUE"""),0.01001)</f>
        <v>0.01001</v>
      </c>
      <c r="E309" s="2">
        <f>IFERROR(__xludf.DUMMYFUNCTION("""COMPUTED_VALUE"""),4341.5)</f>
        <v>4341.5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IFERROR(__xludf.DUMMYFUNCTION("""COMPUTED_VALUE"""),10.0)</f>
        <v>10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IFERROR(__xludf.DUMMYFUNCTION("""COMPUTED_VALUE"""),24.0)</f>
        <v>24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IFERROR(__xludf.DUMMYFUNCTION("""COMPUTED_VALUE"""),4259.0)</f>
        <v>4259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IFERROR(__xludf.DUMMYFUNCTION("""COMPUTED_VALUE"""),8.0)</f>
        <v>8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IFERROR(__xludf.DUMMYFUNCTION("""COMPUTED_VALUE"""),1744.2)</f>
        <v>1744.2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IFERROR(__xludf.DUMMYFUNCTION("""COMPUTED_VALUE"""),0.0)</f>
        <v>0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IFERROR(__xludf.DUMMYFUNCTION("""COMPUTED_VALUE"""),2707.0)</f>
        <v>2707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IFERROR(__xludf.DUMMYFUNCTION("""COMPUTED_VALUE"""),105.0)</f>
        <v>105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IFERROR(__xludf.DUMMYFUNCTION("""COMPUTED_VALUE"""),1.0)</f>
        <v>1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IFERROR(__xludf.DUMMYFUNCTION("""COMPUTED_VALUE"""),173.0)</f>
        <v>173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IFERROR(__xludf.DUMMYFUNCTION("""COMPUTED_VALUE"""),"ATS012")</f>
        <v>ATS012</v>
      </c>
      <c r="B352" s="5" t="str">
        <f>IFERROR(__xludf.DUMMYFUNCTION("""COMPUTED_VALUE"""),"Светильник НСП-11 36В-230В")</f>
        <v>Светильник НСП-11 36В-230В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IFERROR(__xludf.DUMMYFUNCTION("""COMPUTED_VALUE"""),871.9300000000001)</f>
        <v>871.93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IFERROR(__xludf.DUMMYFUNCTION("""COMPUTED_VALUE"""),"ATS (тендер)")</f>
        <v>ATS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IFERROR(__xludf.DUMMYFUNCTION("""COMPUTED_VALUE"""),11.0)</f>
        <v>11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IFERROR(__xludf.DUMMYFUNCTION("""COMPUTED_VALUE"""),437.0)</f>
        <v>437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IFERROR(__xludf.DUMMYFUNCTION("""COMPUTED_VALUE"""),87.0)</f>
        <v>87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IFERROR(__xludf.DUMMYFUNCTION("""COMPUTED_VALUE"""),-400.0)</f>
        <v>-400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IFERROR(__xludf.DUMMYFUNCTION("""COMPUTED_VALUE"""),48.0)</f>
        <v>48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IFERROR(__xludf.DUMMYFUNCTION("""COMPUTED_VALUE"""),"4690626033047")</f>
        <v>4690626033047</v>
      </c>
      <c r="B426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IFERROR(__xludf.DUMMYFUNCTION("""COMPUTED_VALUE"""),420.0)</f>
        <v>420</v>
      </c>
      <c r="F426" s="2">
        <f>IFERROR(__xludf.DUMMYFUNCTION("""COMPUTED_VALUE"""),459.0)</f>
        <v>459</v>
      </c>
      <c r="G426" s="2">
        <f>IFERROR(__xludf.DUMMYFUNCTION("""COMPUTED_VALUE"""),504.0)</f>
        <v>504</v>
      </c>
      <c r="H426" s="2">
        <f>IFERROR(__xludf.DUMMYFUNCTION("""COMPUTED_VALUE"""),560.0)</f>
        <v>560</v>
      </c>
      <c r="I426" s="2">
        <f>IFERROR(__xludf.DUMMYFUNCTION("""COMPUTED_VALUE"""),616.0)</f>
        <v>616</v>
      </c>
      <c r="J426" s="2">
        <f>IFERROR(__xludf.DUMMYFUNCTION("""COMPUTED_VALUE"""),308.0)</f>
        <v>308</v>
      </c>
      <c r="K426" s="2">
        <f>IFERROR(__xludf.DUMMYFUNCTION("""COMPUTED_VALUE"""),2.0)</f>
        <v>2</v>
      </c>
      <c r="L426" s="2" t="str">
        <f>IFERROR(__xludf.DUMMYFUNCTION("""COMPUTED_VALUE"""),"Smartbuy фонари")</f>
        <v>Smartbuy фонари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IFERROR(__xludf.DUMMYFUNCTION("""COMPUTED_VALUE"""),"4690612029788")</f>
        <v>4690612029788</v>
      </c>
      <c r="B427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7" s="2">
        <f>IFERROR(__xludf.DUMMYFUNCTION("""COMPUTED_VALUE"""),1.3)</f>
        <v>1.3</v>
      </c>
      <c r="D427" s="2">
        <f>IFERROR(__xludf.DUMMYFUNCTION("""COMPUTED_VALUE"""),0.00875)</f>
        <v>0.00875</v>
      </c>
      <c r="E427" s="2">
        <f>IFERROR(__xludf.DUMMYFUNCTION("""COMPUTED_VALUE"""),1266.16)</f>
        <v>1266.16</v>
      </c>
      <c r="F427" s="2">
        <f>IFERROR(__xludf.DUMMYFUNCTION("""COMPUTED_VALUE"""),1150.0)</f>
        <v>1150</v>
      </c>
      <c r="G427" s="2">
        <f>IFERROR(__xludf.DUMMYFUNCTION("""COMPUTED_VALUE"""),1294.0)</f>
        <v>1294</v>
      </c>
      <c r="H427" s="2">
        <f>IFERROR(__xludf.DUMMYFUNCTION("""COMPUTED_VALUE"""),1501.0)</f>
        <v>1501</v>
      </c>
      <c r="I427" s="2">
        <f>IFERROR(__xludf.DUMMYFUNCTION("""COMPUTED_VALUE"""),1725.0)</f>
        <v>1725</v>
      </c>
      <c r="J427" s="2">
        <f>IFERROR(__xludf.DUMMYFUNCTION("""COMPUTED_VALUE"""),863.0)</f>
        <v>863</v>
      </c>
      <c r="K427" s="2">
        <f>IFERROR(__xludf.DUMMYFUNCTION("""COMPUTED_VALUE"""),1.0)</f>
        <v>1</v>
      </c>
      <c r="L427" s="2" t="str">
        <f>IFERROR(__xludf.DUMMYFUNCTION("""COMPUTED_VALUE"""),"Панели светодиодные LP серии ПРИЗМА")</f>
        <v>Панели светодиодные LP серии ПРИЗМА</v>
      </c>
      <c r="M42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8">
      <c r="A428" s="5" t="str">
        <f>IFERROR(__xludf.DUMMYFUNCTION("""COMPUTED_VALUE"""),"G103101107")</f>
        <v>G103101107</v>
      </c>
      <c r="B428" s="5" t="str">
        <f>IFERROR(__xludf.DUMMYFUNCTION("""COMPUTED_VALUE"""),"Candle E14 6.5W 3000К 1/10/100")</f>
        <v>Candle E14 6.5W 3000К 1/10/100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IFERROR(__xludf.DUMMYFUNCTION("""COMPUTED_VALUE"""),78.87)</f>
        <v>78.87</v>
      </c>
      <c r="F428" s="2">
        <f>IFERROR(__xludf.DUMMYFUNCTION("""COMPUTED_VALUE"""),82.0)</f>
        <v>82</v>
      </c>
      <c r="G428" s="2">
        <f>IFERROR(__xludf.DUMMYFUNCTION("""COMPUTED_VALUE"""),90.0)</f>
        <v>90</v>
      </c>
      <c r="H428" s="2">
        <f>IFERROR(__xludf.DUMMYFUNCTION("""COMPUTED_VALUE"""),106.0)</f>
        <v>106</v>
      </c>
      <c r="I428" s="2">
        <f>IFERROR(__xludf.DUMMYFUNCTION("""COMPUTED_VALUE"""),134.0)</f>
        <v>134</v>
      </c>
      <c r="J428" s="2">
        <f>IFERROR(__xludf.DUMMYFUNCTION("""COMPUTED_VALUE"""),67.0)</f>
        <v>67</v>
      </c>
      <c r="K428" s="2">
        <f>IFERROR(__xludf.DUMMYFUNCTION("""COMPUTED_VALUE"""),7.0)</f>
        <v>7</v>
      </c>
      <c r="L428" s="2" t="str">
        <f>IFERROR(__xludf.DUMMYFUNCTION("""COMPUTED_VALUE"""),"Свечи")</f>
        <v>Свечи</v>
      </c>
      <c r="M428" s="2" t="str">
        <f>IFERROR(__xludf.DUMMYFUNCTION("""COMPUTED_VALUE"""),"Лампы")</f>
        <v>Лампы</v>
      </c>
    </row>
    <row r="429">
      <c r="A429" s="5" t="str">
        <f>IFERROR(__xludf.DUMMYFUNCTION("""COMPUTED_VALUE"""),"4690612031354")</f>
        <v>4690612031354</v>
      </c>
      <c r="B429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9" s="2">
        <f>IFERROR(__xludf.DUMMYFUNCTION("""COMPUTED_VALUE"""),0.75333)</f>
        <v>0.75333</v>
      </c>
      <c r="D429" s="2">
        <f>IFERROR(__xludf.DUMMYFUNCTION("""COMPUTED_VALUE"""),0.00417)</f>
        <v>0.00417</v>
      </c>
      <c r="E429" s="2">
        <f>IFERROR(__xludf.DUMMYFUNCTION("""COMPUTED_VALUE"""),495.7)</f>
        <v>495.7</v>
      </c>
      <c r="F429" s="2">
        <f>IFERROR(__xludf.DUMMYFUNCTION("""COMPUTED_VALUE"""),600.0)</f>
        <v>600</v>
      </c>
      <c r="G429" s="2">
        <f>IFERROR(__xludf.DUMMYFUNCTION("""COMPUTED_VALUE"""),675.0)</f>
        <v>675</v>
      </c>
      <c r="H429" s="2">
        <f>IFERROR(__xludf.DUMMYFUNCTION("""COMPUTED_VALUE"""),783.0)</f>
        <v>783</v>
      </c>
      <c r="I429" s="2">
        <f>IFERROR(__xludf.DUMMYFUNCTION("""COMPUTED_VALUE"""),900.0)</f>
        <v>900</v>
      </c>
      <c r="J429" s="2">
        <f>IFERROR(__xludf.DUMMYFUNCTION("""COMPUTED_VALUE"""),450.0)</f>
        <v>450</v>
      </c>
      <c r="K429" s="2">
        <f>IFERROR(__xludf.DUMMYFUNCTION("""COMPUTED_VALUE"""),3.0)</f>
        <v>3</v>
      </c>
      <c r="L429" s="2" t="str">
        <f>IFERROR(__xludf.DUMMYFUNCTION("""COMPUTED_VALUE"""),"Светильники светодиодные ССП")</f>
        <v>Светильники светодиодные ССП</v>
      </c>
      <c r="M42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0">
      <c r="A430" s="5" t="str">
        <f>IFERROR(__xludf.DUMMYFUNCTION("""COMPUTED_VALUE"""),"V11025")</f>
        <v>V11025</v>
      </c>
      <c r="B430" s="5" t="str">
        <f>IFERROR(__xludf.DUMMYFUNCTION("""COMPUTED_VALUE"""),"VRN-LPE60-64-A50K67-U, 64Вт, Универсальный")</f>
        <v>VRN-LPE60-64-A50K67-U, 64Вт, Универсальный</v>
      </c>
      <c r="C430" s="2">
        <f>IFERROR(__xludf.DUMMYFUNCTION("""COMPUTED_VALUE"""),2.0)</f>
        <v>2</v>
      </c>
      <c r="D430" s="2">
        <f>IFERROR(__xludf.DUMMYFUNCTION("""COMPUTED_VALUE"""),0.8700000000000001)</f>
        <v>0.87</v>
      </c>
      <c r="E430" s="2">
        <f>IFERROR(__xludf.DUMMYFUNCTION("""COMPUTED_VALUE"""),3250.0)</f>
        <v>3250</v>
      </c>
      <c r="F430" s="2">
        <f>IFERROR(__xludf.DUMMYFUNCTION("""COMPUTED_VALUE"""),3760.0)</f>
        <v>3760</v>
      </c>
      <c r="G430" s="2">
        <f>IFERROR(__xludf.DUMMYFUNCTION("""COMPUTED_VALUE"""),4888.0)</f>
        <v>4888</v>
      </c>
      <c r="H430" s="2">
        <f>IFERROR(__xludf.DUMMYFUNCTION("""COMPUTED_VALUE"""),5132.0)</f>
        <v>5132</v>
      </c>
      <c r="I430" s="2">
        <f>IFERROR(__xludf.DUMMYFUNCTION("""COMPUTED_VALUE"""),5377.0)</f>
        <v>5377</v>
      </c>
      <c r="J430" s="2">
        <f>IFERROR(__xludf.DUMMYFUNCTION("""COMPUTED_VALUE"""),2689.0)</f>
        <v>2689</v>
      </c>
      <c r="K430" s="2">
        <f>IFERROR(__xludf.DUMMYFUNCTION("""COMPUTED_VALUE"""),1.0)</f>
        <v>1</v>
      </c>
      <c r="L430" s="2" t="str">
        <f>IFERROR(__xludf.DUMMYFUNCTION("""COMPUTED_VALUE"""),"Прожектор Эконом")</f>
        <v>Прожектор Эконом</v>
      </c>
      <c r="M430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1">
      <c r="A431" s="5" t="str">
        <f>IFERROR(__xludf.DUMMYFUNCTION("""COMPUTED_VALUE"""),"4690612010229-5")</f>
        <v>4690612010229-5</v>
      </c>
      <c r="B431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1" s="2">
        <f>IFERROR(__xludf.DUMMYFUNCTION("""COMPUTED_VALUE"""),0.067)</f>
        <v>0.067</v>
      </c>
      <c r="D431" s="2">
        <f>IFERROR(__xludf.DUMMYFUNCTION("""COMPUTED_VALUE"""),2.0E-4)</f>
        <v>0.0002</v>
      </c>
      <c r="E431" s="2">
        <f>IFERROR(__xludf.DUMMYFUNCTION("""COMPUTED_VALUE"""),334.75)</f>
        <v>334.75</v>
      </c>
      <c r="F431" s="2">
        <f>IFERROR(__xludf.DUMMYFUNCTION("""COMPUTED_VALUE"""),367.0)</f>
        <v>367</v>
      </c>
      <c r="G431" s="2">
        <f>IFERROR(__xludf.DUMMYFUNCTION("""COMPUTED_VALUE"""),482.0)</f>
        <v>482</v>
      </c>
      <c r="H431" s="2">
        <f>IFERROR(__xludf.DUMMYFUNCTION("""COMPUTED_VALUE"""),543.0)</f>
        <v>543</v>
      </c>
      <c r="I431" s="2">
        <f>IFERROR(__xludf.DUMMYFUNCTION("""COMPUTED_VALUE"""),603.0)</f>
        <v>603</v>
      </c>
      <c r="J431" s="2">
        <f>IFERROR(__xludf.DUMMYFUNCTION("""COMPUTED_VALUE"""),302.0)</f>
        <v>302</v>
      </c>
      <c r="K431" s="2">
        <f>IFERROR(__xludf.DUMMYFUNCTION("""COMPUTED_VALUE"""),27.0)</f>
        <v>27</v>
      </c>
      <c r="L431" s="2" t="str">
        <f>IFERROR(__xludf.DUMMYFUNCTION("""COMPUTED_VALUE"""),"Розетки, вилки производство, упаковка")</f>
        <v>Розетки, вилки производство, упаковка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IFERROR(__xludf.DUMMYFUNCTION("""COMPUTED_VALUE"""),"G106001204")</f>
        <v>G106001204</v>
      </c>
      <c r="B432" s="5" t="str">
        <f>IFERROR(__xludf.DUMMYFUNCTION("""COMPUTED_VALUE"""),"Reflector R39 E14 4W 4100K 1/10/100")</f>
        <v>Reflector R39 E14 4W 4100K 1/10/100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IFERROR(__xludf.DUMMYFUNCTION("""COMPUTED_VALUE"""),109.0)</f>
        <v>109</v>
      </c>
      <c r="F432" s="2">
        <f>IFERROR(__xludf.DUMMYFUNCTION("""COMPUTED_VALUE"""),131.0)</f>
        <v>131</v>
      </c>
      <c r="G432" s="2">
        <f>IFERROR(__xludf.DUMMYFUNCTION("""COMPUTED_VALUE"""),144.0)</f>
        <v>144</v>
      </c>
      <c r="H432" s="2">
        <f>IFERROR(__xludf.DUMMYFUNCTION("""COMPUTED_VALUE"""),170.0)</f>
        <v>170</v>
      </c>
      <c r="I432" s="2">
        <f>IFERROR(__xludf.DUMMYFUNCTION("""COMPUTED_VALUE"""),215.0)</f>
        <v>215</v>
      </c>
      <c r="J432" s="2">
        <f>IFERROR(__xludf.DUMMYFUNCTION("""COMPUTED_VALUE"""),108.0)</f>
        <v>108</v>
      </c>
      <c r="K432" s="2">
        <f>IFERROR(__xludf.DUMMYFUNCTION("""COMPUTED_VALUE"""),2.0)</f>
        <v>2</v>
      </c>
      <c r="L432" s="2" t="str">
        <f>IFERROR(__xludf.DUMMYFUNCTION("""COMPUTED_VALUE"""),"Зеркальные Лампы")</f>
        <v>Зеркальные Лампы</v>
      </c>
      <c r="M432" s="2" t="str">
        <f>IFERROR(__xludf.DUMMYFUNCTION("""COMPUTED_VALUE"""),"Лампы")</f>
        <v>Лампы</v>
      </c>
    </row>
    <row r="433">
      <c r="A433" s="5" t="str">
        <f>IFERROR(__xludf.DUMMYFUNCTION("""COMPUTED_VALUE"""),"4260529292669")</f>
        <v>4260529292669</v>
      </c>
      <c r="B433" s="5" t="str">
        <f>IFERROR(__xludf.DUMMYFUNCTION("""COMPUTED_VALUE"""),"SPOT06-CLL5W-1")</f>
        <v>SPOT06-CLL5W-1</v>
      </c>
      <c r="C433" s="2">
        <f>IFERROR(__xludf.DUMMYFUNCTION("""COMPUTED_VALUE"""),0.29)</f>
        <v>0.29</v>
      </c>
      <c r="D433" s="2">
        <f>IFERROR(__xludf.DUMMYFUNCTION("""COMPUTED_VALUE"""),0.02356)</f>
        <v>0.02356</v>
      </c>
      <c r="E433" s="2">
        <f>IFERROR(__xludf.DUMMYFUNCTION("""COMPUTED_VALUE"""),396.65)</f>
        <v>396.65</v>
      </c>
      <c r="F433" s="2">
        <f>IFERROR(__xludf.DUMMYFUNCTION("""COMPUTED_VALUE"""),1403.0)</f>
        <v>1403</v>
      </c>
      <c r="G433" s="2">
        <f>IFERROR(__xludf.DUMMYFUNCTION("""COMPUTED_VALUE"""),1450.0)</f>
        <v>1450</v>
      </c>
      <c r="H433" s="2">
        <f>IFERROR(__xludf.DUMMYFUNCTION("""COMPUTED_VALUE"""),1902.0)</f>
        <v>1902</v>
      </c>
      <c r="I433" s="2">
        <f>IFERROR(__xludf.DUMMYFUNCTION("""COMPUTED_VALUE"""),2377.0)</f>
        <v>2377</v>
      </c>
      <c r="J433" s="2">
        <f>IFERROR(__xludf.DUMMYFUNCTION("""COMPUTED_VALUE"""),1403.0)</f>
        <v>1403</v>
      </c>
      <c r="K433" s="2">
        <f>IFERROR(__xludf.DUMMYFUNCTION("""COMPUTED_VALUE"""),3.0)</f>
        <v>3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IFERROR(__xludf.DUMMYFUNCTION("""COMPUTED_VALUE"""),6.0)</f>
        <v>6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IFERROR(__xludf.DUMMYFUNCTION("""COMPUTED_VALUE"""),78.0)</f>
        <v>78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IFERROR(__xludf.DUMMYFUNCTION("""COMPUTED_VALUE"""),19.0)</f>
        <v>19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IFERROR(__xludf.DUMMYFUNCTION("""COMPUTED_VALUE"""),97.0)</f>
        <v>97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IFERROR(__xludf.DUMMYFUNCTION("""COMPUTED_VALUE"""),7.0)</f>
        <v>7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IFERROR(__xludf.DUMMYFUNCTION("""COMPUTED_VALUE"""),11.0)</f>
        <v>11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IFERROR(__xludf.DUMMYFUNCTION("""COMPUTED_VALUE"""),465.0)</f>
        <v>465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IFERROR(__xludf.DUMMYFUNCTION("""COMPUTED_VALUE"""),1.0)</f>
        <v>1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IFERROR(__xludf.DUMMYFUNCTION("""COMPUTED_VALUE"""),385.0)</f>
        <v>385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IFERROR(__xludf.DUMMYFUNCTION("""COMPUTED_VALUE"""),2500.0)</f>
        <v>2500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IFERROR(__xludf.DUMMYFUNCTION("""COMPUTED_VALUE"""),"01-8202-10")</f>
        <v>01-8202-10</v>
      </c>
      <c r="B553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3" s="2">
        <f>IFERROR(__xludf.DUMMYFUNCTION("""COMPUTED_VALUE"""),0.0)</f>
        <v>0</v>
      </c>
      <c r="D553" s="2">
        <f>IFERROR(__xludf.DUMMYFUNCTION("""COMPUTED_VALUE"""),0.0)</f>
        <v>0</v>
      </c>
      <c r="E553" s="2">
        <f>IFERROR(__xludf.DUMMYFUNCTION("""COMPUTED_VALUE"""),1.0)</f>
        <v>1</v>
      </c>
      <c r="F553" s="2">
        <f>IFERROR(__xludf.DUMMYFUNCTION("""COMPUTED_VALUE"""),902.0)</f>
        <v>902</v>
      </c>
      <c r="G553" s="2">
        <f>IFERROR(__xludf.DUMMYFUNCTION("""COMPUTED_VALUE"""),962.0)</f>
        <v>962</v>
      </c>
      <c r="H553" s="2">
        <f>IFERROR(__xludf.DUMMYFUNCTION("""COMPUTED_VALUE"""),1082.0)</f>
        <v>1082</v>
      </c>
      <c r="I553" s="2">
        <f>IFERROR(__xludf.DUMMYFUNCTION("""COMPUTED_VALUE"""),1202.11)</f>
        <v>1202.11</v>
      </c>
      <c r="J553" s="2">
        <f>IFERROR(__xludf.DUMMYFUNCTION("""COMPUTED_VALUE"""),601.0)</f>
        <v>601</v>
      </c>
      <c r="K553" s="2">
        <f>IFERROR(__xludf.DUMMYFUNCTION("""COMPUTED_VALUE"""),0.0)</f>
        <v>0</v>
      </c>
      <c r="L553" s="2" t="str">
        <f>IFERROR(__xludf.DUMMYFUNCTION("""COMPUTED_VALUE"""),"Rexant")</f>
        <v>Rexant</v>
      </c>
      <c r="M553" s="2" t="str">
        <f>IFERROR(__xludf.DUMMYFUNCTION("""COMPUTED_VALUE"""),"Прочие товары")</f>
        <v>Прочие товары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IFERROR(__xludf.DUMMYFUNCTION("""COMPUTED_VALUE"""),1629.0)</f>
        <v>1629</v>
      </c>
      <c r="K559" s="2">
        <f>IFERROR(__xludf.DUMMYFUNCTION("""COMPUTED_VALUE"""),37.0)</f>
        <v>37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IFERROR(__xludf.DUMMYFUNCTION("""COMPUTED_VALUE"""),218.0)</f>
        <v>218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IFERROR(__xludf.DUMMYFUNCTION("""COMPUTED_VALUE"""),2.0)</f>
        <v>2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IFERROR(__xludf.DUMMYFUNCTION("""COMPUTED_VALUE"""),8.0)</f>
        <v>8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IFERROR(__xludf.DUMMYFUNCTION("""COMPUTED_VALUE"""),46.0)</f>
        <v>46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IFERROR(__xludf.DUMMYFUNCTION("""COMPUTED_VALUE"""),12.0)</f>
        <v>12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IFERROR(__xludf.DUMMYFUNCTION("""COMPUTED_VALUE"""),173.0)</f>
        <v>173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IFERROR(__xludf.DUMMYFUNCTION("""COMPUTED_VALUE"""),"4690612042350")</f>
        <v>4690612042350</v>
      </c>
      <c r="B622" s="5" t="str">
        <f>IFERROR(__xludf.DUMMYFUNCTION("""COMPUTED_VALUE"""),"ДСП-157Т 36Вт 230В 6500К 4500Лм 125лм/Вт 1200мм IP65 NEOX")</f>
        <v>ДСП-157Т 36Вт 230В 6500К 4500Лм 125лм/Вт 1200мм IP65 NEOX</v>
      </c>
      <c r="C622" s="2">
        <f>IFERROR(__xludf.DUMMYFUNCTION("""COMPUTED_VALUE"""),0.41)</f>
        <v>0.41</v>
      </c>
      <c r="D622" s="2">
        <f>IFERROR(__xludf.DUMMYFUNCTION("""COMPUTED_VALUE"""),0.00205)</f>
        <v>0.00205</v>
      </c>
      <c r="E622" s="2">
        <f>IFERROR(__xludf.DUMMYFUNCTION("""COMPUTED_VALUE"""),972.0600000000001)</f>
        <v>972.06</v>
      </c>
      <c r="F622" s="2">
        <f>IFERROR(__xludf.DUMMYFUNCTION("""COMPUTED_VALUE"""),1019.0)</f>
        <v>1019</v>
      </c>
      <c r="G622" s="2">
        <f>IFERROR(__xludf.DUMMYFUNCTION("""COMPUTED_VALUE"""),1147.0)</f>
        <v>1147</v>
      </c>
      <c r="H622" s="2">
        <f>IFERROR(__xludf.DUMMYFUNCTION("""COMPUTED_VALUE"""),1330.0)</f>
        <v>1330</v>
      </c>
      <c r="I622" s="2">
        <f>IFERROR(__xludf.DUMMYFUNCTION("""COMPUTED_VALUE"""),1529.0)</f>
        <v>1529</v>
      </c>
      <c r="J622" s="2">
        <f>IFERROR(__xludf.DUMMYFUNCTION("""COMPUTED_VALUE"""),1529.0)</f>
        <v>1529</v>
      </c>
      <c r="K622" s="2">
        <f>IFERROR(__xludf.DUMMYFUNCTION("""COMPUTED_VALUE"""),0.0)</f>
        <v>0</v>
      </c>
      <c r="L622" s="2" t="str">
        <f>IFERROR(__xludf.DUMMYFUNCTION("""COMPUTED_VALUE"""),"NEOX Светильники LED ДСП")</f>
        <v>NEOX Светильники LED ДСП</v>
      </c>
      <c r="M622" s="2" t="str">
        <f>IFERROR(__xludf.DUMMYFUNCTION("""COMPUTED_VALUE"""),"Пластиковые (линейные), LED Светильники")</f>
        <v>Пластиковые (линейные), LED Светильники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IFERROR(__xludf.DUMMYFUNCTION("""COMPUTED_VALUE"""),1.0)</f>
        <v>1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IFERROR(__xludf.DUMMYFUNCTION("""COMPUTED_VALUE"""),"4690612032726")</f>
        <v>4690612032726</v>
      </c>
      <c r="B631" s="5" t="str">
        <f>IFERROR(__xludf.DUMMYFUNCTION("""COMPUTED_VALUE"""),"SPO-110 PRIZMA 55Вт 230В 4000К 4950Лм 1200мм IP40 IN HOME")</f>
        <v>SPO-110 PRIZMA 55Вт 230В 4000К 4950Лм 1200мм IP40 IN HOME</v>
      </c>
      <c r="C631" s="2">
        <f>IFERROR(__xludf.DUMMYFUNCTION("""COMPUTED_VALUE"""),0.43)</f>
        <v>0.43</v>
      </c>
      <c r="D631" s="2">
        <f>IFERROR(__xludf.DUMMYFUNCTION("""COMPUTED_VALUE"""),0.002)</f>
        <v>0.002</v>
      </c>
      <c r="E631" s="2">
        <f>IFERROR(__xludf.DUMMYFUNCTION("""COMPUTED_VALUE"""),405.91)</f>
        <v>405.91</v>
      </c>
      <c r="F631" s="2">
        <f>IFERROR(__xludf.DUMMYFUNCTION("""COMPUTED_VALUE"""),317.0)</f>
        <v>317</v>
      </c>
      <c r="G631" s="2">
        <f>IFERROR(__xludf.DUMMYFUNCTION("""COMPUTED_VALUE"""),356.0)</f>
        <v>356</v>
      </c>
      <c r="H631" s="2">
        <f>IFERROR(__xludf.DUMMYFUNCTION("""COMPUTED_VALUE"""),413.0)</f>
        <v>413</v>
      </c>
      <c r="I631" s="2">
        <f>IFERROR(__xludf.DUMMYFUNCTION("""COMPUTED_VALUE"""),475.0)</f>
        <v>475</v>
      </c>
      <c r="J631" s="2">
        <f>IFERROR(__xludf.DUMMYFUNCTION("""COMPUTED_VALUE"""),238.0)</f>
        <v>238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СПО (SPO)")</f>
        <v>Светильники светодиодные СПО (SPO)</v>
      </c>
      <c r="M631" s="2" t="str">
        <f>IFERROR(__xludf.DUMMYFUNCTION("""COMPUTED_VALUE"""),"Пластиковые (линейные), LED Светильники")</f>
        <v>Пластиковые (линейные), LED Светильники</v>
      </c>
    </row>
    <row r="632">
      <c r="A632" s="5" t="str">
        <f>IFERROR(__xludf.DUMMYFUNCTION("""COMPUTED_VALUE"""),"GL8240")</f>
        <v>GL8240</v>
      </c>
      <c r="B632" s="5" t="str">
        <f>IFERROR(__xludf.DUMMYFUNCTION("""COMPUTED_VALUE"""),"GLERIO Line Shell 24 Вт 4000К 92P-24D-4P-M")</f>
        <v>GLERIO Line Shell 24 Вт 4000К 92P-24D-4P-M</v>
      </c>
      <c r="C632" s="2">
        <f>IFERROR(__xludf.DUMMYFUNCTION("""COMPUTED_VALUE"""),1.575)</f>
        <v>1.575</v>
      </c>
      <c r="D632" s="2">
        <f>IFERROR(__xludf.DUMMYFUNCTION("""COMPUTED_VALUE"""),0.00495)</f>
        <v>0.00495</v>
      </c>
      <c r="E632" s="2">
        <f>IFERROR(__xludf.DUMMYFUNCTION("""COMPUTED_VALUE"""),1843.37)</f>
        <v>1843.37</v>
      </c>
      <c r="F632" s="2">
        <f>IFERROR(__xludf.DUMMYFUNCTION("""COMPUTED_VALUE"""),2150.0)</f>
        <v>2150</v>
      </c>
      <c r="G632" s="2">
        <f>IFERROR(__xludf.DUMMYFUNCTION("""COMPUTED_VALUE"""),2707.0)</f>
        <v>2707</v>
      </c>
      <c r="H632" s="2">
        <f>IFERROR(__xludf.DUMMYFUNCTION("""COMPUTED_VALUE"""),3040.0)</f>
        <v>3040</v>
      </c>
      <c r="I632" s="2">
        <f>IFERROR(__xludf.DUMMYFUNCTION("""COMPUTED_VALUE"""),3373.0)</f>
        <v>3373</v>
      </c>
      <c r="J632" s="2">
        <f>IFERROR(__xludf.DUMMYFUNCTION("""COMPUTED_VALUE"""),2707.0)</f>
        <v>2707</v>
      </c>
      <c r="K632" s="2">
        <f>IFERROR(__xludf.DUMMYFUNCTION("""COMPUTED_VALUE"""),28.0)</f>
        <v>28</v>
      </c>
      <c r="L632" s="2" t="str">
        <f>IFERROR(__xludf.DUMMYFUNCTION("""COMPUTED_VALUE"""),"Line Shell, Free (Retail) до 10.2025")</f>
        <v>Line Shell, Free (Retail) до 10.2025</v>
      </c>
      <c r="M6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3">
      <c r="A633" s="5" t="str">
        <f>IFERROR(__xludf.DUMMYFUNCTION("""COMPUTED_VALUE"""),"4690612005096")</f>
        <v>4690612005096</v>
      </c>
      <c r="B633" s="5" t="str">
        <f>IFERROR(__xludf.DUMMYFUNCTION("""COMPUTED_VALUE"""),"LED-GX53-standard 8Вт 230В 3000К 720Лм ASD")</f>
        <v>LED-GX53-standard 8Вт 230В 3000К 720Лм ASD</v>
      </c>
      <c r="C633" s="2">
        <f>IFERROR(__xludf.DUMMYFUNCTION("""COMPUTED_VALUE"""),0.03800000000000001)</f>
        <v>0.038</v>
      </c>
      <c r="D633" s="2">
        <f>IFERROR(__xludf.DUMMYFUNCTION("""COMPUTED_VALUE"""),1.8E-4)</f>
        <v>0.00018</v>
      </c>
      <c r="E633" s="2">
        <f>IFERROR(__xludf.DUMMYFUNCTION("""COMPUTED_VALUE"""),45.56)</f>
        <v>45.56</v>
      </c>
      <c r="F633" s="2">
        <f>IFERROR(__xludf.DUMMYFUNCTION("""COMPUTED_VALUE"""),27.0)</f>
        <v>27</v>
      </c>
      <c r="G633" s="2">
        <f>IFERROR(__xludf.DUMMYFUNCTION("""COMPUTED_VALUE"""),31.0)</f>
        <v>31</v>
      </c>
      <c r="H633" s="2">
        <f>IFERROR(__xludf.DUMMYFUNCTION("""COMPUTED_VALUE"""),36.0)</f>
        <v>36</v>
      </c>
      <c r="I633" s="2">
        <f>IFERROR(__xludf.DUMMYFUNCTION("""COMPUTED_VALUE"""),41.35)</f>
        <v>41.35</v>
      </c>
      <c r="J633" s="2">
        <f>IFERROR(__xludf.DUMMYFUNCTION("""COMPUTED_VALUE"""),21.0)</f>
        <v>21</v>
      </c>
      <c r="K633" s="2">
        <f>IFERROR(__xludf.DUMMYFUNCTION("""COMPUTED_VALUE"""),5.0)</f>
        <v>5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IFERROR(__xludf.DUMMYFUNCTION("""COMPUTED_VALUE"""),"4690612003979")</f>
        <v>4690612003979</v>
      </c>
      <c r="B634" s="5" t="str">
        <f>IFERROR(__xludf.DUMMYFUNCTION("""COMPUTED_VALUE"""),"LED-ШАР-standard 7.5Вт 160-260В Е14 4000К 600Лм")</f>
        <v>LED-ШАР-standard 7.5Вт 160-260В Е14 4000К 600Лм</v>
      </c>
      <c r="C634" s="2">
        <f>IFERROR(__xludf.DUMMYFUNCTION("""COMPUTED_VALUE"""),0.028)</f>
        <v>0.028</v>
      </c>
      <c r="D634" s="2">
        <f>IFERROR(__xludf.DUMMYFUNCTION("""COMPUTED_VALUE"""),2.3E-4)</f>
        <v>0.00023</v>
      </c>
      <c r="E634" s="2">
        <f>IFERROR(__xludf.DUMMYFUNCTION("""COMPUTED_VALUE"""),36.24)</f>
        <v>36.24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IFERROR(__xludf.DUMMYFUNCTION("""COMPUTED_VALUE"""),4.0)</f>
        <v>4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IFERROR(__xludf.DUMMYFUNCTION("""COMPUTED_VALUE"""),"4690612005126-10")</f>
        <v>4690612005126-10</v>
      </c>
      <c r="B635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5" s="2">
        <f>IFERROR(__xludf.DUMMYFUNCTION("""COMPUTED_VALUE"""),0.05500000000000001)</f>
        <v>0.055</v>
      </c>
      <c r="D635" s="2">
        <f>IFERROR(__xludf.DUMMYFUNCTION("""COMPUTED_VALUE"""),1.9E-4)</f>
        <v>0.00019</v>
      </c>
      <c r="E635" s="2">
        <f>IFERROR(__xludf.DUMMYFUNCTION("""COMPUTED_VALUE"""),527.1)</f>
        <v>527.1</v>
      </c>
      <c r="F635" s="2">
        <f>IFERROR(__xludf.DUMMYFUNCTION("""COMPUTED_VALUE"""),578.0)</f>
        <v>578</v>
      </c>
      <c r="G635" s="2">
        <f>IFERROR(__xludf.DUMMYFUNCTION("""COMPUTED_VALUE"""),759.0)</f>
        <v>759</v>
      </c>
      <c r="H635" s="2">
        <f>IFERROR(__xludf.DUMMYFUNCTION("""COMPUTED_VALUE"""),854.0)</f>
        <v>854</v>
      </c>
      <c r="I635" s="2">
        <f>IFERROR(__xludf.DUMMYFUNCTION("""COMPUTED_VALUE"""),949.0)</f>
        <v>949</v>
      </c>
      <c r="J635" s="2">
        <f>IFERROR(__xludf.DUMMYFUNCTION("""COMPUTED_VALUE"""),475.0)</f>
        <v>475</v>
      </c>
      <c r="K635" s="2">
        <f>IFERROR(__xludf.DUMMYFUNCTION("""COMPUTED_VALUE"""),7.0)</f>
        <v>7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IFERROR(__xludf.DUMMYFUNCTION("""COMPUTED_VALUE"""),"4690612003764")</f>
        <v>4690612003764</v>
      </c>
      <c r="B636" s="5" t="str">
        <f>IFERROR(__xludf.DUMMYFUNCTION("""COMPUTED_VALUE"""),"LED-JCD-standard 3Вт 160-260В G9 3000К")</f>
        <v>LED-JCD-standard 3Вт 160-260В G9 3000К</v>
      </c>
      <c r="C636" s="2">
        <f>IFERROR(__xludf.DUMMYFUNCTION("""COMPUTED_VALUE"""),0.0145)</f>
        <v>0.0145</v>
      </c>
      <c r="D636" s="2">
        <f>IFERROR(__xludf.DUMMYFUNCTION("""COMPUTED_VALUE"""),5.0E-5)</f>
        <v>0.00005</v>
      </c>
      <c r="E636" s="2">
        <f>IFERROR(__xludf.DUMMYFUNCTION("""COMPUTED_VALUE"""),55.13)</f>
        <v>55.13</v>
      </c>
      <c r="F636" s="2">
        <f>IFERROR(__xludf.DUMMYFUNCTION("""COMPUTED_VALUE"""),34.0)</f>
        <v>34</v>
      </c>
      <c r="G636" s="2">
        <f>IFERROR(__xludf.DUMMYFUNCTION("""COMPUTED_VALUE"""),38.0)</f>
        <v>38</v>
      </c>
      <c r="H636" s="2">
        <f>IFERROR(__xludf.DUMMYFUNCTION("""COMPUTED_VALUE"""),45.0)</f>
        <v>45</v>
      </c>
      <c r="I636" s="2">
        <f>IFERROR(__xludf.DUMMYFUNCTION("""COMPUTED_VALUE"""),51.8)</f>
        <v>51.8</v>
      </c>
      <c r="J636" s="2">
        <f>IFERROR(__xludf.DUMMYFUNCTION("""COMPUTED_VALUE"""),26.0)</f>
        <v>26</v>
      </c>
      <c r="K636" s="2">
        <f>IFERROR(__xludf.DUMMYFUNCTION("""COMPUTED_VALUE"""),1.0)</f>
        <v>1</v>
      </c>
      <c r="L636" s="2" t="str">
        <f>IFERROR(__xludf.DUMMYFUNCTION("""COMPUTED_VALUE"""),"Лампа светодиодная LED-JCD-standard")</f>
        <v>Лампа светодиодная LED-JCD-standard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IFERROR(__xludf.DUMMYFUNCTION("""COMPUTED_VALUE"""),"4690612020556")</f>
        <v>4690612020556</v>
      </c>
      <c r="B637" s="5" t="str">
        <f>IFERROR(__xludf.DUMMYFUNCTION("""COMPUTED_VALUE"""),"LED-ШАР-VC 8Вт 230В Е14 4000К 760Лм IN HOME")</f>
        <v>LED-ШАР-VC 8Вт 230В Е14 4000К 760Лм IN HOME</v>
      </c>
      <c r="C637" s="2">
        <f>IFERROR(__xludf.DUMMYFUNCTION("""COMPUTED_VALUE"""),0.031)</f>
        <v>0.031</v>
      </c>
      <c r="D637" s="2">
        <f>IFERROR(__xludf.DUMMYFUNCTION("""COMPUTED_VALUE"""),2.3E-4)</f>
        <v>0.00023</v>
      </c>
      <c r="E637" s="2">
        <f>IFERROR(__xludf.DUMMYFUNCTION("""COMPUTED_VALUE"""),35.47)</f>
        <v>35.47</v>
      </c>
      <c r="F637" s="2">
        <f>IFERROR(__xludf.DUMMYFUNCTION("""COMPUTED_VALUE"""),45.0)</f>
        <v>45</v>
      </c>
      <c r="G637" s="2">
        <f>IFERROR(__xludf.DUMMYFUNCTION("""COMPUTED_VALUE"""),50.0)</f>
        <v>50</v>
      </c>
      <c r="H637" s="2">
        <f>IFERROR(__xludf.DUMMYFUNCTION("""COMPUTED_VALUE"""),58.0)</f>
        <v>58</v>
      </c>
      <c r="I637" s="2">
        <f>IFERROR(__xludf.DUMMYFUNCTION("""COMPUTED_VALUE"""),67.6)</f>
        <v>67.6</v>
      </c>
      <c r="J637" s="2">
        <f>IFERROR(__xludf.DUMMYFUNCTION("""COMPUTED_VALUE"""),34.0)</f>
        <v>34</v>
      </c>
      <c r="K637" s="2">
        <f>IFERROR(__xludf.DUMMYFUNCTION("""COMPUTED_VALUE"""),1.0)</f>
        <v>1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IFERROR(__xludf.DUMMYFUNCTION("""COMPUTED_VALUE"""),"4690626030893")</f>
        <v>4690626030893</v>
      </c>
      <c r="B638" s="5" t="str">
        <f>IFERROR(__xludf.DUMMYFUNCTION("""COMPUTED_VALUE"""),"SBF-02-G")</f>
        <v>SBF-02-G</v>
      </c>
      <c r="C638" s="2">
        <f>IFERROR(__xludf.DUMMYFUNCTION("""COMPUTED_VALUE"""),0.294)</f>
        <v>0.294</v>
      </c>
      <c r="D638" s="2">
        <f>IFERROR(__xludf.DUMMYFUNCTION("""COMPUTED_VALUE"""),3.0E-5)</f>
        <v>0.00003</v>
      </c>
      <c r="E638" s="2">
        <f>IFERROR(__xludf.DUMMYFUNCTION("""COMPUTED_VALUE"""),288.75)</f>
        <v>288.75</v>
      </c>
      <c r="F638" s="2">
        <f>IFERROR(__xludf.DUMMYFUNCTION("""COMPUTED_VALUE"""),0.0)</f>
        <v>0</v>
      </c>
      <c r="G638" s="2">
        <f>IFERROR(__xludf.DUMMYFUNCTION("""COMPUTED_VALUE"""),0.0)</f>
        <v>0</v>
      </c>
      <c r="H638" s="2">
        <f>IFERROR(__xludf.DUMMYFUNCTION("""COMPUTED_VALUE"""),0.0)</f>
        <v>0</v>
      </c>
      <c r="I638" s="2">
        <f>IFERROR(__xludf.DUMMYFUNCTION("""COMPUTED_VALUE"""),0.0)</f>
        <v>0</v>
      </c>
      <c r="J638" s="2">
        <f>IFERROR(__xludf.DUMMYFUNCTION("""COMPUTED_VALUE"""),0.0)</f>
        <v>0</v>
      </c>
      <c r="K638" s="2">
        <f>IFERROR(__xludf.DUMMYFUNCTION("""COMPUTED_VALUE"""),1.0)</f>
        <v>1</v>
      </c>
      <c r="L638" s="2" t="str">
        <f>IFERROR(__xludf.DUMMYFUNCTION("""COMPUTED_VALUE"""),"Smartbuy фонари")</f>
        <v>Smartbuy фонари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IFERROR(__xludf.DUMMYFUNCTION("""COMPUTED_VALUE"""),"4690612020822-10")</f>
        <v>4690612020822-10</v>
      </c>
      <c r="B639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9" s="2">
        <f>IFERROR(__xludf.DUMMYFUNCTION("""COMPUTED_VALUE"""),0.04)</f>
        <v>0.04</v>
      </c>
      <c r="D639" s="2">
        <f>IFERROR(__xludf.DUMMYFUNCTION("""COMPUTED_VALUE"""),0.0021)</f>
        <v>0.0021</v>
      </c>
      <c r="E639" s="2">
        <f>IFERROR(__xludf.DUMMYFUNCTION("""COMPUTED_VALUE"""),534.0)</f>
        <v>534</v>
      </c>
      <c r="F639" s="2">
        <f>IFERROR(__xludf.DUMMYFUNCTION("""COMPUTED_VALUE"""),586.0)</f>
        <v>586</v>
      </c>
      <c r="G639" s="2">
        <f>IFERROR(__xludf.DUMMYFUNCTION("""COMPUTED_VALUE"""),769.0)</f>
        <v>769</v>
      </c>
      <c r="H639" s="2">
        <f>IFERROR(__xludf.DUMMYFUNCTION("""COMPUTED_VALUE"""),865.0)</f>
        <v>865</v>
      </c>
      <c r="I639" s="2">
        <f>IFERROR(__xludf.DUMMYFUNCTION("""COMPUTED_VALUE"""),961.0)</f>
        <v>961</v>
      </c>
      <c r="J639" s="2">
        <f>IFERROR(__xludf.DUMMYFUNCTION("""COMPUTED_VALUE"""),481.0)</f>
        <v>481</v>
      </c>
      <c r="K639" s="2">
        <f>IFERROR(__xludf.DUMMYFUNCTION("""COMPUTED_VALUE"""),9.0)</f>
        <v>9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IFERROR(__xludf.DUMMYFUNCTION("""COMPUTED_VALUE"""),"4690612003993")</f>
        <v>4690612003993</v>
      </c>
      <c r="B640" s="5" t="str">
        <f>IFERROR(__xludf.DUMMYFUNCTION("""COMPUTED_VALUE"""),"LED-ШАР-standard 7.5Вт 160-260В Е27 4000К ASD")</f>
        <v>LED-ШАР-standard 7.5Вт 160-260В Е27 4000К ASD</v>
      </c>
      <c r="C640" s="2">
        <f>IFERROR(__xludf.DUMMYFUNCTION("""COMPUTED_VALUE"""),0.0462)</f>
        <v>0.0462</v>
      </c>
      <c r="D640" s="2">
        <f>IFERROR(__xludf.DUMMYFUNCTION("""COMPUTED_VALUE"""),2.4E-4)</f>
        <v>0.00024</v>
      </c>
      <c r="E640" s="2">
        <f>IFERROR(__xludf.DUMMYFUNCTION("""COMPUTED_VALUE"""),41.71)</f>
        <v>41.71</v>
      </c>
      <c r="F640" s="2">
        <f>IFERROR(__xludf.DUMMYFUNCTION("""COMPUTED_VALUE"""),27.0)</f>
        <v>27</v>
      </c>
      <c r="G640" s="2">
        <f>IFERROR(__xludf.DUMMYFUNCTION("""COMPUTED_VALUE"""),30.0)</f>
        <v>30</v>
      </c>
      <c r="H640" s="2">
        <f>IFERROR(__xludf.DUMMYFUNCTION("""COMPUTED_VALUE"""),35.0)</f>
        <v>35</v>
      </c>
      <c r="I640" s="2">
        <f>IFERROR(__xludf.DUMMYFUNCTION("""COMPUTED_VALUE"""),40.4)</f>
        <v>40.4</v>
      </c>
      <c r="J640" s="2">
        <f>IFERROR(__xludf.DUMMYFUNCTION("""COMPUTED_VALUE"""),20.0)</f>
        <v>20</v>
      </c>
      <c r="K640" s="2">
        <f>IFERROR(__xludf.DUMMYFUNCTION("""COMPUTED_VALUE"""),8.0)</f>
        <v>8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IFERROR(__xludf.DUMMYFUNCTION("""COMPUTED_VALUE"""),"4690612012308-10")</f>
        <v>4690612012308-10</v>
      </c>
      <c r="B641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1" s="2">
        <f>IFERROR(__xludf.DUMMYFUNCTION("""COMPUTED_VALUE"""),0.04)</f>
        <v>0.04</v>
      </c>
      <c r="D641" s="2">
        <f>IFERROR(__xludf.DUMMYFUNCTION("""COMPUTED_VALUE"""),9.000000000000001E-4)</f>
        <v>0.0009</v>
      </c>
      <c r="E641" s="2">
        <f>IFERROR(__xludf.DUMMYFUNCTION("""COMPUTED_VALUE"""),421.6)</f>
        <v>421.6</v>
      </c>
      <c r="F641" s="2">
        <f>IFERROR(__xludf.DUMMYFUNCTION("""COMPUTED_VALUE"""),463.0)</f>
        <v>463</v>
      </c>
      <c r="G641" s="2">
        <f>IFERROR(__xludf.DUMMYFUNCTION("""COMPUTED_VALUE"""),607.0)</f>
        <v>607</v>
      </c>
      <c r="H641" s="2">
        <f>IFERROR(__xludf.DUMMYFUNCTION("""COMPUTED_VALUE"""),683.0)</f>
        <v>683</v>
      </c>
      <c r="I641" s="2">
        <f>IFERROR(__xludf.DUMMYFUNCTION("""COMPUTED_VALUE"""),759.0)</f>
        <v>759</v>
      </c>
      <c r="J641" s="2">
        <f>IFERROR(__xludf.DUMMYFUNCTION("""COMPUTED_VALUE"""),380.0)</f>
        <v>380</v>
      </c>
      <c r="K641" s="2">
        <f>IFERROR(__xludf.DUMMYFUNCTION("""COMPUTED_VALUE"""),6.0)</f>
        <v>6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IFERROR(__xludf.DUMMYFUNCTION("""COMPUTED_VALUE"""),"R100395")</f>
        <v>R100395</v>
      </c>
      <c r="B642" s="5" t="str">
        <f>IFERROR(__xludf.DUMMYFUNCTION("""COMPUTED_VALUE"""),"RSV-SSP-04-150W-6500K-IP65")</f>
        <v>RSV-SSP-04-150W-6500K-IP65</v>
      </c>
      <c r="C642" s="2">
        <f>IFERROR(__xludf.DUMMYFUNCTION("""COMPUTED_VALUE"""),0.36)</f>
        <v>0.36</v>
      </c>
      <c r="D642" s="2">
        <f>IFERROR(__xludf.DUMMYFUNCTION("""COMPUTED_VALUE"""),0.0022)</f>
        <v>0.0022</v>
      </c>
      <c r="E642" s="2">
        <f>IFERROR(__xludf.DUMMYFUNCTION("""COMPUTED_VALUE"""),2336.58)</f>
        <v>2336.58</v>
      </c>
      <c r="F642" s="2">
        <f>IFERROR(__xludf.DUMMYFUNCTION("""COMPUTED_VALUE"""),1966.0)</f>
        <v>1966</v>
      </c>
      <c r="G642" s="2">
        <f>IFERROR(__xludf.DUMMYFUNCTION("""COMPUTED_VALUE"""),2314.0)</f>
        <v>2314</v>
      </c>
      <c r="H642" s="2">
        <f>IFERROR(__xludf.DUMMYFUNCTION("""COMPUTED_VALUE"""),2383.0)</f>
        <v>2383</v>
      </c>
      <c r="I642" s="2">
        <f>IFERROR(__xludf.DUMMYFUNCTION("""COMPUTED_VALUE"""),2741.0)</f>
        <v>2741</v>
      </c>
      <c r="J642" s="2">
        <f>IFERROR(__xludf.DUMMYFUNCTION("""COMPUTED_VALUE"""),1371.0)</f>
        <v>1371</v>
      </c>
      <c r="K642" s="2">
        <f>IFERROR(__xludf.DUMMYFUNCTION("""COMPUTED_VALUE"""),1.0)</f>
        <v>1</v>
      </c>
      <c r="L642" s="2" t="str">
        <f>IFERROR(__xludf.DUMMYFUNCTION("""COMPUTED_VALUE"""),"Промышленное освещение RSV")</f>
        <v>Промышленное освещение RSV</v>
      </c>
      <c r="M642" s="2" t="str">
        <f>IFERROR(__xludf.DUMMYFUNCTION("""COMPUTED_VALUE"""),"Пластиковые (линейные), LED Светильники")</f>
        <v>Пластиковые (линейные), LED Светильники</v>
      </c>
    </row>
    <row r="643">
      <c r="A643" s="5" t="str">
        <f>IFERROR(__xludf.DUMMYFUNCTION("""COMPUTED_VALUE"""),"4690612029856")</f>
        <v>4690612029856</v>
      </c>
      <c r="B643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3" s="2">
        <f>IFERROR(__xludf.DUMMYFUNCTION("""COMPUTED_VALUE"""),1.225)</f>
        <v>1.225</v>
      </c>
      <c r="D643" s="2">
        <f>IFERROR(__xludf.DUMMYFUNCTION("""COMPUTED_VALUE"""),0.00525)</f>
        <v>0.00525</v>
      </c>
      <c r="E643" s="2">
        <f>IFERROR(__xludf.DUMMYFUNCTION("""COMPUTED_VALUE"""),730.24)</f>
        <v>730.24</v>
      </c>
      <c r="F643" s="2">
        <f>IFERROR(__xludf.DUMMYFUNCTION("""COMPUTED_VALUE"""),808.0)</f>
        <v>808</v>
      </c>
      <c r="G643" s="2">
        <f>IFERROR(__xludf.DUMMYFUNCTION("""COMPUTED_VALUE"""),909.0)</f>
        <v>909</v>
      </c>
      <c r="H643" s="2">
        <f>IFERROR(__xludf.DUMMYFUNCTION("""COMPUTED_VALUE"""),1054.0)</f>
        <v>1054</v>
      </c>
      <c r="I643" s="2">
        <f>IFERROR(__xludf.DUMMYFUNCTION("""COMPUTED_VALUE"""),1212.0)</f>
        <v>1212</v>
      </c>
      <c r="J643" s="2">
        <f>IFERROR(__xludf.DUMMYFUNCTION("""COMPUTED_VALUE"""),606.0)</f>
        <v>606</v>
      </c>
      <c r="K643" s="2">
        <f>IFERROR(__xludf.DUMMYFUNCTION("""COMPUTED_VALUE"""),4.0)</f>
        <v>4</v>
      </c>
      <c r="L643" s="2" t="str">
        <f>IFERROR(__xludf.DUMMYFUNCTION("""COMPUTED_VALUE"""),"Панели светодиодные LP серии ПРИЗМА")</f>
        <v>Панели светодиодные LP серии ПРИЗМА</v>
      </c>
      <c r="M6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4">
      <c r="A644" s="5" t="str">
        <f>IFERROR(__xludf.DUMMYFUNCTION("""COMPUTED_VALUE"""),"4690612053028-2")</f>
        <v>4690612053028-2</v>
      </c>
      <c r="B644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4" s="2">
        <f>IFERROR(__xludf.DUMMYFUNCTION("""COMPUTED_VALUE"""),1.29)</f>
        <v>1.29</v>
      </c>
      <c r="D644" s="2">
        <f>IFERROR(__xludf.DUMMYFUNCTION("""COMPUTED_VALUE"""),0.0)</f>
        <v>0</v>
      </c>
      <c r="E644" s="2">
        <f>IFERROR(__xludf.DUMMYFUNCTION("""COMPUTED_VALUE"""),1204.41)</f>
        <v>1204.41</v>
      </c>
      <c r="F644" s="2">
        <f>IFERROR(__xludf.DUMMYFUNCTION("""COMPUTED_VALUE"""),1321.0)</f>
        <v>1321</v>
      </c>
      <c r="G644" s="2">
        <f>IFERROR(__xludf.DUMMYFUNCTION("""COMPUTED_VALUE"""),1734.0)</f>
        <v>1734</v>
      </c>
      <c r="H644" s="2">
        <f>IFERROR(__xludf.DUMMYFUNCTION("""COMPUTED_VALUE"""),1951.0)</f>
        <v>1951</v>
      </c>
      <c r="I644" s="2">
        <f>IFERROR(__xludf.DUMMYFUNCTION("""COMPUTED_VALUE"""),2168.0)</f>
        <v>2168</v>
      </c>
      <c r="J644" s="2">
        <f>IFERROR(__xludf.DUMMYFUNCTION("""COMPUTED_VALUE"""),1084.0)</f>
        <v>1084</v>
      </c>
      <c r="K644" s="2">
        <f>IFERROR(__xludf.DUMMYFUNCTION("""COMPUTED_VALUE"""),3.0)</f>
        <v>3</v>
      </c>
      <c r="L6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5">
      <c r="A645" s="5" t="str">
        <f>IFERROR(__xludf.DUMMYFUNCTION("""COMPUTED_VALUE"""),"R100284")</f>
        <v>R100284</v>
      </c>
      <c r="B645" s="5" t="str">
        <f>IFERROR(__xludf.DUMMYFUNCTION("""COMPUTED_VALUE"""),"RSV-STP-150-6500K-IP66")</f>
        <v>RSV-STP-150-6500K-IP66</v>
      </c>
      <c r="C645" s="2">
        <f>IFERROR(__xludf.DUMMYFUNCTION("""COMPUTED_VALUE"""),3.6)</f>
        <v>3.6</v>
      </c>
      <c r="D645" s="2">
        <f>IFERROR(__xludf.DUMMYFUNCTION("""COMPUTED_VALUE"""),0.0146)</f>
        <v>0.0146</v>
      </c>
      <c r="E645" s="2">
        <f>IFERROR(__xludf.DUMMYFUNCTION("""COMPUTED_VALUE"""),3012.86)</f>
        <v>3012.86</v>
      </c>
      <c r="F645" s="2">
        <f>IFERROR(__xludf.DUMMYFUNCTION("""COMPUTED_VALUE"""),2353.0)</f>
        <v>2353</v>
      </c>
      <c r="G645" s="2">
        <f>IFERROR(__xludf.DUMMYFUNCTION("""COMPUTED_VALUE"""),2769.0)</f>
        <v>2769</v>
      </c>
      <c r="H645" s="2">
        <f>IFERROR(__xludf.DUMMYFUNCTION("""COMPUTED_VALUE"""),2852.0)</f>
        <v>2852</v>
      </c>
      <c r="I645" s="2">
        <f>IFERROR(__xludf.DUMMYFUNCTION("""COMPUTED_VALUE"""),3280.0)</f>
        <v>3280</v>
      </c>
      <c r="J645" s="2">
        <f>IFERROR(__xludf.DUMMYFUNCTION("""COMPUTED_VALUE"""),1640.0)</f>
        <v>1640</v>
      </c>
      <c r="K645" s="2">
        <f>IFERROR(__xludf.DUMMYFUNCTION("""COMPUTED_VALUE"""),2.0)</f>
        <v>2</v>
      </c>
      <c r="L645" s="2" t="str">
        <f>IFERROR(__xludf.DUMMYFUNCTION("""COMPUTED_VALUE"""),"Уличное освещение RSV")</f>
        <v>Уличное освещение RSV</v>
      </c>
      <c r="M645" s="2" t="str">
        <f>IFERROR(__xludf.DUMMYFUNCTION("""COMPUTED_VALUE"""),"Для обычных дорог, LED Светильники")</f>
        <v>Для обычных дорог, LED Светильники</v>
      </c>
    </row>
    <row r="646">
      <c r="A646" s="5" t="str">
        <f>IFERROR(__xludf.DUMMYFUNCTION("""COMPUTED_VALUE"""),"4690612033822")</f>
        <v>4690612033822</v>
      </c>
      <c r="B646" s="5" t="str">
        <f>IFERROR(__xludf.DUMMYFUNCTION("""COMPUTED_VALUE"""),"ДД 008 1200Вт 180 гр.12м IP44 черный IN HOME")</f>
        <v>ДД 008 1200Вт 180 гр.12м IP44 черный IN HOME</v>
      </c>
      <c r="C646" s="2">
        <f>IFERROR(__xludf.DUMMYFUNCTION("""COMPUTED_VALUE"""),0.226)</f>
        <v>0.226</v>
      </c>
      <c r="D646" s="2">
        <f>IFERROR(__xludf.DUMMYFUNCTION("""COMPUTED_VALUE"""),0.0014)</f>
        <v>0.0014</v>
      </c>
      <c r="E646" s="2">
        <f>IFERROR(__xludf.DUMMYFUNCTION("""COMPUTED_VALUE"""),295.63)</f>
        <v>295.63</v>
      </c>
      <c r="F646" s="2">
        <f>IFERROR(__xludf.DUMMYFUNCTION("""COMPUTED_VALUE"""),437.0)</f>
        <v>437</v>
      </c>
      <c r="G646" s="2">
        <f>IFERROR(__xludf.DUMMYFUNCTION("""COMPUTED_VALUE"""),492.0)</f>
        <v>492</v>
      </c>
      <c r="H646" s="2">
        <f>IFERROR(__xludf.DUMMYFUNCTION("""COMPUTED_VALUE"""),571.0)</f>
        <v>571</v>
      </c>
      <c r="I646" s="2">
        <f>IFERROR(__xludf.DUMMYFUNCTION("""COMPUTED_VALUE"""),656.0)</f>
        <v>656</v>
      </c>
      <c r="J646" s="2">
        <f>IFERROR(__xludf.DUMMYFUNCTION("""COMPUTED_VALUE"""),296.0)</f>
        <v>296</v>
      </c>
      <c r="K646" s="2">
        <f>IFERROR(__xludf.DUMMYFUNCTION("""COMPUTED_VALUE"""),1.0)</f>
        <v>1</v>
      </c>
      <c r="L646" s="2" t="str">
        <f>IFERROR(__xludf.DUMMYFUNCTION("""COMPUTED_VALUE"""),"ASD Комплектующие")</f>
        <v>ASD Комплектующие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IFERROR(__xludf.DUMMYFUNCTION("""COMPUTED_VALUE"""),"4690612015118")</f>
        <v>4690612015118</v>
      </c>
      <c r="B647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7" s="2">
        <f>IFERROR(__xludf.DUMMYFUNCTION("""COMPUTED_VALUE"""),0.111)</f>
        <v>0.111</v>
      </c>
      <c r="D647" s="2">
        <f>IFERROR(__xludf.DUMMYFUNCTION("""COMPUTED_VALUE"""),0.0022)</f>
        <v>0.0022</v>
      </c>
      <c r="E647" s="2">
        <f>IFERROR(__xludf.DUMMYFUNCTION("""COMPUTED_VALUE"""),250.28)</f>
        <v>250.28</v>
      </c>
      <c r="F647" s="2">
        <f>IFERROR(__xludf.DUMMYFUNCTION("""COMPUTED_VALUE"""),100.0)</f>
        <v>100</v>
      </c>
      <c r="G647" s="2">
        <f>IFERROR(__xludf.DUMMYFUNCTION("""COMPUTED_VALUE"""),113.0)</f>
        <v>113</v>
      </c>
      <c r="H647" s="2">
        <f>IFERROR(__xludf.DUMMYFUNCTION("""COMPUTED_VALUE"""),131.0)</f>
        <v>131</v>
      </c>
      <c r="I647" s="2">
        <f>IFERROR(__xludf.DUMMYFUNCTION("""COMPUTED_VALUE"""),150.0)</f>
        <v>150</v>
      </c>
      <c r="J647" s="2">
        <f>IFERROR(__xludf.DUMMYFUNCTION("""COMPUTED_VALUE"""),75.0)</f>
        <v>75</v>
      </c>
      <c r="K647" s="2">
        <f>IFERROR(__xludf.DUMMYFUNCTION("""COMPUTED_VALUE"""),8.0)</f>
        <v>8</v>
      </c>
      <c r="L647" s="2" t="str">
        <f>IFERROR(__xludf.DUMMYFUNCTION("""COMPUTED_VALUE"""),"Светильники ночники")</f>
        <v>Светильники ночники</v>
      </c>
      <c r="M6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8">
      <c r="A648" s="5" t="str">
        <f>IFERROR(__xludf.DUMMYFUNCTION("""COMPUTED_VALUE"""),"ves015")</f>
        <v>ves015</v>
      </c>
      <c r="B648" s="5" t="str">
        <f>IFERROR(__xludf.DUMMYFUNCTION("""COMPUTED_VALUE"""),"Фонарь светодиодный NPT-SP12-ACCU")</f>
        <v>Фонарь светодиодный NPT-SP12-ACCU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IFERROR(__xludf.DUMMYFUNCTION("""COMPUTED_VALUE"""),1880.96)</f>
        <v>1880.96</v>
      </c>
      <c r="F648" s="2">
        <f>IFERROR(__xludf.DUMMYFUNCTION("""COMPUTED_VALUE"""),1800.0)</f>
        <v>1800</v>
      </c>
      <c r="G648" s="2">
        <f>IFERROR(__xludf.DUMMYFUNCTION("""COMPUTED_VALUE"""),1920.0)</f>
        <v>1920</v>
      </c>
      <c r="H648" s="2">
        <f>IFERROR(__xludf.DUMMYFUNCTION("""COMPUTED_VALUE"""),2160.0)</f>
        <v>2160</v>
      </c>
      <c r="I648" s="2">
        <f>IFERROR(__xludf.DUMMYFUNCTION("""COMPUTED_VALUE"""),2400.0)</f>
        <v>2400</v>
      </c>
      <c r="J648" s="2">
        <f>IFERROR(__xludf.DUMMYFUNCTION("""COMPUTED_VALUE"""),1200.0)</f>
        <v>1200</v>
      </c>
      <c r="K648" s="2">
        <f>IFERROR(__xludf.DUMMYFUNCTION("""COMPUTED_VALUE"""),11.0)</f>
        <v>11</v>
      </c>
      <c r="L648" s="2" t="str">
        <f>IFERROR(__xludf.DUMMYFUNCTION("""COMPUTED_VALUE"""),"ves")</f>
        <v>ves</v>
      </c>
      <c r="M648" s="2" t="str">
        <f>IFERROR(__xludf.DUMMYFUNCTION("""COMPUTED_VALUE"""),"LED Светильники")</f>
        <v>LED Светильники</v>
      </c>
    </row>
    <row r="649">
      <c r="A649" s="5" t="str">
        <f>IFERROR(__xludf.DUMMYFUNCTION("""COMPUTED_VALUE"""),"12-0167")</f>
        <v>12-0167</v>
      </c>
      <c r="B649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IFERROR(__xludf.DUMMYFUNCTION("""COMPUTED_VALUE"""),1.0)</f>
        <v>1</v>
      </c>
      <c r="F649" s="2">
        <f>IFERROR(__xludf.DUMMYFUNCTION("""COMPUTED_VALUE"""),2302.0)</f>
        <v>2302</v>
      </c>
      <c r="G649" s="2">
        <f>IFERROR(__xludf.DUMMYFUNCTION("""COMPUTED_VALUE"""),2455.0)</f>
        <v>2455</v>
      </c>
      <c r="H649" s="2">
        <f>IFERROR(__xludf.DUMMYFUNCTION("""COMPUTED_VALUE"""),2762.0)</f>
        <v>2762</v>
      </c>
      <c r="I649" s="2">
        <f>IFERROR(__xludf.DUMMYFUNCTION("""COMPUTED_VALUE"""),3068.81)</f>
        <v>3068.81</v>
      </c>
      <c r="J649" s="2">
        <f>IFERROR(__xludf.DUMMYFUNCTION("""COMPUTED_VALUE"""),2302.0)</f>
        <v>2302</v>
      </c>
      <c r="K649" s="2">
        <f>IFERROR(__xludf.DUMMYFUNCTION("""COMPUTED_VALUE"""),3.0)</f>
        <v>3</v>
      </c>
      <c r="L649" s="2" t="str">
        <f>IFERROR(__xludf.DUMMYFUNCTION("""COMPUTED_VALUE"""),"Rexant")</f>
        <v>Rexant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IFERROR(__xludf.DUMMYFUNCTION("""COMPUTED_VALUE"""),"55106")</f>
        <v>55106</v>
      </c>
      <c r="B650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IFERROR(__xludf.DUMMYFUNCTION("""COMPUTED_VALUE"""),1811.04)</f>
        <v>1811.04</v>
      </c>
      <c r="F650" s="2">
        <f>IFERROR(__xludf.DUMMYFUNCTION("""COMPUTED_VALUE"""),1829.0)</f>
        <v>1829</v>
      </c>
      <c r="G650" s="2">
        <f>IFERROR(__xludf.DUMMYFUNCTION("""COMPUTED_VALUE"""),1995.0)</f>
        <v>1995</v>
      </c>
      <c r="H650" s="2">
        <f>IFERROR(__xludf.DUMMYFUNCTION("""COMPUTED_VALUE"""),2161.0)</f>
        <v>2161</v>
      </c>
      <c r="I650" s="2">
        <f>IFERROR(__xludf.DUMMYFUNCTION("""COMPUTED_VALUE"""),2327.0)</f>
        <v>2327</v>
      </c>
      <c r="J650" s="2">
        <f>IFERROR(__xludf.DUMMYFUNCTION("""COMPUTED_VALUE"""),1164.0)</f>
        <v>1164</v>
      </c>
      <c r="K650" s="2">
        <f>IFERROR(__xludf.DUMMYFUNCTION("""COMPUTED_VALUE"""),10.0)</f>
        <v>10</v>
      </c>
      <c r="L650" s="2" t="str">
        <f>IFERROR(__xludf.DUMMYFUNCTION("""COMPUTED_VALUE"""),"Праздничная иллюминация")</f>
        <v>Праздничная иллюминация</v>
      </c>
      <c r="M6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1">
      <c r="A651" s="5" t="str">
        <f>IFERROR(__xludf.DUMMYFUNCTION("""COMPUTED_VALUE"""),"14690612042333")</f>
        <v>14690612042333</v>
      </c>
      <c r="B651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1" s="2">
        <f>IFERROR(__xludf.DUMMYFUNCTION("""COMPUTED_VALUE"""),1.45)</f>
        <v>1.45</v>
      </c>
      <c r="D651" s="2">
        <f>IFERROR(__xludf.DUMMYFUNCTION("""COMPUTED_VALUE"""),0.0)</f>
        <v>0</v>
      </c>
      <c r="E651" s="2">
        <f>IFERROR(__xludf.DUMMYFUNCTION("""COMPUTED_VALUE"""),3028.73)</f>
        <v>3028.73</v>
      </c>
      <c r="F651" s="2">
        <f>IFERROR(__xludf.DUMMYFUNCTION("""COMPUTED_VALUE"""),3323.0)</f>
        <v>3323</v>
      </c>
      <c r="G651" s="2">
        <f>IFERROR(__xludf.DUMMYFUNCTION("""COMPUTED_VALUE"""),4362.0)</f>
        <v>4362</v>
      </c>
      <c r="H651" s="2">
        <f>IFERROR(__xludf.DUMMYFUNCTION("""COMPUTED_VALUE"""),4907.0)</f>
        <v>4907</v>
      </c>
      <c r="I651" s="2">
        <f>IFERROR(__xludf.DUMMYFUNCTION("""COMPUTED_VALUE"""),5452.0)</f>
        <v>5452</v>
      </c>
      <c r="J651" s="2">
        <f>IFERROR(__xludf.DUMMYFUNCTION("""COMPUTED_VALUE"""),2726.0)</f>
        <v>2726</v>
      </c>
      <c r="K651" s="2">
        <f>IFERROR(__xludf.DUMMYFUNCTION("""COMPUTED_VALUE"""),5.0)</f>
        <v>5</v>
      </c>
      <c r="L6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2">
      <c r="A652" s="5" t="str">
        <f>IFERROR(__xludf.DUMMYFUNCTION("""COMPUTED_VALUE"""),"4680005957880")</f>
        <v>4680005957880</v>
      </c>
      <c r="B652" s="5" t="str">
        <f>IFERROR(__xludf.DUMMYFUNCTION("""COMPUTED_VALUE"""),"Патрон-переходник Е40/Е27 короткий")</f>
        <v>Патрон-переходник Е40/Е27 короткий</v>
      </c>
      <c r="C652" s="2">
        <f>IFERROR(__xludf.DUMMYFUNCTION("""COMPUTED_VALUE"""),0.029)</f>
        <v>0.029</v>
      </c>
      <c r="D652" s="2">
        <f>IFERROR(__xludf.DUMMYFUNCTION("""COMPUTED_VALUE"""),1.2E-4)</f>
        <v>0.00012</v>
      </c>
      <c r="E652" s="2">
        <f>IFERROR(__xludf.DUMMYFUNCTION("""COMPUTED_VALUE"""),24.9)</f>
        <v>24.9</v>
      </c>
      <c r="F652" s="2">
        <f>IFERROR(__xludf.DUMMYFUNCTION("""COMPUTED_VALUE"""),31.0)</f>
        <v>31</v>
      </c>
      <c r="G652" s="2">
        <f>IFERROR(__xludf.DUMMYFUNCTION("""COMPUTED_VALUE"""),35.0)</f>
        <v>35</v>
      </c>
      <c r="H652" s="2">
        <f>IFERROR(__xludf.DUMMYFUNCTION("""COMPUTED_VALUE"""),41.0)</f>
        <v>41</v>
      </c>
      <c r="I652" s="2">
        <f>IFERROR(__xludf.DUMMYFUNCTION("""COMPUTED_VALUE"""),47.0)</f>
        <v>47</v>
      </c>
      <c r="J652" s="2">
        <f>IFERROR(__xludf.DUMMYFUNCTION("""COMPUTED_VALUE"""),24.0)</f>
        <v>24</v>
      </c>
      <c r="K652" s="2">
        <f>IFERROR(__xludf.DUMMYFUNCTION("""COMPUTED_VALUE"""),1.0)</f>
        <v>1</v>
      </c>
      <c r="L652" s="2" t="str">
        <f>IFERROR(__xludf.DUMMYFUNCTION("""COMPUTED_VALUE"""),"ASD электромонтажные изделия")</f>
        <v>ASD электромонтажные изделия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IFERROR(__xludf.DUMMYFUNCTION("""COMPUTED_VALUE"""),"4690612038162-1")</f>
        <v>4690612038162-1</v>
      </c>
      <c r="B6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3" s="2">
        <f>IFERROR(__xludf.DUMMYFUNCTION("""COMPUTED_VALUE"""),1.28)</f>
        <v>1.28</v>
      </c>
      <c r="D653" s="2">
        <f>IFERROR(__xludf.DUMMYFUNCTION("""COMPUTED_VALUE"""),0.006730000000000001)</f>
        <v>0.00673</v>
      </c>
      <c r="E653" s="2">
        <f>IFERROR(__xludf.DUMMYFUNCTION("""COMPUTED_VALUE"""),524.22)</f>
        <v>524.22</v>
      </c>
      <c r="F653" s="2">
        <f>IFERROR(__xludf.DUMMYFUNCTION("""COMPUTED_VALUE"""),575.0)</f>
        <v>575</v>
      </c>
      <c r="G653" s="2">
        <f>IFERROR(__xludf.DUMMYFUNCTION("""COMPUTED_VALUE"""),755.0)</f>
        <v>755</v>
      </c>
      <c r="H653" s="2">
        <f>IFERROR(__xludf.DUMMYFUNCTION("""COMPUTED_VALUE"""),850.0)</f>
        <v>850</v>
      </c>
      <c r="I653" s="2">
        <f>IFERROR(__xludf.DUMMYFUNCTION("""COMPUTED_VALUE"""),944.0)</f>
        <v>944</v>
      </c>
      <c r="J653" s="2">
        <f>IFERROR(__xludf.DUMMYFUNCTION("""COMPUTED_VALUE"""),472.0)</f>
        <v>472</v>
      </c>
      <c r="K653" s="2">
        <f>IFERROR(__xludf.DUMMYFUNCTION("""COMPUTED_VALUE"""),82.0)</f>
        <v>82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IFERROR(__xludf.DUMMYFUNCTION("""COMPUTED_VALUE"""),"4690612020440")</f>
        <v>4690612020440</v>
      </c>
      <c r="B654" s="5" t="str">
        <f>IFERROR(__xludf.DUMMYFUNCTION("""COMPUTED_VALUE"""),"LED-СВЕЧА-VC 8Вт 230В Е27 3000К 760Лм IN HOME")</f>
        <v>LED-СВЕЧА-VC 8Вт 230В Е27 3000К 760Лм IN HOME</v>
      </c>
      <c r="C654" s="2">
        <f>IFERROR(__xludf.DUMMYFUNCTION("""COMPUTED_VALUE"""),0.028)</f>
        <v>0.028</v>
      </c>
      <c r="D654" s="2">
        <f>IFERROR(__xludf.DUMMYFUNCTION("""COMPUTED_VALUE"""),1.9E-4)</f>
        <v>0.00019</v>
      </c>
      <c r="E654" s="2">
        <f>IFERROR(__xludf.DUMMYFUNCTION("""COMPUTED_VALUE"""),35.4)</f>
        <v>35.4</v>
      </c>
      <c r="F654" s="2">
        <f>IFERROR(__xludf.DUMMYFUNCTION("""COMPUTED_VALUE"""),45.0)</f>
        <v>45</v>
      </c>
      <c r="G654" s="2">
        <f>IFERROR(__xludf.DUMMYFUNCTION("""COMPUTED_VALUE"""),50.0)</f>
        <v>50</v>
      </c>
      <c r="H654" s="2">
        <f>IFERROR(__xludf.DUMMYFUNCTION("""COMPUTED_VALUE"""),58.0)</f>
        <v>58</v>
      </c>
      <c r="I654" s="2">
        <f>IFERROR(__xludf.DUMMYFUNCTION("""COMPUTED_VALUE"""),67.6)</f>
        <v>67.6</v>
      </c>
      <c r="J654" s="2">
        <f>IFERROR(__xludf.DUMMYFUNCTION("""COMPUTED_VALUE"""),34.0)</f>
        <v>34</v>
      </c>
      <c r="K654" s="2">
        <f>IFERROR(__xludf.DUMMYFUNCTION("""COMPUTED_VALUE"""),53.0)</f>
        <v>53</v>
      </c>
      <c r="L654" s="2" t="str">
        <f>IFERROR(__xludf.DUMMYFUNCTION("""COMPUTED_VALUE"""),"Лампа светодиодная LED-СВЕЧА-standard")</f>
        <v>Лампа светодиодная LED-СВЕЧА-standard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IFERROR(__xludf.DUMMYFUNCTION("""COMPUTED_VALUE"""),"4690612015507")</f>
        <v>4690612015507</v>
      </c>
      <c r="B655" s="5" t="str">
        <f>IFERROR(__xludf.DUMMYFUNCTION("""COMPUTED_VALUE"""),"LED-СВЕЧА-standard 10Вт 230В Е14 3000К 900Лм ASD")</f>
        <v>LED-СВЕЧА-standard 10Вт 230В Е14 3000К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IFERROR(__xludf.DUMMYFUNCTION("""COMPUTED_VALUE"""),29.77)</f>
        <v>29.77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IFERROR(__xludf.DUMMYFUNCTION("""COMPUTED_VALUE"""),6.0)</f>
        <v>6</v>
      </c>
      <c r="L655" s="2" t="str">
        <f>IFERROR(__xludf.DUMMYFUNCTION("""COMPUTED_VALUE"""),"ASD лампы LED")</f>
        <v>ASD лампы LED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IFERROR(__xludf.DUMMYFUNCTION("""COMPUTED_VALUE"""),"4690612042640")</f>
        <v>4690612042640</v>
      </c>
      <c r="B656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6" s="2">
        <f>IFERROR(__xludf.DUMMYFUNCTION("""COMPUTED_VALUE"""),1.75)</f>
        <v>1.75</v>
      </c>
      <c r="D656" s="2">
        <f>IFERROR(__xludf.DUMMYFUNCTION("""COMPUTED_VALUE"""),0.007600000000000001)</f>
        <v>0.0076</v>
      </c>
      <c r="E656" s="2">
        <f>IFERROR(__xludf.DUMMYFUNCTION("""COMPUTED_VALUE"""),2578.07)</f>
        <v>2578.07</v>
      </c>
      <c r="F656" s="2">
        <f>IFERROR(__xludf.DUMMYFUNCTION("""COMPUTED_VALUE"""),2564.0)</f>
        <v>2564</v>
      </c>
      <c r="G656" s="2">
        <f>IFERROR(__xludf.DUMMYFUNCTION("""COMPUTED_VALUE"""),2885.0)</f>
        <v>2885</v>
      </c>
      <c r="H656" s="2">
        <f>IFERROR(__xludf.DUMMYFUNCTION("""COMPUTED_VALUE"""),3346.0)</f>
        <v>3346</v>
      </c>
      <c r="I656" s="2">
        <f>IFERROR(__xludf.DUMMYFUNCTION("""COMPUTED_VALUE"""),3846.0)</f>
        <v>3846</v>
      </c>
      <c r="J656" s="2">
        <f>IFERROR(__xludf.DUMMYFUNCTION("""COMPUTED_VALUE"""),1923.0)</f>
        <v>1923</v>
      </c>
      <c r="K656" s="2">
        <f>IFERROR(__xludf.DUMMYFUNCTION("""COMPUTED_VALUE"""),5.0)</f>
        <v>5</v>
      </c>
      <c r="L656" s="2" t="str">
        <f>IFERROR(__xludf.DUMMYFUNCTION("""COMPUTED_VALUE"""),"NEOX Светильники LED LHB, WHB")</f>
        <v>NEOX Светильники LED LHB, WHB</v>
      </c>
      <c r="M65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7">
      <c r="A657" s="5" t="str">
        <f>IFERROR(__xludf.DUMMYFUNCTION("""COMPUTED_VALUE"""),"4690612053004")</f>
        <v>4690612053004</v>
      </c>
      <c r="B657" s="5" t="str">
        <f>IFERROR(__xludf.DUMMYFUNCTION("""COMPUTED_VALUE"""),"ДВО-01 7565-ПРИЗМА 75Вт 6500К 180х1195х19 NEOX")</f>
        <v>ДВО-01 7565-ПРИЗМА 75Вт 6500К 180х1195х19 NEOX</v>
      </c>
      <c r="C657" s="2">
        <f>IFERROR(__xludf.DUMMYFUNCTION("""COMPUTED_VALUE"""),1.23)</f>
        <v>1.23</v>
      </c>
      <c r="D657" s="2">
        <f>IFERROR(__xludf.DUMMYFUNCTION("""COMPUTED_VALUE"""),0.00525)</f>
        <v>0.00525</v>
      </c>
      <c r="E657" s="2">
        <f>IFERROR(__xludf.DUMMYFUNCTION("""COMPUTED_VALUE"""),738.12)</f>
        <v>738.12</v>
      </c>
      <c r="F657" s="2">
        <f>IFERROR(__xludf.DUMMYFUNCTION("""COMPUTED_VALUE"""),945.0)</f>
        <v>945</v>
      </c>
      <c r="G657" s="2">
        <f>IFERROR(__xludf.DUMMYFUNCTION("""COMPUTED_VALUE"""),1063.0)</f>
        <v>1063</v>
      </c>
      <c r="H657" s="2">
        <f>IFERROR(__xludf.DUMMYFUNCTION("""COMPUTED_VALUE"""),1233.0)</f>
        <v>1233</v>
      </c>
      <c r="I657" s="2">
        <f>IFERROR(__xludf.DUMMYFUNCTION("""COMPUTED_VALUE"""),1417.0)</f>
        <v>1417</v>
      </c>
      <c r="J657" s="2">
        <f>IFERROR(__xludf.DUMMYFUNCTION("""COMPUTED_VALUE"""),1417.0)</f>
        <v>1417</v>
      </c>
      <c r="K657" s="2">
        <f>IFERROR(__xludf.DUMMYFUNCTION("""COMPUTED_VALUE"""),0.0)</f>
        <v>0</v>
      </c>
      <c r="L657" s="2" t="str">
        <f>IFERROR(__xludf.DUMMYFUNCTION("""COMPUTED_VALUE"""),"NEOX Светильники LED ДВО")</f>
        <v>NEOX Светильники LED ДВО</v>
      </c>
      <c r="M6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8">
      <c r="A658" s="5" t="str">
        <f>IFERROR(__xludf.DUMMYFUNCTION("""COMPUTED_VALUE"""),"G207707102")</f>
        <v>G207707102</v>
      </c>
      <c r="B658" s="5" t="str">
        <f>IFERROR(__xludf.DUMMYFUNCTION("""COMPUTED_VALUE"""),"G4 12V 2W 2700K 1/20/200")</f>
        <v>G4 12V 2W 2700K 1/20/200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IFERROR(__xludf.DUMMYFUNCTION("""COMPUTED_VALUE"""),169.9)</f>
        <v>169.9</v>
      </c>
      <c r="F658" s="2">
        <f>IFERROR(__xludf.DUMMYFUNCTION("""COMPUTED_VALUE"""),186.0)</f>
        <v>186</v>
      </c>
      <c r="G658" s="2">
        <f>IFERROR(__xludf.DUMMYFUNCTION("""COMPUTED_VALUE"""),205.0)</f>
        <v>205</v>
      </c>
      <c r="H658" s="2">
        <f>IFERROR(__xludf.DUMMYFUNCTION("""COMPUTED_VALUE"""),241.0)</f>
        <v>241</v>
      </c>
      <c r="I658" s="2">
        <f>IFERROR(__xludf.DUMMYFUNCTION("""COMPUTED_VALUE"""),305.0)</f>
        <v>305</v>
      </c>
      <c r="J658" s="2">
        <f>IFERROR(__xludf.DUMMYFUNCTION("""COMPUTED_VALUE"""),153.0)</f>
        <v>153</v>
      </c>
      <c r="K658" s="2">
        <f>IFERROR(__xludf.DUMMYFUNCTION("""COMPUTED_VALUE"""),11.0)</f>
        <v>11</v>
      </c>
      <c r="L658" s="2" t="str">
        <f>IFERROR(__xludf.DUMMYFUNCTION("""COMPUTED_VALUE"""),"Капсульные лампы G4, G9")</f>
        <v>Капсульные лампы G4, G9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IFERROR(__xludf.DUMMYFUNCTION("""COMPUTED_VALUE"""),"GL81411")</f>
        <v>GL81411</v>
      </c>
      <c r="B659" s="5" t="str">
        <f>IFERROR(__xludf.DUMMYFUNCTION("""COMPUTED_VALUE"""),"GLERIO Office Special 20 Вт 4000K 82P-20D-4V-P")</f>
        <v>GLERIO Office Special 20 Вт 4000K 82P-20D-4V-P</v>
      </c>
      <c r="C659" s="2">
        <f>IFERROR(__xludf.DUMMYFUNCTION("""COMPUTED_VALUE"""),1.04)</f>
        <v>1.04</v>
      </c>
      <c r="D659" s="2">
        <f>IFERROR(__xludf.DUMMYFUNCTION("""COMPUTED_VALUE"""),0.008190000000000001)</f>
        <v>0.00819</v>
      </c>
      <c r="E659" s="2">
        <f>IFERROR(__xludf.DUMMYFUNCTION("""COMPUTED_VALUE"""),1464.7)</f>
        <v>1464.7</v>
      </c>
      <c r="F659" s="2">
        <f>IFERROR(__xludf.DUMMYFUNCTION("""COMPUTED_VALUE"""),1700.0)</f>
        <v>1700</v>
      </c>
      <c r="G659" s="2">
        <f>IFERROR(__xludf.DUMMYFUNCTION("""COMPUTED_VALUE"""),2140.0)</f>
        <v>2140</v>
      </c>
      <c r="H659" s="2">
        <f>IFERROR(__xludf.DUMMYFUNCTION("""COMPUTED_VALUE"""),2404.0)</f>
        <v>2404</v>
      </c>
      <c r="I659" s="2">
        <f>IFERROR(__xludf.DUMMYFUNCTION("""COMPUTED_VALUE"""),2667.0)</f>
        <v>2667</v>
      </c>
      <c r="J659" s="2">
        <f>IFERROR(__xludf.DUMMYFUNCTION("""COMPUTED_VALUE"""),1334.0)</f>
        <v>1334</v>
      </c>
      <c r="K659" s="2">
        <f>IFERROR(__xludf.DUMMYFUNCTION("""COMPUTED_VALUE"""),30.0)</f>
        <v>30</v>
      </c>
      <c r="L659" s="2" t="str">
        <f>IFERROR(__xludf.DUMMYFUNCTION("""COMPUTED_VALUE"""),"Office Special+ GLERIO (Офис Премиум)")</f>
        <v>Office Special+ GLERIO (Офис Премиум)</v>
      </c>
      <c r="M65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5" t="str">
        <f>IFERROR(__xludf.DUMMYFUNCTION("""COMPUTED_VALUE"""),"100-300")</f>
        <v>100-300</v>
      </c>
      <c r="B660" s="5" t="str">
        <f>IFERROR(__xludf.DUMMYFUNCTION("""COMPUTED_VALUE"""),"Пиктограмма 100х300мм ""ВЫХОД""")</f>
        <v>Пиктограмма 100х300мм "ВЫХОД"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IFERROR(__xludf.DUMMYFUNCTION("""COMPUTED_VALUE"""),31.15)</f>
        <v>31.15</v>
      </c>
      <c r="F660" s="2">
        <f>IFERROR(__xludf.DUMMYFUNCTION("""COMPUTED_VALUE"""),1.0)</f>
        <v>1</v>
      </c>
      <c r="G660" s="2">
        <f>IFERROR(__xludf.DUMMYFUNCTION("""COMPUTED_VALUE"""),1.0)</f>
        <v>1</v>
      </c>
      <c r="H660" s="2">
        <f>IFERROR(__xludf.DUMMYFUNCTION("""COMPUTED_VALUE"""),1.0)</f>
        <v>1</v>
      </c>
      <c r="I660" s="2">
        <f>IFERROR(__xludf.DUMMYFUNCTION("""COMPUTED_VALUE"""),1.5)</f>
        <v>1.5</v>
      </c>
      <c r="J660" s="2">
        <f>IFERROR(__xludf.DUMMYFUNCTION("""COMPUTED_VALUE"""),1.5)</f>
        <v>1.5</v>
      </c>
      <c r="K660" s="2">
        <f>IFERROR(__xludf.DUMMYFUNCTION("""COMPUTED_VALUE"""),12.0)</f>
        <v>12</v>
      </c>
      <c r="L660" s="2" t="str">
        <f>IFERROR(__xludf.DUMMYFUNCTION("""COMPUTED_VALUE"""),"Аварийные светильники")</f>
        <v>Аварийные светильники</v>
      </c>
      <c r="M660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1">
      <c r="A661" s="5" t="str">
        <f>IFERROR(__xludf.DUMMYFUNCTION("""COMPUTED_VALUE"""),"4690612015576")</f>
        <v>4690612015576</v>
      </c>
      <c r="B661" s="5" t="str">
        <f>IFERROR(__xludf.DUMMYFUNCTION("""COMPUTED_VALUE"""),"LED-СВЕЧА-standard 10Вт 230В Е14 4000К 900Лм ASD")</f>
        <v>LED-СВЕЧА-standard 10Вт 230В Е14 4000К 900Лм ASD</v>
      </c>
      <c r="C661" s="2">
        <f>IFERROR(__xludf.DUMMYFUNCTION("""COMPUTED_VALUE"""),0.033)</f>
        <v>0.033</v>
      </c>
      <c r="D661" s="2">
        <f>IFERROR(__xludf.DUMMYFUNCTION("""COMPUTED_VALUE"""),1.9E-4)</f>
        <v>0.00019</v>
      </c>
      <c r="E661" s="2">
        <f>IFERROR(__xludf.DUMMYFUNCTION("""COMPUTED_VALUE"""),48.02)</f>
        <v>48.02</v>
      </c>
      <c r="F661" s="2">
        <f>IFERROR(__xludf.DUMMYFUNCTION("""COMPUTED_VALUE"""),33.0)</f>
        <v>33</v>
      </c>
      <c r="G661" s="2">
        <f>IFERROR(__xludf.DUMMYFUNCTION("""COMPUTED_VALUE"""),37.0)</f>
        <v>37</v>
      </c>
      <c r="H661" s="2">
        <f>IFERROR(__xludf.DUMMYFUNCTION("""COMPUTED_VALUE"""),43.0)</f>
        <v>43</v>
      </c>
      <c r="I661" s="2">
        <f>IFERROR(__xludf.DUMMYFUNCTION("""COMPUTED_VALUE"""),49.9)</f>
        <v>49.9</v>
      </c>
      <c r="J661" s="2">
        <f>IFERROR(__xludf.DUMMYFUNCTION("""COMPUTED_VALUE"""),25.0)</f>
        <v>25</v>
      </c>
      <c r="K661" s="2">
        <f>IFERROR(__xludf.DUMMYFUNCTION("""COMPUTED_VALUE"""),3.0)</f>
        <v>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IFERROR(__xludf.DUMMYFUNCTION("""COMPUTED_VALUE"""),"01-4002")</f>
        <v>01-4002</v>
      </c>
      <c r="B662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IFERROR(__xludf.DUMMYFUNCTION("""COMPUTED_VALUE"""),1.0)</f>
        <v>1</v>
      </c>
      <c r="F662" s="2">
        <f>IFERROR(__xludf.DUMMYFUNCTION("""COMPUTED_VALUE"""),3387.0)</f>
        <v>3387</v>
      </c>
      <c r="G662" s="2">
        <f>IFERROR(__xludf.DUMMYFUNCTION("""COMPUTED_VALUE"""),3613.0)</f>
        <v>3613</v>
      </c>
      <c r="H662" s="2">
        <f>IFERROR(__xludf.DUMMYFUNCTION("""COMPUTED_VALUE"""),4065.0)</f>
        <v>4065</v>
      </c>
      <c r="I662" s="2">
        <f>IFERROR(__xludf.DUMMYFUNCTION("""COMPUTED_VALUE"""),4516.22)</f>
        <v>4516.22</v>
      </c>
      <c r="J662" s="2">
        <f>IFERROR(__xludf.DUMMYFUNCTION("""COMPUTED_VALUE"""),2258.0)</f>
        <v>2258</v>
      </c>
      <c r="K662" s="2">
        <f>IFERROR(__xludf.DUMMYFUNCTION("""COMPUTED_VALUE"""),4.0)</f>
        <v>4</v>
      </c>
      <c r="L662" s="2" t="str">
        <f>IFERROR(__xludf.DUMMYFUNCTION("""COMPUTED_VALUE"""),"Rexant")</f>
        <v>Rexant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IFERROR(__xludf.DUMMYFUNCTION("""COMPUTED_VALUE"""),"4690612053028-1")</f>
        <v>4690612053028-1</v>
      </c>
      <c r="B663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IFERROR(__xludf.DUMMYFUNCTION("""COMPUTED_VALUE"""),607.3100000000001)</f>
        <v>607.31</v>
      </c>
      <c r="F663" s="2">
        <f>IFERROR(__xludf.DUMMYFUNCTION("""COMPUTED_VALUE"""),666.0)</f>
        <v>666</v>
      </c>
      <c r="G663" s="2">
        <f>IFERROR(__xludf.DUMMYFUNCTION("""COMPUTED_VALUE"""),874.0)</f>
        <v>874</v>
      </c>
      <c r="H663" s="2">
        <f>IFERROR(__xludf.DUMMYFUNCTION("""COMPUTED_VALUE"""),984.0)</f>
        <v>984</v>
      </c>
      <c r="I663" s="2">
        <f>IFERROR(__xludf.DUMMYFUNCTION("""COMPUTED_VALUE"""),1093.0)</f>
        <v>1093</v>
      </c>
      <c r="J663" s="2">
        <f>IFERROR(__xludf.DUMMYFUNCTION("""COMPUTED_VALUE"""),547.0)</f>
        <v>547</v>
      </c>
      <c r="K663" s="2">
        <f>IFERROR(__xludf.DUMMYFUNCTION("""COMPUTED_VALUE"""),2.0)</f>
        <v>2</v>
      </c>
      <c r="L6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IFERROR(__xludf.DUMMYFUNCTION("""COMPUTED_VALUE"""),82.0)</f>
        <v>82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IFERROR(__xludf.DUMMYFUNCTION("""COMPUTED_VALUE"""),24.0)</f>
        <v>24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IFERROR(__xludf.DUMMYFUNCTION("""COMPUTED_VALUE"""),0.226)</f>
        <v>0.226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IFERROR(__xludf.DUMMYFUNCTION("""COMPUTED_VALUE"""),42.0)</f>
        <v>42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IFERROR(__xludf.DUMMYFUNCTION("""COMPUTED_VALUE"""),78.0)</f>
        <v>78</v>
      </c>
      <c r="G694" s="2">
        <f>IFERROR(__xludf.DUMMYFUNCTION("""COMPUTED_VALUE"""),92.0)</f>
        <v>92</v>
      </c>
      <c r="H694" s="2">
        <f>IFERROR(__xludf.DUMMYFUNCTION("""COMPUTED_VALUE"""),95.0)</f>
        <v>95</v>
      </c>
      <c r="I694" s="2">
        <f>IFERROR(__xludf.DUMMYFUNCTION("""COMPUTED_VALUE"""),109.0)</f>
        <v>109</v>
      </c>
      <c r="J694" s="2">
        <f>IFERROR(__xludf.DUMMYFUNCTION("""COMPUTED_VALUE"""),55.0)</f>
        <v>55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IFERROR(__xludf.DUMMYFUNCTION("""COMPUTED_VALUE"""),888.0)</f>
        <v>888</v>
      </c>
      <c r="G695" s="2">
        <f>IFERROR(__xludf.DUMMYFUNCTION("""COMPUTED_VALUE"""),1045.0)</f>
        <v>1045</v>
      </c>
      <c r="H695" s="2">
        <f>IFERROR(__xludf.DUMMYFUNCTION("""COMPUTED_VALUE"""),1077.0)</f>
        <v>1077</v>
      </c>
      <c r="I695" s="2">
        <f>IFERROR(__xludf.DUMMYFUNCTION("""COMPUTED_VALUE"""),1238.0)</f>
        <v>1238</v>
      </c>
      <c r="J695" s="2">
        <f>IFERROR(__xludf.DUMMYFUNCTION("""COMPUTED_VALUE"""),619.0)</f>
        <v>619</v>
      </c>
      <c r="K695" s="2">
        <f>IFERROR(__xludf.DUMMYFUNCTION("""COMPUTED_VALUE"""),1.0)</f>
        <v>1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IFERROR(__xludf.DUMMYFUNCTION("""COMPUTED_VALUE"""),1.0)</f>
        <v>1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IFERROR(__xludf.DUMMYFUNCTION("""COMPUTED_VALUE"""),11.0)</f>
        <v>11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IFERROR(__xludf.DUMMYFUNCTION("""COMPUTED_VALUE"""),139.0)</f>
        <v>139</v>
      </c>
      <c r="G702" s="2">
        <f>IFERROR(__xludf.DUMMYFUNCTION("""COMPUTED_VALUE"""),164.0)</f>
        <v>164</v>
      </c>
      <c r="H702" s="2">
        <f>IFERROR(__xludf.DUMMYFUNCTION("""COMPUTED_VALUE"""),169.0)</f>
        <v>169</v>
      </c>
      <c r="I702" s="2">
        <f>IFERROR(__xludf.DUMMYFUNCTION("""COMPUTED_VALUE"""),194.0)</f>
        <v>194</v>
      </c>
      <c r="J702" s="2">
        <f>IFERROR(__xludf.DUMMYFUNCTION("""COMPUTED_VALUE"""),164.0)</f>
        <v>164</v>
      </c>
      <c r="K702" s="2">
        <f>IFERROR(__xludf.DUMMYFUNCTION("""COMPUTED_VALUE"""),153.0)</f>
        <v>153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IFERROR(__xludf.DUMMYFUNCTION("""COMPUTED_VALUE"""),325.0)</f>
        <v>325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IFERROR(__xludf.DUMMYFUNCTION("""COMPUTED_VALUE"""),"4690612038803-1")</f>
        <v>4690612038803-1</v>
      </c>
      <c r="B71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5" s="2">
        <f>IFERROR(__xludf.DUMMYFUNCTION("""COMPUTED_VALUE"""),1.2925)</f>
        <v>1.2925</v>
      </c>
      <c r="D715" s="2">
        <f>IFERROR(__xludf.DUMMYFUNCTION("""COMPUTED_VALUE"""),0.00885)</f>
        <v>0.00885</v>
      </c>
      <c r="E715" s="2">
        <f>IFERROR(__xludf.DUMMYFUNCTION("""COMPUTED_VALUE"""),717.53)</f>
        <v>717.53</v>
      </c>
      <c r="F715" s="2">
        <f>IFERROR(__xludf.DUMMYFUNCTION("""COMPUTED_VALUE"""),787.0)</f>
        <v>787</v>
      </c>
      <c r="G715" s="2">
        <f>IFERROR(__xludf.DUMMYFUNCTION("""COMPUTED_VALUE"""),1034.0)</f>
        <v>1034</v>
      </c>
      <c r="H715" s="2">
        <f>IFERROR(__xludf.DUMMYFUNCTION("""COMPUTED_VALUE"""),1163.0)</f>
        <v>1163</v>
      </c>
      <c r="I715" s="2">
        <f>IFERROR(__xludf.DUMMYFUNCTION("""COMPUTED_VALUE"""),1292.0)</f>
        <v>1292</v>
      </c>
      <c r="J715" s="2">
        <f>IFERROR(__xludf.DUMMYFUNCTION("""COMPUTED_VALUE"""),646.0)</f>
        <v>646</v>
      </c>
      <c r="K715" s="2">
        <f>IFERROR(__xludf.DUMMYFUNCTION("""COMPUTED_VALUE"""),1.0)</f>
        <v>1</v>
      </c>
      <c r="L7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IFERROR(__xludf.DUMMYFUNCTION("""COMPUTED_VALUE"""),30.0)</f>
        <v>30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IFERROR(__xludf.DUMMYFUNCTION("""COMPUTED_VALUE"""),17.0)</f>
        <v>17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IFERROR(__xludf.DUMMYFUNCTION("""COMPUTED_VALUE"""),38.0)</f>
        <v>38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