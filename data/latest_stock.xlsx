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Потолочное и настенное" sheetId="1" r:id="rId5"/>
    <sheet state="visible" name="2 Освещение - Уличное" sheetId="2" r:id="rId6"/>
    <sheet state="visible" name="3 Потолочное и настенное - Трек" sheetId="3" r:id="rId7"/>
    <sheet state="visible" name="4 Комплектующие - Лампочки" sheetId="4" r:id="rId8"/>
    <sheet state="visible" name="5 Мебель и интерьер - Другое" sheetId="5" r:id="rId9"/>
    <sheet state="visible" name="6 Освещение - Декоративное осве" sheetId="6" r:id="rId10"/>
    <sheet state="visible" name="7 Электрика - Другое" sheetId="7" r:id="rId11"/>
    <sheet state="visible" name="8 Комплектующие - Питание и упр" sheetId="8" r:id="rId12"/>
    <sheet state="visible" name="Остатки СПБ запасы" sheetId="9" r:id="rId13"/>
    <sheet state="visible" name="Ссылки" sheetId="10" r:id="rId14"/>
  </sheets>
  <definedNames/>
  <calcPr/>
</workbook>
</file>

<file path=xl/sharedStrings.xml><?xml version="1.0" encoding="utf-8"?>
<sst xmlns="http://schemas.openxmlformats.org/spreadsheetml/2006/main" count="18" uniqueCount="14">
  <si>
    <t>Основные характеристики</t>
  </si>
  <si>
    <t>Габаритные размеры</t>
  </si>
  <si>
    <t>Дополнительные характеристики</t>
  </si>
  <si>
    <t>Упаковка</t>
  </si>
  <si>
    <t>Цена столб.</t>
  </si>
  <si>
    <t>Остаток столб.</t>
  </si>
  <si>
    <t>Остатки СПБ запасы</t>
  </si>
  <si>
    <t>https://docs.google.com/spreadsheets/d/1UY1NZ9G0sT7F7W35hU8I1i7IYmRb6JNVmytW6Of_o14/edit?usp=sharing</t>
  </si>
  <si>
    <t>J</t>
  </si>
  <si>
    <t>K</t>
  </si>
  <si>
    <t>Avito API. Список объявлений, Экспорт Остатки, Экспорт цены на Авито</t>
  </si>
  <si>
    <t>https://docs.google.com/spreadsheets/d/1Mrmt5ErbNUpzAE8fcLlO5TCd07vho-RGL586zulCSoc/edit?usp=sharing</t>
  </si>
  <si>
    <t>Авито БД товаров подготовка для XML файл</t>
  </si>
  <si>
    <t>https://docs.google.com/spreadsheets/d/1ExDjS6UjKsniJPLGl9Zy98mzx6uyZHIo94a5iAIX8Ug/edit?usp=sharing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</si>
</sst>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2" numFmtId="0" xfId="0" applyFont="1"/>
    <xf borderId="0" fillId="0" fontId="1" numFmtId="49" xfId="0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arion-svet.com/web/binary/saveas_archive?model=product.picture&amp;ids=%5B1992%5D&amp;field=image&amp;name_field=name&amp;archive_name=GL8270_image" TargetMode="External"/><Relationship Id="rId42" Type="http://schemas.openxmlformats.org/officeDocument/2006/relationships/hyperlink" Target="http://darion-svet.com/web/binary/image?model=product.product&amp;id=20368&amp;field=image" TargetMode="External"/><Relationship Id="rId41" Type="http://schemas.openxmlformats.org/officeDocument/2006/relationships/hyperlink" Target="http://darion-svet.com/shop/product/gl8270-glerio-line-free-36-vt-93p-36d-4p-m" TargetMode="External"/><Relationship Id="rId44" Type="http://schemas.openxmlformats.org/officeDocument/2006/relationships/hyperlink" Target="http://darion-svet.com/shop/product/gl8271-glerio-line-free-36-vt-93p-36d-4p-p" TargetMode="External"/><Relationship Id="rId43" Type="http://schemas.openxmlformats.org/officeDocument/2006/relationships/hyperlink" Target="http://darion-svet.com/web/binary/saveas_archive?model=product.picture&amp;ids=%5B1994%5D&amp;field=image&amp;name_field=name&amp;archive_name=GL8271_image" TargetMode="External"/><Relationship Id="rId46" Type="http://schemas.openxmlformats.org/officeDocument/2006/relationships/hyperlink" Target="http://darion-svet.com/web/binary/saveas_archive?model=product.picture&amp;ids=%5B1993%5D&amp;field=image&amp;name_field=name&amp;archive_name=GL8272_image" TargetMode="External"/><Relationship Id="rId45" Type="http://schemas.openxmlformats.org/officeDocument/2006/relationships/hyperlink" Target="http://darion-svet.com/web/binary/image?model=product.product&amp;id=20369&amp;field=image" TargetMode="External"/><Relationship Id="rId1" Type="http://schemas.openxmlformats.org/officeDocument/2006/relationships/hyperlink" Target="http://darion-svet.com/web/binary/image?model=product.product&amp;id=30380&amp;field=image" TargetMode="External"/><Relationship Id="rId2" Type="http://schemas.openxmlformats.org/officeDocument/2006/relationships/hyperlink" Target="http://darion-svet.com/web/binary/saveas_archive?model=product.picture&amp;ids=%5B1977%5D&amp;field=image&amp;name_field=name&amp;archive_name=GL81111_image" TargetMode="External"/><Relationship Id="rId3" Type="http://schemas.openxmlformats.org/officeDocument/2006/relationships/hyperlink" Target="https://darion-svet.com/shop/product/gl81111-glerio-office-casual-20-vt-4000k-81p-20d-4v-p" TargetMode="External"/><Relationship Id="rId4" Type="http://schemas.openxmlformats.org/officeDocument/2006/relationships/hyperlink" Target="http://darion-svet.com/web/binary/image?model=product.product&amp;id=25280&amp;field=image" TargetMode="External"/><Relationship Id="rId9" Type="http://schemas.openxmlformats.org/officeDocument/2006/relationships/hyperlink" Target="http://darion-svet.com/web/binary/image?model=product.product&amp;id=20324&amp;field=image" TargetMode="External"/><Relationship Id="rId48" Type="http://schemas.openxmlformats.org/officeDocument/2006/relationships/hyperlink" Target="http://darion-svet.com/web/binary/image?model=product.product&amp;id=20370&amp;field=image" TargetMode="External"/><Relationship Id="rId47" Type="http://schemas.openxmlformats.org/officeDocument/2006/relationships/hyperlink" Target="http://darion-svet.com/shop/product/gl8272-glerio-line-free-36-vt-93p-36d-4p-mp" TargetMode="External"/><Relationship Id="rId49" Type="http://schemas.openxmlformats.org/officeDocument/2006/relationships/hyperlink" Target="http://darion-svet.com/web/binary/saveas_archive?model=product.picture&amp;ids=%5B1991%5D&amp;field=image&amp;name_field=name&amp;archive_name=GL8273_image" TargetMode="External"/><Relationship Id="rId5" Type="http://schemas.openxmlformats.org/officeDocument/2006/relationships/hyperlink" Target="http://darion-svet.com/web/binary/saveas_archive?model=product.picture&amp;ids=%5B1983%5D&amp;field=image&amp;name_field=name&amp;archive_name=GL82335_image" TargetMode="External"/><Relationship Id="rId6" Type="http://schemas.openxmlformats.org/officeDocument/2006/relationships/hyperlink" Target="https://darion-svet.com/shop/product/gl82335-glerio-line-36-vt-5000k-91p-36d-5n-k" TargetMode="External"/><Relationship Id="rId7" Type="http://schemas.openxmlformats.org/officeDocument/2006/relationships/hyperlink" Target="http://darion-svet.com/web/binary/image?model=product.product&amp;id=31042&amp;field=image" TargetMode="External"/><Relationship Id="rId8" Type="http://schemas.openxmlformats.org/officeDocument/2006/relationships/hyperlink" Target="http://darion-svet.com/shop/product/gl81509-glerio-office-special-48-vt-4000k-82p-48d-4g-m" TargetMode="External"/><Relationship Id="rId31" Type="http://schemas.openxmlformats.org/officeDocument/2006/relationships/hyperlink" Target="http://darion-svet.com/web/binary/saveas_archive?model=product.picture&amp;ids=%5B1989%5D&amp;field=image&amp;name_field=name&amp;archive_name=GL8242_image" TargetMode="External"/><Relationship Id="rId30" Type="http://schemas.openxmlformats.org/officeDocument/2006/relationships/hyperlink" Target="http://darion-svet.com/web/binary/image?model=product.product&amp;id=20357&amp;field=image" TargetMode="External"/><Relationship Id="rId33" Type="http://schemas.openxmlformats.org/officeDocument/2006/relationships/hyperlink" Target="http://darion-svet.com/web/binary/image?model=product.product&amp;id=20358&amp;field=image" TargetMode="External"/><Relationship Id="rId32" Type="http://schemas.openxmlformats.org/officeDocument/2006/relationships/hyperlink" Target="http://darion-svet.com/shop/product/gl8242-glerio-line-shell-24-vt-92p-24d-4p-mp" TargetMode="External"/><Relationship Id="rId35" Type="http://schemas.openxmlformats.org/officeDocument/2006/relationships/hyperlink" Target="http://darion-svet.com/shop/product/gl8243-glerio-line-shell-24-vt-92p-24d-4p-k" TargetMode="External"/><Relationship Id="rId34" Type="http://schemas.openxmlformats.org/officeDocument/2006/relationships/hyperlink" Target="http://darion-svet.com/web/binary/saveas_archive?model=product.picture&amp;ids=%5B1987%5D&amp;field=image&amp;name_field=name&amp;archive_name=GL8243_image" TargetMode="External"/><Relationship Id="rId37" Type="http://schemas.openxmlformats.org/officeDocument/2006/relationships/hyperlink" Target="http://darion-svet.com/web/binary/saveas_archive?model=product.picture&amp;ids=%5B1988%5D&amp;field=image&amp;name_field=name&amp;archive_name=GL8250_image" TargetMode="External"/><Relationship Id="rId36" Type="http://schemas.openxmlformats.org/officeDocument/2006/relationships/hyperlink" Target="http://darion-svet.com/web/binary/image?model=product.product&amp;id=20359&amp;field=image" TargetMode="External"/><Relationship Id="rId39" Type="http://schemas.openxmlformats.org/officeDocument/2006/relationships/hyperlink" Target="http://darion-svet.com/web/binary/image?model=product.product&amp;id=20367&amp;field=image" TargetMode="External"/><Relationship Id="rId38" Type="http://schemas.openxmlformats.org/officeDocument/2006/relationships/hyperlink" Target="http://darion-svet.com/shop/product/gl8250-glerio-line-shell-36-vt-92p-36d-4p-m" TargetMode="External"/><Relationship Id="rId20" Type="http://schemas.openxmlformats.org/officeDocument/2006/relationships/hyperlink" Target="http://darion-svet.com/shop/product/gl814191-glerio-office-special-20-vt-4000k-82p-20d-4g-p" TargetMode="External"/><Relationship Id="rId22" Type="http://schemas.openxmlformats.org/officeDocument/2006/relationships/hyperlink" Target="http://darion-svet.com/web/binary/saveas_archive?model=product.picture&amp;ids=%5B1982%5D&amp;field=image&amp;name_field=name&amp;archive_name=GL81511_image" TargetMode="External"/><Relationship Id="rId21" Type="http://schemas.openxmlformats.org/officeDocument/2006/relationships/hyperlink" Target="http://darion-svet.com/web/binary/image?model=product.product&amp;id=30427&amp;field=image" TargetMode="External"/><Relationship Id="rId24" Type="http://schemas.openxmlformats.org/officeDocument/2006/relationships/hyperlink" Target="http://darion-svet.com/web/binary/image?model=product.product&amp;id=31104&amp;field=image" TargetMode="External"/><Relationship Id="rId23" Type="http://schemas.openxmlformats.org/officeDocument/2006/relationships/hyperlink" Target="https://darion-svet.com/shop/product/gl81511-glerio-office-special-40-vt-4000k-82p-40d-4v-p" TargetMode="External"/><Relationship Id="rId26" Type="http://schemas.openxmlformats.org/officeDocument/2006/relationships/hyperlink" Target="http://darion-svet.com/shop/product/gl815191-glerio-office-special-40-vt-4000k-82p-40d-4g-p" TargetMode="External"/><Relationship Id="rId25" Type="http://schemas.openxmlformats.org/officeDocument/2006/relationships/hyperlink" Target="http://darion-svet.com/web/binary/saveas_archive?model=product.picture&amp;ids=%5B2011%5D&amp;field=image&amp;name_field=name&amp;archive_name=GL815191_image" TargetMode="External"/><Relationship Id="rId28" Type="http://schemas.openxmlformats.org/officeDocument/2006/relationships/hyperlink" Target="http://darion-svet.com/web/binary/saveas_archive?model=product.picture&amp;ids=%5B1990%5D&amp;field=image&amp;name_field=name&amp;archive_name=GL8241_image" TargetMode="External"/><Relationship Id="rId27" Type="http://schemas.openxmlformats.org/officeDocument/2006/relationships/hyperlink" Target="http://darion-svet.com/web/binary/image?model=product.product&amp;id=20356&amp;field=image" TargetMode="External"/><Relationship Id="rId29" Type="http://schemas.openxmlformats.org/officeDocument/2006/relationships/hyperlink" Target="https://darion-svet.com/shop/product/gl8241-glerio-line-shell-24-vt-92p-24d-4p-p" TargetMode="External"/><Relationship Id="rId51" Type="http://schemas.openxmlformats.org/officeDocument/2006/relationships/hyperlink" Target="http://darion-svet.com/web/binary/image?model=product.product&amp;id=20847&amp;field=image" TargetMode="External"/><Relationship Id="rId50" Type="http://schemas.openxmlformats.org/officeDocument/2006/relationships/hyperlink" Target="http://darion-svet.com/shop/product/gl8273-glerio-line-free-36-vt-93p-36d-4p-k" TargetMode="External"/><Relationship Id="rId53" Type="http://schemas.openxmlformats.org/officeDocument/2006/relationships/hyperlink" Target="http://darion-svet.com/web/binary/saveas?model=product.product&amp;field=conformity_cert&amp;filename_field=conformity_cert_filename&amp;id=20847" TargetMode="External"/><Relationship Id="rId52" Type="http://schemas.openxmlformats.org/officeDocument/2006/relationships/hyperlink" Target="http://darion-svet.com/shop/product/4690612038810-dvo-02-4065-opal-40vt-230v-6500k-3600lm-595h595h25-neox" TargetMode="External"/><Relationship Id="rId11" Type="http://schemas.openxmlformats.org/officeDocument/2006/relationships/hyperlink" Target="https://darion-svet.com/shop/product/gl8121-glerio-office-casual-36-vt-81p-36d-4v-p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://darion-svet.com/web/binary/saveas_archive?model=product.picture&amp;ids=%5B1977%5D&amp;field=image&amp;name_field=name&amp;archive_name=GL8121_image" TargetMode="External"/><Relationship Id="rId54" Type="http://schemas.openxmlformats.org/officeDocument/2006/relationships/hyperlink" Target="http://darion-svet.com/web/binary/saveas?model=product.product&amp;field=datasheet&amp;filename_field=datasheet_filename&amp;id=20847" TargetMode="External"/><Relationship Id="rId13" Type="http://schemas.openxmlformats.org/officeDocument/2006/relationships/hyperlink" Target="http://darion-svet.com/web/binary/saveas_archive?model=product.picture&amp;ids=%5B1977%5D&amp;field=image&amp;name_field=name&amp;archive_name=GL81311_image" TargetMode="External"/><Relationship Id="rId12" Type="http://schemas.openxmlformats.org/officeDocument/2006/relationships/hyperlink" Target="http://darion-svet.com/web/binary/image?model=product.product&amp;id=30403&amp;field=image" TargetMode="External"/><Relationship Id="rId15" Type="http://schemas.openxmlformats.org/officeDocument/2006/relationships/hyperlink" Target="http://darion-svet.com/web/binary/image?model=product.product&amp;id=30415&amp;field=image" TargetMode="External"/><Relationship Id="rId14" Type="http://schemas.openxmlformats.org/officeDocument/2006/relationships/hyperlink" Target="https://darion-svet.com/shop/product/gl81311-glerio-office-casual-40-vt-4000k-81p-40d-4v-p" TargetMode="External"/><Relationship Id="rId17" Type="http://schemas.openxmlformats.org/officeDocument/2006/relationships/hyperlink" Target="https://darion-svet.com/shop/product/gl81411-glerio-office-special-20-vt-4000k-82p-20d-4v-p" TargetMode="External"/><Relationship Id="rId16" Type="http://schemas.openxmlformats.org/officeDocument/2006/relationships/hyperlink" Target="http://darion-svet.com/web/binary/saveas_archive?model=product.picture&amp;ids=%5B1982%5D&amp;field=image&amp;name_field=name&amp;archive_name=GL81411_image" TargetMode="External"/><Relationship Id="rId19" Type="http://schemas.openxmlformats.org/officeDocument/2006/relationships/hyperlink" Target="http://darion-svet.com/web/binary/saveas_archive?model=product.picture&amp;ids=%5B2011%5D&amp;field=image&amp;name_field=name&amp;archive_name=GL814191_image" TargetMode="External"/><Relationship Id="rId18" Type="http://schemas.openxmlformats.org/officeDocument/2006/relationships/hyperlink" Target="http://darion-svet.com/web/binary/image?model=product.product&amp;id=31092&amp;field=imag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Y1NZ9G0sT7F7W35hU8I1i7IYmRb6JNVmytW6Of_o14/edit?usp=sharing" TargetMode="External"/><Relationship Id="rId2" Type="http://schemas.openxmlformats.org/officeDocument/2006/relationships/hyperlink" Target="https://docs.google.com/spreadsheets/d/1Mrmt5ErbNUpzAE8fcLlO5TCd07vho-RGL586zulCSoc/edit?usp=sharing" TargetMode="External"/><Relationship Id="rId3" Type="http://schemas.openxmlformats.org/officeDocument/2006/relationships/hyperlink" Target="https://docs.google.com/spreadsheets/d/1ExDjS6UjKsniJPLGl9Zy98mzx6uyZHIo94a5iAIX8Ug/edit?usp=sharing" TargetMode="External"/><Relationship Id="rId4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63"/>
  </cols>
  <sheetData>
    <row r="1">
      <c r="A1" s="1" t="s">
        <v>0</v>
      </c>
      <c r="V1" s="1" t="s">
        <v>1</v>
      </c>
      <c r="AD1" s="1" t="s">
        <v>2</v>
      </c>
      <c r="AS1" s="1" t="s">
        <v>3</v>
      </c>
      <c r="BI1" s="2">
        <f>COUNTIFS(BI$3:BI1000,"&gt;0",BJ$3:BJ1000,"&gt;1",E$3:E1000,"&lt;&gt;""")</f>
        <v>18</v>
      </c>
    </row>
    <row r="2">
      <c r="A2" s="1" t="str">
        <f>IFERROR(__xludf.DUMMYFUNCTION("IFERROR(
{IMPORTRANGE('Ссылки'!B4,""1 Потолочное и настенное!A2:BK2"");
FILTER(
IMPORTRANGE('Ссылки'!B4,""1 Потолочное и настенное!A3:BK""),
(IMPORTRANGE('Ссылки'!B4,""1 Потолочное и настенное!BI3:BI"")&gt;0)
*
(IMPORTRANGE('Ссылки'!B4,""1 Потолочное и насте"&amp;"нное!BJ3:BJ"")&gt;1)
*
(IMPORTRANGE('Ссылки'!B4,""1 Потолочное и настенное!BK3:BK"")=0)
*
(IMPORTRANGE('Ссылки'!B4,""1 Потолочное и настенное!E3:E"")&lt;&gt;"""")
)
}
)"),"Артикул")</f>
        <v>Артикул</v>
      </c>
      <c r="B2" s="2" t="str">
        <f>IFERROR(__xludf.DUMMYFUNCTION("""COMPUTED_VALUE"""),"Наименование")</f>
        <v>Наименование</v>
      </c>
      <c r="C2" s="2" t="str">
        <f>IFERROR(__xludf.DUMMYFUNCTION("""COMPUTED_VALUE"""),"Категория продукции")</f>
        <v>Категория продукции</v>
      </c>
      <c r="D2" s="2" t="str">
        <f>IFERROR(__xludf.DUMMYFUNCTION("""COMPUTED_VALUE"""),"Штрих-код EAN 13")</f>
        <v>Штрих-код EAN 13</v>
      </c>
      <c r="E2" s="2" t="str">
        <f>IFERROR(__xludf.DUMMYFUNCTION("""COMPUTED_VALUE"""),"Изображение товара")</f>
        <v>Изображение товара</v>
      </c>
      <c r="F2" s="2" t="str">
        <f>IFERROR(__xludf.DUMMYFUNCTION("""COMPUTED_VALUE"""),"Гарантия, лет")</f>
        <v>Гарантия, лет</v>
      </c>
      <c r="G2" s="2" t="str">
        <f>IFERROR(__xludf.DUMMYFUNCTION("""COMPUTED_VALUE"""),"Страна производитель")</f>
        <v>Страна производитель</v>
      </c>
      <c r="H2" s="2" t="str">
        <f>IFERROR(__xludf.DUMMYFUNCTION("""COMPUTED_VALUE"""),"Торговая марка")</f>
        <v>Торговая марка</v>
      </c>
      <c r="I2" s="2" t="str">
        <f>IFERROR(__xludf.DUMMYFUNCTION("""COMPUTED_VALUE"""),"Способ установки")</f>
        <v>Способ установки</v>
      </c>
      <c r="J2" s="2" t="str">
        <f>IFERROR(__xludf.DUMMYFUNCTION("""COMPUTED_VALUE"""),"Область применения")</f>
        <v>Область применения</v>
      </c>
      <c r="K2" s="2" t="str">
        <f>IFERROR(__xludf.DUMMYFUNCTION("""COMPUTED_VALUE"""),"Тип источника света")</f>
        <v>Тип источника света</v>
      </c>
      <c r="L2" s="2" t="str">
        <f>IFERROR(__xludf.DUMMYFUNCTION("""COMPUTED_VALUE"""),"Количество ламп")</f>
        <v>Количество ламп</v>
      </c>
      <c r="M2" s="2" t="str">
        <f>IFERROR(__xludf.DUMMYFUNCTION("""COMPUTED_VALUE"""),"Мощность, Вт")</f>
        <v>Мощность, Вт</v>
      </c>
      <c r="N2" s="2" t="str">
        <f>IFERROR(__xludf.DUMMYFUNCTION("""COMPUTED_VALUE"""),"Цоколь")</f>
        <v>Цоколь</v>
      </c>
      <c r="O2" s="2" t="str">
        <f>IFERROR(__xludf.DUMMYFUNCTION("""COMPUTED_VALUE"""),"Тип матрицы LED")</f>
        <v>Тип матрицы LED</v>
      </c>
      <c r="P2" s="2" t="str">
        <f>IFERROR(__xludf.DUMMYFUNCTION("""COMPUTED_VALUE"""),"Световой поток, лм")</f>
        <v>Световой поток, лм</v>
      </c>
      <c r="Q2" s="2" t="str">
        <f>IFERROR(__xludf.DUMMYFUNCTION("""COMPUTED_VALUE"""),"Цветовая температура, К")</f>
        <v>Цветовая температура, К</v>
      </c>
      <c r="R2" s="2" t="str">
        <f>IFERROR(__xludf.DUMMYFUNCTION("""COMPUTED_VALUE"""),"Индекс цветопередачи, Ra ≥")</f>
        <v>Индекс цветопередачи, Ra ≥</v>
      </c>
      <c r="S2" s="2" t="str">
        <f>IFERROR(__xludf.DUMMYFUNCTION("""COMPUTED_VALUE"""),"Степень защиты IP")</f>
        <v>Степень защиты IP</v>
      </c>
      <c r="T2" s="2" t="str">
        <f>IFERROR(__xludf.DUMMYFUNCTION("""COMPUTED_VALUE"""),"Тип КСС")</f>
        <v>Тип КСС</v>
      </c>
      <c r="U2" s="2" t="str">
        <f>IFERROR(__xludf.DUMMYFUNCTION("""COMPUTED_VALUE"""),"Срок службы (не менее)")</f>
        <v>Срок службы (не менее)</v>
      </c>
      <c r="V2" s="2" t="str">
        <f>IFERROR(__xludf.DUMMYFUNCTION("""COMPUTED_VALUE"""),"A")</f>
        <v>A</v>
      </c>
      <c r="W2" s="2" t="str">
        <f>IFERROR(__xludf.DUMMYFUNCTION("""COMPUTED_VALUE"""),"B")</f>
        <v>B</v>
      </c>
      <c r="X2" s="2" t="str">
        <f>IFERROR(__xludf.DUMMYFUNCTION("""COMPUTED_VALUE"""),"C")</f>
        <v>C</v>
      </c>
      <c r="Y2" s="2" t="str">
        <f>IFERROR(__xludf.DUMMYFUNCTION("""COMPUTED_VALUE"""),"D")</f>
        <v>D</v>
      </c>
      <c r="Z2" s="2" t="str">
        <f>IFERROR(__xludf.DUMMYFUNCTION("""COMPUTED_VALUE"""),"d")</f>
        <v>d</v>
      </c>
      <c r="AA2" s="2" t="str">
        <f>IFERROR(__xludf.DUMMYFUNCTION("""COMPUTED_VALUE"""),"H")</f>
        <v>H</v>
      </c>
      <c r="AB2" s="2" t="str">
        <f>IFERROR(__xludf.DUMMYFUNCTION("""COMPUTED_VALUE"""),"Масса нетто, кг")</f>
        <v>Масса нетто, кг</v>
      </c>
      <c r="AC2" s="2" t="str">
        <f>IFERROR(__xludf.DUMMYFUNCTION("""COMPUTED_VALUE"""),"Габаритные размеры (изображение)")</f>
        <v>Габаритные размеры (изображение)</v>
      </c>
      <c r="AD2" s="2" t="str">
        <f>IFERROR(__xludf.DUMMYFUNCTION("""COMPUTED_VALUE"""),"Материал корпуса")</f>
        <v>Материал корпуса</v>
      </c>
      <c r="AE2" s="2" t="str">
        <f>IFERROR(__xludf.DUMMYFUNCTION("""COMPUTED_VALUE"""),"Материал рассеивателя")</f>
        <v>Материал рассеивателя</v>
      </c>
      <c r="AF2" s="2" t="str">
        <f>IFERROR(__xludf.DUMMYFUNCTION("""COMPUTED_VALUE"""),"Конструкция")</f>
        <v>Конструкция</v>
      </c>
      <c r="AG2" s="2" t="str">
        <f>IFERROR(__xludf.DUMMYFUNCTION("""COMPUTED_VALUE"""),"Оптическая часть")</f>
        <v>Оптическая часть</v>
      </c>
      <c r="AH2" s="2" t="str">
        <f>IFERROR(__xludf.DUMMYFUNCTION("""COMPUTED_VALUE"""),"Дополнительные характеристики")</f>
        <v>Дополнительные характеристики</v>
      </c>
      <c r="AI2" s="2" t="str">
        <f>IFERROR(__xludf.DUMMYFUNCTION("""COMPUTED_VALUE"""),"Тип ПРА")</f>
        <v>Тип ПРА</v>
      </c>
      <c r="AJ2" s="2" t="str">
        <f>IFERROR(__xludf.DUMMYFUNCTION("""COMPUTED_VALUE"""),"Класс по мощности")</f>
        <v>Класс по мощности</v>
      </c>
      <c r="AK2" s="2" t="str">
        <f>IFERROR(__xludf.DUMMYFUNCTION("""COMPUTED_VALUE"""),"cos φ ≥")</f>
        <v>cos φ ≥</v>
      </c>
      <c r="AL2" s="2" t="str">
        <f>IFERROR(__xludf.DUMMYFUNCTION("""COMPUTED_VALUE"""),"Коэффициент пульсации светового потока (не более), %")</f>
        <v>Коэффициент пульсации светового потока (не более), %</v>
      </c>
      <c r="AM2" s="2" t="str">
        <f>IFERROR(__xludf.DUMMYFUNCTION("""COMPUTED_VALUE"""),"Номинальный ток, A")</f>
        <v>Номинальный ток, A</v>
      </c>
      <c r="AN2" s="2" t="str">
        <f>IFERROR(__xludf.DUMMYFUNCTION("""COMPUTED_VALUE"""),"Диапазон напряжения питания, В от")</f>
        <v>Диапазон напряжения питания, В от</v>
      </c>
      <c r="AO2" s="2" t="str">
        <f>IFERROR(__xludf.DUMMYFUNCTION("""COMPUTED_VALUE"""),"Диапазон напряжения питания, В до")</f>
        <v>Диапазон напряжения питания, В до</v>
      </c>
      <c r="AP2" s="2" t="str">
        <f>IFERROR(__xludf.DUMMYFUNCTION("""COMPUTED_VALUE"""),"Диапазон температуры окружающей среды, °C от")</f>
        <v>Диапазон температуры окружающей среды, °C от</v>
      </c>
      <c r="AQ2" s="2" t="str">
        <f>IFERROR(__xludf.DUMMYFUNCTION("""COMPUTED_VALUE"""),"Диапазон температуры окружающей среды, °C до")</f>
        <v>Диапазон температуры окружающей среды, °C до</v>
      </c>
      <c r="AR2" s="2" t="str">
        <f>IFERROR(__xludf.DUMMYFUNCTION("""COMPUTED_VALUE"""),"Климатическое исполнение")</f>
        <v>Климатическое исполнение</v>
      </c>
      <c r="AS2" s="2" t="str">
        <f>IFERROR(__xludf.DUMMYFUNCTION("""COMPUTED_VALUE"""),"Тип упаковки")</f>
        <v>Тип упаковки</v>
      </c>
      <c r="AT2" s="2" t="str">
        <f>IFERROR(__xludf.DUMMYFUNCTION("""COMPUTED_VALUE"""),"Индивидуальная упаковка")</f>
        <v>Индивидуальная упаковка</v>
      </c>
      <c r="AU2" s="2" t="str">
        <f>IFERROR(__xludf.DUMMYFUNCTION("""COMPUTED_VALUE"""),"Объем 1 шт., м³")</f>
        <v>Объем 1 шт., м³</v>
      </c>
      <c r="AV2" s="2" t="str">
        <f>IFERROR(__xludf.DUMMYFUNCTION("""COMPUTED_VALUE"""),"Масса брутто 1 шт., кг")</f>
        <v>Масса брутто 1 шт., кг</v>
      </c>
      <c r="AW2" s="2" t="str">
        <f>IFERROR(__xludf.DUMMYFUNCTION("""COMPUTED_VALUE"""),"Кол-во в упаковке, шт.")</f>
        <v>Кол-во в упаковке, шт.</v>
      </c>
      <c r="AX2" s="2" t="str">
        <f>IFERROR(__xludf.DUMMYFUNCTION("""COMPUTED_VALUE"""),"A уп.")</f>
        <v>A уп.</v>
      </c>
      <c r="AY2" s="2" t="str">
        <f>IFERROR(__xludf.DUMMYFUNCTION("""COMPUTED_VALUE"""),"B уп.")</f>
        <v>B уп.</v>
      </c>
      <c r="AZ2" s="2" t="str">
        <f>IFERROR(__xludf.DUMMYFUNCTION("""COMPUTED_VALUE"""),"C уп.")</f>
        <v>C уп.</v>
      </c>
      <c r="BA2" s="2" t="str">
        <f>IFERROR(__xludf.DUMMYFUNCTION("""COMPUTED_VALUE"""),"Объём упаковки, м³")</f>
        <v>Объём упаковки, м³</v>
      </c>
      <c r="BB2" s="2" t="str">
        <f>IFERROR(__xludf.DUMMYFUNCTION("""COMPUTED_VALUE"""),"Масса упаковки, кг")</f>
        <v>Масса упаковки, кг</v>
      </c>
      <c r="BC2" s="2" t="str">
        <f>IFERROR(__xludf.DUMMYFUNCTION("""COMPUTED_VALUE"""),"Штрих код упаковки")</f>
        <v>Штрих код упаковки</v>
      </c>
      <c r="BD2" s="2" t="str">
        <f>IFERROR(__xludf.DUMMYFUNCTION("""COMPUTED_VALUE"""),"Доп. изображения")</f>
        <v>Доп. изображения</v>
      </c>
      <c r="BE2" s="2" t="str">
        <f>IFERROR(__xludf.DUMMYFUNCTION("""COMPUTED_VALUE"""),"Ссылка на товар на сайте")</f>
        <v>Ссылка на товар на сайте</v>
      </c>
      <c r="BF2" s="2" t="str">
        <f>IFERROR(__xludf.DUMMYFUNCTION("""COMPUTED_VALUE"""),"Сертификат соответствия")</f>
        <v>Сертификат соответствия</v>
      </c>
      <c r="BG2" s="2" t="str">
        <f>IFERROR(__xludf.DUMMYFUNCTION("""COMPUTED_VALUE"""),"Технический паспорт")</f>
        <v>Технический паспорт</v>
      </c>
      <c r="BH2" s="2" t="str">
        <f>IFERROR(__xludf.DUMMYFUNCTION("""COMPUTED_VALUE"""),"*.ies файл для Dialux")</f>
        <v>*.ies файл для Dialux</v>
      </c>
      <c r="BI2" s="2" t="str">
        <f>IFERROR(__xludf.DUMMYFUNCTION("""COMPUTED_VALUE"""),"Кол-во свободно")</f>
        <v>Кол-во свободно</v>
      </c>
      <c r="BJ2" s="2" t="str">
        <f>IFERROR(__xludf.DUMMYFUNCTION("""COMPUTED_VALUE"""),"Прайс-лист распродажи")</f>
        <v>Прайс-лист распродажи</v>
      </c>
      <c r="BK2" s="2" t="str">
        <f>IFERROR(__xludf.DUMMYFUNCTION("""COMPUTED_VALUE"""),"ID Avito")</f>
        <v>ID Avito</v>
      </c>
      <c r="BL2" s="1"/>
    </row>
    <row r="3">
      <c r="A3" s="2" t="str">
        <f>IFERROR(__xludf.DUMMYFUNCTION("""COMPUTED_VALUE"""),"GL81111")</f>
        <v>GL81111</v>
      </c>
      <c r="B3" s="2" t="str">
        <f>IFERROR(__xludf.DUMMYFUNCTION("""COMPUTED_VALUE"""),"Светодиодный светильник GLERIO Office Casual 20 Вт 4000K 81P-20D-4V-P 3285 лм, IP65 Встраиваемый, призма")</f>
        <v>Светодиодный светильник GLERIO Office Casual 20 Вт 4000K 81P-20D-4V-P 3285 лм, IP65 Встраиваемый, призма</v>
      </c>
      <c r="C3" s="2" t="str">
        <f>IFERROR(__xludf.DUMMYFUNCTION("""COMPUTED_VALUE"""),"Office Casual+ GLERIO (Офис)")</f>
        <v>Office Casual+ GLERIO (Офис)</v>
      </c>
      <c r="D3" s="2" t="str">
        <f>IFERROR(__xludf.DUMMYFUNCTION("""COMPUTED_VALUE"""),"7683335325197")</f>
        <v>7683335325197</v>
      </c>
      <c r="E3" s="4" t="str">
        <f>IFERROR(__xludf.DUMMYFUNCTION("""COMPUTED_VALUE"""),"http://darion-svet.com/web/binary/image?model=product.product&amp;id=30380&amp;field=image")</f>
        <v>http://darion-svet.com/web/binary/image?model=product.product&amp;id=30380&amp;field=image</v>
      </c>
      <c r="F3" s="2" t="str">
        <f>IFERROR(__xludf.DUMMYFUNCTION("""COMPUTED_VALUE"""),"5")</f>
        <v>5</v>
      </c>
      <c r="G3" s="2" t="str">
        <f>IFERROR(__xludf.DUMMYFUNCTION("""COMPUTED_VALUE"""),"Российская Федерация")</f>
        <v>Российская Федерация</v>
      </c>
      <c r="H3" s="2" t="str">
        <f>IFERROR(__xludf.DUMMYFUNCTION("""COMPUTED_VALUE"""),"Без бренда")</f>
        <v>Без бренда</v>
      </c>
      <c r="I3" s="2" t="str">
        <f>IFERROR(__xludf.DUMMYFUNCTION("""COMPUTED_VALUE"""),"встраиваемый в Армстронг")</f>
        <v>встраиваемый в Армстронг</v>
      </c>
      <c r="J3" s="2" t="str">
        <f>IFERROR(__xludf.DUMMYFUNCTION("""COMPUTED_VALUE"""),"общественные помещения")</f>
        <v>общественные помещения</v>
      </c>
      <c r="K3" s="2"/>
      <c r="L3" s="2"/>
      <c r="M3" s="2">
        <f>IFERROR(__xludf.DUMMYFUNCTION("""COMPUTED_VALUE"""),20.0)</f>
        <v>20</v>
      </c>
      <c r="N3" s="2"/>
      <c r="O3" s="2" t="str">
        <f>IFERROR(__xludf.DUMMYFUNCTION("""COMPUTED_VALUE"""),"SMD")</f>
        <v>SMD</v>
      </c>
      <c r="P3" s="2">
        <f>IFERROR(__xludf.DUMMYFUNCTION("""COMPUTED_VALUE"""),3285.0)</f>
        <v>3285</v>
      </c>
      <c r="Q3" s="2" t="str">
        <f>IFERROR(__xludf.DUMMYFUNCTION("""COMPUTED_VALUE"""),"4000")</f>
        <v>4000</v>
      </c>
      <c r="R3" s="2">
        <f>IFERROR(__xludf.DUMMYFUNCTION("""COMPUTED_VALUE"""),85.0)</f>
        <v>85</v>
      </c>
      <c r="S3" s="2" t="str">
        <f>IFERROR(__xludf.DUMMYFUNCTION("""COMPUTED_VALUE"""),"65")</f>
        <v>65</v>
      </c>
      <c r="T3" s="2" t="str">
        <f>IFERROR(__xludf.DUMMYFUNCTION("""COMPUTED_VALUE"""),"Д")</f>
        <v>Д</v>
      </c>
      <c r="U3" s="2" t="str">
        <f>IFERROR(__xludf.DUMMYFUNCTION("""COMPUTED_VALUE"""),"100 000 ч.")</f>
        <v>100 000 ч.</v>
      </c>
      <c r="V3" s="2">
        <f>IFERROR(__xludf.DUMMYFUNCTION("""COMPUTED_VALUE"""),595.0)</f>
        <v>595</v>
      </c>
      <c r="W3" s="2">
        <f>IFERROR(__xludf.DUMMYFUNCTION("""COMPUTED_VALUE"""),595.0)</f>
        <v>595</v>
      </c>
      <c r="X3" s="2">
        <f>IFERROR(__xludf.DUMMYFUNCTION("""COMPUTED_VALUE"""),25.0)</f>
        <v>25</v>
      </c>
      <c r="Y3" s="2"/>
      <c r="Z3" s="2"/>
      <c r="AA3" s="2"/>
      <c r="AB3" s="2">
        <f>IFERROR(__xludf.DUMMYFUNCTION("""COMPUTED_VALUE"""),1.0)</f>
        <v>1</v>
      </c>
      <c r="AC3" s="2"/>
      <c r="AD3" s="2" t="str">
        <f>IFERROR(__xludf.DUMMYFUNCTION("""COMPUTED_VALUE"""),"ABS пластик")</f>
        <v>ABS пластик</v>
      </c>
      <c r="AE3" s="2" t="str">
        <f>IFERROR(__xludf.DUMMYFUNCTION("""COMPUTED_VALUE"""),"полистирол")</f>
        <v>полистирол</v>
      </c>
      <c r="AF3" s="2"/>
      <c r="AG3" s="2"/>
      <c r="AH3" s="2"/>
      <c r="AI3" s="2"/>
      <c r="AJ3" s="2"/>
      <c r="AK3" s="2">
        <f>IFERROR(__xludf.DUMMYFUNCTION("""COMPUTED_VALUE"""),0.95)</f>
        <v>0.95</v>
      </c>
      <c r="AL3" s="2">
        <f>IFERROR(__xludf.DUMMYFUNCTION("""COMPUTED_VALUE"""),1.0)</f>
        <v>1</v>
      </c>
      <c r="AM3" s="2">
        <f>IFERROR(__xludf.DUMMYFUNCTION("""COMPUTED_VALUE"""),0.125)</f>
        <v>0.125</v>
      </c>
      <c r="AN3" s="2">
        <f>IFERROR(__xludf.DUMMYFUNCTION("""COMPUTED_VALUE"""),170.0)</f>
        <v>170</v>
      </c>
      <c r="AO3" s="2">
        <f>IFERROR(__xludf.DUMMYFUNCTION("""COMPUTED_VALUE"""),264.0)</f>
        <v>264</v>
      </c>
      <c r="AP3" s="2">
        <f>IFERROR(__xludf.DUMMYFUNCTION("""COMPUTED_VALUE"""),1.0)</f>
        <v>1</v>
      </c>
      <c r="AQ3" s="2">
        <f>IFERROR(__xludf.DUMMYFUNCTION("""COMPUTED_VALUE"""),35.0)</f>
        <v>35</v>
      </c>
      <c r="AR3" s="2" t="str">
        <f>IFERROR(__xludf.DUMMYFUNCTION("""COMPUTED_VALUE"""),"УХЛ4")</f>
        <v>УХЛ4</v>
      </c>
      <c r="AS3" s="2" t="str">
        <f>IFERROR(__xludf.DUMMYFUNCTION("""COMPUTED_VALUE"""),"Картон")</f>
        <v>Картон</v>
      </c>
      <c r="AT3" s="2" t="str">
        <f>IFERROR(__xludf.DUMMYFUNCTION("""COMPUTED_VALUE"""),"Да")</f>
        <v>Да</v>
      </c>
      <c r="AU3" s="2">
        <f>IFERROR(__xludf.DUMMYFUNCTION("""COMPUTED_VALUE"""),0.008190000000000001)</f>
        <v>0.00819</v>
      </c>
      <c r="AV3" s="2">
        <f>IFERROR(__xludf.DUMMYFUNCTION("""COMPUTED_VALUE"""),1.04)</f>
        <v>1.04</v>
      </c>
      <c r="AW3" s="2">
        <f>IFERROR(__xludf.DUMMYFUNCTION("""COMPUTED_VALUE"""),5.0)</f>
        <v>5</v>
      </c>
      <c r="AX3" s="2">
        <f>IFERROR(__xludf.DUMMYFUNCTION("""COMPUTED_VALUE"""),610.0)</f>
        <v>610</v>
      </c>
      <c r="AY3" s="2">
        <f>IFERROR(__xludf.DUMMYFUNCTION("""COMPUTED_VALUE"""),610.0)</f>
        <v>610</v>
      </c>
      <c r="AZ3" s="2">
        <f>IFERROR(__xludf.DUMMYFUNCTION("""COMPUTED_VALUE"""),110.0)</f>
        <v>110</v>
      </c>
      <c r="BA3" s="2">
        <f>IFERROR(__xludf.DUMMYFUNCTION("""COMPUTED_VALUE"""),0.04093)</f>
        <v>0.04093</v>
      </c>
      <c r="BB3" s="2">
        <f>IFERROR(__xludf.DUMMYFUNCTION("""COMPUTED_VALUE"""),5.2)</f>
        <v>5.2</v>
      </c>
      <c r="BC3" s="2"/>
      <c r="BD3" s="4" t="str">
        <f>IFERROR(__xludf.DUMMYFUNCTION("""COMPUTED_VALUE"""),"http://darion-svet.com/web/binary/saveas_archive?model=product.picture&amp;ids=[1977]&amp;field=image&amp;name_field=name&amp;archive_name=GL81111_image")</f>
        <v>http://darion-svet.com/web/binary/saveas_archive?model=product.picture&amp;ids=[1977]&amp;field=image&amp;name_field=name&amp;archive_name=GL81111_image</v>
      </c>
      <c r="BE3" s="4" t="str">
        <f>IFERROR(__xludf.DUMMYFUNCTION("""COMPUTED_VALUE"""),"https://darion-svet.com/shop/product/gl81111-glerio-office-casual-20-vt-4000k-81p-20d-4v-p")</f>
        <v>https://darion-svet.com/shop/product/gl81111-glerio-office-casual-20-vt-4000k-81p-20d-4v-p</v>
      </c>
      <c r="BF3" s="2"/>
      <c r="BG3" s="2"/>
      <c r="BH3" s="2"/>
      <c r="BI3" s="2">
        <f>IFERROR(__xludf.DUMMYFUNCTION("""COMPUTED_VALUE"""),12.0)</f>
        <v>12</v>
      </c>
      <c r="BJ3" s="2">
        <f>IFERROR(__xludf.DUMMYFUNCTION("""COMPUTED_VALUE"""),2854.0)</f>
        <v>2854</v>
      </c>
      <c r="BK3" s="2">
        <f>IFERROR(__xludf.DUMMYFUNCTION("""COMPUTED_VALUE"""),0.0)</f>
        <v>0</v>
      </c>
    </row>
    <row r="4">
      <c r="A4" s="2" t="str">
        <f>IFERROR(__xludf.DUMMYFUNCTION("""COMPUTED_VALUE"""),"GL82335")</f>
        <v>GL82335</v>
      </c>
      <c r="B4" s="2" t="str">
        <f>IFERROR(__xludf.DUMMYFUNCTION("""COMPUTED_VALUE"""),"Светодиодный светильник GLERIO Line 36 Вт 5000К 91P-36D-5N-K 5156 лм, IP65 колотый лёд")</f>
        <v>Светодиодный светильник GLERIO Line 36 Вт 5000К 91P-36D-5N-K 5156 лм, IP65 колотый лёд</v>
      </c>
      <c r="C4" s="2" t="str">
        <f>IFERROR(__xludf.DUMMYFUNCTION("""COMPUTED_VALUE"""),"Line (Айсберг) до 10.2025")</f>
        <v>Line (Айсберг) до 10.2025</v>
      </c>
      <c r="D4" s="2"/>
      <c r="E4" s="4" t="str">
        <f>IFERROR(__xludf.DUMMYFUNCTION("""COMPUTED_VALUE"""),"http://darion-svet.com/web/binary/image?model=product.product&amp;id=25280&amp;field=image")</f>
        <v>http://darion-svet.com/web/binary/image?model=product.product&amp;id=25280&amp;field=image</v>
      </c>
      <c r="F4" s="2" t="str">
        <f>IFERROR(__xludf.DUMMYFUNCTION("""COMPUTED_VALUE"""),"5")</f>
        <v>5</v>
      </c>
      <c r="G4" s="2" t="str">
        <f>IFERROR(__xludf.DUMMYFUNCTION("""COMPUTED_VALUE"""),"Российская Федерация")</f>
        <v>Российская Федерация</v>
      </c>
      <c r="H4" s="2" t="str">
        <f>IFERROR(__xludf.DUMMYFUNCTION("""COMPUTED_VALUE"""),"Без бренда")</f>
        <v>Без бренда</v>
      </c>
      <c r="I4" s="2" t="str">
        <f>IFERROR(__xludf.DUMMYFUNCTION("""COMPUTED_VALUE"""),"накладной; подвесной")</f>
        <v>накладной; подвесной</v>
      </c>
      <c r="J4" s="2" t="str">
        <f>IFERROR(__xludf.DUMMYFUNCTION("""COMPUTED_VALUE"""),"общественные помещения")</f>
        <v>общественные помещения</v>
      </c>
      <c r="K4" s="2"/>
      <c r="L4" s="2"/>
      <c r="M4" s="2">
        <f>IFERROR(__xludf.DUMMYFUNCTION("""COMPUTED_VALUE"""),36.0)</f>
        <v>36</v>
      </c>
      <c r="N4" s="2"/>
      <c r="O4" s="2" t="str">
        <f>IFERROR(__xludf.DUMMYFUNCTION("""COMPUTED_VALUE"""),"SMD")</f>
        <v>SMD</v>
      </c>
      <c r="P4" s="2">
        <f>IFERROR(__xludf.DUMMYFUNCTION("""COMPUTED_VALUE"""),5156.0)</f>
        <v>5156</v>
      </c>
      <c r="Q4" s="2" t="str">
        <f>IFERROR(__xludf.DUMMYFUNCTION("""COMPUTED_VALUE"""),"5000")</f>
        <v>5000</v>
      </c>
      <c r="R4" s="2">
        <f>IFERROR(__xludf.DUMMYFUNCTION("""COMPUTED_VALUE"""),85.0)</f>
        <v>85</v>
      </c>
      <c r="S4" s="2" t="str">
        <f>IFERROR(__xludf.DUMMYFUNCTION("""COMPUTED_VALUE"""),"65")</f>
        <v>65</v>
      </c>
      <c r="T4" s="2" t="str">
        <f>IFERROR(__xludf.DUMMYFUNCTION("""COMPUTED_VALUE"""),"Д")</f>
        <v>Д</v>
      </c>
      <c r="U4" s="2" t="str">
        <f>IFERROR(__xludf.DUMMYFUNCTION("""COMPUTED_VALUE"""),"100 000 ч")</f>
        <v>100 000 ч</v>
      </c>
      <c r="V4" s="2">
        <f>IFERROR(__xludf.DUMMYFUNCTION("""COMPUTED_VALUE"""),1190.0)</f>
        <v>1190</v>
      </c>
      <c r="W4" s="2">
        <f>IFERROR(__xludf.DUMMYFUNCTION("""COMPUTED_VALUE"""),130.0)</f>
        <v>130</v>
      </c>
      <c r="X4" s="2">
        <f>IFERROR(__xludf.DUMMYFUNCTION("""COMPUTED_VALUE"""),15.0)</f>
        <v>15</v>
      </c>
      <c r="Y4" s="2"/>
      <c r="Z4" s="2"/>
      <c r="AA4" s="2"/>
      <c r="AB4" s="2">
        <f>IFERROR(__xludf.DUMMYFUNCTION("""COMPUTED_VALUE"""),0.45)</f>
        <v>0.45</v>
      </c>
      <c r="AC4" s="2"/>
      <c r="AD4" s="2" t="str">
        <f>IFERROR(__xludf.DUMMYFUNCTION("""COMPUTED_VALUE"""),"ABS пластик")</f>
        <v>ABS пластик</v>
      </c>
      <c r="AE4" s="2" t="str">
        <f>IFERROR(__xludf.DUMMYFUNCTION("""COMPUTED_VALUE"""),"полистирол")</f>
        <v>полистирол</v>
      </c>
      <c r="AF4" s="2"/>
      <c r="AG4" s="2" t="str">
        <f>IFERROR(__xludf.DUMMYFUNCTION("""COMPUTED_VALUE"""),"колотый лёд рассеиватель")</f>
        <v>колотый лёд рассеиватель</v>
      </c>
      <c r="AH4" s="2"/>
      <c r="AI4" s="2" t="str">
        <f>IFERROR(__xludf.DUMMYFUNCTION("""COMPUTED_VALUE"""),"LED-driver")</f>
        <v>LED-driver</v>
      </c>
      <c r="AJ4" s="2" t="str">
        <f>IFERROR(__xludf.DUMMYFUNCTION("""COMPUTED_VALUE"""),"A")</f>
        <v>A</v>
      </c>
      <c r="AK4" s="2">
        <f>IFERROR(__xludf.DUMMYFUNCTION("""COMPUTED_VALUE"""),0.95)</f>
        <v>0.95</v>
      </c>
      <c r="AL4" s="2">
        <f>IFERROR(__xludf.DUMMYFUNCTION("""COMPUTED_VALUE"""),1.0)</f>
        <v>1</v>
      </c>
      <c r="AM4" s="2">
        <f>IFERROR(__xludf.DUMMYFUNCTION("""COMPUTED_VALUE"""),0.125)</f>
        <v>0.125</v>
      </c>
      <c r="AN4" s="2">
        <f>IFERROR(__xludf.DUMMYFUNCTION("""COMPUTED_VALUE"""),170.0)</f>
        <v>170</v>
      </c>
      <c r="AO4" s="2">
        <f>IFERROR(__xludf.DUMMYFUNCTION("""COMPUTED_VALUE"""),264.0)</f>
        <v>264</v>
      </c>
      <c r="AP4" s="2">
        <f>IFERROR(__xludf.DUMMYFUNCTION("""COMPUTED_VALUE"""),1.0)</f>
        <v>1</v>
      </c>
      <c r="AQ4" s="2">
        <f>IFERROR(__xludf.DUMMYFUNCTION("""COMPUTED_VALUE"""),35.0)</f>
        <v>35</v>
      </c>
      <c r="AR4" s="2" t="str">
        <f>IFERROR(__xludf.DUMMYFUNCTION("""COMPUTED_VALUE"""),"УХЛ4")</f>
        <v>УХЛ4</v>
      </c>
      <c r="AS4" s="2" t="str">
        <f>IFERROR(__xludf.DUMMYFUNCTION("""COMPUTED_VALUE"""),"Картон")</f>
        <v>Картон</v>
      </c>
      <c r="AT4" s="2" t="str">
        <f>IFERROR(__xludf.DUMMYFUNCTION("""COMPUTED_VALUE"""),"Да")</f>
        <v>Да</v>
      </c>
      <c r="AU4" s="2">
        <f>IFERROR(__xludf.DUMMYFUNCTION("""COMPUTED_VALUE"""),0.00396)</f>
        <v>0.00396</v>
      </c>
      <c r="AV4" s="2">
        <f>IFERROR(__xludf.DUMMYFUNCTION("""COMPUTED_VALUE"""),0.5)</f>
        <v>0.5</v>
      </c>
      <c r="AW4" s="2">
        <f>IFERROR(__xludf.DUMMYFUNCTION("""COMPUTED_VALUE"""),5.0)</f>
        <v>5</v>
      </c>
      <c r="AX4" s="2">
        <f>IFERROR(__xludf.DUMMYFUNCTION("""COMPUTED_VALUE"""),1240.0)</f>
        <v>1240</v>
      </c>
      <c r="AY4" s="2">
        <f>IFERROR(__xludf.DUMMYFUNCTION("""COMPUTED_VALUE"""),145.0)</f>
        <v>145</v>
      </c>
      <c r="AZ4" s="2">
        <f>IFERROR(__xludf.DUMMYFUNCTION("""COMPUTED_VALUE"""),110.0)</f>
        <v>110</v>
      </c>
      <c r="BA4" s="2">
        <f>IFERROR(__xludf.DUMMYFUNCTION("""COMPUTED_VALUE"""),0.01978)</f>
        <v>0.01978</v>
      </c>
      <c r="BB4" s="2">
        <f>IFERROR(__xludf.DUMMYFUNCTION("""COMPUTED_VALUE"""),2.5)</f>
        <v>2.5</v>
      </c>
      <c r="BC4" s="2"/>
      <c r="BD4" s="4" t="str">
        <f>IFERROR(__xludf.DUMMYFUNCTION("""COMPUTED_VALUE"""),"http://darion-svet.com/web/binary/saveas_archive?model=product.picture&amp;ids=[1983]&amp;field=image&amp;name_field=name&amp;archive_name=GL82335_image")</f>
        <v>http://darion-svet.com/web/binary/saveas_archive?model=product.picture&amp;ids=[1983]&amp;field=image&amp;name_field=name&amp;archive_name=GL82335_image</v>
      </c>
      <c r="BE4" s="4" t="str">
        <f>IFERROR(__xludf.DUMMYFUNCTION("""COMPUTED_VALUE"""),"https://darion-svet.com/shop/product/gl82335-glerio-line-36-vt-5000k-91p-36d-5n-k")</f>
        <v>https://darion-svet.com/shop/product/gl82335-glerio-line-36-vt-5000k-91p-36d-5n-k</v>
      </c>
      <c r="BF4" s="2"/>
      <c r="BG4" s="2"/>
      <c r="BH4" s="2"/>
      <c r="BI4" s="2">
        <f>IFERROR(__xludf.DUMMYFUNCTION("""COMPUTED_VALUE"""),10.0)</f>
        <v>10</v>
      </c>
      <c r="BJ4" s="2">
        <f>IFERROR(__xludf.DUMMYFUNCTION("""COMPUTED_VALUE"""),3878.0)</f>
        <v>3878</v>
      </c>
      <c r="BK4" s="2">
        <f>IFERROR(__xludf.DUMMYFUNCTION("""COMPUTED_VALUE"""),0.0)</f>
        <v>0</v>
      </c>
    </row>
    <row r="5">
      <c r="A5" s="2" t="str">
        <f>IFERROR(__xludf.DUMMYFUNCTION("""COMPUTED_VALUE"""),"GL81509")</f>
        <v>GL81509</v>
      </c>
      <c r="B5" s="2" t="str">
        <f>IFERROR(__xludf.DUMMYFUNCTION("""COMPUTED_VALUE"""),"Светодиодный светильник GLERIO Office Special 48 Вт 4000К 82P-48D-4G-M 5124 лм, IP65 матовый")</f>
        <v>Светодиодный светильник GLERIO Office Special 48 Вт 4000К 82P-48D-4G-M 5124 лм, IP65 матовый</v>
      </c>
      <c r="C5" s="2" t="str">
        <f>IFERROR(__xludf.DUMMYFUNCTION("""COMPUTED_VALUE"""),"Office Special (Офис Премиум) до 10.2025")</f>
        <v>Office Special (Офис Премиум) до 10.2025</v>
      </c>
      <c r="D5" s="2" t="str">
        <f>IFERROR(__xludf.DUMMYFUNCTION("""COMPUTED_VALUE"""),"4687203921392")</f>
        <v>4687203921392</v>
      </c>
      <c r="E5" s="4" t="str">
        <f>IFERROR(__xludf.DUMMYFUNCTION("""COMPUTED_VALUE"""),"http://darion-svet.com/web/binary/image?model=product.product&amp;id=31042&amp;field=image")</f>
        <v>http://darion-svet.com/web/binary/image?model=product.product&amp;id=31042&amp;field=image</v>
      </c>
      <c r="F5" s="2" t="str">
        <f>IFERROR(__xludf.DUMMYFUNCTION("""COMPUTED_VALUE"""),"5")</f>
        <v>5</v>
      </c>
      <c r="G5" s="2" t="str">
        <f>IFERROR(__xludf.DUMMYFUNCTION("""COMPUTED_VALUE"""),"Российская Федерация")</f>
        <v>Российская Федерация</v>
      </c>
      <c r="H5" s="2" t="str">
        <f>IFERROR(__xludf.DUMMYFUNCTION("""COMPUTED_VALUE"""),"Без бренда")</f>
        <v>Без бренда</v>
      </c>
      <c r="I5" s="2" t="str">
        <f>IFERROR(__xludf.DUMMYFUNCTION("""COMPUTED_VALUE"""),"встраиваемый в грильято")</f>
        <v>встраиваемый в грильято</v>
      </c>
      <c r="J5" s="2" t="str">
        <f>IFERROR(__xludf.DUMMYFUNCTION("""COMPUTED_VALUE"""),"общественные помещения")</f>
        <v>общественные помещения</v>
      </c>
      <c r="K5" s="2"/>
      <c r="L5" s="2"/>
      <c r="M5" s="2">
        <f>IFERROR(__xludf.DUMMYFUNCTION("""COMPUTED_VALUE"""),48.0)</f>
        <v>48</v>
      </c>
      <c r="N5" s="2"/>
      <c r="O5" s="2" t="str">
        <f>IFERROR(__xludf.DUMMYFUNCTION("""COMPUTED_VALUE"""),"SMD")</f>
        <v>SMD</v>
      </c>
      <c r="P5" s="2">
        <f>IFERROR(__xludf.DUMMYFUNCTION("""COMPUTED_VALUE"""),5124.0)</f>
        <v>5124</v>
      </c>
      <c r="Q5" s="2" t="str">
        <f>IFERROR(__xludf.DUMMYFUNCTION("""COMPUTED_VALUE"""),"4000")</f>
        <v>4000</v>
      </c>
      <c r="R5" s="2">
        <f>IFERROR(__xludf.DUMMYFUNCTION("""COMPUTED_VALUE"""),85.0)</f>
        <v>85</v>
      </c>
      <c r="S5" s="2" t="str">
        <f>IFERROR(__xludf.DUMMYFUNCTION("""COMPUTED_VALUE"""),"65")</f>
        <v>65</v>
      </c>
      <c r="T5" s="2" t="str">
        <f>IFERROR(__xludf.DUMMYFUNCTION("""COMPUTED_VALUE"""),"Д")</f>
        <v>Д</v>
      </c>
      <c r="U5" s="2" t="str">
        <f>IFERROR(__xludf.DUMMYFUNCTION("""COMPUTED_VALUE"""),"100 000 ч")</f>
        <v>100 000 ч</v>
      </c>
      <c r="V5" s="2">
        <f>IFERROR(__xludf.DUMMYFUNCTION("""COMPUTED_VALUE"""),595.0)</f>
        <v>595</v>
      </c>
      <c r="W5" s="2">
        <f>IFERROR(__xludf.DUMMYFUNCTION("""COMPUTED_VALUE"""),595.0)</f>
        <v>595</v>
      </c>
      <c r="X5" s="2">
        <f>IFERROR(__xludf.DUMMYFUNCTION("""COMPUTED_VALUE"""),15.0)</f>
        <v>15</v>
      </c>
      <c r="Y5" s="2"/>
      <c r="Z5" s="2"/>
      <c r="AA5" s="2"/>
      <c r="AB5" s="2">
        <f>IFERROR(__xludf.DUMMYFUNCTION("""COMPUTED_VALUE"""),1.1)</f>
        <v>1.1</v>
      </c>
      <c r="AC5" s="2"/>
      <c r="AD5" s="2" t="str">
        <f>IFERROR(__xludf.DUMMYFUNCTION("""COMPUTED_VALUE"""),"полистирол")</f>
        <v>полистирол</v>
      </c>
      <c r="AE5" s="2" t="str">
        <f>IFERROR(__xludf.DUMMYFUNCTION("""COMPUTED_VALUE"""),"полистирол")</f>
        <v>полистирол</v>
      </c>
      <c r="AF5" s="2"/>
      <c r="AG5" s="2"/>
      <c r="AH5" s="2"/>
      <c r="AI5" s="2"/>
      <c r="AJ5" s="2"/>
      <c r="AK5" s="2">
        <f>IFERROR(__xludf.DUMMYFUNCTION("""COMPUTED_VALUE"""),0.95)</f>
        <v>0.95</v>
      </c>
      <c r="AL5" s="2">
        <f>IFERROR(__xludf.DUMMYFUNCTION("""COMPUTED_VALUE"""),1.0)</f>
        <v>1</v>
      </c>
      <c r="AM5" s="2">
        <f>IFERROR(__xludf.DUMMYFUNCTION("""COMPUTED_VALUE"""),0.13)</f>
        <v>0.13</v>
      </c>
      <c r="AN5" s="2">
        <f>IFERROR(__xludf.DUMMYFUNCTION("""COMPUTED_VALUE"""),170.0)</f>
        <v>170</v>
      </c>
      <c r="AO5" s="2">
        <f>IFERROR(__xludf.DUMMYFUNCTION("""COMPUTED_VALUE"""),264.0)</f>
        <v>264</v>
      </c>
      <c r="AP5" s="2">
        <f>IFERROR(__xludf.DUMMYFUNCTION("""COMPUTED_VALUE"""),1.0)</f>
        <v>1</v>
      </c>
      <c r="AQ5" s="2">
        <f>IFERROR(__xludf.DUMMYFUNCTION("""COMPUTED_VALUE"""),35.0)</f>
        <v>35</v>
      </c>
      <c r="AR5" s="2" t="str">
        <f>IFERROR(__xludf.DUMMYFUNCTION("""COMPUTED_VALUE"""),"УХЛ4")</f>
        <v>УХЛ4</v>
      </c>
      <c r="AS5" s="2" t="str">
        <f>IFERROR(__xludf.DUMMYFUNCTION("""COMPUTED_VALUE"""),"Картон")</f>
        <v>Картон</v>
      </c>
      <c r="AT5" s="2" t="str">
        <f>IFERROR(__xludf.DUMMYFUNCTION("""COMPUTED_VALUE"""),"Да")</f>
        <v>Да</v>
      </c>
      <c r="AU5" s="2">
        <f>IFERROR(__xludf.DUMMYFUNCTION("""COMPUTED_VALUE"""),0.008190000000000001)</f>
        <v>0.00819</v>
      </c>
      <c r="AV5" s="2">
        <f>IFERROR(__xludf.DUMMYFUNCTION("""COMPUTED_VALUE"""),1.14)</f>
        <v>1.14</v>
      </c>
      <c r="AW5" s="2">
        <f>IFERROR(__xludf.DUMMYFUNCTION("""COMPUTED_VALUE"""),5.0)</f>
        <v>5</v>
      </c>
      <c r="AX5" s="2">
        <f>IFERROR(__xludf.DUMMYFUNCTION("""COMPUTED_VALUE"""),610.0)</f>
        <v>610</v>
      </c>
      <c r="AY5" s="2">
        <f>IFERROR(__xludf.DUMMYFUNCTION("""COMPUTED_VALUE"""),610.0)</f>
        <v>610</v>
      </c>
      <c r="AZ5" s="2">
        <f>IFERROR(__xludf.DUMMYFUNCTION("""COMPUTED_VALUE"""),110.0)</f>
        <v>110</v>
      </c>
      <c r="BA5" s="2">
        <f>IFERROR(__xludf.DUMMYFUNCTION("""COMPUTED_VALUE"""),0.04093)</f>
        <v>0.04093</v>
      </c>
      <c r="BB5" s="2">
        <f>IFERROR(__xludf.DUMMYFUNCTION("""COMPUTED_VALUE"""),5.7)</f>
        <v>5.7</v>
      </c>
      <c r="BC5" s="2"/>
      <c r="BD5" s="2"/>
      <c r="BE5" s="4" t="str">
        <f>IFERROR(__xludf.DUMMYFUNCTION("""COMPUTED_VALUE"""),"http://darion-svet.com/shop/product/gl81509-glerio-office-special-48-vt-4000k-82p-48d-4g-m")</f>
        <v>http://darion-svet.com/shop/product/gl81509-glerio-office-special-48-vt-4000k-82p-48d-4g-m</v>
      </c>
      <c r="BF5" s="2"/>
      <c r="BG5" s="2"/>
      <c r="BH5" s="2"/>
      <c r="BI5" s="2">
        <f>IFERROR(__xludf.DUMMYFUNCTION("""COMPUTED_VALUE"""),22.0)</f>
        <v>22</v>
      </c>
      <c r="BJ5" s="2">
        <f>IFERROR(__xludf.DUMMYFUNCTION("""COMPUTED_VALUE"""),4583.0)</f>
        <v>4583</v>
      </c>
      <c r="BK5" s="2">
        <f>IFERROR(__xludf.DUMMYFUNCTION("""COMPUTED_VALUE"""),0.0)</f>
        <v>0</v>
      </c>
    </row>
    <row r="6">
      <c r="A6" s="2" t="str">
        <f>IFERROR(__xludf.DUMMYFUNCTION("""COMPUTED_VALUE"""),"GL8121")</f>
        <v>GL8121</v>
      </c>
      <c r="B6" s="2" t="str">
        <f>IFERROR(__xludf.DUMMYFUNCTION("""COMPUTED_VALUE"""),"Светодиодный светильник GLERIO Office Casual 36 Вт 4000К 81P-36D-4V-P 5166 лм, IP65 призма")</f>
        <v>Светодиодный светильник GLERIO Office Casual 36 Вт 4000К 81P-36D-4V-P 5166 лм, IP65 призма</v>
      </c>
      <c r="C6" s="2" t="str">
        <f>IFERROR(__xludf.DUMMYFUNCTION("""COMPUTED_VALUE"""),"Office Casual (Офис) до 10.2025")</f>
        <v>Office Casual (Офис) до 10.2025</v>
      </c>
      <c r="D6" s="2" t="str">
        <f>IFERROR(__xludf.DUMMYFUNCTION("""COMPUTED_VALUE"""),"4687203920272")</f>
        <v>4687203920272</v>
      </c>
      <c r="E6" s="4" t="str">
        <f>IFERROR(__xludf.DUMMYFUNCTION("""COMPUTED_VALUE"""),"http://darion-svet.com/web/binary/image?model=product.product&amp;id=20324&amp;field=image")</f>
        <v>http://darion-svet.com/web/binary/image?model=product.product&amp;id=20324&amp;field=image</v>
      </c>
      <c r="F6" s="2" t="str">
        <f>IFERROR(__xludf.DUMMYFUNCTION("""COMPUTED_VALUE"""),"5")</f>
        <v>5</v>
      </c>
      <c r="G6" s="2" t="str">
        <f>IFERROR(__xludf.DUMMYFUNCTION("""COMPUTED_VALUE"""),"Российская Федерация")</f>
        <v>Российская Федерация</v>
      </c>
      <c r="H6" s="2" t="str">
        <f>IFERROR(__xludf.DUMMYFUNCTION("""COMPUTED_VALUE"""),"Без бренда")</f>
        <v>Без бренда</v>
      </c>
      <c r="I6" s="2" t="str">
        <f>IFERROR(__xludf.DUMMYFUNCTION("""COMPUTED_VALUE"""),"встраиваемый в Армстронг")</f>
        <v>встраиваемый в Армстронг</v>
      </c>
      <c r="J6" s="2" t="str">
        <f>IFERROR(__xludf.DUMMYFUNCTION("""COMPUTED_VALUE"""),"общественные помещения")</f>
        <v>общественные помещения</v>
      </c>
      <c r="K6" s="2"/>
      <c r="L6" s="2"/>
      <c r="M6" s="2">
        <f>IFERROR(__xludf.DUMMYFUNCTION("""COMPUTED_VALUE"""),36.0)</f>
        <v>36</v>
      </c>
      <c r="N6" s="2"/>
      <c r="O6" s="2" t="str">
        <f>IFERROR(__xludf.DUMMYFUNCTION("""COMPUTED_VALUE"""),"SMD")</f>
        <v>SMD</v>
      </c>
      <c r="P6" s="2">
        <f>IFERROR(__xludf.DUMMYFUNCTION("""COMPUTED_VALUE"""),5166.0)</f>
        <v>5166</v>
      </c>
      <c r="Q6" s="2" t="str">
        <f>IFERROR(__xludf.DUMMYFUNCTION("""COMPUTED_VALUE"""),"4000")</f>
        <v>4000</v>
      </c>
      <c r="R6" s="2">
        <f>IFERROR(__xludf.DUMMYFUNCTION("""COMPUTED_VALUE"""),85.0)</f>
        <v>85</v>
      </c>
      <c r="S6" s="2" t="str">
        <f>IFERROR(__xludf.DUMMYFUNCTION("""COMPUTED_VALUE"""),"65")</f>
        <v>65</v>
      </c>
      <c r="T6" s="2" t="str">
        <f>IFERROR(__xludf.DUMMYFUNCTION("""COMPUTED_VALUE"""),"Д")</f>
        <v>Д</v>
      </c>
      <c r="U6" s="2" t="str">
        <f>IFERROR(__xludf.DUMMYFUNCTION("""COMPUTED_VALUE"""),"100 000 ч")</f>
        <v>100 000 ч</v>
      </c>
      <c r="V6" s="2">
        <f>IFERROR(__xludf.DUMMYFUNCTION("""COMPUTED_VALUE"""),595.0)</f>
        <v>595</v>
      </c>
      <c r="W6" s="2">
        <f>IFERROR(__xludf.DUMMYFUNCTION("""COMPUTED_VALUE"""),595.0)</f>
        <v>595</v>
      </c>
      <c r="X6" s="2">
        <f>IFERROR(__xludf.DUMMYFUNCTION("""COMPUTED_VALUE"""),25.0)</f>
        <v>25</v>
      </c>
      <c r="Y6" s="2"/>
      <c r="Z6" s="2"/>
      <c r="AA6" s="2"/>
      <c r="AB6" s="2">
        <f>IFERROR(__xludf.DUMMYFUNCTION("""COMPUTED_VALUE"""),1.1)</f>
        <v>1.1</v>
      </c>
      <c r="AC6" s="2"/>
      <c r="AD6" s="2" t="str">
        <f>IFERROR(__xludf.DUMMYFUNCTION("""COMPUTED_VALUE"""),"ABS пластик")</f>
        <v>ABS пластик</v>
      </c>
      <c r="AE6" s="2" t="str">
        <f>IFERROR(__xludf.DUMMYFUNCTION("""COMPUTED_VALUE"""),"полистирол")</f>
        <v>полистирол</v>
      </c>
      <c r="AF6" s="2"/>
      <c r="AG6" s="2" t="str">
        <f>IFERROR(__xludf.DUMMYFUNCTION("""COMPUTED_VALUE"""),"призматический рассеиватель")</f>
        <v>призматический рассеиватель</v>
      </c>
      <c r="AH6" s="2"/>
      <c r="AI6" s="2" t="str">
        <f>IFERROR(__xludf.DUMMYFUNCTION("""COMPUTED_VALUE"""),"LED-driver")</f>
        <v>LED-driver</v>
      </c>
      <c r="AJ6" s="2" t="str">
        <f>IFERROR(__xludf.DUMMYFUNCTION("""COMPUTED_VALUE"""),"A")</f>
        <v>A</v>
      </c>
      <c r="AK6" s="2">
        <f>IFERROR(__xludf.DUMMYFUNCTION("""COMPUTED_VALUE"""),0.95)</f>
        <v>0.95</v>
      </c>
      <c r="AL6" s="2">
        <f>IFERROR(__xludf.DUMMYFUNCTION("""COMPUTED_VALUE"""),1.0)</f>
        <v>1</v>
      </c>
      <c r="AM6" s="2">
        <f>IFERROR(__xludf.DUMMYFUNCTION("""COMPUTED_VALUE"""),0.125)</f>
        <v>0.125</v>
      </c>
      <c r="AN6" s="2">
        <f>IFERROR(__xludf.DUMMYFUNCTION("""COMPUTED_VALUE"""),170.0)</f>
        <v>170</v>
      </c>
      <c r="AO6" s="2">
        <f>IFERROR(__xludf.DUMMYFUNCTION("""COMPUTED_VALUE"""),264.0)</f>
        <v>264</v>
      </c>
      <c r="AP6" s="2">
        <f>IFERROR(__xludf.DUMMYFUNCTION("""COMPUTED_VALUE"""),1.0)</f>
        <v>1</v>
      </c>
      <c r="AQ6" s="2">
        <f>IFERROR(__xludf.DUMMYFUNCTION("""COMPUTED_VALUE"""),35.0)</f>
        <v>35</v>
      </c>
      <c r="AR6" s="2" t="str">
        <f>IFERROR(__xludf.DUMMYFUNCTION("""COMPUTED_VALUE"""),"УХЛ4")</f>
        <v>УХЛ4</v>
      </c>
      <c r="AS6" s="2" t="str">
        <f>IFERROR(__xludf.DUMMYFUNCTION("""COMPUTED_VALUE"""),"Картон")</f>
        <v>Картон</v>
      </c>
      <c r="AT6" s="2" t="str">
        <f>IFERROR(__xludf.DUMMYFUNCTION("""COMPUTED_VALUE"""),"Да")</f>
        <v>Да</v>
      </c>
      <c r="AU6" s="2">
        <f>IFERROR(__xludf.DUMMYFUNCTION("""COMPUTED_VALUE"""),0.008190000000000001)</f>
        <v>0.00819</v>
      </c>
      <c r="AV6" s="2">
        <f>IFERROR(__xludf.DUMMYFUNCTION("""COMPUTED_VALUE"""),1.14)</f>
        <v>1.14</v>
      </c>
      <c r="AW6" s="2">
        <f>IFERROR(__xludf.DUMMYFUNCTION("""COMPUTED_VALUE"""),5.0)</f>
        <v>5</v>
      </c>
      <c r="AX6" s="2">
        <f>IFERROR(__xludf.DUMMYFUNCTION("""COMPUTED_VALUE"""),610.0)</f>
        <v>610</v>
      </c>
      <c r="AY6" s="2">
        <f>IFERROR(__xludf.DUMMYFUNCTION("""COMPUTED_VALUE"""),610.0)</f>
        <v>610</v>
      </c>
      <c r="AZ6" s="2">
        <f>IFERROR(__xludf.DUMMYFUNCTION("""COMPUTED_VALUE"""),110.0)</f>
        <v>110</v>
      </c>
      <c r="BA6" s="2">
        <f>IFERROR(__xludf.DUMMYFUNCTION("""COMPUTED_VALUE"""),0.04093)</f>
        <v>0.04093</v>
      </c>
      <c r="BB6" s="2">
        <f>IFERROR(__xludf.DUMMYFUNCTION("""COMPUTED_VALUE"""),5.7)</f>
        <v>5.7</v>
      </c>
      <c r="BC6" s="2"/>
      <c r="BD6" s="4" t="str">
        <f>IFERROR(__xludf.DUMMYFUNCTION("""COMPUTED_VALUE"""),"http://darion-svet.com/web/binary/saveas_archive?model=product.picture&amp;ids=[1977]&amp;field=image&amp;name_field=name&amp;archive_name=GL8121_image")</f>
        <v>http://darion-svet.com/web/binary/saveas_archive?model=product.picture&amp;ids=[1977]&amp;field=image&amp;name_field=name&amp;archive_name=GL8121_image</v>
      </c>
      <c r="BE6" s="4" t="str">
        <f>IFERROR(__xludf.DUMMYFUNCTION("""COMPUTED_VALUE"""),"https://darion-svet.com/shop/product/gl8121-glerio-office-casual-36-vt-81p-36d-4v-p")</f>
        <v>https://darion-svet.com/shop/product/gl8121-glerio-office-casual-36-vt-81p-36d-4v-p</v>
      </c>
      <c r="BF6" s="2"/>
      <c r="BG6" s="2"/>
      <c r="BH6" s="2"/>
      <c r="BI6" s="2">
        <f>IFERROR(__xludf.DUMMYFUNCTION("""COMPUTED_VALUE"""),2.0)</f>
        <v>2</v>
      </c>
      <c r="BJ6" s="2">
        <f>IFERROR(__xludf.DUMMYFUNCTION("""COMPUTED_VALUE"""),2031.0)</f>
        <v>2031</v>
      </c>
      <c r="BK6" s="2">
        <f>IFERROR(__xludf.DUMMYFUNCTION("""COMPUTED_VALUE"""),0.0)</f>
        <v>0</v>
      </c>
    </row>
    <row r="7">
      <c r="A7" s="2" t="str">
        <f>IFERROR(__xludf.DUMMYFUNCTION("""COMPUTED_VALUE"""),"GL81311")</f>
        <v>GL81311</v>
      </c>
      <c r="B7" s="2" t="str">
        <f>IFERROR(__xludf.DUMMYFUNCTION("""COMPUTED_VALUE"""),"Светодиодный светильник GLERIO Office Casual 40 Вт 4000K 81P-40D-4V-P 6515 лм, IP65 Встраиваемый, призма")</f>
        <v>Светодиодный светильник GLERIO Office Casual 40 Вт 4000K 81P-40D-4V-P 6515 лм, IP65 Встраиваемый, призма</v>
      </c>
      <c r="C7" s="2" t="str">
        <f>IFERROR(__xludf.DUMMYFUNCTION("""COMPUTED_VALUE"""),"Office Casual+ GLERIO (Офис)")</f>
        <v>Office Casual+ GLERIO (Офис)</v>
      </c>
      <c r="D7" s="2" t="str">
        <f>IFERROR(__xludf.DUMMYFUNCTION("""COMPUTED_VALUE"""),"7683335325920")</f>
        <v>7683335325920</v>
      </c>
      <c r="E7" s="4" t="str">
        <f>IFERROR(__xludf.DUMMYFUNCTION("""COMPUTED_VALUE"""),"http://darion-svet.com/web/binary/image?model=product.product&amp;id=30403&amp;field=image")</f>
        <v>http://darion-svet.com/web/binary/image?model=product.product&amp;id=30403&amp;field=image</v>
      </c>
      <c r="F7" s="2" t="str">
        <f>IFERROR(__xludf.DUMMYFUNCTION("""COMPUTED_VALUE"""),"5")</f>
        <v>5</v>
      </c>
      <c r="G7" s="2" t="str">
        <f>IFERROR(__xludf.DUMMYFUNCTION("""COMPUTED_VALUE"""),"Российская Федерация")</f>
        <v>Российская Федерация</v>
      </c>
      <c r="H7" s="2" t="str">
        <f>IFERROR(__xludf.DUMMYFUNCTION("""COMPUTED_VALUE"""),"Без бренда")</f>
        <v>Без бренда</v>
      </c>
      <c r="I7" s="2" t="str">
        <f>IFERROR(__xludf.DUMMYFUNCTION("""COMPUTED_VALUE"""),"встраиваемый в Армстронг")</f>
        <v>встраиваемый в Армстронг</v>
      </c>
      <c r="J7" s="2" t="str">
        <f>IFERROR(__xludf.DUMMYFUNCTION("""COMPUTED_VALUE"""),"общественные помещения")</f>
        <v>общественные помещения</v>
      </c>
      <c r="K7" s="2"/>
      <c r="L7" s="2"/>
      <c r="M7" s="2">
        <f>IFERROR(__xludf.DUMMYFUNCTION("""COMPUTED_VALUE"""),40.0)</f>
        <v>40</v>
      </c>
      <c r="N7" s="2"/>
      <c r="O7" s="2" t="str">
        <f>IFERROR(__xludf.DUMMYFUNCTION("""COMPUTED_VALUE"""),"SMD")</f>
        <v>SMD</v>
      </c>
      <c r="P7" s="2">
        <f>IFERROR(__xludf.DUMMYFUNCTION("""COMPUTED_VALUE"""),6515.0)</f>
        <v>6515</v>
      </c>
      <c r="Q7" s="2" t="str">
        <f>IFERROR(__xludf.DUMMYFUNCTION("""COMPUTED_VALUE"""),"4000")</f>
        <v>4000</v>
      </c>
      <c r="R7" s="2">
        <f>IFERROR(__xludf.DUMMYFUNCTION("""COMPUTED_VALUE"""),85.0)</f>
        <v>85</v>
      </c>
      <c r="S7" s="2" t="str">
        <f>IFERROR(__xludf.DUMMYFUNCTION("""COMPUTED_VALUE"""),"65")</f>
        <v>65</v>
      </c>
      <c r="T7" s="2" t="str">
        <f>IFERROR(__xludf.DUMMYFUNCTION("""COMPUTED_VALUE"""),"Д")</f>
        <v>Д</v>
      </c>
      <c r="U7" s="2" t="str">
        <f>IFERROR(__xludf.DUMMYFUNCTION("""COMPUTED_VALUE"""),"100 000 ч.")</f>
        <v>100 000 ч.</v>
      </c>
      <c r="V7" s="2">
        <f>IFERROR(__xludf.DUMMYFUNCTION("""COMPUTED_VALUE"""),595.0)</f>
        <v>595</v>
      </c>
      <c r="W7" s="2">
        <f>IFERROR(__xludf.DUMMYFUNCTION("""COMPUTED_VALUE"""),595.0)</f>
        <v>595</v>
      </c>
      <c r="X7" s="2">
        <f>IFERROR(__xludf.DUMMYFUNCTION("""COMPUTED_VALUE"""),25.0)</f>
        <v>25</v>
      </c>
      <c r="Y7" s="2"/>
      <c r="Z7" s="2"/>
      <c r="AA7" s="2"/>
      <c r="AB7" s="2">
        <f>IFERROR(__xludf.DUMMYFUNCTION("""COMPUTED_VALUE"""),1.1)</f>
        <v>1.1</v>
      </c>
      <c r="AC7" s="2"/>
      <c r="AD7" s="2" t="str">
        <f>IFERROR(__xludf.DUMMYFUNCTION("""COMPUTED_VALUE"""),"ABS пластик")</f>
        <v>ABS пластик</v>
      </c>
      <c r="AE7" s="2" t="str">
        <f>IFERROR(__xludf.DUMMYFUNCTION("""COMPUTED_VALUE"""),"полистирол")</f>
        <v>полистирол</v>
      </c>
      <c r="AF7" s="2"/>
      <c r="AG7" s="2"/>
      <c r="AH7" s="2"/>
      <c r="AI7" s="2"/>
      <c r="AJ7" s="2"/>
      <c r="AK7" s="2">
        <f>IFERROR(__xludf.DUMMYFUNCTION("""COMPUTED_VALUE"""),0.95)</f>
        <v>0.95</v>
      </c>
      <c r="AL7" s="2">
        <f>IFERROR(__xludf.DUMMYFUNCTION("""COMPUTED_VALUE"""),1.0)</f>
        <v>1</v>
      </c>
      <c r="AM7" s="2">
        <f>IFERROR(__xludf.DUMMYFUNCTION("""COMPUTED_VALUE"""),0.125)</f>
        <v>0.125</v>
      </c>
      <c r="AN7" s="2">
        <f>IFERROR(__xludf.DUMMYFUNCTION("""COMPUTED_VALUE"""),170.0)</f>
        <v>170</v>
      </c>
      <c r="AO7" s="2">
        <f>IFERROR(__xludf.DUMMYFUNCTION("""COMPUTED_VALUE"""),264.0)</f>
        <v>264</v>
      </c>
      <c r="AP7" s="2">
        <f>IFERROR(__xludf.DUMMYFUNCTION("""COMPUTED_VALUE"""),1.0)</f>
        <v>1</v>
      </c>
      <c r="AQ7" s="2">
        <f>IFERROR(__xludf.DUMMYFUNCTION("""COMPUTED_VALUE"""),35.0)</f>
        <v>35</v>
      </c>
      <c r="AR7" s="2" t="str">
        <f>IFERROR(__xludf.DUMMYFUNCTION("""COMPUTED_VALUE"""),"УХЛ4")</f>
        <v>УХЛ4</v>
      </c>
      <c r="AS7" s="2" t="str">
        <f>IFERROR(__xludf.DUMMYFUNCTION("""COMPUTED_VALUE"""),"Картон")</f>
        <v>Картон</v>
      </c>
      <c r="AT7" s="2" t="str">
        <f>IFERROR(__xludf.DUMMYFUNCTION("""COMPUTED_VALUE"""),"Да")</f>
        <v>Да</v>
      </c>
      <c r="AU7" s="2">
        <f>IFERROR(__xludf.DUMMYFUNCTION("""COMPUTED_VALUE"""),0.008190000000000001)</f>
        <v>0.00819</v>
      </c>
      <c r="AV7" s="2">
        <f>IFERROR(__xludf.DUMMYFUNCTION("""COMPUTED_VALUE"""),1.14)</f>
        <v>1.14</v>
      </c>
      <c r="AW7" s="2">
        <f>IFERROR(__xludf.DUMMYFUNCTION("""COMPUTED_VALUE"""),5.0)</f>
        <v>5</v>
      </c>
      <c r="AX7" s="2">
        <f>IFERROR(__xludf.DUMMYFUNCTION("""COMPUTED_VALUE"""),610.0)</f>
        <v>610</v>
      </c>
      <c r="AY7" s="2">
        <f>IFERROR(__xludf.DUMMYFUNCTION("""COMPUTED_VALUE"""),610.0)</f>
        <v>610</v>
      </c>
      <c r="AZ7" s="2">
        <f>IFERROR(__xludf.DUMMYFUNCTION("""COMPUTED_VALUE"""),110.0)</f>
        <v>110</v>
      </c>
      <c r="BA7" s="2">
        <f>IFERROR(__xludf.DUMMYFUNCTION("""COMPUTED_VALUE"""),0.04093)</f>
        <v>0.04093</v>
      </c>
      <c r="BB7" s="2">
        <f>IFERROR(__xludf.DUMMYFUNCTION("""COMPUTED_VALUE"""),5.7)</f>
        <v>5.7</v>
      </c>
      <c r="BC7" s="2"/>
      <c r="BD7" s="4" t="str">
        <f>IFERROR(__xludf.DUMMYFUNCTION("""COMPUTED_VALUE"""),"http://darion-svet.com/web/binary/saveas_archive?model=product.picture&amp;ids=[1977]&amp;field=image&amp;name_field=name&amp;archive_name=GL81311_image")</f>
        <v>http://darion-svet.com/web/binary/saveas_archive?model=product.picture&amp;ids=[1977]&amp;field=image&amp;name_field=name&amp;archive_name=GL81311_image</v>
      </c>
      <c r="BE7" s="4" t="str">
        <f>IFERROR(__xludf.DUMMYFUNCTION("""COMPUTED_VALUE"""),"https://darion-svet.com/shop/product/gl81311-glerio-office-casual-40-vt-4000k-81p-40d-4v-p")</f>
        <v>https://darion-svet.com/shop/product/gl81311-glerio-office-casual-40-vt-4000k-81p-40d-4v-p</v>
      </c>
      <c r="BF7" s="2"/>
      <c r="BG7" s="2"/>
      <c r="BH7" s="2"/>
      <c r="BI7" s="2">
        <f>IFERROR(__xludf.DUMMYFUNCTION("""COMPUTED_VALUE"""),15.0)</f>
        <v>15</v>
      </c>
      <c r="BJ7" s="2">
        <f>IFERROR(__xludf.DUMMYFUNCTION("""COMPUTED_VALUE"""),2233.0)</f>
        <v>2233</v>
      </c>
      <c r="BK7" s="2">
        <f>IFERROR(__xludf.DUMMYFUNCTION("""COMPUTED_VALUE"""),0.0)</f>
        <v>0</v>
      </c>
    </row>
    <row r="8">
      <c r="A8" s="2" t="str">
        <f>IFERROR(__xludf.DUMMYFUNCTION("""COMPUTED_VALUE"""),"GL81411")</f>
        <v>GL81411</v>
      </c>
      <c r="B8" s="2" t="str">
        <f>IFERROR(__xludf.DUMMYFUNCTION("""COMPUTED_VALUE"""),"Светодиодный светильник GLERIO Office Special 20 Вт 4000K 82P-20D-4V-P 3274 лм, IP65 Встраиваемый, призма")</f>
        <v>Светодиодный светильник GLERIO Office Special 20 Вт 4000K 82P-20D-4V-P 3274 лм, IP65 Встраиваемый, призма</v>
      </c>
      <c r="C8" s="2" t="str">
        <f>IFERROR(__xludf.DUMMYFUNCTION("""COMPUTED_VALUE"""),"Office Special+ GLERIO (Офис Премиум)")</f>
        <v>Office Special+ GLERIO (Офис Премиум)</v>
      </c>
      <c r="D8" s="2" t="str">
        <f>IFERROR(__xludf.DUMMYFUNCTION("""COMPUTED_VALUE"""),"7683335325272")</f>
        <v>7683335325272</v>
      </c>
      <c r="E8" s="4" t="str">
        <f>IFERROR(__xludf.DUMMYFUNCTION("""COMPUTED_VALUE"""),"http://darion-svet.com/web/binary/image?model=product.product&amp;id=30415&amp;field=image")</f>
        <v>http://darion-svet.com/web/binary/image?model=product.product&amp;id=30415&amp;field=image</v>
      </c>
      <c r="F8" s="2" t="str">
        <f>IFERROR(__xludf.DUMMYFUNCTION("""COMPUTED_VALUE"""),"5")</f>
        <v>5</v>
      </c>
      <c r="G8" s="2" t="str">
        <f>IFERROR(__xludf.DUMMYFUNCTION("""COMPUTED_VALUE"""),"Российская Федерация")</f>
        <v>Российская Федерация</v>
      </c>
      <c r="H8" s="2" t="str">
        <f>IFERROR(__xludf.DUMMYFUNCTION("""COMPUTED_VALUE"""),"Без бренда")</f>
        <v>Без бренда</v>
      </c>
      <c r="I8" s="2" t="str">
        <f>IFERROR(__xludf.DUMMYFUNCTION("""COMPUTED_VALUE"""),"встраиваемый в Армстронг")</f>
        <v>встраиваемый в Армстронг</v>
      </c>
      <c r="J8" s="2" t="str">
        <f>IFERROR(__xludf.DUMMYFUNCTION("""COMPUTED_VALUE"""),"общественные помещения")</f>
        <v>общественные помещения</v>
      </c>
      <c r="K8" s="2"/>
      <c r="L8" s="2"/>
      <c r="M8" s="2">
        <f>IFERROR(__xludf.DUMMYFUNCTION("""COMPUTED_VALUE"""),20.0)</f>
        <v>20</v>
      </c>
      <c r="N8" s="2"/>
      <c r="O8" s="2" t="str">
        <f>IFERROR(__xludf.DUMMYFUNCTION("""COMPUTED_VALUE"""),"SMD")</f>
        <v>SMD</v>
      </c>
      <c r="P8" s="2">
        <f>IFERROR(__xludf.DUMMYFUNCTION("""COMPUTED_VALUE"""),3274.0)</f>
        <v>3274</v>
      </c>
      <c r="Q8" s="2" t="str">
        <f>IFERROR(__xludf.DUMMYFUNCTION("""COMPUTED_VALUE"""),"4000")</f>
        <v>4000</v>
      </c>
      <c r="R8" s="2">
        <f>IFERROR(__xludf.DUMMYFUNCTION("""COMPUTED_VALUE"""),85.0)</f>
        <v>85</v>
      </c>
      <c r="S8" s="2" t="str">
        <f>IFERROR(__xludf.DUMMYFUNCTION("""COMPUTED_VALUE"""),"65")</f>
        <v>65</v>
      </c>
      <c r="T8" s="2" t="str">
        <f>IFERROR(__xludf.DUMMYFUNCTION("""COMPUTED_VALUE"""),"Д")</f>
        <v>Д</v>
      </c>
      <c r="U8" s="2" t="str">
        <f>IFERROR(__xludf.DUMMYFUNCTION("""COMPUTED_VALUE"""),"100 000 ч.")</f>
        <v>100 000 ч.</v>
      </c>
      <c r="V8" s="2">
        <f>IFERROR(__xludf.DUMMYFUNCTION("""COMPUTED_VALUE"""),595.0)</f>
        <v>595</v>
      </c>
      <c r="W8" s="2">
        <f>IFERROR(__xludf.DUMMYFUNCTION("""COMPUTED_VALUE"""),595.0)</f>
        <v>595</v>
      </c>
      <c r="X8" s="2">
        <f>IFERROR(__xludf.DUMMYFUNCTION("""COMPUTED_VALUE"""),25.0)</f>
        <v>25</v>
      </c>
      <c r="Y8" s="2"/>
      <c r="Z8" s="2"/>
      <c r="AA8" s="2"/>
      <c r="AB8" s="2">
        <f>IFERROR(__xludf.DUMMYFUNCTION("""COMPUTED_VALUE"""),1.0)</f>
        <v>1</v>
      </c>
      <c r="AC8" s="2"/>
      <c r="AD8" s="2" t="str">
        <f>IFERROR(__xludf.DUMMYFUNCTION("""COMPUTED_VALUE"""),"ABS пластик")</f>
        <v>ABS пластик</v>
      </c>
      <c r="AE8" s="2" t="str">
        <f>IFERROR(__xludf.DUMMYFUNCTION("""COMPUTED_VALUE"""),"полистирол")</f>
        <v>полистирол</v>
      </c>
      <c r="AF8" s="2"/>
      <c r="AG8" s="2"/>
      <c r="AH8" s="2"/>
      <c r="AI8" s="2"/>
      <c r="AJ8" s="2"/>
      <c r="AK8" s="2">
        <f>IFERROR(__xludf.DUMMYFUNCTION("""COMPUTED_VALUE"""),0.95)</f>
        <v>0.95</v>
      </c>
      <c r="AL8" s="2">
        <f>IFERROR(__xludf.DUMMYFUNCTION("""COMPUTED_VALUE"""),1.0)</f>
        <v>1</v>
      </c>
      <c r="AM8" s="2">
        <f>IFERROR(__xludf.DUMMYFUNCTION("""COMPUTED_VALUE"""),0.125)</f>
        <v>0.125</v>
      </c>
      <c r="AN8" s="2">
        <f>IFERROR(__xludf.DUMMYFUNCTION("""COMPUTED_VALUE"""),170.0)</f>
        <v>170</v>
      </c>
      <c r="AO8" s="2">
        <f>IFERROR(__xludf.DUMMYFUNCTION("""COMPUTED_VALUE"""),264.0)</f>
        <v>264</v>
      </c>
      <c r="AP8" s="2">
        <f>IFERROR(__xludf.DUMMYFUNCTION("""COMPUTED_VALUE"""),1.0)</f>
        <v>1</v>
      </c>
      <c r="AQ8" s="2">
        <f>IFERROR(__xludf.DUMMYFUNCTION("""COMPUTED_VALUE"""),35.0)</f>
        <v>35</v>
      </c>
      <c r="AR8" s="2" t="str">
        <f>IFERROR(__xludf.DUMMYFUNCTION("""COMPUTED_VALUE"""),"УХЛ4")</f>
        <v>УХЛ4</v>
      </c>
      <c r="AS8" s="2" t="str">
        <f>IFERROR(__xludf.DUMMYFUNCTION("""COMPUTED_VALUE"""),"Картон")</f>
        <v>Картон</v>
      </c>
      <c r="AT8" s="2" t="str">
        <f>IFERROR(__xludf.DUMMYFUNCTION("""COMPUTED_VALUE"""),"Да")</f>
        <v>Да</v>
      </c>
      <c r="AU8" s="2">
        <f>IFERROR(__xludf.DUMMYFUNCTION("""COMPUTED_VALUE"""),0.008190000000000001)</f>
        <v>0.00819</v>
      </c>
      <c r="AV8" s="2">
        <f>IFERROR(__xludf.DUMMYFUNCTION("""COMPUTED_VALUE"""),1.04)</f>
        <v>1.04</v>
      </c>
      <c r="AW8" s="2">
        <f>IFERROR(__xludf.DUMMYFUNCTION("""COMPUTED_VALUE"""),5.0)</f>
        <v>5</v>
      </c>
      <c r="AX8" s="2">
        <f>IFERROR(__xludf.DUMMYFUNCTION("""COMPUTED_VALUE"""),610.0)</f>
        <v>610</v>
      </c>
      <c r="AY8" s="2">
        <f>IFERROR(__xludf.DUMMYFUNCTION("""COMPUTED_VALUE"""),610.0)</f>
        <v>610</v>
      </c>
      <c r="AZ8" s="2">
        <f>IFERROR(__xludf.DUMMYFUNCTION("""COMPUTED_VALUE"""),110.0)</f>
        <v>110</v>
      </c>
      <c r="BA8" s="2">
        <f>IFERROR(__xludf.DUMMYFUNCTION("""COMPUTED_VALUE"""),0.04093)</f>
        <v>0.04093</v>
      </c>
      <c r="BB8" s="2">
        <f>IFERROR(__xludf.DUMMYFUNCTION("""COMPUTED_VALUE"""),5.2)</f>
        <v>5.2</v>
      </c>
      <c r="BC8" s="2"/>
      <c r="BD8" s="4" t="str">
        <f>IFERROR(__xludf.DUMMYFUNCTION("""COMPUTED_VALUE"""),"http://darion-svet.com/web/binary/saveas_archive?model=product.picture&amp;ids=[1982]&amp;field=image&amp;name_field=name&amp;archive_name=GL81411_image")</f>
        <v>http://darion-svet.com/web/binary/saveas_archive?model=product.picture&amp;ids=[1982]&amp;field=image&amp;name_field=name&amp;archive_name=GL81411_image</v>
      </c>
      <c r="BE8" s="4" t="str">
        <f>IFERROR(__xludf.DUMMYFUNCTION("""COMPUTED_VALUE"""),"https://darion-svet.com/shop/product/gl81411-glerio-office-special-20-vt-4000k-82p-20d-4v-p")</f>
        <v>https://darion-svet.com/shop/product/gl81411-glerio-office-special-20-vt-4000k-82p-20d-4v-p</v>
      </c>
      <c r="BF8" s="2"/>
      <c r="BG8" s="2"/>
      <c r="BH8" s="2"/>
      <c r="BI8" s="2">
        <f>IFERROR(__xludf.DUMMYFUNCTION("""COMPUTED_VALUE"""),30.0)</f>
        <v>30</v>
      </c>
      <c r="BJ8" s="2">
        <f>IFERROR(__xludf.DUMMYFUNCTION("""COMPUTED_VALUE"""),1427.0)</f>
        <v>1427</v>
      </c>
      <c r="BK8" s="2">
        <f>IFERROR(__xludf.DUMMYFUNCTION("""COMPUTED_VALUE"""),0.0)</f>
        <v>0</v>
      </c>
    </row>
    <row r="9">
      <c r="A9" s="2" t="str">
        <f>IFERROR(__xludf.DUMMYFUNCTION("""COMPUTED_VALUE"""),"GL814191")</f>
        <v>GL814191</v>
      </c>
      <c r="B9" s="2" t="str">
        <f>IFERROR(__xludf.DUMMYFUNCTION("""COMPUTED_VALUE"""),"Светодиодный светильник GLERIO Office Special 20 Вт 4000K 82P-20D-4G-P 3274 лм, IP65 Грильято, призма")</f>
        <v>Светодиодный светильник GLERIO Office Special 20 Вт 4000K 82P-20D-4G-P 3274 лм, IP65 Грильято, призма</v>
      </c>
      <c r="C9" s="2" t="str">
        <f>IFERROR(__xludf.DUMMYFUNCTION("""COMPUTED_VALUE"""),"Office Special+ GLERIO (Офис Премиум)")</f>
        <v>Office Special+ GLERIO (Офис Премиум)</v>
      </c>
      <c r="D9" s="2" t="str">
        <f>IFERROR(__xludf.DUMMYFUNCTION("""COMPUTED_VALUE"""),"7683335325234")</f>
        <v>7683335325234</v>
      </c>
      <c r="E9" s="4" t="str">
        <f>IFERROR(__xludf.DUMMYFUNCTION("""COMPUTED_VALUE"""),"http://darion-svet.com/web/binary/image?model=product.product&amp;id=31092&amp;field=image")</f>
        <v>http://darion-svet.com/web/binary/image?model=product.product&amp;id=31092&amp;field=image</v>
      </c>
      <c r="F9" s="2" t="str">
        <f>IFERROR(__xludf.DUMMYFUNCTION("""COMPUTED_VALUE"""),"5")</f>
        <v>5</v>
      </c>
      <c r="G9" s="2" t="str">
        <f>IFERROR(__xludf.DUMMYFUNCTION("""COMPUTED_VALUE"""),"Российская Федерация")</f>
        <v>Российская Федерация</v>
      </c>
      <c r="H9" s="2" t="str">
        <f>IFERROR(__xludf.DUMMYFUNCTION("""COMPUTED_VALUE"""),"Без бренда")</f>
        <v>Без бренда</v>
      </c>
      <c r="I9" s="2" t="str">
        <f>IFERROR(__xludf.DUMMYFUNCTION("""COMPUTED_VALUE"""),"встраиваемый в грильято")</f>
        <v>встраиваемый в грильято</v>
      </c>
      <c r="J9" s="2" t="str">
        <f>IFERROR(__xludf.DUMMYFUNCTION("""COMPUTED_VALUE"""),"общественные помещения")</f>
        <v>общественные помещения</v>
      </c>
      <c r="K9" s="2"/>
      <c r="L9" s="2"/>
      <c r="M9" s="2">
        <f>IFERROR(__xludf.DUMMYFUNCTION("""COMPUTED_VALUE"""),20.0)</f>
        <v>20</v>
      </c>
      <c r="N9" s="2"/>
      <c r="O9" s="2" t="str">
        <f>IFERROR(__xludf.DUMMYFUNCTION("""COMPUTED_VALUE"""),"SMD")</f>
        <v>SMD</v>
      </c>
      <c r="P9" s="2">
        <f>IFERROR(__xludf.DUMMYFUNCTION("""COMPUTED_VALUE"""),3274.0)</f>
        <v>3274</v>
      </c>
      <c r="Q9" s="2" t="str">
        <f>IFERROR(__xludf.DUMMYFUNCTION("""COMPUTED_VALUE"""),"4000")</f>
        <v>4000</v>
      </c>
      <c r="R9" s="2">
        <f>IFERROR(__xludf.DUMMYFUNCTION("""COMPUTED_VALUE"""),85.0)</f>
        <v>85</v>
      </c>
      <c r="S9" s="2" t="str">
        <f>IFERROR(__xludf.DUMMYFUNCTION("""COMPUTED_VALUE"""),"65")</f>
        <v>65</v>
      </c>
      <c r="T9" s="2" t="str">
        <f>IFERROR(__xludf.DUMMYFUNCTION("""COMPUTED_VALUE"""),"Д")</f>
        <v>Д</v>
      </c>
      <c r="U9" s="2" t="str">
        <f>IFERROR(__xludf.DUMMYFUNCTION("""COMPUTED_VALUE"""),"100 000 ч.")</f>
        <v>100 000 ч.</v>
      </c>
      <c r="V9" s="2">
        <f>IFERROR(__xludf.DUMMYFUNCTION("""COMPUTED_VALUE"""),595.0)</f>
        <v>595</v>
      </c>
      <c r="W9" s="2">
        <f>IFERROR(__xludf.DUMMYFUNCTION("""COMPUTED_VALUE"""),595.0)</f>
        <v>595</v>
      </c>
      <c r="X9" s="2">
        <f>IFERROR(__xludf.DUMMYFUNCTION("""COMPUTED_VALUE"""),15.0)</f>
        <v>15</v>
      </c>
      <c r="Y9" s="2"/>
      <c r="Z9" s="2"/>
      <c r="AA9" s="2"/>
      <c r="AB9" s="2">
        <f>IFERROR(__xludf.DUMMYFUNCTION("""COMPUTED_VALUE"""),1.0)</f>
        <v>1</v>
      </c>
      <c r="AC9" s="2"/>
      <c r="AD9" s="2" t="str">
        <f>IFERROR(__xludf.DUMMYFUNCTION("""COMPUTED_VALUE"""),"полистирол")</f>
        <v>полистирол</v>
      </c>
      <c r="AE9" s="2" t="str">
        <f>IFERROR(__xludf.DUMMYFUNCTION("""COMPUTED_VALUE"""),"полистирол")</f>
        <v>полистирол</v>
      </c>
      <c r="AF9" s="2"/>
      <c r="AG9" s="2"/>
      <c r="AH9" s="2"/>
      <c r="AI9" s="2"/>
      <c r="AJ9" s="2"/>
      <c r="AK9" s="2">
        <f>IFERROR(__xludf.DUMMYFUNCTION("""COMPUTED_VALUE"""),0.95)</f>
        <v>0.95</v>
      </c>
      <c r="AL9" s="2">
        <f>IFERROR(__xludf.DUMMYFUNCTION("""COMPUTED_VALUE"""),1.0)</f>
        <v>1</v>
      </c>
      <c r="AM9" s="2">
        <f>IFERROR(__xludf.DUMMYFUNCTION("""COMPUTED_VALUE"""),0.125)</f>
        <v>0.125</v>
      </c>
      <c r="AN9" s="2">
        <f>IFERROR(__xludf.DUMMYFUNCTION("""COMPUTED_VALUE"""),170.0)</f>
        <v>170</v>
      </c>
      <c r="AO9" s="2">
        <f>IFERROR(__xludf.DUMMYFUNCTION("""COMPUTED_VALUE"""),264.0)</f>
        <v>264</v>
      </c>
      <c r="AP9" s="2">
        <f>IFERROR(__xludf.DUMMYFUNCTION("""COMPUTED_VALUE"""),1.0)</f>
        <v>1</v>
      </c>
      <c r="AQ9" s="2">
        <f>IFERROR(__xludf.DUMMYFUNCTION("""COMPUTED_VALUE"""),35.0)</f>
        <v>35</v>
      </c>
      <c r="AR9" s="2" t="str">
        <f>IFERROR(__xludf.DUMMYFUNCTION("""COMPUTED_VALUE"""),"УХЛ4")</f>
        <v>УХЛ4</v>
      </c>
      <c r="AS9" s="2" t="str">
        <f>IFERROR(__xludf.DUMMYFUNCTION("""COMPUTED_VALUE"""),"Картон")</f>
        <v>Картон</v>
      </c>
      <c r="AT9" s="2" t="str">
        <f>IFERROR(__xludf.DUMMYFUNCTION("""COMPUTED_VALUE"""),"Да")</f>
        <v>Да</v>
      </c>
      <c r="AU9" s="2">
        <f>IFERROR(__xludf.DUMMYFUNCTION("""COMPUTED_VALUE"""),0.008190000000000001)</f>
        <v>0.00819</v>
      </c>
      <c r="AV9" s="2">
        <f>IFERROR(__xludf.DUMMYFUNCTION("""COMPUTED_VALUE"""),1.04)</f>
        <v>1.04</v>
      </c>
      <c r="AW9" s="2">
        <f>IFERROR(__xludf.DUMMYFUNCTION("""COMPUTED_VALUE"""),5.0)</f>
        <v>5</v>
      </c>
      <c r="AX9" s="2">
        <f>IFERROR(__xludf.DUMMYFUNCTION("""COMPUTED_VALUE"""),610.0)</f>
        <v>610</v>
      </c>
      <c r="AY9" s="2">
        <f>IFERROR(__xludf.DUMMYFUNCTION("""COMPUTED_VALUE"""),610.0)</f>
        <v>610</v>
      </c>
      <c r="AZ9" s="2">
        <f>IFERROR(__xludf.DUMMYFUNCTION("""COMPUTED_VALUE"""),110.0)</f>
        <v>110</v>
      </c>
      <c r="BA9" s="2">
        <f>IFERROR(__xludf.DUMMYFUNCTION("""COMPUTED_VALUE"""),0.04093)</f>
        <v>0.04093</v>
      </c>
      <c r="BB9" s="2">
        <f>IFERROR(__xludf.DUMMYFUNCTION("""COMPUTED_VALUE"""),5.2)</f>
        <v>5.2</v>
      </c>
      <c r="BC9" s="2"/>
      <c r="BD9" s="4" t="str">
        <f>IFERROR(__xludf.DUMMYFUNCTION("""COMPUTED_VALUE"""),"http://darion-svet.com/web/binary/saveas_archive?model=product.picture&amp;ids=[2011]&amp;field=image&amp;name_field=name&amp;archive_name=GL814191_image")</f>
        <v>http://darion-svet.com/web/binary/saveas_archive?model=product.picture&amp;ids=[2011]&amp;field=image&amp;name_field=name&amp;archive_name=GL814191_image</v>
      </c>
      <c r="BE9" s="4" t="str">
        <f>IFERROR(__xludf.DUMMYFUNCTION("""COMPUTED_VALUE"""),"http://darion-svet.com/shop/product/gl814191-glerio-office-special-20-vt-4000k-82p-20d-4g-p")</f>
        <v>http://darion-svet.com/shop/product/gl814191-glerio-office-special-20-vt-4000k-82p-20d-4g-p</v>
      </c>
      <c r="BF9" s="2"/>
      <c r="BG9" s="2"/>
      <c r="BH9" s="2"/>
      <c r="BI9" s="2">
        <f>IFERROR(__xludf.DUMMYFUNCTION("""COMPUTED_VALUE"""),30.0)</f>
        <v>30</v>
      </c>
      <c r="BJ9" s="2">
        <f>IFERROR(__xludf.DUMMYFUNCTION("""COMPUTED_VALUE"""),1478.0)</f>
        <v>1478</v>
      </c>
      <c r="BK9" s="2">
        <f>IFERROR(__xludf.DUMMYFUNCTION("""COMPUTED_VALUE"""),0.0)</f>
        <v>0</v>
      </c>
    </row>
    <row r="10">
      <c r="A10" s="2" t="str">
        <f>IFERROR(__xludf.DUMMYFUNCTION("""COMPUTED_VALUE"""),"GL81511")</f>
        <v>GL81511</v>
      </c>
      <c r="B10" s="2" t="str">
        <f>IFERROR(__xludf.DUMMYFUNCTION("""COMPUTED_VALUE"""),"Светодиодный светильник GLERIO Office Special 40 Вт 4000K 82P-40D-4V-P 6475 лм, IP65 Встраиваемый, призма")</f>
        <v>Светодиодный светильник GLERIO Office Special 40 Вт 4000K 82P-40D-4V-P 6475 лм, IP65 Встраиваемый, призма</v>
      </c>
      <c r="C10" s="2" t="str">
        <f>IFERROR(__xludf.DUMMYFUNCTION("""COMPUTED_VALUE"""),"Office Special+ GLERIO (Офис Премиум)")</f>
        <v>Office Special+ GLERIO (Офис Премиум)</v>
      </c>
      <c r="D10" s="2" t="str">
        <f>IFERROR(__xludf.DUMMYFUNCTION("""COMPUTED_VALUE"""),"7683335326002")</f>
        <v>7683335326002</v>
      </c>
      <c r="E10" s="4" t="str">
        <f>IFERROR(__xludf.DUMMYFUNCTION("""COMPUTED_VALUE"""),"http://darion-svet.com/web/binary/image?model=product.product&amp;id=30427&amp;field=image")</f>
        <v>http://darion-svet.com/web/binary/image?model=product.product&amp;id=30427&amp;field=image</v>
      </c>
      <c r="F10" s="2" t="str">
        <f>IFERROR(__xludf.DUMMYFUNCTION("""COMPUTED_VALUE"""),"5")</f>
        <v>5</v>
      </c>
      <c r="G10" s="2" t="str">
        <f>IFERROR(__xludf.DUMMYFUNCTION("""COMPUTED_VALUE"""),"Российская Федерация")</f>
        <v>Российская Федерация</v>
      </c>
      <c r="H10" s="2" t="str">
        <f>IFERROR(__xludf.DUMMYFUNCTION("""COMPUTED_VALUE"""),"Без бренда")</f>
        <v>Без бренда</v>
      </c>
      <c r="I10" s="2" t="str">
        <f>IFERROR(__xludf.DUMMYFUNCTION("""COMPUTED_VALUE"""),"встраиваемый в Армстронг")</f>
        <v>встраиваемый в Армстронг</v>
      </c>
      <c r="J10" s="2" t="str">
        <f>IFERROR(__xludf.DUMMYFUNCTION("""COMPUTED_VALUE"""),"общественные помещения")</f>
        <v>общественные помещения</v>
      </c>
      <c r="K10" s="2"/>
      <c r="L10" s="2"/>
      <c r="M10" s="2">
        <f>IFERROR(__xludf.DUMMYFUNCTION("""COMPUTED_VALUE"""),40.0)</f>
        <v>40</v>
      </c>
      <c r="N10" s="2"/>
      <c r="O10" s="2" t="str">
        <f>IFERROR(__xludf.DUMMYFUNCTION("""COMPUTED_VALUE"""),"SMD")</f>
        <v>SMD</v>
      </c>
      <c r="P10" s="2">
        <f>IFERROR(__xludf.DUMMYFUNCTION("""COMPUTED_VALUE"""),6475.0)</f>
        <v>6475</v>
      </c>
      <c r="Q10" s="2" t="str">
        <f>IFERROR(__xludf.DUMMYFUNCTION("""COMPUTED_VALUE"""),"4000")</f>
        <v>4000</v>
      </c>
      <c r="R10" s="2">
        <f>IFERROR(__xludf.DUMMYFUNCTION("""COMPUTED_VALUE"""),85.0)</f>
        <v>85</v>
      </c>
      <c r="S10" s="2" t="str">
        <f>IFERROR(__xludf.DUMMYFUNCTION("""COMPUTED_VALUE"""),"65")</f>
        <v>65</v>
      </c>
      <c r="T10" s="2" t="str">
        <f>IFERROR(__xludf.DUMMYFUNCTION("""COMPUTED_VALUE"""),"Д")</f>
        <v>Д</v>
      </c>
      <c r="U10" s="2" t="str">
        <f>IFERROR(__xludf.DUMMYFUNCTION("""COMPUTED_VALUE"""),"100 000 ч.")</f>
        <v>100 000 ч.</v>
      </c>
      <c r="V10" s="2">
        <f>IFERROR(__xludf.DUMMYFUNCTION("""COMPUTED_VALUE"""),595.0)</f>
        <v>595</v>
      </c>
      <c r="W10" s="2">
        <f>IFERROR(__xludf.DUMMYFUNCTION("""COMPUTED_VALUE"""),595.0)</f>
        <v>595</v>
      </c>
      <c r="X10" s="2">
        <f>IFERROR(__xludf.DUMMYFUNCTION("""COMPUTED_VALUE"""),25.0)</f>
        <v>25</v>
      </c>
      <c r="Y10" s="2"/>
      <c r="Z10" s="2"/>
      <c r="AA10" s="2"/>
      <c r="AB10" s="2">
        <f>IFERROR(__xludf.DUMMYFUNCTION("""COMPUTED_VALUE"""),1.1)</f>
        <v>1.1</v>
      </c>
      <c r="AC10" s="2"/>
      <c r="AD10" s="2" t="str">
        <f>IFERROR(__xludf.DUMMYFUNCTION("""COMPUTED_VALUE"""),"ABS пластик")</f>
        <v>ABS пластик</v>
      </c>
      <c r="AE10" s="2" t="str">
        <f>IFERROR(__xludf.DUMMYFUNCTION("""COMPUTED_VALUE"""),"полистирол")</f>
        <v>полистирол</v>
      </c>
      <c r="AF10" s="2"/>
      <c r="AG10" s="2"/>
      <c r="AH10" s="2"/>
      <c r="AI10" s="2"/>
      <c r="AJ10" s="2"/>
      <c r="AK10" s="2">
        <f>IFERROR(__xludf.DUMMYFUNCTION("""COMPUTED_VALUE"""),0.95)</f>
        <v>0.95</v>
      </c>
      <c r="AL10" s="2">
        <f>IFERROR(__xludf.DUMMYFUNCTION("""COMPUTED_VALUE"""),1.0)</f>
        <v>1</v>
      </c>
      <c r="AM10" s="2">
        <f>IFERROR(__xludf.DUMMYFUNCTION("""COMPUTED_VALUE"""),0.125)</f>
        <v>0.125</v>
      </c>
      <c r="AN10" s="2">
        <f>IFERROR(__xludf.DUMMYFUNCTION("""COMPUTED_VALUE"""),170.0)</f>
        <v>170</v>
      </c>
      <c r="AO10" s="2">
        <f>IFERROR(__xludf.DUMMYFUNCTION("""COMPUTED_VALUE"""),264.0)</f>
        <v>264</v>
      </c>
      <c r="AP10" s="2">
        <f>IFERROR(__xludf.DUMMYFUNCTION("""COMPUTED_VALUE"""),1.0)</f>
        <v>1</v>
      </c>
      <c r="AQ10" s="2">
        <f>IFERROR(__xludf.DUMMYFUNCTION("""COMPUTED_VALUE"""),35.0)</f>
        <v>35</v>
      </c>
      <c r="AR10" s="2" t="str">
        <f>IFERROR(__xludf.DUMMYFUNCTION("""COMPUTED_VALUE"""),"УХЛ4")</f>
        <v>УХЛ4</v>
      </c>
      <c r="AS10" s="2" t="str">
        <f>IFERROR(__xludf.DUMMYFUNCTION("""COMPUTED_VALUE"""),"Картон")</f>
        <v>Картон</v>
      </c>
      <c r="AT10" s="2" t="str">
        <f>IFERROR(__xludf.DUMMYFUNCTION("""COMPUTED_VALUE"""),"Да")</f>
        <v>Да</v>
      </c>
      <c r="AU10" s="2">
        <f>IFERROR(__xludf.DUMMYFUNCTION("""COMPUTED_VALUE"""),0.008190000000000001)</f>
        <v>0.00819</v>
      </c>
      <c r="AV10" s="2">
        <f>IFERROR(__xludf.DUMMYFUNCTION("""COMPUTED_VALUE"""),1.14)</f>
        <v>1.14</v>
      </c>
      <c r="AW10" s="2">
        <f>IFERROR(__xludf.DUMMYFUNCTION("""COMPUTED_VALUE"""),5.0)</f>
        <v>5</v>
      </c>
      <c r="AX10" s="2">
        <f>IFERROR(__xludf.DUMMYFUNCTION("""COMPUTED_VALUE"""),610.0)</f>
        <v>610</v>
      </c>
      <c r="AY10" s="2">
        <f>IFERROR(__xludf.DUMMYFUNCTION("""COMPUTED_VALUE"""),610.0)</f>
        <v>610</v>
      </c>
      <c r="AZ10" s="2">
        <f>IFERROR(__xludf.DUMMYFUNCTION("""COMPUTED_VALUE"""),110.0)</f>
        <v>110</v>
      </c>
      <c r="BA10" s="2">
        <f>IFERROR(__xludf.DUMMYFUNCTION("""COMPUTED_VALUE"""),0.04093)</f>
        <v>0.04093</v>
      </c>
      <c r="BB10" s="2">
        <f>IFERROR(__xludf.DUMMYFUNCTION("""COMPUTED_VALUE"""),5.7)</f>
        <v>5.7</v>
      </c>
      <c r="BC10" s="2"/>
      <c r="BD10" s="4" t="str">
        <f>IFERROR(__xludf.DUMMYFUNCTION("""COMPUTED_VALUE"""),"http://darion-svet.com/web/binary/saveas_archive?model=product.picture&amp;ids=[1982]&amp;field=image&amp;name_field=name&amp;archive_name=GL81511_image")</f>
        <v>http://darion-svet.com/web/binary/saveas_archive?model=product.picture&amp;ids=[1982]&amp;field=image&amp;name_field=name&amp;archive_name=GL81511_image</v>
      </c>
      <c r="BE10" s="4" t="str">
        <f>IFERROR(__xludf.DUMMYFUNCTION("""COMPUTED_VALUE"""),"https://darion-svet.com/shop/product/gl81511-glerio-office-special-40-vt-4000k-82p-40d-4v-p")</f>
        <v>https://darion-svet.com/shop/product/gl81511-glerio-office-special-40-vt-4000k-82p-40d-4v-p</v>
      </c>
      <c r="BF10" s="2"/>
      <c r="BG10" s="2"/>
      <c r="BH10" s="2"/>
      <c r="BI10" s="2">
        <f>IFERROR(__xludf.DUMMYFUNCTION("""COMPUTED_VALUE"""),15.0)</f>
        <v>15</v>
      </c>
      <c r="BJ10" s="2">
        <f>IFERROR(__xludf.DUMMYFUNCTION("""COMPUTED_VALUE"""),2233.0)</f>
        <v>2233</v>
      </c>
      <c r="BK10" s="2">
        <f>IFERROR(__xludf.DUMMYFUNCTION("""COMPUTED_VALUE"""),0.0)</f>
        <v>0</v>
      </c>
    </row>
    <row r="11">
      <c r="A11" s="2" t="str">
        <f>IFERROR(__xludf.DUMMYFUNCTION("""COMPUTED_VALUE"""),"GL815191")</f>
        <v>GL815191</v>
      </c>
      <c r="B11" s="2" t="str">
        <f>IFERROR(__xludf.DUMMYFUNCTION("""COMPUTED_VALUE"""),"Светодиодный светильник GLERIO Office Special 40 Вт 4000K 82P-40D-4G-P 6475 лм, IP65 Грильято, призма")</f>
        <v>Светодиодный светильник GLERIO Office Special 40 Вт 4000K 82P-40D-4G-P 6475 лм, IP65 Грильято, призма</v>
      </c>
      <c r="C11" s="2" t="str">
        <f>IFERROR(__xludf.DUMMYFUNCTION("""COMPUTED_VALUE"""),"Office Special+ GLERIO (Офис Премиум)")</f>
        <v>Office Special+ GLERIO (Офис Премиум)</v>
      </c>
      <c r="D11" s="2" t="str">
        <f>IFERROR(__xludf.DUMMYFUNCTION("""COMPUTED_VALUE"""),"7683335325968")</f>
        <v>7683335325968</v>
      </c>
      <c r="E11" s="4" t="str">
        <f>IFERROR(__xludf.DUMMYFUNCTION("""COMPUTED_VALUE"""),"http://darion-svet.com/web/binary/image?model=product.product&amp;id=31104&amp;field=image")</f>
        <v>http://darion-svet.com/web/binary/image?model=product.product&amp;id=31104&amp;field=image</v>
      </c>
      <c r="F11" s="2" t="str">
        <f>IFERROR(__xludf.DUMMYFUNCTION("""COMPUTED_VALUE"""),"5")</f>
        <v>5</v>
      </c>
      <c r="G11" s="2" t="str">
        <f>IFERROR(__xludf.DUMMYFUNCTION("""COMPUTED_VALUE"""),"Российская Федерация")</f>
        <v>Российская Федерация</v>
      </c>
      <c r="H11" s="2" t="str">
        <f>IFERROR(__xludf.DUMMYFUNCTION("""COMPUTED_VALUE"""),"Без бренда")</f>
        <v>Без бренда</v>
      </c>
      <c r="I11" s="2" t="str">
        <f>IFERROR(__xludf.DUMMYFUNCTION("""COMPUTED_VALUE"""),"встраиваемый в грильято")</f>
        <v>встраиваемый в грильято</v>
      </c>
      <c r="J11" s="2" t="str">
        <f>IFERROR(__xludf.DUMMYFUNCTION("""COMPUTED_VALUE"""),"общественные помещения")</f>
        <v>общественные помещения</v>
      </c>
      <c r="K11" s="2"/>
      <c r="L11" s="2"/>
      <c r="M11" s="2">
        <f>IFERROR(__xludf.DUMMYFUNCTION("""COMPUTED_VALUE"""),40.0)</f>
        <v>40</v>
      </c>
      <c r="N11" s="2"/>
      <c r="O11" s="2" t="str">
        <f>IFERROR(__xludf.DUMMYFUNCTION("""COMPUTED_VALUE"""),"SMD")</f>
        <v>SMD</v>
      </c>
      <c r="P11" s="2">
        <f>IFERROR(__xludf.DUMMYFUNCTION("""COMPUTED_VALUE"""),6475.0)</f>
        <v>6475</v>
      </c>
      <c r="Q11" s="2" t="str">
        <f>IFERROR(__xludf.DUMMYFUNCTION("""COMPUTED_VALUE"""),"4000")</f>
        <v>4000</v>
      </c>
      <c r="R11" s="2">
        <f>IFERROR(__xludf.DUMMYFUNCTION("""COMPUTED_VALUE"""),85.0)</f>
        <v>85</v>
      </c>
      <c r="S11" s="2" t="str">
        <f>IFERROR(__xludf.DUMMYFUNCTION("""COMPUTED_VALUE"""),"65")</f>
        <v>65</v>
      </c>
      <c r="T11" s="2" t="str">
        <f>IFERROR(__xludf.DUMMYFUNCTION("""COMPUTED_VALUE"""),"Д")</f>
        <v>Д</v>
      </c>
      <c r="U11" s="2" t="str">
        <f>IFERROR(__xludf.DUMMYFUNCTION("""COMPUTED_VALUE"""),"100 000 ч.")</f>
        <v>100 000 ч.</v>
      </c>
      <c r="V11" s="2">
        <f>IFERROR(__xludf.DUMMYFUNCTION("""COMPUTED_VALUE"""),595.0)</f>
        <v>595</v>
      </c>
      <c r="W11" s="2">
        <f>IFERROR(__xludf.DUMMYFUNCTION("""COMPUTED_VALUE"""),595.0)</f>
        <v>595</v>
      </c>
      <c r="X11" s="2">
        <f>IFERROR(__xludf.DUMMYFUNCTION("""COMPUTED_VALUE"""),15.0)</f>
        <v>15</v>
      </c>
      <c r="Y11" s="2"/>
      <c r="Z11" s="2"/>
      <c r="AA11" s="2"/>
      <c r="AB11" s="2">
        <f>IFERROR(__xludf.DUMMYFUNCTION("""COMPUTED_VALUE"""),1.1)</f>
        <v>1.1</v>
      </c>
      <c r="AC11" s="2"/>
      <c r="AD11" s="2" t="str">
        <f>IFERROR(__xludf.DUMMYFUNCTION("""COMPUTED_VALUE"""),"полистирол")</f>
        <v>полистирол</v>
      </c>
      <c r="AE11" s="2" t="str">
        <f>IFERROR(__xludf.DUMMYFUNCTION("""COMPUTED_VALUE"""),"полистирол")</f>
        <v>полистирол</v>
      </c>
      <c r="AF11" s="2"/>
      <c r="AG11" s="2"/>
      <c r="AH11" s="2"/>
      <c r="AI11" s="2"/>
      <c r="AJ11" s="2"/>
      <c r="AK11" s="2">
        <f>IFERROR(__xludf.DUMMYFUNCTION("""COMPUTED_VALUE"""),0.95)</f>
        <v>0.95</v>
      </c>
      <c r="AL11" s="2">
        <f>IFERROR(__xludf.DUMMYFUNCTION("""COMPUTED_VALUE"""),1.0)</f>
        <v>1</v>
      </c>
      <c r="AM11" s="2">
        <f>IFERROR(__xludf.DUMMYFUNCTION("""COMPUTED_VALUE"""),0.125)</f>
        <v>0.125</v>
      </c>
      <c r="AN11" s="2">
        <f>IFERROR(__xludf.DUMMYFUNCTION("""COMPUTED_VALUE"""),170.0)</f>
        <v>170</v>
      </c>
      <c r="AO11" s="2">
        <f>IFERROR(__xludf.DUMMYFUNCTION("""COMPUTED_VALUE"""),264.0)</f>
        <v>264</v>
      </c>
      <c r="AP11" s="2">
        <f>IFERROR(__xludf.DUMMYFUNCTION("""COMPUTED_VALUE"""),1.0)</f>
        <v>1</v>
      </c>
      <c r="AQ11" s="2">
        <f>IFERROR(__xludf.DUMMYFUNCTION("""COMPUTED_VALUE"""),35.0)</f>
        <v>35</v>
      </c>
      <c r="AR11" s="2" t="str">
        <f>IFERROR(__xludf.DUMMYFUNCTION("""COMPUTED_VALUE"""),"УХЛ4")</f>
        <v>УХЛ4</v>
      </c>
      <c r="AS11" s="2" t="str">
        <f>IFERROR(__xludf.DUMMYFUNCTION("""COMPUTED_VALUE"""),"Картон")</f>
        <v>Картон</v>
      </c>
      <c r="AT11" s="2" t="str">
        <f>IFERROR(__xludf.DUMMYFUNCTION("""COMPUTED_VALUE"""),"Да")</f>
        <v>Да</v>
      </c>
      <c r="AU11" s="2">
        <f>IFERROR(__xludf.DUMMYFUNCTION("""COMPUTED_VALUE"""),0.008190000000000001)</f>
        <v>0.00819</v>
      </c>
      <c r="AV11" s="2">
        <f>IFERROR(__xludf.DUMMYFUNCTION("""COMPUTED_VALUE"""),1.14)</f>
        <v>1.14</v>
      </c>
      <c r="AW11" s="2">
        <f>IFERROR(__xludf.DUMMYFUNCTION("""COMPUTED_VALUE"""),5.0)</f>
        <v>5</v>
      </c>
      <c r="AX11" s="2">
        <f>IFERROR(__xludf.DUMMYFUNCTION("""COMPUTED_VALUE"""),610.0)</f>
        <v>610</v>
      </c>
      <c r="AY11" s="2">
        <f>IFERROR(__xludf.DUMMYFUNCTION("""COMPUTED_VALUE"""),610.0)</f>
        <v>610</v>
      </c>
      <c r="AZ11" s="2">
        <f>IFERROR(__xludf.DUMMYFUNCTION("""COMPUTED_VALUE"""),110.0)</f>
        <v>110</v>
      </c>
      <c r="BA11" s="2">
        <f>IFERROR(__xludf.DUMMYFUNCTION("""COMPUTED_VALUE"""),0.04093)</f>
        <v>0.04093</v>
      </c>
      <c r="BB11" s="2">
        <f>IFERROR(__xludf.DUMMYFUNCTION("""COMPUTED_VALUE"""),5.7)</f>
        <v>5.7</v>
      </c>
      <c r="BC11" s="2"/>
      <c r="BD11" s="4" t="str">
        <f>IFERROR(__xludf.DUMMYFUNCTION("""COMPUTED_VALUE"""),"http://darion-svet.com/web/binary/saveas_archive?model=product.picture&amp;ids=[2011]&amp;field=image&amp;name_field=name&amp;archive_name=GL815191_image")</f>
        <v>http://darion-svet.com/web/binary/saveas_archive?model=product.picture&amp;ids=[2011]&amp;field=image&amp;name_field=name&amp;archive_name=GL815191_image</v>
      </c>
      <c r="BE11" s="4" t="str">
        <f>IFERROR(__xludf.DUMMYFUNCTION("""COMPUTED_VALUE"""),"http://darion-svet.com/shop/product/gl815191-glerio-office-special-40-vt-4000k-82p-40d-4g-p")</f>
        <v>http://darion-svet.com/shop/product/gl815191-glerio-office-special-40-vt-4000k-82p-40d-4g-p</v>
      </c>
      <c r="BF11" s="2"/>
      <c r="BG11" s="2"/>
      <c r="BH11" s="2"/>
      <c r="BI11" s="2">
        <f>IFERROR(__xludf.DUMMYFUNCTION("""COMPUTED_VALUE"""),15.0)</f>
        <v>15</v>
      </c>
      <c r="BJ11" s="2">
        <f>IFERROR(__xludf.DUMMYFUNCTION("""COMPUTED_VALUE"""),2292.0)</f>
        <v>2292</v>
      </c>
      <c r="BK11" s="2">
        <f>IFERROR(__xludf.DUMMYFUNCTION("""COMPUTED_VALUE"""),0.0)</f>
        <v>0</v>
      </c>
    </row>
    <row r="12">
      <c r="A12" s="2" t="str">
        <f>IFERROR(__xludf.DUMMYFUNCTION("""COMPUTED_VALUE"""),"GL8241")</f>
        <v>GL8241</v>
      </c>
      <c r="B12" s="2" t="str">
        <f>IFERROR(__xludf.DUMMYFUNCTION("""COMPUTED_VALUE"""),"Светодиодный светильник GLERIO Line Shell 24 Вт 4000К 92P-24D-4P-P 3150 лм, IP65 призма")</f>
        <v>Светодиодный светильник GLERIO Line Shell 24 Вт 4000К 92P-24D-4P-P 3150 лм, IP65 призма</v>
      </c>
      <c r="C12" s="2" t="str">
        <f>IFERROR(__xludf.DUMMYFUNCTION("""COMPUTED_VALUE"""),"Line Shell, Free (Retail) до 10.2025")</f>
        <v>Line Shell, Free (Retail) до 10.2025</v>
      </c>
      <c r="D12" s="2" t="str">
        <f>IFERROR(__xludf.DUMMYFUNCTION("""COMPUTED_VALUE"""),"4687203920609")</f>
        <v>4687203920609</v>
      </c>
      <c r="E12" s="4" t="str">
        <f>IFERROR(__xludf.DUMMYFUNCTION("""COMPUTED_VALUE"""),"http://darion-svet.com/web/binary/image?model=product.product&amp;id=20356&amp;field=image")</f>
        <v>http://darion-svet.com/web/binary/image?model=product.product&amp;id=20356&amp;field=image</v>
      </c>
      <c r="F12" s="2" t="str">
        <f>IFERROR(__xludf.DUMMYFUNCTION("""COMPUTED_VALUE"""),"5")</f>
        <v>5</v>
      </c>
      <c r="G12" s="2" t="str">
        <f>IFERROR(__xludf.DUMMYFUNCTION("""COMPUTED_VALUE"""),"Российская Федерация")</f>
        <v>Российская Федерация</v>
      </c>
      <c r="H12" s="2" t="str">
        <f>IFERROR(__xludf.DUMMYFUNCTION("""COMPUTED_VALUE"""),"Без бренда")</f>
        <v>Без бренда</v>
      </c>
      <c r="I12" s="2" t="str">
        <f>IFERROR(__xludf.DUMMYFUNCTION("""COMPUTED_VALUE"""),"накладной; подвесной")</f>
        <v>накладной; подвесной</v>
      </c>
      <c r="J12" s="2" t="str">
        <f>IFERROR(__xludf.DUMMYFUNCTION("""COMPUTED_VALUE"""),"общественные помещения")</f>
        <v>общественные помещения</v>
      </c>
      <c r="K12" s="2"/>
      <c r="L12" s="2"/>
      <c r="M12" s="2">
        <f>IFERROR(__xludf.DUMMYFUNCTION("""COMPUTED_VALUE"""),24.0)</f>
        <v>24</v>
      </c>
      <c r="N12" s="2"/>
      <c r="O12" s="2" t="str">
        <f>IFERROR(__xludf.DUMMYFUNCTION("""COMPUTED_VALUE"""),"SMD")</f>
        <v>SMD</v>
      </c>
      <c r="P12" s="2">
        <f>IFERROR(__xludf.DUMMYFUNCTION("""COMPUTED_VALUE"""),3150.0)</f>
        <v>3150</v>
      </c>
      <c r="Q12" s="2" t="str">
        <f>IFERROR(__xludf.DUMMYFUNCTION("""COMPUTED_VALUE"""),"4000")</f>
        <v>4000</v>
      </c>
      <c r="R12" s="2">
        <f>IFERROR(__xludf.DUMMYFUNCTION("""COMPUTED_VALUE"""),85.0)</f>
        <v>85</v>
      </c>
      <c r="S12" s="2" t="str">
        <f>IFERROR(__xludf.DUMMYFUNCTION("""COMPUTED_VALUE"""),"65")</f>
        <v>65</v>
      </c>
      <c r="T12" s="2" t="str">
        <f>IFERROR(__xludf.DUMMYFUNCTION("""COMPUTED_VALUE"""),"Д")</f>
        <v>Д</v>
      </c>
      <c r="U12" s="2" t="str">
        <f>IFERROR(__xludf.DUMMYFUNCTION("""COMPUTED_VALUE"""),"100 000 ч")</f>
        <v>100 000 ч</v>
      </c>
      <c r="V12" s="2">
        <f>IFERROR(__xludf.DUMMYFUNCTION("""COMPUTED_VALUE"""),1204.0)</f>
        <v>1204</v>
      </c>
      <c r="W12" s="2">
        <f>IFERROR(__xludf.DUMMYFUNCTION("""COMPUTED_VALUE"""),73.0)</f>
        <v>73</v>
      </c>
      <c r="X12" s="2">
        <f>IFERROR(__xludf.DUMMYFUNCTION("""COMPUTED_VALUE"""),40.0)</f>
        <v>40</v>
      </c>
      <c r="Y12" s="2"/>
      <c r="Z12" s="2"/>
      <c r="AA12" s="2"/>
      <c r="AB12" s="2">
        <f>IFERROR(__xludf.DUMMYFUNCTION("""COMPUTED_VALUE"""),1.5)</f>
        <v>1.5</v>
      </c>
      <c r="AC12" s="2"/>
      <c r="AD12" s="2" t="str">
        <f>IFERROR(__xludf.DUMMYFUNCTION("""COMPUTED_VALUE"""),"алюминий")</f>
        <v>алюминий</v>
      </c>
      <c r="AE12" s="2" t="str">
        <f>IFERROR(__xludf.DUMMYFUNCTION("""COMPUTED_VALUE"""),"полистирол")</f>
        <v>полистирол</v>
      </c>
      <c r="AF12" s="2"/>
      <c r="AG12" s="2" t="str">
        <f>IFERROR(__xludf.DUMMYFUNCTION("""COMPUTED_VALUE"""),"призматический рассеиватель")</f>
        <v>призматический рассеиватель</v>
      </c>
      <c r="AH12" s="2"/>
      <c r="AI12" s="2" t="str">
        <f>IFERROR(__xludf.DUMMYFUNCTION("""COMPUTED_VALUE"""),"LED-driver")</f>
        <v>LED-driver</v>
      </c>
      <c r="AJ12" s="2" t="str">
        <f>IFERROR(__xludf.DUMMYFUNCTION("""COMPUTED_VALUE"""),"A")</f>
        <v>A</v>
      </c>
      <c r="AK12" s="2">
        <f>IFERROR(__xludf.DUMMYFUNCTION("""COMPUTED_VALUE"""),0.95)</f>
        <v>0.95</v>
      </c>
      <c r="AL12" s="2">
        <f>IFERROR(__xludf.DUMMYFUNCTION("""COMPUTED_VALUE"""),1.0)</f>
        <v>1</v>
      </c>
      <c r="AM12" s="2">
        <f>IFERROR(__xludf.DUMMYFUNCTION("""COMPUTED_VALUE"""),0.125)</f>
        <v>0.125</v>
      </c>
      <c r="AN12" s="2">
        <f>IFERROR(__xludf.DUMMYFUNCTION("""COMPUTED_VALUE"""),170.0)</f>
        <v>170</v>
      </c>
      <c r="AO12" s="2">
        <f>IFERROR(__xludf.DUMMYFUNCTION("""COMPUTED_VALUE"""),264.0)</f>
        <v>264</v>
      </c>
      <c r="AP12" s="2">
        <f>IFERROR(__xludf.DUMMYFUNCTION("""COMPUTED_VALUE"""),1.0)</f>
        <v>1</v>
      </c>
      <c r="AQ12" s="2">
        <f>IFERROR(__xludf.DUMMYFUNCTION("""COMPUTED_VALUE"""),35.0)</f>
        <v>35</v>
      </c>
      <c r="AR12" s="2" t="str">
        <f>IFERROR(__xludf.DUMMYFUNCTION("""COMPUTED_VALUE"""),"УХЛ4")</f>
        <v>УХЛ4</v>
      </c>
      <c r="AS12" s="2" t="str">
        <f>IFERROR(__xludf.DUMMYFUNCTION("""COMPUTED_VALUE"""),"Картон")</f>
        <v>Картон</v>
      </c>
      <c r="AT12" s="2" t="str">
        <f>IFERROR(__xludf.DUMMYFUNCTION("""COMPUTED_VALUE"""),"Да")</f>
        <v>Да</v>
      </c>
      <c r="AU12" s="2">
        <f>IFERROR(__xludf.DUMMYFUNCTION("""COMPUTED_VALUE"""),0.00495)</f>
        <v>0.00495</v>
      </c>
      <c r="AV12" s="2">
        <f>IFERROR(__xludf.DUMMYFUNCTION("""COMPUTED_VALUE"""),1.575)</f>
        <v>1.575</v>
      </c>
      <c r="AW12" s="2">
        <f>IFERROR(__xludf.DUMMYFUNCTION("""COMPUTED_VALUE"""),4.0)</f>
        <v>4</v>
      </c>
      <c r="AX12" s="2">
        <f>IFERROR(__xludf.DUMMYFUNCTION("""COMPUTED_VALUE"""),1240.0)</f>
        <v>1240</v>
      </c>
      <c r="AY12" s="2">
        <f>IFERROR(__xludf.DUMMYFUNCTION("""COMPUTED_VALUE"""),145.0)</f>
        <v>145</v>
      </c>
      <c r="AZ12" s="2">
        <f>IFERROR(__xludf.DUMMYFUNCTION("""COMPUTED_VALUE"""),110.0)</f>
        <v>110</v>
      </c>
      <c r="BA12" s="2">
        <f>IFERROR(__xludf.DUMMYFUNCTION("""COMPUTED_VALUE"""),0.01978)</f>
        <v>0.01978</v>
      </c>
      <c r="BB12" s="2">
        <f>IFERROR(__xludf.DUMMYFUNCTION("""COMPUTED_VALUE"""),6.300000000000001)</f>
        <v>6.3</v>
      </c>
      <c r="BC12" s="2"/>
      <c r="BD12" s="4" t="str">
        <f>IFERROR(__xludf.DUMMYFUNCTION("""COMPUTED_VALUE"""),"http://darion-svet.com/web/binary/saveas_archive?model=product.picture&amp;ids=[1990]&amp;field=image&amp;name_field=name&amp;archive_name=GL8241_image")</f>
        <v>http://darion-svet.com/web/binary/saveas_archive?model=product.picture&amp;ids=[1990]&amp;field=image&amp;name_field=name&amp;archive_name=GL8241_image</v>
      </c>
      <c r="BE12" s="4" t="str">
        <f>IFERROR(__xludf.DUMMYFUNCTION("""COMPUTED_VALUE"""),"https://darion-svet.com/shop/product/gl8241-glerio-line-shell-24-vt-92p-24d-4p-p")</f>
        <v>https://darion-svet.com/shop/product/gl8241-glerio-line-shell-24-vt-92p-24d-4p-p</v>
      </c>
      <c r="BF12" s="2"/>
      <c r="BG12" s="2"/>
      <c r="BH12" s="2"/>
      <c r="BI12" s="2">
        <f>IFERROR(__xludf.DUMMYFUNCTION("""COMPUTED_VALUE"""),1.0)</f>
        <v>1</v>
      </c>
      <c r="BJ12" s="2">
        <f>IFERROR(__xludf.DUMMYFUNCTION("""COMPUTED_VALUE"""),1805.0)</f>
        <v>1805</v>
      </c>
      <c r="BK12" s="2">
        <f>IFERROR(__xludf.DUMMYFUNCTION("""COMPUTED_VALUE"""),0.0)</f>
        <v>0</v>
      </c>
    </row>
    <row r="13">
      <c r="A13" s="2" t="str">
        <f>IFERROR(__xludf.DUMMYFUNCTION("""COMPUTED_VALUE"""),"GL8242")</f>
        <v>GL8242</v>
      </c>
      <c r="B13" s="2" t="str">
        <f>IFERROR(__xludf.DUMMYFUNCTION("""COMPUTED_VALUE"""),"Светодиодный светильник GLERIO Line Shell 24 Вт 4000К 92P-24D-4P-MP 2793 лм, IP65 микропризма")</f>
        <v>Светодиодный светильник GLERIO Line Shell 24 Вт 4000К 92P-24D-4P-MP 2793 лм, IP65 микропризма</v>
      </c>
      <c r="C13" s="2" t="str">
        <f>IFERROR(__xludf.DUMMYFUNCTION("""COMPUTED_VALUE"""),"Line Shell, Free (Retail) до 10.2025")</f>
        <v>Line Shell, Free (Retail) до 10.2025</v>
      </c>
      <c r="D13" s="2" t="str">
        <f>IFERROR(__xludf.DUMMYFUNCTION("""COMPUTED_VALUE"""),"4687203920593")</f>
        <v>4687203920593</v>
      </c>
      <c r="E13" s="4" t="str">
        <f>IFERROR(__xludf.DUMMYFUNCTION("""COMPUTED_VALUE"""),"http://darion-svet.com/web/binary/image?model=product.product&amp;id=20357&amp;field=image")</f>
        <v>http://darion-svet.com/web/binary/image?model=product.product&amp;id=20357&amp;field=image</v>
      </c>
      <c r="F13" s="2" t="str">
        <f>IFERROR(__xludf.DUMMYFUNCTION("""COMPUTED_VALUE"""),"5")</f>
        <v>5</v>
      </c>
      <c r="G13" s="2" t="str">
        <f>IFERROR(__xludf.DUMMYFUNCTION("""COMPUTED_VALUE"""),"Российская Федерация")</f>
        <v>Российская Федерация</v>
      </c>
      <c r="H13" s="2" t="str">
        <f>IFERROR(__xludf.DUMMYFUNCTION("""COMPUTED_VALUE"""),"Без бренда")</f>
        <v>Без бренда</v>
      </c>
      <c r="I13" s="2" t="str">
        <f>IFERROR(__xludf.DUMMYFUNCTION("""COMPUTED_VALUE"""),"накладной; подвесной")</f>
        <v>накладной; подвесной</v>
      </c>
      <c r="J13" s="2" t="str">
        <f>IFERROR(__xludf.DUMMYFUNCTION("""COMPUTED_VALUE"""),"общественные помещения")</f>
        <v>общественные помещения</v>
      </c>
      <c r="K13" s="2"/>
      <c r="L13" s="2"/>
      <c r="M13" s="2">
        <f>IFERROR(__xludf.DUMMYFUNCTION("""COMPUTED_VALUE"""),24.0)</f>
        <v>24</v>
      </c>
      <c r="N13" s="2"/>
      <c r="O13" s="2" t="str">
        <f>IFERROR(__xludf.DUMMYFUNCTION("""COMPUTED_VALUE"""),"SMD")</f>
        <v>SMD</v>
      </c>
      <c r="P13" s="2">
        <f>IFERROR(__xludf.DUMMYFUNCTION("""COMPUTED_VALUE"""),2793.0)</f>
        <v>2793</v>
      </c>
      <c r="Q13" s="2" t="str">
        <f>IFERROR(__xludf.DUMMYFUNCTION("""COMPUTED_VALUE"""),"4000")</f>
        <v>4000</v>
      </c>
      <c r="R13" s="2">
        <f>IFERROR(__xludf.DUMMYFUNCTION("""COMPUTED_VALUE"""),85.0)</f>
        <v>85</v>
      </c>
      <c r="S13" s="2" t="str">
        <f>IFERROR(__xludf.DUMMYFUNCTION("""COMPUTED_VALUE"""),"65")</f>
        <v>65</v>
      </c>
      <c r="T13" s="2" t="str">
        <f>IFERROR(__xludf.DUMMYFUNCTION("""COMPUTED_VALUE"""),"Д")</f>
        <v>Д</v>
      </c>
      <c r="U13" s="2" t="str">
        <f>IFERROR(__xludf.DUMMYFUNCTION("""COMPUTED_VALUE"""),"100 000 ч")</f>
        <v>100 000 ч</v>
      </c>
      <c r="V13" s="2">
        <f>IFERROR(__xludf.DUMMYFUNCTION("""COMPUTED_VALUE"""),1204.0)</f>
        <v>1204</v>
      </c>
      <c r="W13" s="2">
        <f>IFERROR(__xludf.DUMMYFUNCTION("""COMPUTED_VALUE"""),73.0)</f>
        <v>73</v>
      </c>
      <c r="X13" s="2">
        <f>IFERROR(__xludf.DUMMYFUNCTION("""COMPUTED_VALUE"""),40.0)</f>
        <v>40</v>
      </c>
      <c r="Y13" s="2"/>
      <c r="Z13" s="2"/>
      <c r="AA13" s="2"/>
      <c r="AB13" s="2">
        <f>IFERROR(__xludf.DUMMYFUNCTION("""COMPUTED_VALUE"""),1.5)</f>
        <v>1.5</v>
      </c>
      <c r="AC13" s="2"/>
      <c r="AD13" s="2" t="str">
        <f>IFERROR(__xludf.DUMMYFUNCTION("""COMPUTED_VALUE"""),"алюминий")</f>
        <v>алюминий</v>
      </c>
      <c r="AE13" s="2" t="str">
        <f>IFERROR(__xludf.DUMMYFUNCTION("""COMPUTED_VALUE"""),"полистирол")</f>
        <v>полистирол</v>
      </c>
      <c r="AF13" s="2"/>
      <c r="AG13" s="2" t="str">
        <f>IFERROR(__xludf.DUMMYFUNCTION("""COMPUTED_VALUE"""),"микропризматический рассеиватель")</f>
        <v>микропризматический рассеиватель</v>
      </c>
      <c r="AH13" s="2"/>
      <c r="AI13" s="2" t="str">
        <f>IFERROR(__xludf.DUMMYFUNCTION("""COMPUTED_VALUE"""),"LED-driver")</f>
        <v>LED-driver</v>
      </c>
      <c r="AJ13" s="2" t="str">
        <f>IFERROR(__xludf.DUMMYFUNCTION("""COMPUTED_VALUE"""),"A")</f>
        <v>A</v>
      </c>
      <c r="AK13" s="2">
        <f>IFERROR(__xludf.DUMMYFUNCTION("""COMPUTED_VALUE"""),0.95)</f>
        <v>0.95</v>
      </c>
      <c r="AL13" s="2">
        <f>IFERROR(__xludf.DUMMYFUNCTION("""COMPUTED_VALUE"""),1.0)</f>
        <v>1</v>
      </c>
      <c r="AM13" s="2">
        <f>IFERROR(__xludf.DUMMYFUNCTION("""COMPUTED_VALUE"""),0.125)</f>
        <v>0.125</v>
      </c>
      <c r="AN13" s="2">
        <f>IFERROR(__xludf.DUMMYFUNCTION("""COMPUTED_VALUE"""),170.0)</f>
        <v>170</v>
      </c>
      <c r="AO13" s="2">
        <f>IFERROR(__xludf.DUMMYFUNCTION("""COMPUTED_VALUE"""),264.0)</f>
        <v>264</v>
      </c>
      <c r="AP13" s="2">
        <f>IFERROR(__xludf.DUMMYFUNCTION("""COMPUTED_VALUE"""),1.0)</f>
        <v>1</v>
      </c>
      <c r="AQ13" s="2">
        <f>IFERROR(__xludf.DUMMYFUNCTION("""COMPUTED_VALUE"""),35.0)</f>
        <v>35</v>
      </c>
      <c r="AR13" s="2" t="str">
        <f>IFERROR(__xludf.DUMMYFUNCTION("""COMPUTED_VALUE"""),"УХЛ4")</f>
        <v>УХЛ4</v>
      </c>
      <c r="AS13" s="2" t="str">
        <f>IFERROR(__xludf.DUMMYFUNCTION("""COMPUTED_VALUE"""),"Картон")</f>
        <v>Картон</v>
      </c>
      <c r="AT13" s="2" t="str">
        <f>IFERROR(__xludf.DUMMYFUNCTION("""COMPUTED_VALUE"""),"Да")</f>
        <v>Да</v>
      </c>
      <c r="AU13" s="2">
        <f>IFERROR(__xludf.DUMMYFUNCTION("""COMPUTED_VALUE"""),0.00495)</f>
        <v>0.00495</v>
      </c>
      <c r="AV13" s="2">
        <f>IFERROR(__xludf.DUMMYFUNCTION("""COMPUTED_VALUE"""),1.575)</f>
        <v>1.575</v>
      </c>
      <c r="AW13" s="2">
        <f>IFERROR(__xludf.DUMMYFUNCTION("""COMPUTED_VALUE"""),4.0)</f>
        <v>4</v>
      </c>
      <c r="AX13" s="2">
        <f>IFERROR(__xludf.DUMMYFUNCTION("""COMPUTED_VALUE"""),1240.0)</f>
        <v>1240</v>
      </c>
      <c r="AY13" s="2">
        <f>IFERROR(__xludf.DUMMYFUNCTION("""COMPUTED_VALUE"""),145.0)</f>
        <v>145</v>
      </c>
      <c r="AZ13" s="2">
        <f>IFERROR(__xludf.DUMMYFUNCTION("""COMPUTED_VALUE"""),110.0)</f>
        <v>110</v>
      </c>
      <c r="BA13" s="2">
        <f>IFERROR(__xludf.DUMMYFUNCTION("""COMPUTED_VALUE"""),0.01978)</f>
        <v>0.01978</v>
      </c>
      <c r="BB13" s="2">
        <f>IFERROR(__xludf.DUMMYFUNCTION("""COMPUTED_VALUE"""),6.300000000000001)</f>
        <v>6.3</v>
      </c>
      <c r="BC13" s="2"/>
      <c r="BD13" s="4" t="str">
        <f>IFERROR(__xludf.DUMMYFUNCTION("""COMPUTED_VALUE"""),"http://darion-svet.com/web/binary/saveas_archive?model=product.picture&amp;ids=[1989]&amp;field=image&amp;name_field=name&amp;archive_name=GL8242_image")</f>
        <v>http://darion-svet.com/web/binary/saveas_archive?model=product.picture&amp;ids=[1989]&amp;field=image&amp;name_field=name&amp;archive_name=GL8242_image</v>
      </c>
      <c r="BE13" s="4" t="str">
        <f>IFERROR(__xludf.DUMMYFUNCTION("""COMPUTED_VALUE"""),"http://darion-svet.com/shop/product/gl8242-glerio-line-shell-24-vt-92p-24d-4p-mp")</f>
        <v>http://darion-svet.com/shop/product/gl8242-glerio-line-shell-24-vt-92p-24d-4p-mp</v>
      </c>
      <c r="BF13" s="2"/>
      <c r="BG13" s="2"/>
      <c r="BH13" s="2"/>
      <c r="BI13" s="2">
        <f>IFERROR(__xludf.DUMMYFUNCTION("""COMPUTED_VALUE"""),2.0)</f>
        <v>2</v>
      </c>
      <c r="BJ13" s="2">
        <f>IFERROR(__xludf.DUMMYFUNCTION("""COMPUTED_VALUE"""),2896.0)</f>
        <v>2896</v>
      </c>
      <c r="BK13" s="2">
        <f>IFERROR(__xludf.DUMMYFUNCTION("""COMPUTED_VALUE"""),0.0)</f>
        <v>0</v>
      </c>
    </row>
    <row r="14">
      <c r="A14" s="2" t="str">
        <f>IFERROR(__xludf.DUMMYFUNCTION("""COMPUTED_VALUE"""),"GL8243")</f>
        <v>GL8243</v>
      </c>
      <c r="B14" s="2" t="str">
        <f>IFERROR(__xludf.DUMMYFUNCTION("""COMPUTED_VALUE"""),"Светодиодный светильник GLERIO Line Shell 24 Вт 4000К 92P-24D-4P-K 3098 лм, IP65 колотый лёд")</f>
        <v>Светодиодный светильник GLERIO Line Shell 24 Вт 4000К 92P-24D-4P-K 3098 лм, IP65 колотый лёд</v>
      </c>
      <c r="C14" s="2" t="str">
        <f>IFERROR(__xludf.DUMMYFUNCTION("""COMPUTED_VALUE"""),"Line Shell, Free (Retail) до 10.2025")</f>
        <v>Line Shell, Free (Retail) до 10.2025</v>
      </c>
      <c r="D14" s="2" t="str">
        <f>IFERROR(__xludf.DUMMYFUNCTION("""COMPUTED_VALUE"""),"4687203920579")</f>
        <v>4687203920579</v>
      </c>
      <c r="E14" s="4" t="str">
        <f>IFERROR(__xludf.DUMMYFUNCTION("""COMPUTED_VALUE"""),"http://darion-svet.com/web/binary/image?model=product.product&amp;id=20358&amp;field=image")</f>
        <v>http://darion-svet.com/web/binary/image?model=product.product&amp;id=20358&amp;field=image</v>
      </c>
      <c r="F14" s="2" t="str">
        <f>IFERROR(__xludf.DUMMYFUNCTION("""COMPUTED_VALUE"""),"5")</f>
        <v>5</v>
      </c>
      <c r="G14" s="2" t="str">
        <f>IFERROR(__xludf.DUMMYFUNCTION("""COMPUTED_VALUE"""),"Российская Федерация")</f>
        <v>Российская Федерация</v>
      </c>
      <c r="H14" s="2" t="str">
        <f>IFERROR(__xludf.DUMMYFUNCTION("""COMPUTED_VALUE"""),"Без бренда")</f>
        <v>Без бренда</v>
      </c>
      <c r="I14" s="2" t="str">
        <f>IFERROR(__xludf.DUMMYFUNCTION("""COMPUTED_VALUE"""),"накладной; подвесной")</f>
        <v>накладной; подвесной</v>
      </c>
      <c r="J14" s="2" t="str">
        <f>IFERROR(__xludf.DUMMYFUNCTION("""COMPUTED_VALUE"""),"общественные помещения")</f>
        <v>общественные помещения</v>
      </c>
      <c r="K14" s="2"/>
      <c r="L14" s="2"/>
      <c r="M14" s="2">
        <f>IFERROR(__xludf.DUMMYFUNCTION("""COMPUTED_VALUE"""),24.0)</f>
        <v>24</v>
      </c>
      <c r="N14" s="2"/>
      <c r="O14" s="2" t="str">
        <f>IFERROR(__xludf.DUMMYFUNCTION("""COMPUTED_VALUE"""),"SMD")</f>
        <v>SMD</v>
      </c>
      <c r="P14" s="2">
        <f>IFERROR(__xludf.DUMMYFUNCTION("""COMPUTED_VALUE"""),3098.0)</f>
        <v>3098</v>
      </c>
      <c r="Q14" s="2" t="str">
        <f>IFERROR(__xludf.DUMMYFUNCTION("""COMPUTED_VALUE"""),"4000")</f>
        <v>4000</v>
      </c>
      <c r="R14" s="2">
        <f>IFERROR(__xludf.DUMMYFUNCTION("""COMPUTED_VALUE"""),85.0)</f>
        <v>85</v>
      </c>
      <c r="S14" s="2" t="str">
        <f>IFERROR(__xludf.DUMMYFUNCTION("""COMPUTED_VALUE"""),"65")</f>
        <v>65</v>
      </c>
      <c r="T14" s="2" t="str">
        <f>IFERROR(__xludf.DUMMYFUNCTION("""COMPUTED_VALUE"""),"Д")</f>
        <v>Д</v>
      </c>
      <c r="U14" s="2" t="str">
        <f>IFERROR(__xludf.DUMMYFUNCTION("""COMPUTED_VALUE"""),"100 000 ч")</f>
        <v>100 000 ч</v>
      </c>
      <c r="V14" s="2">
        <f>IFERROR(__xludf.DUMMYFUNCTION("""COMPUTED_VALUE"""),1204.0)</f>
        <v>1204</v>
      </c>
      <c r="W14" s="2">
        <f>IFERROR(__xludf.DUMMYFUNCTION("""COMPUTED_VALUE"""),73.0)</f>
        <v>73</v>
      </c>
      <c r="X14" s="2">
        <f>IFERROR(__xludf.DUMMYFUNCTION("""COMPUTED_VALUE"""),40.0)</f>
        <v>40</v>
      </c>
      <c r="Y14" s="2"/>
      <c r="Z14" s="2"/>
      <c r="AA14" s="2"/>
      <c r="AB14" s="2">
        <f>IFERROR(__xludf.DUMMYFUNCTION("""COMPUTED_VALUE"""),1.5)</f>
        <v>1.5</v>
      </c>
      <c r="AC14" s="2"/>
      <c r="AD14" s="2" t="str">
        <f>IFERROR(__xludf.DUMMYFUNCTION("""COMPUTED_VALUE"""),"алюминий")</f>
        <v>алюминий</v>
      </c>
      <c r="AE14" s="2" t="str">
        <f>IFERROR(__xludf.DUMMYFUNCTION("""COMPUTED_VALUE"""),"полистирол")</f>
        <v>полистирол</v>
      </c>
      <c r="AF14" s="2"/>
      <c r="AG14" s="2" t="str">
        <f>IFERROR(__xludf.DUMMYFUNCTION("""COMPUTED_VALUE"""),"колотый лёд рассеиватель")</f>
        <v>колотый лёд рассеиватель</v>
      </c>
      <c r="AH14" s="2"/>
      <c r="AI14" s="2" t="str">
        <f>IFERROR(__xludf.DUMMYFUNCTION("""COMPUTED_VALUE"""),"LED-driver")</f>
        <v>LED-driver</v>
      </c>
      <c r="AJ14" s="2" t="str">
        <f>IFERROR(__xludf.DUMMYFUNCTION("""COMPUTED_VALUE"""),"A")</f>
        <v>A</v>
      </c>
      <c r="AK14" s="2">
        <f>IFERROR(__xludf.DUMMYFUNCTION("""COMPUTED_VALUE"""),0.95)</f>
        <v>0.95</v>
      </c>
      <c r="AL14" s="2">
        <f>IFERROR(__xludf.DUMMYFUNCTION("""COMPUTED_VALUE"""),1.0)</f>
        <v>1</v>
      </c>
      <c r="AM14" s="2">
        <f>IFERROR(__xludf.DUMMYFUNCTION("""COMPUTED_VALUE"""),0.125)</f>
        <v>0.125</v>
      </c>
      <c r="AN14" s="2">
        <f>IFERROR(__xludf.DUMMYFUNCTION("""COMPUTED_VALUE"""),170.0)</f>
        <v>170</v>
      </c>
      <c r="AO14" s="2">
        <f>IFERROR(__xludf.DUMMYFUNCTION("""COMPUTED_VALUE"""),264.0)</f>
        <v>264</v>
      </c>
      <c r="AP14" s="2">
        <f>IFERROR(__xludf.DUMMYFUNCTION("""COMPUTED_VALUE"""),1.0)</f>
        <v>1</v>
      </c>
      <c r="AQ14" s="2">
        <f>IFERROR(__xludf.DUMMYFUNCTION("""COMPUTED_VALUE"""),35.0)</f>
        <v>35</v>
      </c>
      <c r="AR14" s="2" t="str">
        <f>IFERROR(__xludf.DUMMYFUNCTION("""COMPUTED_VALUE"""),"УХЛ4")</f>
        <v>УХЛ4</v>
      </c>
      <c r="AS14" s="2" t="str">
        <f>IFERROR(__xludf.DUMMYFUNCTION("""COMPUTED_VALUE"""),"Картон")</f>
        <v>Картон</v>
      </c>
      <c r="AT14" s="2" t="str">
        <f>IFERROR(__xludf.DUMMYFUNCTION("""COMPUTED_VALUE"""),"Да")</f>
        <v>Да</v>
      </c>
      <c r="AU14" s="2">
        <f>IFERROR(__xludf.DUMMYFUNCTION("""COMPUTED_VALUE"""),0.00495)</f>
        <v>0.00495</v>
      </c>
      <c r="AV14" s="2">
        <f>IFERROR(__xludf.DUMMYFUNCTION("""COMPUTED_VALUE"""),1.575)</f>
        <v>1.575</v>
      </c>
      <c r="AW14" s="2">
        <f>IFERROR(__xludf.DUMMYFUNCTION("""COMPUTED_VALUE"""),4.0)</f>
        <v>4</v>
      </c>
      <c r="AX14" s="2">
        <f>IFERROR(__xludf.DUMMYFUNCTION("""COMPUTED_VALUE"""),1240.0)</f>
        <v>1240</v>
      </c>
      <c r="AY14" s="2">
        <f>IFERROR(__xludf.DUMMYFUNCTION("""COMPUTED_VALUE"""),145.0)</f>
        <v>145</v>
      </c>
      <c r="AZ14" s="2">
        <f>IFERROR(__xludf.DUMMYFUNCTION("""COMPUTED_VALUE"""),110.0)</f>
        <v>110</v>
      </c>
      <c r="BA14" s="2">
        <f>IFERROR(__xludf.DUMMYFUNCTION("""COMPUTED_VALUE"""),0.01978)</f>
        <v>0.01978</v>
      </c>
      <c r="BB14" s="2">
        <f>IFERROR(__xludf.DUMMYFUNCTION("""COMPUTED_VALUE"""),6.300000000000001)</f>
        <v>6.3</v>
      </c>
      <c r="BC14" s="2"/>
      <c r="BD14" s="4" t="str">
        <f>IFERROR(__xludf.DUMMYFUNCTION("""COMPUTED_VALUE"""),"http://darion-svet.com/web/binary/saveas_archive?model=product.picture&amp;ids=[1987]&amp;field=image&amp;name_field=name&amp;archive_name=GL8243_image")</f>
        <v>http://darion-svet.com/web/binary/saveas_archive?model=product.picture&amp;ids=[1987]&amp;field=image&amp;name_field=name&amp;archive_name=GL8243_image</v>
      </c>
      <c r="BE14" s="4" t="str">
        <f>IFERROR(__xludf.DUMMYFUNCTION("""COMPUTED_VALUE"""),"http://darion-svet.com/shop/product/gl8243-glerio-line-shell-24-vt-92p-24d-4p-k")</f>
        <v>http://darion-svet.com/shop/product/gl8243-glerio-line-shell-24-vt-92p-24d-4p-k</v>
      </c>
      <c r="BF14" s="2"/>
      <c r="BG14" s="2"/>
      <c r="BH14" s="2"/>
      <c r="BI14" s="2">
        <f>IFERROR(__xludf.DUMMYFUNCTION("""COMPUTED_VALUE"""),1.0)</f>
        <v>1</v>
      </c>
      <c r="BJ14" s="2">
        <f>IFERROR(__xludf.DUMMYFUNCTION("""COMPUTED_VALUE"""),1805.0)</f>
        <v>1805</v>
      </c>
      <c r="BK14" s="2">
        <f>IFERROR(__xludf.DUMMYFUNCTION("""COMPUTED_VALUE"""),0.0)</f>
        <v>0</v>
      </c>
    </row>
    <row r="15">
      <c r="A15" s="2" t="str">
        <f>IFERROR(__xludf.DUMMYFUNCTION("""COMPUTED_VALUE"""),"GL8250")</f>
        <v>GL8250</v>
      </c>
      <c r="B15" s="2" t="str">
        <f>IFERROR(__xludf.DUMMYFUNCTION("""COMPUTED_VALUE"""),"Светодиодный светильник GLERIO Line Shell 36 Вт 4000К 92P-36D-4P-M 4032 лм, IP65 матовый")</f>
        <v>Светодиодный светильник GLERIO Line Shell 36 Вт 4000К 92P-36D-4P-M 4032 лм, IP65 матовый</v>
      </c>
      <c r="C15" s="2" t="str">
        <f>IFERROR(__xludf.DUMMYFUNCTION("""COMPUTED_VALUE"""),"Line Shell, Free (Retail) до 10.2025")</f>
        <v>Line Shell, Free (Retail) до 10.2025</v>
      </c>
      <c r="D15" s="2" t="str">
        <f>IFERROR(__xludf.DUMMYFUNCTION("""COMPUTED_VALUE"""),"4687203920623")</f>
        <v>4687203920623</v>
      </c>
      <c r="E15" s="4" t="str">
        <f>IFERROR(__xludf.DUMMYFUNCTION("""COMPUTED_VALUE"""),"http://darion-svet.com/web/binary/image?model=product.product&amp;id=20359&amp;field=image")</f>
        <v>http://darion-svet.com/web/binary/image?model=product.product&amp;id=20359&amp;field=image</v>
      </c>
      <c r="F15" s="2" t="str">
        <f>IFERROR(__xludf.DUMMYFUNCTION("""COMPUTED_VALUE"""),"5")</f>
        <v>5</v>
      </c>
      <c r="G15" s="2" t="str">
        <f>IFERROR(__xludf.DUMMYFUNCTION("""COMPUTED_VALUE"""),"Российская Федерация")</f>
        <v>Российская Федерация</v>
      </c>
      <c r="H15" s="2" t="str">
        <f>IFERROR(__xludf.DUMMYFUNCTION("""COMPUTED_VALUE"""),"Без бренда")</f>
        <v>Без бренда</v>
      </c>
      <c r="I15" s="2" t="str">
        <f>IFERROR(__xludf.DUMMYFUNCTION("""COMPUTED_VALUE"""),"накладной; подвесной")</f>
        <v>накладной; подвесной</v>
      </c>
      <c r="J15" s="2" t="str">
        <f>IFERROR(__xludf.DUMMYFUNCTION("""COMPUTED_VALUE"""),"общественные помещения")</f>
        <v>общественные помещения</v>
      </c>
      <c r="K15" s="2"/>
      <c r="L15" s="2"/>
      <c r="M15" s="2">
        <f>IFERROR(__xludf.DUMMYFUNCTION("""COMPUTED_VALUE"""),36.0)</f>
        <v>36</v>
      </c>
      <c r="N15" s="2"/>
      <c r="O15" s="2" t="str">
        <f>IFERROR(__xludf.DUMMYFUNCTION("""COMPUTED_VALUE"""),"SMD")</f>
        <v>SMD</v>
      </c>
      <c r="P15" s="2">
        <f>IFERROR(__xludf.DUMMYFUNCTION("""COMPUTED_VALUE"""),4032.0)</f>
        <v>4032</v>
      </c>
      <c r="Q15" s="2" t="str">
        <f>IFERROR(__xludf.DUMMYFUNCTION("""COMPUTED_VALUE"""),"4000")</f>
        <v>4000</v>
      </c>
      <c r="R15" s="2">
        <f>IFERROR(__xludf.DUMMYFUNCTION("""COMPUTED_VALUE"""),85.0)</f>
        <v>85</v>
      </c>
      <c r="S15" s="2" t="str">
        <f>IFERROR(__xludf.DUMMYFUNCTION("""COMPUTED_VALUE"""),"65")</f>
        <v>65</v>
      </c>
      <c r="T15" s="2" t="str">
        <f>IFERROR(__xludf.DUMMYFUNCTION("""COMPUTED_VALUE"""),"Д")</f>
        <v>Д</v>
      </c>
      <c r="U15" s="2" t="str">
        <f>IFERROR(__xludf.DUMMYFUNCTION("""COMPUTED_VALUE"""),"100 000 ч")</f>
        <v>100 000 ч</v>
      </c>
      <c r="V15" s="2">
        <f>IFERROR(__xludf.DUMMYFUNCTION("""COMPUTED_VALUE"""),1204.0)</f>
        <v>1204</v>
      </c>
      <c r="W15" s="2">
        <f>IFERROR(__xludf.DUMMYFUNCTION("""COMPUTED_VALUE"""),73.0)</f>
        <v>73</v>
      </c>
      <c r="X15" s="2">
        <f>IFERROR(__xludf.DUMMYFUNCTION("""COMPUTED_VALUE"""),40.0)</f>
        <v>40</v>
      </c>
      <c r="Y15" s="2"/>
      <c r="Z15" s="2"/>
      <c r="AA15" s="2"/>
      <c r="AB15" s="2">
        <f>IFERROR(__xludf.DUMMYFUNCTION("""COMPUTED_VALUE"""),1.5)</f>
        <v>1.5</v>
      </c>
      <c r="AC15" s="2"/>
      <c r="AD15" s="2" t="str">
        <f>IFERROR(__xludf.DUMMYFUNCTION("""COMPUTED_VALUE"""),"алюминий")</f>
        <v>алюминий</v>
      </c>
      <c r="AE15" s="2" t="str">
        <f>IFERROR(__xludf.DUMMYFUNCTION("""COMPUTED_VALUE"""),"полистирол")</f>
        <v>полистирол</v>
      </c>
      <c r="AF15" s="2"/>
      <c r="AG15" s="2" t="str">
        <f>IFERROR(__xludf.DUMMYFUNCTION("""COMPUTED_VALUE"""),"матовый рассеиватель")</f>
        <v>матовый рассеиватель</v>
      </c>
      <c r="AH15" s="2"/>
      <c r="AI15" s="2" t="str">
        <f>IFERROR(__xludf.DUMMYFUNCTION("""COMPUTED_VALUE"""),"LED-driver")</f>
        <v>LED-driver</v>
      </c>
      <c r="AJ15" s="2" t="str">
        <f>IFERROR(__xludf.DUMMYFUNCTION("""COMPUTED_VALUE"""),"A")</f>
        <v>A</v>
      </c>
      <c r="AK15" s="2">
        <f>IFERROR(__xludf.DUMMYFUNCTION("""COMPUTED_VALUE"""),0.95)</f>
        <v>0.95</v>
      </c>
      <c r="AL15" s="2">
        <f>IFERROR(__xludf.DUMMYFUNCTION("""COMPUTED_VALUE"""),1.0)</f>
        <v>1</v>
      </c>
      <c r="AM15" s="2">
        <f>IFERROR(__xludf.DUMMYFUNCTION("""COMPUTED_VALUE"""),0.125)</f>
        <v>0.125</v>
      </c>
      <c r="AN15" s="2">
        <f>IFERROR(__xludf.DUMMYFUNCTION("""COMPUTED_VALUE"""),170.0)</f>
        <v>170</v>
      </c>
      <c r="AO15" s="2">
        <f>IFERROR(__xludf.DUMMYFUNCTION("""COMPUTED_VALUE"""),264.0)</f>
        <v>264</v>
      </c>
      <c r="AP15" s="2">
        <f>IFERROR(__xludf.DUMMYFUNCTION("""COMPUTED_VALUE"""),1.0)</f>
        <v>1</v>
      </c>
      <c r="AQ15" s="2">
        <f>IFERROR(__xludf.DUMMYFUNCTION("""COMPUTED_VALUE"""),35.0)</f>
        <v>35</v>
      </c>
      <c r="AR15" s="2" t="str">
        <f>IFERROR(__xludf.DUMMYFUNCTION("""COMPUTED_VALUE"""),"УХЛ4")</f>
        <v>УХЛ4</v>
      </c>
      <c r="AS15" s="2" t="str">
        <f>IFERROR(__xludf.DUMMYFUNCTION("""COMPUTED_VALUE"""),"Картон")</f>
        <v>Картон</v>
      </c>
      <c r="AT15" s="2" t="str">
        <f>IFERROR(__xludf.DUMMYFUNCTION("""COMPUTED_VALUE"""),"Да")</f>
        <v>Да</v>
      </c>
      <c r="AU15" s="2">
        <f>IFERROR(__xludf.DUMMYFUNCTION("""COMPUTED_VALUE"""),0.00495)</f>
        <v>0.00495</v>
      </c>
      <c r="AV15" s="2">
        <f>IFERROR(__xludf.DUMMYFUNCTION("""COMPUTED_VALUE"""),1.575)</f>
        <v>1.575</v>
      </c>
      <c r="AW15" s="2">
        <f>IFERROR(__xludf.DUMMYFUNCTION("""COMPUTED_VALUE"""),4.0)</f>
        <v>4</v>
      </c>
      <c r="AX15" s="2">
        <f>IFERROR(__xludf.DUMMYFUNCTION("""COMPUTED_VALUE"""),1240.0)</f>
        <v>1240</v>
      </c>
      <c r="AY15" s="2">
        <f>IFERROR(__xludf.DUMMYFUNCTION("""COMPUTED_VALUE"""),145.0)</f>
        <v>145</v>
      </c>
      <c r="AZ15" s="2">
        <f>IFERROR(__xludf.DUMMYFUNCTION("""COMPUTED_VALUE"""),110.0)</f>
        <v>110</v>
      </c>
      <c r="BA15" s="2">
        <f>IFERROR(__xludf.DUMMYFUNCTION("""COMPUTED_VALUE"""),0.01978)</f>
        <v>0.01978</v>
      </c>
      <c r="BB15" s="2">
        <f>IFERROR(__xludf.DUMMYFUNCTION("""COMPUTED_VALUE"""),6.300000000000001)</f>
        <v>6.3</v>
      </c>
      <c r="BC15" s="2"/>
      <c r="BD15" s="4" t="str">
        <f>IFERROR(__xludf.DUMMYFUNCTION("""COMPUTED_VALUE"""),"http://darion-svet.com/web/binary/saveas_archive?model=product.picture&amp;ids=[1988]&amp;field=image&amp;name_field=name&amp;archive_name=GL8250_image")</f>
        <v>http://darion-svet.com/web/binary/saveas_archive?model=product.picture&amp;ids=[1988]&amp;field=image&amp;name_field=name&amp;archive_name=GL8250_image</v>
      </c>
      <c r="BE15" s="4" t="str">
        <f>IFERROR(__xludf.DUMMYFUNCTION("""COMPUTED_VALUE"""),"http://darion-svet.com/shop/product/gl8250-glerio-line-shell-36-vt-92p-36d-4p-m")</f>
        <v>http://darion-svet.com/shop/product/gl8250-glerio-line-shell-36-vt-92p-36d-4p-m</v>
      </c>
      <c r="BF15" s="2"/>
      <c r="BG15" s="2"/>
      <c r="BH15" s="2"/>
      <c r="BI15" s="2">
        <f>IFERROR(__xludf.DUMMYFUNCTION("""COMPUTED_VALUE"""),18.0)</f>
        <v>18</v>
      </c>
      <c r="BJ15" s="2">
        <f>IFERROR(__xludf.DUMMYFUNCTION("""COMPUTED_VALUE"""),2552.0)</f>
        <v>2552</v>
      </c>
      <c r="BK15" s="2">
        <f>IFERROR(__xludf.DUMMYFUNCTION("""COMPUTED_VALUE"""),0.0)</f>
        <v>0</v>
      </c>
    </row>
    <row r="16">
      <c r="A16" s="2" t="str">
        <f>IFERROR(__xludf.DUMMYFUNCTION("""COMPUTED_VALUE"""),"GL8270")</f>
        <v>GL8270</v>
      </c>
      <c r="B16" s="2" t="str">
        <f>IFERROR(__xludf.DUMMYFUNCTION("""COMPUTED_VALUE"""),"Светодиодный светильник GLERIO Line Free 36 Вт 4000К 93P-36D-4P-M 4395 лм, IP65 матовый")</f>
        <v>Светодиодный светильник GLERIO Line Free 36 Вт 4000К 93P-36D-4P-M 4395 лм, IP65 матовый</v>
      </c>
      <c r="C16" s="2" t="str">
        <f>IFERROR(__xludf.DUMMYFUNCTION("""COMPUTED_VALUE"""),"Line Shell, Free (Retail) до 10.2025")</f>
        <v>Line Shell, Free (Retail) до 10.2025</v>
      </c>
      <c r="D16" s="2" t="str">
        <f>IFERROR(__xludf.DUMMYFUNCTION("""COMPUTED_VALUE"""),"4687203920708")</f>
        <v>4687203920708</v>
      </c>
      <c r="E16" s="4" t="str">
        <f>IFERROR(__xludf.DUMMYFUNCTION("""COMPUTED_VALUE"""),"http://darion-svet.com/web/binary/image?model=product.product&amp;id=20367&amp;field=image")</f>
        <v>http://darion-svet.com/web/binary/image?model=product.product&amp;id=20367&amp;field=image</v>
      </c>
      <c r="F16" s="2" t="str">
        <f>IFERROR(__xludf.DUMMYFUNCTION("""COMPUTED_VALUE"""),"5")</f>
        <v>5</v>
      </c>
      <c r="G16" s="2" t="str">
        <f>IFERROR(__xludf.DUMMYFUNCTION("""COMPUTED_VALUE"""),"Российская Федерация")</f>
        <v>Российская Федерация</v>
      </c>
      <c r="H16" s="2" t="str">
        <f>IFERROR(__xludf.DUMMYFUNCTION("""COMPUTED_VALUE"""),"Без бренда")</f>
        <v>Без бренда</v>
      </c>
      <c r="I16" s="2" t="str">
        <f>IFERROR(__xludf.DUMMYFUNCTION("""COMPUTED_VALUE"""),"накладной; подвесной")</f>
        <v>накладной; подвесной</v>
      </c>
      <c r="J16" s="2" t="str">
        <f>IFERROR(__xludf.DUMMYFUNCTION("""COMPUTED_VALUE"""),"общественные помещения")</f>
        <v>общественные помещения</v>
      </c>
      <c r="K16" s="2"/>
      <c r="L16" s="2"/>
      <c r="M16" s="2">
        <f>IFERROR(__xludf.DUMMYFUNCTION("""COMPUTED_VALUE"""),36.0)</f>
        <v>36</v>
      </c>
      <c r="N16" s="2"/>
      <c r="O16" s="2" t="str">
        <f>IFERROR(__xludf.DUMMYFUNCTION("""COMPUTED_VALUE"""),"SMD")</f>
        <v>SMD</v>
      </c>
      <c r="P16" s="2">
        <f>IFERROR(__xludf.DUMMYFUNCTION("""COMPUTED_VALUE"""),4395.0)</f>
        <v>4395</v>
      </c>
      <c r="Q16" s="2" t="str">
        <f>IFERROR(__xludf.DUMMYFUNCTION("""COMPUTED_VALUE"""),"4000")</f>
        <v>4000</v>
      </c>
      <c r="R16" s="2">
        <f>IFERROR(__xludf.DUMMYFUNCTION("""COMPUTED_VALUE"""),85.0)</f>
        <v>85</v>
      </c>
      <c r="S16" s="2" t="str">
        <f>IFERROR(__xludf.DUMMYFUNCTION("""COMPUTED_VALUE"""),"65")</f>
        <v>65</v>
      </c>
      <c r="T16" s="2" t="str">
        <f>IFERROR(__xludf.DUMMYFUNCTION("""COMPUTED_VALUE"""),"Д")</f>
        <v>Д</v>
      </c>
      <c r="U16" s="2" t="str">
        <f>IFERROR(__xludf.DUMMYFUNCTION("""COMPUTED_VALUE"""),"100 000 ч")</f>
        <v>100 000 ч</v>
      </c>
      <c r="V16" s="2">
        <f>IFERROR(__xludf.DUMMYFUNCTION("""COMPUTED_VALUE"""),1194.0)</f>
        <v>1194</v>
      </c>
      <c r="W16" s="2">
        <f>IFERROR(__xludf.DUMMYFUNCTION("""COMPUTED_VALUE"""),69.0)</f>
        <v>69</v>
      </c>
      <c r="X16" s="2">
        <f>IFERROR(__xludf.DUMMYFUNCTION("""COMPUTED_VALUE"""),29.0)</f>
        <v>29</v>
      </c>
      <c r="Y16" s="2"/>
      <c r="Z16" s="2"/>
      <c r="AA16" s="2"/>
      <c r="AB16" s="2">
        <f>IFERROR(__xludf.DUMMYFUNCTION("""COMPUTED_VALUE"""),0.45)</f>
        <v>0.45</v>
      </c>
      <c r="AC16" s="2"/>
      <c r="AD16" s="2" t="str">
        <f>IFERROR(__xludf.DUMMYFUNCTION("""COMPUTED_VALUE"""),"ABS пластик")</f>
        <v>ABS пластик</v>
      </c>
      <c r="AE16" s="2" t="str">
        <f>IFERROR(__xludf.DUMMYFUNCTION("""COMPUTED_VALUE"""),"полистирол")</f>
        <v>полистирол</v>
      </c>
      <c r="AF16" s="2"/>
      <c r="AG16" s="2" t="str">
        <f>IFERROR(__xludf.DUMMYFUNCTION("""COMPUTED_VALUE"""),"матовый рассеиватель")</f>
        <v>матовый рассеиватель</v>
      </c>
      <c r="AH16" s="2"/>
      <c r="AI16" s="2" t="str">
        <f>IFERROR(__xludf.DUMMYFUNCTION("""COMPUTED_VALUE"""),"LED-driver")</f>
        <v>LED-driver</v>
      </c>
      <c r="AJ16" s="2" t="str">
        <f>IFERROR(__xludf.DUMMYFUNCTION("""COMPUTED_VALUE"""),"A")</f>
        <v>A</v>
      </c>
      <c r="AK16" s="2">
        <f>IFERROR(__xludf.DUMMYFUNCTION("""COMPUTED_VALUE"""),0.95)</f>
        <v>0.95</v>
      </c>
      <c r="AL16" s="2">
        <f>IFERROR(__xludf.DUMMYFUNCTION("""COMPUTED_VALUE"""),1.0)</f>
        <v>1</v>
      </c>
      <c r="AM16" s="2">
        <f>IFERROR(__xludf.DUMMYFUNCTION("""COMPUTED_VALUE"""),0.125)</f>
        <v>0.125</v>
      </c>
      <c r="AN16" s="2">
        <f>IFERROR(__xludf.DUMMYFUNCTION("""COMPUTED_VALUE"""),170.0)</f>
        <v>170</v>
      </c>
      <c r="AO16" s="2">
        <f>IFERROR(__xludf.DUMMYFUNCTION("""COMPUTED_VALUE"""),264.0)</f>
        <v>264</v>
      </c>
      <c r="AP16" s="2">
        <f>IFERROR(__xludf.DUMMYFUNCTION("""COMPUTED_VALUE"""),1.0)</f>
        <v>1</v>
      </c>
      <c r="AQ16" s="2">
        <f>IFERROR(__xludf.DUMMYFUNCTION("""COMPUTED_VALUE"""),35.0)</f>
        <v>35</v>
      </c>
      <c r="AR16" s="2" t="str">
        <f>IFERROR(__xludf.DUMMYFUNCTION("""COMPUTED_VALUE"""),"УХЛ4")</f>
        <v>УХЛ4</v>
      </c>
      <c r="AS16" s="2" t="str">
        <f>IFERROR(__xludf.DUMMYFUNCTION("""COMPUTED_VALUE"""),"Картон")</f>
        <v>Картон</v>
      </c>
      <c r="AT16" s="2" t="str">
        <f>IFERROR(__xludf.DUMMYFUNCTION("""COMPUTED_VALUE"""),"Да")</f>
        <v>Да</v>
      </c>
      <c r="AU16" s="2">
        <f>IFERROR(__xludf.DUMMYFUNCTION("""COMPUTED_VALUE"""),0.00396)</f>
        <v>0.00396</v>
      </c>
      <c r="AV16" s="2">
        <f>IFERROR(__xludf.DUMMYFUNCTION("""COMPUTED_VALUE"""),0.5)</f>
        <v>0.5</v>
      </c>
      <c r="AW16" s="2">
        <f>IFERROR(__xludf.DUMMYFUNCTION("""COMPUTED_VALUE"""),5.0)</f>
        <v>5</v>
      </c>
      <c r="AX16" s="2">
        <f>IFERROR(__xludf.DUMMYFUNCTION("""COMPUTED_VALUE"""),1240.0)</f>
        <v>1240</v>
      </c>
      <c r="AY16" s="2">
        <f>IFERROR(__xludf.DUMMYFUNCTION("""COMPUTED_VALUE"""),145.0)</f>
        <v>145</v>
      </c>
      <c r="AZ16" s="2">
        <f>IFERROR(__xludf.DUMMYFUNCTION("""COMPUTED_VALUE"""),110.0)</f>
        <v>110</v>
      </c>
      <c r="BA16" s="2">
        <f>IFERROR(__xludf.DUMMYFUNCTION("""COMPUTED_VALUE"""),0.01978)</f>
        <v>0.01978</v>
      </c>
      <c r="BB16" s="2">
        <f>IFERROR(__xludf.DUMMYFUNCTION("""COMPUTED_VALUE"""),2.5)</f>
        <v>2.5</v>
      </c>
      <c r="BC16" s="2"/>
      <c r="BD16" s="4" t="str">
        <f>IFERROR(__xludf.DUMMYFUNCTION("""COMPUTED_VALUE"""),"http://darion-svet.com/web/binary/saveas_archive?model=product.picture&amp;ids=[1992]&amp;field=image&amp;name_field=name&amp;archive_name=GL8270_image")</f>
        <v>http://darion-svet.com/web/binary/saveas_archive?model=product.picture&amp;ids=[1992]&amp;field=image&amp;name_field=name&amp;archive_name=GL8270_image</v>
      </c>
      <c r="BE16" s="4" t="str">
        <f>IFERROR(__xludf.DUMMYFUNCTION("""COMPUTED_VALUE"""),"http://darion-svet.com/shop/product/gl8270-glerio-line-free-36-vt-93p-36d-4p-m")</f>
        <v>http://darion-svet.com/shop/product/gl8270-glerio-line-free-36-vt-93p-36d-4p-m</v>
      </c>
      <c r="BF16" s="2"/>
      <c r="BG16" s="2"/>
      <c r="BH16" s="2"/>
      <c r="BI16" s="2">
        <f>IFERROR(__xludf.DUMMYFUNCTION("""COMPUTED_VALUE"""),2.0)</f>
        <v>2</v>
      </c>
      <c r="BJ16" s="2">
        <f>IFERROR(__xludf.DUMMYFUNCTION("""COMPUTED_VALUE"""),1805.0)</f>
        <v>1805</v>
      </c>
      <c r="BK16" s="2">
        <f>IFERROR(__xludf.DUMMYFUNCTION("""COMPUTED_VALUE"""),0.0)</f>
        <v>0</v>
      </c>
    </row>
    <row r="17">
      <c r="A17" s="2" t="str">
        <f>IFERROR(__xludf.DUMMYFUNCTION("""COMPUTED_VALUE"""),"GL8271")</f>
        <v>GL8271</v>
      </c>
      <c r="B17" s="2" t="str">
        <f>IFERROR(__xludf.DUMMYFUNCTION("""COMPUTED_VALUE"""),"Светодиодный светильник GLERIO Line Free 36 Вт 4000К 93P-36D-4P-P 5057 лм, IP65 призма")</f>
        <v>Светодиодный светильник GLERIO Line Free 36 Вт 4000К 93P-36D-4P-P 5057 лм, IP65 призма</v>
      </c>
      <c r="C17" s="2" t="str">
        <f>IFERROR(__xludf.DUMMYFUNCTION("""COMPUTED_VALUE"""),"Line Shell, Free (Retail) до 10.2025")</f>
        <v>Line Shell, Free (Retail) до 10.2025</v>
      </c>
      <c r="D17" s="2" t="str">
        <f>IFERROR(__xludf.DUMMYFUNCTION("""COMPUTED_VALUE"""),"4687203920722")</f>
        <v>4687203920722</v>
      </c>
      <c r="E17" s="4" t="str">
        <f>IFERROR(__xludf.DUMMYFUNCTION("""COMPUTED_VALUE"""),"http://darion-svet.com/web/binary/image?model=product.product&amp;id=20368&amp;field=image")</f>
        <v>http://darion-svet.com/web/binary/image?model=product.product&amp;id=20368&amp;field=image</v>
      </c>
      <c r="F17" s="2" t="str">
        <f>IFERROR(__xludf.DUMMYFUNCTION("""COMPUTED_VALUE"""),"5")</f>
        <v>5</v>
      </c>
      <c r="G17" s="2" t="str">
        <f>IFERROR(__xludf.DUMMYFUNCTION("""COMPUTED_VALUE"""),"Российская Федерация")</f>
        <v>Российская Федерация</v>
      </c>
      <c r="H17" s="2" t="str">
        <f>IFERROR(__xludf.DUMMYFUNCTION("""COMPUTED_VALUE"""),"Без бренда")</f>
        <v>Без бренда</v>
      </c>
      <c r="I17" s="2" t="str">
        <f>IFERROR(__xludf.DUMMYFUNCTION("""COMPUTED_VALUE"""),"накладной; подвесной")</f>
        <v>накладной; подвесной</v>
      </c>
      <c r="J17" s="2" t="str">
        <f>IFERROR(__xludf.DUMMYFUNCTION("""COMPUTED_VALUE"""),"общественные помещения")</f>
        <v>общественные помещения</v>
      </c>
      <c r="K17" s="2"/>
      <c r="L17" s="2"/>
      <c r="M17" s="2">
        <f>IFERROR(__xludf.DUMMYFUNCTION("""COMPUTED_VALUE"""),36.0)</f>
        <v>36</v>
      </c>
      <c r="N17" s="2"/>
      <c r="O17" s="2" t="str">
        <f>IFERROR(__xludf.DUMMYFUNCTION("""COMPUTED_VALUE"""),"SMD")</f>
        <v>SMD</v>
      </c>
      <c r="P17" s="2">
        <f>IFERROR(__xludf.DUMMYFUNCTION("""COMPUTED_VALUE"""),5057.0)</f>
        <v>5057</v>
      </c>
      <c r="Q17" s="2" t="str">
        <f>IFERROR(__xludf.DUMMYFUNCTION("""COMPUTED_VALUE"""),"4000")</f>
        <v>4000</v>
      </c>
      <c r="R17" s="2">
        <f>IFERROR(__xludf.DUMMYFUNCTION("""COMPUTED_VALUE"""),85.0)</f>
        <v>85</v>
      </c>
      <c r="S17" s="2" t="str">
        <f>IFERROR(__xludf.DUMMYFUNCTION("""COMPUTED_VALUE"""),"65")</f>
        <v>65</v>
      </c>
      <c r="T17" s="2" t="str">
        <f>IFERROR(__xludf.DUMMYFUNCTION("""COMPUTED_VALUE"""),"Д")</f>
        <v>Д</v>
      </c>
      <c r="U17" s="2" t="str">
        <f>IFERROR(__xludf.DUMMYFUNCTION("""COMPUTED_VALUE"""),"100 000 ч")</f>
        <v>100 000 ч</v>
      </c>
      <c r="V17" s="2">
        <f>IFERROR(__xludf.DUMMYFUNCTION("""COMPUTED_VALUE"""),1194.0)</f>
        <v>1194</v>
      </c>
      <c r="W17" s="2">
        <f>IFERROR(__xludf.DUMMYFUNCTION("""COMPUTED_VALUE"""),69.0)</f>
        <v>69</v>
      </c>
      <c r="X17" s="2">
        <f>IFERROR(__xludf.DUMMYFUNCTION("""COMPUTED_VALUE"""),29.0)</f>
        <v>29</v>
      </c>
      <c r="Y17" s="2"/>
      <c r="Z17" s="2"/>
      <c r="AA17" s="2"/>
      <c r="AB17" s="2">
        <f>IFERROR(__xludf.DUMMYFUNCTION("""COMPUTED_VALUE"""),0.45)</f>
        <v>0.45</v>
      </c>
      <c r="AC17" s="2"/>
      <c r="AD17" s="2" t="str">
        <f>IFERROR(__xludf.DUMMYFUNCTION("""COMPUTED_VALUE"""),"ABS пластик")</f>
        <v>ABS пластик</v>
      </c>
      <c r="AE17" s="2" t="str">
        <f>IFERROR(__xludf.DUMMYFUNCTION("""COMPUTED_VALUE"""),"полистирол")</f>
        <v>полистирол</v>
      </c>
      <c r="AF17" s="2"/>
      <c r="AG17" s="2" t="str">
        <f>IFERROR(__xludf.DUMMYFUNCTION("""COMPUTED_VALUE"""),"призматический рассеиватель")</f>
        <v>призматический рассеиватель</v>
      </c>
      <c r="AH17" s="2"/>
      <c r="AI17" s="2" t="str">
        <f>IFERROR(__xludf.DUMMYFUNCTION("""COMPUTED_VALUE"""),"LED-driver")</f>
        <v>LED-driver</v>
      </c>
      <c r="AJ17" s="2" t="str">
        <f>IFERROR(__xludf.DUMMYFUNCTION("""COMPUTED_VALUE"""),"A")</f>
        <v>A</v>
      </c>
      <c r="AK17" s="2">
        <f>IFERROR(__xludf.DUMMYFUNCTION("""COMPUTED_VALUE"""),0.95)</f>
        <v>0.95</v>
      </c>
      <c r="AL17" s="2">
        <f>IFERROR(__xludf.DUMMYFUNCTION("""COMPUTED_VALUE"""),1.0)</f>
        <v>1</v>
      </c>
      <c r="AM17" s="2">
        <f>IFERROR(__xludf.DUMMYFUNCTION("""COMPUTED_VALUE"""),0.125)</f>
        <v>0.125</v>
      </c>
      <c r="AN17" s="2">
        <f>IFERROR(__xludf.DUMMYFUNCTION("""COMPUTED_VALUE"""),170.0)</f>
        <v>170</v>
      </c>
      <c r="AO17" s="2">
        <f>IFERROR(__xludf.DUMMYFUNCTION("""COMPUTED_VALUE"""),264.0)</f>
        <v>264</v>
      </c>
      <c r="AP17" s="2">
        <f>IFERROR(__xludf.DUMMYFUNCTION("""COMPUTED_VALUE"""),1.0)</f>
        <v>1</v>
      </c>
      <c r="AQ17" s="2">
        <f>IFERROR(__xludf.DUMMYFUNCTION("""COMPUTED_VALUE"""),35.0)</f>
        <v>35</v>
      </c>
      <c r="AR17" s="2" t="str">
        <f>IFERROR(__xludf.DUMMYFUNCTION("""COMPUTED_VALUE"""),"УХЛ4")</f>
        <v>УХЛ4</v>
      </c>
      <c r="AS17" s="2" t="str">
        <f>IFERROR(__xludf.DUMMYFUNCTION("""COMPUTED_VALUE"""),"Картон")</f>
        <v>Картон</v>
      </c>
      <c r="AT17" s="2" t="str">
        <f>IFERROR(__xludf.DUMMYFUNCTION("""COMPUTED_VALUE"""),"Да")</f>
        <v>Да</v>
      </c>
      <c r="AU17" s="2">
        <f>IFERROR(__xludf.DUMMYFUNCTION("""COMPUTED_VALUE"""),0.00396)</f>
        <v>0.00396</v>
      </c>
      <c r="AV17" s="2">
        <f>IFERROR(__xludf.DUMMYFUNCTION("""COMPUTED_VALUE"""),0.5)</f>
        <v>0.5</v>
      </c>
      <c r="AW17" s="2">
        <f>IFERROR(__xludf.DUMMYFUNCTION("""COMPUTED_VALUE"""),5.0)</f>
        <v>5</v>
      </c>
      <c r="AX17" s="2">
        <f>IFERROR(__xludf.DUMMYFUNCTION("""COMPUTED_VALUE"""),1240.0)</f>
        <v>1240</v>
      </c>
      <c r="AY17" s="2">
        <f>IFERROR(__xludf.DUMMYFUNCTION("""COMPUTED_VALUE"""),145.0)</f>
        <v>145</v>
      </c>
      <c r="AZ17" s="2">
        <f>IFERROR(__xludf.DUMMYFUNCTION("""COMPUTED_VALUE"""),110.0)</f>
        <v>110</v>
      </c>
      <c r="BA17" s="2">
        <f>IFERROR(__xludf.DUMMYFUNCTION("""COMPUTED_VALUE"""),0.01978)</f>
        <v>0.01978</v>
      </c>
      <c r="BB17" s="2">
        <f>IFERROR(__xludf.DUMMYFUNCTION("""COMPUTED_VALUE"""),2.5)</f>
        <v>2.5</v>
      </c>
      <c r="BC17" s="2"/>
      <c r="BD17" s="4" t="str">
        <f>IFERROR(__xludf.DUMMYFUNCTION("""COMPUTED_VALUE"""),"http://darion-svet.com/web/binary/saveas_archive?model=product.picture&amp;ids=[1994]&amp;field=image&amp;name_field=name&amp;archive_name=GL8271_image")</f>
        <v>http://darion-svet.com/web/binary/saveas_archive?model=product.picture&amp;ids=[1994]&amp;field=image&amp;name_field=name&amp;archive_name=GL8271_image</v>
      </c>
      <c r="BE17" s="4" t="str">
        <f>IFERROR(__xludf.DUMMYFUNCTION("""COMPUTED_VALUE"""),"http://darion-svet.com/shop/product/gl8271-glerio-line-free-36-vt-93p-36d-4p-p")</f>
        <v>http://darion-svet.com/shop/product/gl8271-glerio-line-free-36-vt-93p-36d-4p-p</v>
      </c>
      <c r="BF17" s="2"/>
      <c r="BG17" s="2"/>
      <c r="BH17" s="2"/>
      <c r="BI17" s="2">
        <f>IFERROR(__xludf.DUMMYFUNCTION("""COMPUTED_VALUE"""),1.0)</f>
        <v>1</v>
      </c>
      <c r="BJ17" s="2">
        <f>IFERROR(__xludf.DUMMYFUNCTION("""COMPUTED_VALUE"""),1805.0)</f>
        <v>1805</v>
      </c>
      <c r="BK17" s="2">
        <f>IFERROR(__xludf.DUMMYFUNCTION("""COMPUTED_VALUE"""),0.0)</f>
        <v>0</v>
      </c>
    </row>
    <row r="18">
      <c r="A18" s="2" t="str">
        <f>IFERROR(__xludf.DUMMYFUNCTION("""COMPUTED_VALUE"""),"GL8272")</f>
        <v>GL8272</v>
      </c>
      <c r="B18" s="2" t="str">
        <f>IFERROR(__xludf.DUMMYFUNCTION("""COMPUTED_VALUE"""),"Светодиодный светильник GLERIO Line Free 36 Вт 4000К 93P-36D-4P-MP 4584 лм, IP65 микропризма")</f>
        <v>Светодиодный светильник GLERIO Line Free 36 Вт 4000К 93P-36D-4P-MP 4584 лм, IP65 микропризма</v>
      </c>
      <c r="C18" s="2" t="str">
        <f>IFERROR(__xludf.DUMMYFUNCTION("""COMPUTED_VALUE"""),"Line Shell, Free (Retail) до 10.2025")</f>
        <v>Line Shell, Free (Retail) до 10.2025</v>
      </c>
      <c r="D18" s="2" t="str">
        <f>IFERROR(__xludf.DUMMYFUNCTION("""COMPUTED_VALUE"""),"4687203920715")</f>
        <v>4687203920715</v>
      </c>
      <c r="E18" s="4" t="str">
        <f>IFERROR(__xludf.DUMMYFUNCTION("""COMPUTED_VALUE"""),"http://darion-svet.com/web/binary/image?model=product.product&amp;id=20369&amp;field=image")</f>
        <v>http://darion-svet.com/web/binary/image?model=product.product&amp;id=20369&amp;field=image</v>
      </c>
      <c r="F18" s="2" t="str">
        <f>IFERROR(__xludf.DUMMYFUNCTION("""COMPUTED_VALUE"""),"5")</f>
        <v>5</v>
      </c>
      <c r="G18" s="2" t="str">
        <f>IFERROR(__xludf.DUMMYFUNCTION("""COMPUTED_VALUE"""),"Российская Федерация")</f>
        <v>Российская Федерация</v>
      </c>
      <c r="H18" s="2" t="str">
        <f>IFERROR(__xludf.DUMMYFUNCTION("""COMPUTED_VALUE"""),"Без бренда")</f>
        <v>Без бренда</v>
      </c>
      <c r="I18" s="2" t="str">
        <f>IFERROR(__xludf.DUMMYFUNCTION("""COMPUTED_VALUE"""),"накладной; подвесной")</f>
        <v>накладной; подвесной</v>
      </c>
      <c r="J18" s="2" t="str">
        <f>IFERROR(__xludf.DUMMYFUNCTION("""COMPUTED_VALUE"""),"общественные помещения")</f>
        <v>общественные помещения</v>
      </c>
      <c r="K18" s="2"/>
      <c r="L18" s="2"/>
      <c r="M18" s="2">
        <f>IFERROR(__xludf.DUMMYFUNCTION("""COMPUTED_VALUE"""),36.0)</f>
        <v>36</v>
      </c>
      <c r="N18" s="2"/>
      <c r="O18" s="2" t="str">
        <f>IFERROR(__xludf.DUMMYFUNCTION("""COMPUTED_VALUE"""),"SMD")</f>
        <v>SMD</v>
      </c>
      <c r="P18" s="2">
        <f>IFERROR(__xludf.DUMMYFUNCTION("""COMPUTED_VALUE"""),4584.0)</f>
        <v>4584</v>
      </c>
      <c r="Q18" s="2" t="str">
        <f>IFERROR(__xludf.DUMMYFUNCTION("""COMPUTED_VALUE"""),"4000")</f>
        <v>4000</v>
      </c>
      <c r="R18" s="2">
        <f>IFERROR(__xludf.DUMMYFUNCTION("""COMPUTED_VALUE"""),85.0)</f>
        <v>85</v>
      </c>
      <c r="S18" s="2" t="str">
        <f>IFERROR(__xludf.DUMMYFUNCTION("""COMPUTED_VALUE"""),"65")</f>
        <v>65</v>
      </c>
      <c r="T18" s="2" t="str">
        <f>IFERROR(__xludf.DUMMYFUNCTION("""COMPUTED_VALUE"""),"Д")</f>
        <v>Д</v>
      </c>
      <c r="U18" s="2" t="str">
        <f>IFERROR(__xludf.DUMMYFUNCTION("""COMPUTED_VALUE"""),"100 000 ч")</f>
        <v>100 000 ч</v>
      </c>
      <c r="V18" s="2">
        <f>IFERROR(__xludf.DUMMYFUNCTION("""COMPUTED_VALUE"""),1194.0)</f>
        <v>1194</v>
      </c>
      <c r="W18" s="2">
        <f>IFERROR(__xludf.DUMMYFUNCTION("""COMPUTED_VALUE"""),69.0)</f>
        <v>69</v>
      </c>
      <c r="X18" s="2">
        <f>IFERROR(__xludf.DUMMYFUNCTION("""COMPUTED_VALUE"""),29.0)</f>
        <v>29</v>
      </c>
      <c r="Y18" s="2"/>
      <c r="Z18" s="2"/>
      <c r="AA18" s="2"/>
      <c r="AB18" s="2">
        <f>IFERROR(__xludf.DUMMYFUNCTION("""COMPUTED_VALUE"""),0.45)</f>
        <v>0.45</v>
      </c>
      <c r="AC18" s="2"/>
      <c r="AD18" s="2" t="str">
        <f>IFERROR(__xludf.DUMMYFUNCTION("""COMPUTED_VALUE"""),"ABS пластик")</f>
        <v>ABS пластик</v>
      </c>
      <c r="AE18" s="2" t="str">
        <f>IFERROR(__xludf.DUMMYFUNCTION("""COMPUTED_VALUE"""),"полистирол")</f>
        <v>полистирол</v>
      </c>
      <c r="AF18" s="2"/>
      <c r="AG18" s="2" t="str">
        <f>IFERROR(__xludf.DUMMYFUNCTION("""COMPUTED_VALUE"""),"микропризматический рассеиватель")</f>
        <v>микропризматический рассеиватель</v>
      </c>
      <c r="AH18" s="2"/>
      <c r="AI18" s="2" t="str">
        <f>IFERROR(__xludf.DUMMYFUNCTION("""COMPUTED_VALUE"""),"LED-driver")</f>
        <v>LED-driver</v>
      </c>
      <c r="AJ18" s="2" t="str">
        <f>IFERROR(__xludf.DUMMYFUNCTION("""COMPUTED_VALUE"""),"A")</f>
        <v>A</v>
      </c>
      <c r="AK18" s="2">
        <f>IFERROR(__xludf.DUMMYFUNCTION("""COMPUTED_VALUE"""),0.95)</f>
        <v>0.95</v>
      </c>
      <c r="AL18" s="2">
        <f>IFERROR(__xludf.DUMMYFUNCTION("""COMPUTED_VALUE"""),1.0)</f>
        <v>1</v>
      </c>
      <c r="AM18" s="2">
        <f>IFERROR(__xludf.DUMMYFUNCTION("""COMPUTED_VALUE"""),0.125)</f>
        <v>0.125</v>
      </c>
      <c r="AN18" s="2">
        <f>IFERROR(__xludf.DUMMYFUNCTION("""COMPUTED_VALUE"""),170.0)</f>
        <v>170</v>
      </c>
      <c r="AO18" s="2">
        <f>IFERROR(__xludf.DUMMYFUNCTION("""COMPUTED_VALUE"""),264.0)</f>
        <v>264</v>
      </c>
      <c r="AP18" s="2">
        <f>IFERROR(__xludf.DUMMYFUNCTION("""COMPUTED_VALUE"""),1.0)</f>
        <v>1</v>
      </c>
      <c r="AQ18" s="2">
        <f>IFERROR(__xludf.DUMMYFUNCTION("""COMPUTED_VALUE"""),35.0)</f>
        <v>35</v>
      </c>
      <c r="AR18" s="2" t="str">
        <f>IFERROR(__xludf.DUMMYFUNCTION("""COMPUTED_VALUE"""),"УХЛ4")</f>
        <v>УХЛ4</v>
      </c>
      <c r="AS18" s="2" t="str">
        <f>IFERROR(__xludf.DUMMYFUNCTION("""COMPUTED_VALUE"""),"Картон")</f>
        <v>Картон</v>
      </c>
      <c r="AT18" s="2" t="str">
        <f>IFERROR(__xludf.DUMMYFUNCTION("""COMPUTED_VALUE"""),"Да")</f>
        <v>Да</v>
      </c>
      <c r="AU18" s="2">
        <f>IFERROR(__xludf.DUMMYFUNCTION("""COMPUTED_VALUE"""),0.00396)</f>
        <v>0.00396</v>
      </c>
      <c r="AV18" s="2">
        <f>IFERROR(__xludf.DUMMYFUNCTION("""COMPUTED_VALUE"""),0.5)</f>
        <v>0.5</v>
      </c>
      <c r="AW18" s="2">
        <f>IFERROR(__xludf.DUMMYFUNCTION("""COMPUTED_VALUE"""),5.0)</f>
        <v>5</v>
      </c>
      <c r="AX18" s="2">
        <f>IFERROR(__xludf.DUMMYFUNCTION("""COMPUTED_VALUE"""),1240.0)</f>
        <v>1240</v>
      </c>
      <c r="AY18" s="2">
        <f>IFERROR(__xludf.DUMMYFUNCTION("""COMPUTED_VALUE"""),145.0)</f>
        <v>145</v>
      </c>
      <c r="AZ18" s="2">
        <f>IFERROR(__xludf.DUMMYFUNCTION("""COMPUTED_VALUE"""),110.0)</f>
        <v>110</v>
      </c>
      <c r="BA18" s="2">
        <f>IFERROR(__xludf.DUMMYFUNCTION("""COMPUTED_VALUE"""),0.01978)</f>
        <v>0.01978</v>
      </c>
      <c r="BB18" s="2">
        <f>IFERROR(__xludf.DUMMYFUNCTION("""COMPUTED_VALUE"""),2.5)</f>
        <v>2.5</v>
      </c>
      <c r="BC18" s="2"/>
      <c r="BD18" s="4" t="str">
        <f>IFERROR(__xludf.DUMMYFUNCTION("""COMPUTED_VALUE"""),"http://darion-svet.com/web/binary/saveas_archive?model=product.picture&amp;ids=[1993]&amp;field=image&amp;name_field=name&amp;archive_name=GL8272_image")</f>
        <v>http://darion-svet.com/web/binary/saveas_archive?model=product.picture&amp;ids=[1993]&amp;field=image&amp;name_field=name&amp;archive_name=GL8272_image</v>
      </c>
      <c r="BE18" s="4" t="str">
        <f>IFERROR(__xludf.DUMMYFUNCTION("""COMPUTED_VALUE"""),"http://darion-svet.com/shop/product/gl8272-glerio-line-free-36-vt-93p-36d-4p-mp")</f>
        <v>http://darion-svet.com/shop/product/gl8272-glerio-line-free-36-vt-93p-36d-4p-mp</v>
      </c>
      <c r="BF18" s="2"/>
      <c r="BG18" s="2"/>
      <c r="BH18" s="2"/>
      <c r="BI18" s="2">
        <f>IFERROR(__xludf.DUMMYFUNCTION("""COMPUTED_VALUE"""),4.0)</f>
        <v>4</v>
      </c>
      <c r="BJ18" s="2">
        <f>IFERROR(__xludf.DUMMYFUNCTION("""COMPUTED_VALUE"""),1805.0)</f>
        <v>1805</v>
      </c>
      <c r="BK18" s="2">
        <f>IFERROR(__xludf.DUMMYFUNCTION("""COMPUTED_VALUE"""),0.0)</f>
        <v>0</v>
      </c>
    </row>
    <row r="19">
      <c r="A19" s="2" t="str">
        <f>IFERROR(__xludf.DUMMYFUNCTION("""COMPUTED_VALUE"""),"GL8273")</f>
        <v>GL8273</v>
      </c>
      <c r="B19" s="2" t="str">
        <f>IFERROR(__xludf.DUMMYFUNCTION("""COMPUTED_VALUE"""),"Светодиодный светильник GLERIO Line Free 36 Вт 4000К 93P-36D-4P-K 5072 лм, IP65 колотый лёд")</f>
        <v>Светодиодный светильник GLERIO Line Free 36 Вт 4000К 93P-36D-4P-K 5072 лм, IP65 колотый лёд</v>
      </c>
      <c r="C19" s="2" t="str">
        <f>IFERROR(__xludf.DUMMYFUNCTION("""COMPUTED_VALUE"""),"Line Shell, Free (Retail) до 10.2025")</f>
        <v>Line Shell, Free (Retail) до 10.2025</v>
      </c>
      <c r="D19" s="2" t="str">
        <f>IFERROR(__xludf.DUMMYFUNCTION("""COMPUTED_VALUE"""),"4687203920692")</f>
        <v>4687203920692</v>
      </c>
      <c r="E19" s="4" t="str">
        <f>IFERROR(__xludf.DUMMYFUNCTION("""COMPUTED_VALUE"""),"http://darion-svet.com/web/binary/image?model=product.product&amp;id=20370&amp;field=image")</f>
        <v>http://darion-svet.com/web/binary/image?model=product.product&amp;id=20370&amp;field=image</v>
      </c>
      <c r="F19" s="2" t="str">
        <f>IFERROR(__xludf.DUMMYFUNCTION("""COMPUTED_VALUE"""),"5")</f>
        <v>5</v>
      </c>
      <c r="G19" s="2" t="str">
        <f>IFERROR(__xludf.DUMMYFUNCTION("""COMPUTED_VALUE"""),"Российская Федерация")</f>
        <v>Российская Федерация</v>
      </c>
      <c r="H19" s="2" t="str">
        <f>IFERROR(__xludf.DUMMYFUNCTION("""COMPUTED_VALUE"""),"Без бренда")</f>
        <v>Без бренда</v>
      </c>
      <c r="I19" s="2" t="str">
        <f>IFERROR(__xludf.DUMMYFUNCTION("""COMPUTED_VALUE"""),"накладной; подвесной")</f>
        <v>накладной; подвесной</v>
      </c>
      <c r="J19" s="2" t="str">
        <f>IFERROR(__xludf.DUMMYFUNCTION("""COMPUTED_VALUE"""),"общественные помещения")</f>
        <v>общественные помещения</v>
      </c>
      <c r="K19" s="2"/>
      <c r="L19" s="2"/>
      <c r="M19" s="2">
        <f>IFERROR(__xludf.DUMMYFUNCTION("""COMPUTED_VALUE"""),36.0)</f>
        <v>36</v>
      </c>
      <c r="N19" s="2"/>
      <c r="O19" s="2" t="str">
        <f>IFERROR(__xludf.DUMMYFUNCTION("""COMPUTED_VALUE"""),"SMD")</f>
        <v>SMD</v>
      </c>
      <c r="P19" s="2">
        <f>IFERROR(__xludf.DUMMYFUNCTION("""COMPUTED_VALUE"""),5072.0)</f>
        <v>5072</v>
      </c>
      <c r="Q19" s="2" t="str">
        <f>IFERROR(__xludf.DUMMYFUNCTION("""COMPUTED_VALUE"""),"4000")</f>
        <v>4000</v>
      </c>
      <c r="R19" s="2">
        <f>IFERROR(__xludf.DUMMYFUNCTION("""COMPUTED_VALUE"""),85.0)</f>
        <v>85</v>
      </c>
      <c r="S19" s="2" t="str">
        <f>IFERROR(__xludf.DUMMYFUNCTION("""COMPUTED_VALUE"""),"65")</f>
        <v>65</v>
      </c>
      <c r="T19" s="2" t="str">
        <f>IFERROR(__xludf.DUMMYFUNCTION("""COMPUTED_VALUE"""),"Д")</f>
        <v>Д</v>
      </c>
      <c r="U19" s="2" t="str">
        <f>IFERROR(__xludf.DUMMYFUNCTION("""COMPUTED_VALUE"""),"100 000 ч")</f>
        <v>100 000 ч</v>
      </c>
      <c r="V19" s="2">
        <f>IFERROR(__xludf.DUMMYFUNCTION("""COMPUTED_VALUE"""),1194.0)</f>
        <v>1194</v>
      </c>
      <c r="W19" s="2">
        <f>IFERROR(__xludf.DUMMYFUNCTION("""COMPUTED_VALUE"""),69.0)</f>
        <v>69</v>
      </c>
      <c r="X19" s="2">
        <f>IFERROR(__xludf.DUMMYFUNCTION("""COMPUTED_VALUE"""),29.0)</f>
        <v>29</v>
      </c>
      <c r="Y19" s="2"/>
      <c r="Z19" s="2"/>
      <c r="AA19" s="2"/>
      <c r="AB19" s="2">
        <f>IFERROR(__xludf.DUMMYFUNCTION("""COMPUTED_VALUE"""),0.45)</f>
        <v>0.45</v>
      </c>
      <c r="AC19" s="2"/>
      <c r="AD19" s="2" t="str">
        <f>IFERROR(__xludf.DUMMYFUNCTION("""COMPUTED_VALUE"""),"ABS пластик")</f>
        <v>ABS пластик</v>
      </c>
      <c r="AE19" s="2" t="str">
        <f>IFERROR(__xludf.DUMMYFUNCTION("""COMPUTED_VALUE"""),"полистирол")</f>
        <v>полистирол</v>
      </c>
      <c r="AF19" s="2"/>
      <c r="AG19" s="2" t="str">
        <f>IFERROR(__xludf.DUMMYFUNCTION("""COMPUTED_VALUE"""),"колотый лёд рассеиватель")</f>
        <v>колотый лёд рассеиватель</v>
      </c>
      <c r="AH19" s="2"/>
      <c r="AI19" s="2" t="str">
        <f>IFERROR(__xludf.DUMMYFUNCTION("""COMPUTED_VALUE"""),"LED-driver")</f>
        <v>LED-driver</v>
      </c>
      <c r="AJ19" s="2" t="str">
        <f>IFERROR(__xludf.DUMMYFUNCTION("""COMPUTED_VALUE"""),"A")</f>
        <v>A</v>
      </c>
      <c r="AK19" s="2">
        <f>IFERROR(__xludf.DUMMYFUNCTION("""COMPUTED_VALUE"""),0.95)</f>
        <v>0.95</v>
      </c>
      <c r="AL19" s="2">
        <f>IFERROR(__xludf.DUMMYFUNCTION("""COMPUTED_VALUE"""),1.0)</f>
        <v>1</v>
      </c>
      <c r="AM19" s="2">
        <f>IFERROR(__xludf.DUMMYFUNCTION("""COMPUTED_VALUE"""),0.125)</f>
        <v>0.125</v>
      </c>
      <c r="AN19" s="2">
        <f>IFERROR(__xludf.DUMMYFUNCTION("""COMPUTED_VALUE"""),170.0)</f>
        <v>170</v>
      </c>
      <c r="AO19" s="2">
        <f>IFERROR(__xludf.DUMMYFUNCTION("""COMPUTED_VALUE"""),264.0)</f>
        <v>264</v>
      </c>
      <c r="AP19" s="2">
        <f>IFERROR(__xludf.DUMMYFUNCTION("""COMPUTED_VALUE"""),1.0)</f>
        <v>1</v>
      </c>
      <c r="AQ19" s="2">
        <f>IFERROR(__xludf.DUMMYFUNCTION("""COMPUTED_VALUE"""),35.0)</f>
        <v>35</v>
      </c>
      <c r="AR19" s="2" t="str">
        <f>IFERROR(__xludf.DUMMYFUNCTION("""COMPUTED_VALUE"""),"УХЛ4")</f>
        <v>УХЛ4</v>
      </c>
      <c r="AS19" s="2" t="str">
        <f>IFERROR(__xludf.DUMMYFUNCTION("""COMPUTED_VALUE"""),"Картон")</f>
        <v>Картон</v>
      </c>
      <c r="AT19" s="2" t="str">
        <f>IFERROR(__xludf.DUMMYFUNCTION("""COMPUTED_VALUE"""),"Да")</f>
        <v>Да</v>
      </c>
      <c r="AU19" s="2">
        <f>IFERROR(__xludf.DUMMYFUNCTION("""COMPUTED_VALUE"""),0.00396)</f>
        <v>0.00396</v>
      </c>
      <c r="AV19" s="2">
        <f>IFERROR(__xludf.DUMMYFUNCTION("""COMPUTED_VALUE"""),0.5)</f>
        <v>0.5</v>
      </c>
      <c r="AW19" s="2">
        <f>IFERROR(__xludf.DUMMYFUNCTION("""COMPUTED_VALUE"""),5.0)</f>
        <v>5</v>
      </c>
      <c r="AX19" s="2">
        <f>IFERROR(__xludf.DUMMYFUNCTION("""COMPUTED_VALUE"""),1240.0)</f>
        <v>1240</v>
      </c>
      <c r="AY19" s="2">
        <f>IFERROR(__xludf.DUMMYFUNCTION("""COMPUTED_VALUE"""),145.0)</f>
        <v>145</v>
      </c>
      <c r="AZ19" s="2">
        <f>IFERROR(__xludf.DUMMYFUNCTION("""COMPUTED_VALUE"""),110.0)</f>
        <v>110</v>
      </c>
      <c r="BA19" s="2">
        <f>IFERROR(__xludf.DUMMYFUNCTION("""COMPUTED_VALUE"""),0.01978)</f>
        <v>0.01978</v>
      </c>
      <c r="BB19" s="2">
        <f>IFERROR(__xludf.DUMMYFUNCTION("""COMPUTED_VALUE"""),2.5)</f>
        <v>2.5</v>
      </c>
      <c r="BC19" s="2"/>
      <c r="BD19" s="4" t="str">
        <f>IFERROR(__xludf.DUMMYFUNCTION("""COMPUTED_VALUE"""),"http://darion-svet.com/web/binary/saveas_archive?model=product.picture&amp;ids=[1991]&amp;field=image&amp;name_field=name&amp;archive_name=GL8273_image")</f>
        <v>http://darion-svet.com/web/binary/saveas_archive?model=product.picture&amp;ids=[1991]&amp;field=image&amp;name_field=name&amp;archive_name=GL8273_image</v>
      </c>
      <c r="BE19" s="4" t="str">
        <f>IFERROR(__xludf.DUMMYFUNCTION("""COMPUTED_VALUE"""),"http://darion-svet.com/shop/product/gl8273-glerio-line-free-36-vt-93p-36d-4p-k")</f>
        <v>http://darion-svet.com/shop/product/gl8273-glerio-line-free-36-vt-93p-36d-4p-k</v>
      </c>
      <c r="BF19" s="2"/>
      <c r="BG19" s="2"/>
      <c r="BH19" s="2"/>
      <c r="BI19" s="2">
        <f>IFERROR(__xludf.DUMMYFUNCTION("""COMPUTED_VALUE"""),1.0)</f>
        <v>1</v>
      </c>
      <c r="BJ19" s="2">
        <f>IFERROR(__xludf.DUMMYFUNCTION("""COMPUTED_VALUE"""),2301.0)</f>
        <v>2301</v>
      </c>
      <c r="BK19" s="2">
        <f>IFERROR(__xludf.DUMMYFUNCTION("""COMPUTED_VALUE"""),0.0)</f>
        <v>0</v>
      </c>
    </row>
    <row r="20">
      <c r="A20" s="2" t="str">
        <f>IFERROR(__xludf.DUMMYFUNCTION("""COMPUTED_VALUE"""),"4690612038810")</f>
        <v>4690612038810</v>
      </c>
      <c r="B20" s="2" t="str">
        <f>IFERROR(__xludf.DUMMYFUNCTION("""COMPUTED_VALUE"""),"Панель светодиодная универсальная ДВО-02 4065-ОПАЛ 40Вт 230В 6500К 3600Лм 595х595х25 NEOX")</f>
        <v>Панель светодиодная универсальная ДВО-02 4065-ОПАЛ 40Вт 230В 6500К 3600Лм 595х595х25 NEOX</v>
      </c>
      <c r="C20" s="2" t="str">
        <f>IFERROR(__xludf.DUMMYFUNCTION("""COMPUTED_VALUE"""),"NEOX Светильники LED ДВО")</f>
        <v>NEOX Светильники LED ДВО</v>
      </c>
      <c r="D20" s="2"/>
      <c r="E20" s="4" t="str">
        <f>IFERROR(__xludf.DUMMYFUNCTION("""COMPUTED_VALUE"""),"http://darion-svet.com/web/binary/image?model=product.product&amp;id=20847&amp;field=image")</f>
        <v>http://darion-svet.com/web/binary/image?model=product.product&amp;id=20847&amp;field=image</v>
      </c>
      <c r="F20" s="2" t="str">
        <f>IFERROR(__xludf.DUMMYFUNCTION("""COMPUTED_VALUE"""),"3")</f>
        <v>3</v>
      </c>
      <c r="G20" s="2" t="str">
        <f>IFERROR(__xludf.DUMMYFUNCTION("""COMPUTED_VALUE"""),"Китай")</f>
        <v>Китай</v>
      </c>
      <c r="H20" s="2" t="str">
        <f>IFERROR(__xludf.DUMMYFUNCTION("""COMPUTED_VALUE"""),"Neox")</f>
        <v>Neox</v>
      </c>
      <c r="I20" s="2" t="str">
        <f>IFERROR(__xludf.DUMMYFUNCTION("""COMPUTED_VALUE"""),"встраиваемый в Армстронг; накладной; подвесной")</f>
        <v>встраиваемый в Армстронг; накладной; подвесной</v>
      </c>
      <c r="J20" s="2" t="str">
        <f>IFERROR(__xludf.DUMMYFUNCTION("""COMPUTED_VALUE"""),"общественные помещения")</f>
        <v>общественные помещения</v>
      </c>
      <c r="K20" s="2" t="str">
        <f>IFERROR(__xludf.DUMMYFUNCTION("""COMPUTED_VALUE"""),"LED")</f>
        <v>LED</v>
      </c>
      <c r="L20" s="2"/>
      <c r="M20" s="2">
        <f>IFERROR(__xludf.DUMMYFUNCTION("""COMPUTED_VALUE"""),40.0)</f>
        <v>40</v>
      </c>
      <c r="N20" s="2"/>
      <c r="O20" s="2" t="str">
        <f>IFERROR(__xludf.DUMMYFUNCTION("""COMPUTED_VALUE"""),"SMD")</f>
        <v>SMD</v>
      </c>
      <c r="P20" s="2">
        <f>IFERROR(__xludf.DUMMYFUNCTION("""COMPUTED_VALUE"""),3600.0)</f>
        <v>3600</v>
      </c>
      <c r="Q20" s="2" t="str">
        <f>IFERROR(__xludf.DUMMYFUNCTION("""COMPUTED_VALUE"""),"6500")</f>
        <v>6500</v>
      </c>
      <c r="R20" s="2">
        <f>IFERROR(__xludf.DUMMYFUNCTION("""COMPUTED_VALUE"""),80.0)</f>
        <v>80</v>
      </c>
      <c r="S20" s="2" t="str">
        <f>IFERROR(__xludf.DUMMYFUNCTION("""COMPUTED_VALUE"""),"40")</f>
        <v>40</v>
      </c>
      <c r="T20" s="2" t="str">
        <f>IFERROR(__xludf.DUMMYFUNCTION("""COMPUTED_VALUE"""),"Д")</f>
        <v>Д</v>
      </c>
      <c r="U20" s="2" t="str">
        <f>IFERROR(__xludf.DUMMYFUNCTION("""COMPUTED_VALUE"""),"30 000 ч.")</f>
        <v>30 000 ч.</v>
      </c>
      <c r="V20" s="2">
        <f>IFERROR(__xludf.DUMMYFUNCTION("""COMPUTED_VALUE"""),595.0)</f>
        <v>595</v>
      </c>
      <c r="W20" s="2">
        <f>IFERROR(__xludf.DUMMYFUNCTION("""COMPUTED_VALUE"""),595.0)</f>
        <v>595</v>
      </c>
      <c r="X20" s="2">
        <f>IFERROR(__xludf.DUMMYFUNCTION("""COMPUTED_VALUE"""),25.0)</f>
        <v>25</v>
      </c>
      <c r="Y20" s="2"/>
      <c r="Z20" s="2"/>
      <c r="AA20" s="2"/>
      <c r="AB20" s="2">
        <f>IFERROR(__xludf.DUMMYFUNCTION("""COMPUTED_VALUE"""),1.2)</f>
        <v>1.2</v>
      </c>
      <c r="AC20" s="2"/>
      <c r="AD20" s="2" t="str">
        <f>IFERROR(__xludf.DUMMYFUNCTION("""COMPUTED_VALUE"""),"сталь")</f>
        <v>сталь</v>
      </c>
      <c r="AE20" s="2" t="str">
        <f>IFERROR(__xludf.DUMMYFUNCTION("""COMPUTED_VALUE"""),"ABS пластик")</f>
        <v>ABS пластик</v>
      </c>
      <c r="AF20" s="2"/>
      <c r="AG20" s="2" t="str">
        <f>IFERROR(__xludf.DUMMYFUNCTION("""COMPUTED_VALUE"""),"матовый рассеиватель")</f>
        <v>матовый рассеиватель</v>
      </c>
      <c r="AH20" s="2"/>
      <c r="AI20" s="2" t="str">
        <f>IFERROR(__xludf.DUMMYFUNCTION("""COMPUTED_VALUE"""),"LED-driver")</f>
        <v>LED-driver</v>
      </c>
      <c r="AJ20" s="2" t="str">
        <f>IFERROR(__xludf.DUMMYFUNCTION("""COMPUTED_VALUE"""),"A")</f>
        <v>A</v>
      </c>
      <c r="AK20" s="2">
        <f>IFERROR(__xludf.DUMMYFUNCTION("""COMPUTED_VALUE"""),0.9)</f>
        <v>0.9</v>
      </c>
      <c r="AL20" s="2">
        <f>IFERROR(__xludf.DUMMYFUNCTION("""COMPUTED_VALUE"""),5.0)</f>
        <v>5</v>
      </c>
      <c r="AM20" s="2">
        <f>IFERROR(__xludf.DUMMYFUNCTION("""COMPUTED_VALUE"""),0.2)</f>
        <v>0.2</v>
      </c>
      <c r="AN20" s="2">
        <f>IFERROR(__xludf.DUMMYFUNCTION("""COMPUTED_VALUE"""),220.0)</f>
        <v>220</v>
      </c>
      <c r="AO20" s="2">
        <f>IFERROR(__xludf.DUMMYFUNCTION("""COMPUTED_VALUE"""),240.0)</f>
        <v>240</v>
      </c>
      <c r="AP20" s="2">
        <f>IFERROR(__xludf.DUMMYFUNCTION("""COMPUTED_VALUE"""),1.0)</f>
        <v>1</v>
      </c>
      <c r="AQ20" s="2">
        <f>IFERROR(__xludf.DUMMYFUNCTION("""COMPUTED_VALUE"""),55.0)</f>
        <v>55</v>
      </c>
      <c r="AR20" s="2" t="str">
        <f>IFERROR(__xludf.DUMMYFUNCTION("""COMPUTED_VALUE"""),"УХЛ4")</f>
        <v>УХЛ4</v>
      </c>
      <c r="AS20" s="2" t="str">
        <f>IFERROR(__xludf.DUMMYFUNCTION("""COMPUTED_VALUE"""),"Картон")</f>
        <v>Картон</v>
      </c>
      <c r="AT20" s="2" t="str">
        <f>IFERROR(__xludf.DUMMYFUNCTION("""COMPUTED_VALUE"""),"Да")</f>
        <v>Да</v>
      </c>
      <c r="AU20" s="2">
        <f>IFERROR(__xludf.DUMMYFUNCTION("""COMPUTED_VALUE"""),0.009000000000000001)</f>
        <v>0.009</v>
      </c>
      <c r="AV20" s="2">
        <f>IFERROR(__xludf.DUMMYFUNCTION("""COMPUTED_VALUE"""),1.2)</f>
        <v>1.2</v>
      </c>
      <c r="AW20" s="2">
        <f>IFERROR(__xludf.DUMMYFUNCTION("""COMPUTED_VALUE"""),4.0)</f>
        <v>4</v>
      </c>
      <c r="AX20" s="2">
        <f>IFERROR(__xludf.DUMMYFUNCTION("""COMPUTED_VALUE"""),600.0)</f>
        <v>600</v>
      </c>
      <c r="AY20" s="2">
        <f>IFERROR(__xludf.DUMMYFUNCTION("""COMPUTED_VALUE"""),600.0)</f>
        <v>600</v>
      </c>
      <c r="AZ20" s="2">
        <f>IFERROR(__xludf.DUMMYFUNCTION("""COMPUTED_VALUE"""),100.0)</f>
        <v>100</v>
      </c>
      <c r="BA20" s="2">
        <f>IFERROR(__xludf.DUMMYFUNCTION("""COMPUTED_VALUE"""),0.036)</f>
        <v>0.036</v>
      </c>
      <c r="BB20" s="2">
        <f>IFERROR(__xludf.DUMMYFUNCTION("""COMPUTED_VALUE"""),4.800000000000001)</f>
        <v>4.8</v>
      </c>
      <c r="BC20" s="2"/>
      <c r="BD20" s="2"/>
      <c r="BE20" s="4" t="str">
        <f>IFERROR(__xludf.DUMMYFUNCTION("""COMPUTED_VALUE"""),"http://darion-svet.com/shop/product/4690612038810-dvo-02-4065-opal-40vt-230v-6500k-3600lm-595h595h25-neox")</f>
        <v>http://darion-svet.com/shop/product/4690612038810-dvo-02-4065-opal-40vt-230v-6500k-3600lm-595h595h25-neox</v>
      </c>
      <c r="BF20" s="4" t="str">
        <f>IFERROR(__xludf.DUMMYFUNCTION("""COMPUTED_VALUE"""),"http://darion-svet.com/web/binary/saveas?model=product.product&amp;field=conformity_cert&amp;filename_field=conformity_cert_filename&amp;id=20847")</f>
        <v>http://darion-svet.com/web/binary/saveas?model=product.product&amp;field=conformity_cert&amp;filename_field=conformity_cert_filename&amp;id=20847</v>
      </c>
      <c r="BG20" s="4" t="str">
        <f>IFERROR(__xludf.DUMMYFUNCTION("""COMPUTED_VALUE"""),"http://darion-svet.com/web/binary/saveas?model=product.product&amp;field=datasheet&amp;filename_field=datasheet_filename&amp;id=20847")</f>
        <v>http://darion-svet.com/web/binary/saveas?model=product.product&amp;field=datasheet&amp;filename_field=datasheet_filename&amp;id=20847</v>
      </c>
      <c r="BH20" s="2"/>
      <c r="BI20" s="2">
        <f>IFERROR(__xludf.DUMMYFUNCTION("""COMPUTED_VALUE"""),10.0)</f>
        <v>10</v>
      </c>
      <c r="BJ20" s="2">
        <f>IFERROR(__xludf.DUMMYFUNCTION("""COMPUTED_VALUE"""),962.0)</f>
        <v>962</v>
      </c>
      <c r="BK20" s="2">
        <f>IFERROR(__xludf.DUMMYFUNCTION("""COMPUTED_VALUE"""),0.0)</f>
        <v>0</v>
      </c>
    </row>
  </sheetData>
  <hyperlinks>
    <hyperlink r:id="rId1" ref="E3"/>
    <hyperlink r:id="rId2" ref="BD3"/>
    <hyperlink r:id="rId3" ref="BE3"/>
    <hyperlink r:id="rId4" ref="E4"/>
    <hyperlink r:id="rId5" ref="BD4"/>
    <hyperlink r:id="rId6" ref="BE4"/>
    <hyperlink r:id="rId7" ref="E5"/>
    <hyperlink r:id="rId8" ref="BE5"/>
    <hyperlink r:id="rId9" ref="E6"/>
    <hyperlink r:id="rId10" ref="BD6"/>
    <hyperlink r:id="rId11" ref="BE6"/>
    <hyperlink r:id="rId12" ref="E7"/>
    <hyperlink r:id="rId13" ref="BD7"/>
    <hyperlink r:id="rId14" ref="BE7"/>
    <hyperlink r:id="rId15" ref="E8"/>
    <hyperlink r:id="rId16" ref="BD8"/>
    <hyperlink r:id="rId17" ref="BE8"/>
    <hyperlink r:id="rId18" ref="E9"/>
    <hyperlink r:id="rId19" ref="BD9"/>
    <hyperlink r:id="rId20" ref="BE9"/>
    <hyperlink r:id="rId21" ref="E10"/>
    <hyperlink r:id="rId22" ref="BD10"/>
    <hyperlink r:id="rId23" ref="BE10"/>
    <hyperlink r:id="rId24" ref="E11"/>
    <hyperlink r:id="rId25" ref="BD11"/>
    <hyperlink r:id="rId26" ref="BE11"/>
    <hyperlink r:id="rId27" ref="E12"/>
    <hyperlink r:id="rId28" ref="BD12"/>
    <hyperlink r:id="rId29" ref="BE12"/>
    <hyperlink r:id="rId30" ref="E13"/>
    <hyperlink r:id="rId31" ref="BD13"/>
    <hyperlink r:id="rId32" ref="BE13"/>
    <hyperlink r:id="rId33" ref="E14"/>
    <hyperlink r:id="rId34" ref="BD14"/>
    <hyperlink r:id="rId35" ref="BE14"/>
    <hyperlink r:id="rId36" ref="E15"/>
    <hyperlink r:id="rId37" ref="BD15"/>
    <hyperlink r:id="rId38" ref="BE15"/>
    <hyperlink r:id="rId39" ref="E16"/>
    <hyperlink r:id="rId40" ref="BD16"/>
    <hyperlink r:id="rId41" ref="BE16"/>
    <hyperlink r:id="rId42" ref="E17"/>
    <hyperlink r:id="rId43" ref="BD17"/>
    <hyperlink r:id="rId44" ref="BE17"/>
    <hyperlink r:id="rId45" ref="E18"/>
    <hyperlink r:id="rId46" ref="BD18"/>
    <hyperlink r:id="rId47" ref="BE18"/>
    <hyperlink r:id="rId48" ref="E19"/>
    <hyperlink r:id="rId49" ref="BD19"/>
    <hyperlink r:id="rId50" ref="BE19"/>
    <hyperlink r:id="rId51" ref="E20"/>
    <hyperlink r:id="rId52" ref="BE20"/>
    <hyperlink r:id="rId53" ref="BF20"/>
    <hyperlink r:id="rId54" ref="BG20"/>
  </hyperlinks>
  <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V1" s="1" t="s">
        <v>1</v>
      </c>
      <c r="AD1" s="1" t="s">
        <v>2</v>
      </c>
      <c r="AS1" s="1" t="s">
        <v>3</v>
      </c>
      <c r="BI1" s="2">
        <f>COUNTIFS(BI$3:BI1000,"&gt;0",BJ$3:BJ1000,"&gt;1",E$3:E1000,"&lt;&gt;""")</f>
        <v>0</v>
      </c>
    </row>
    <row r="2">
      <c r="A2" s="1" t="str">
        <f>IFERROR(__xludf.DUMMYFUNCTION("IFERROR(
{IMPORTRANGE('Ссылки'!B4,""2 Освещение - Уличное!A2:BK2"");
FILTER(
IMPORTRANGE('Ссылки'!B4,""2 Освещение - Уличное!A3:BK""),
(IFERROR(--IMPORTRANGE('Ссылки'!B4,""2 Освещение - Уличное!BI3:BI""))&gt;0)
*
(IFERROR(--IMPORTRANGE('Ссылки'!B4,""2 Освеще"&amp;"ние - Уличное!BJ3:BJ""))&gt;1)
*
(IFERROR(--IMPORTRANGE('Ссылки'!B4,""2 Освещение - Уличное!BK3:BK""))=0)
*
(IMPORTRANGE('Ссылки'!B4,""2 Освещение - Уличное!E3:E"")&lt;&gt;"""")
)
}
)"),"")</f>
        <v/>
      </c>
      <c r="BL2" s="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2">
      <c r="A2" s="2" t="str">
        <f>IFERROR(__xludf.DUMMYFUNCTION("IFERROR(
{IMPORTRANGE('Ссылки'!B4,""4 Комплектующие - Лампочки!A2:BK2"");
FILTER(
IMPORTRANGE('Ссылки'!B4,""4 Комплектующие - Лампочки!A3:BK""),
(IFERROR(--IMPORTRANGE('Ссылки'!B4,""4 Комплектующие - Лампочки!BI3:BI""))&gt;0)
*
(IFERROR(--IMPORTRANGE('Ссылки"&amp;"'!B4,""4 Комплектующие - Лампочки!BJ3:BJ""))&gt;1)
*
(IFERROR(--IMPORTRANGE('Ссылки'!B4,""4 Комплектующие - Лампочки!BK3:BK""))=0)
*
(IMPORTRANGE('Ссылки'!B4,""4 Комплектующие - Лампочки!E3:E"")&lt;&gt;"""")
)
}
)"),"")</f>
        <v/>
      </c>
      <c r="O2" s="3"/>
      <c r="T2" s="3"/>
      <c r="V2" s="3"/>
      <c r="W2" s="3"/>
      <c r="X2" s="3"/>
      <c r="Y2" s="3"/>
      <c r="Z2" s="3"/>
      <c r="AA2" s="3"/>
      <c r="AF2" s="3"/>
      <c r="AG2" s="3"/>
      <c r="AI2" s="3"/>
      <c r="AJ2" s="3"/>
      <c r="AK2" s="3"/>
      <c r="AM2" s="3"/>
      <c r="AN2" s="3"/>
      <c r="AO2" s="3"/>
      <c r="AP2" s="3"/>
      <c r="AQ2" s="3"/>
      <c r="BL2" s="2">
        <f>MAX(BL3:BL994)</f>
        <v>0</v>
      </c>
    </row>
    <row r="3">
      <c r="BL3" s="2">
        <f t="shared" ref="BL3:BL126" si="1">COUNTA(A3:BH3)</f>
        <v>0</v>
      </c>
    </row>
    <row r="4">
      <c r="BL4" s="2">
        <f t="shared" si="1"/>
        <v>0</v>
      </c>
    </row>
    <row r="5">
      <c r="BL5" s="2">
        <f t="shared" si="1"/>
        <v>0</v>
      </c>
    </row>
    <row r="6">
      <c r="BL6" s="2">
        <f t="shared" si="1"/>
        <v>0</v>
      </c>
    </row>
    <row r="7">
      <c r="BL7" s="2">
        <f t="shared" si="1"/>
        <v>0</v>
      </c>
    </row>
    <row r="8">
      <c r="BL8" s="2">
        <f t="shared" si="1"/>
        <v>0</v>
      </c>
    </row>
    <row r="9">
      <c r="BL9" s="2">
        <f t="shared" si="1"/>
        <v>0</v>
      </c>
    </row>
    <row r="10">
      <c r="BL10" s="2">
        <f t="shared" si="1"/>
        <v>0</v>
      </c>
    </row>
    <row r="11">
      <c r="BL11" s="2">
        <f t="shared" si="1"/>
        <v>0</v>
      </c>
    </row>
    <row r="12">
      <c r="BL12" s="2">
        <f t="shared" si="1"/>
        <v>0</v>
      </c>
    </row>
    <row r="13">
      <c r="BL13" s="2">
        <f t="shared" si="1"/>
        <v>0</v>
      </c>
    </row>
    <row r="14">
      <c r="BL14" s="2">
        <f t="shared" si="1"/>
        <v>0</v>
      </c>
    </row>
    <row r="15">
      <c r="BL15" s="2">
        <f t="shared" si="1"/>
        <v>0</v>
      </c>
    </row>
    <row r="16">
      <c r="BL16" s="2">
        <f t="shared" si="1"/>
        <v>0</v>
      </c>
    </row>
    <row r="17">
      <c r="BL17" s="2">
        <f t="shared" si="1"/>
        <v>0</v>
      </c>
    </row>
    <row r="18">
      <c r="BL18" s="2">
        <f t="shared" si="1"/>
        <v>0</v>
      </c>
    </row>
    <row r="19">
      <c r="BL19" s="2">
        <f t="shared" si="1"/>
        <v>0</v>
      </c>
    </row>
    <row r="20">
      <c r="BL20" s="2">
        <f t="shared" si="1"/>
        <v>0</v>
      </c>
    </row>
    <row r="21">
      <c r="BL21" s="2">
        <f t="shared" si="1"/>
        <v>0</v>
      </c>
    </row>
    <row r="22">
      <c r="BL22" s="2">
        <f t="shared" si="1"/>
        <v>0</v>
      </c>
    </row>
    <row r="23">
      <c r="BL23" s="2">
        <f t="shared" si="1"/>
        <v>0</v>
      </c>
    </row>
    <row r="24">
      <c r="BL24" s="2">
        <f t="shared" si="1"/>
        <v>0</v>
      </c>
    </row>
    <row r="25">
      <c r="BL25" s="2">
        <f t="shared" si="1"/>
        <v>0</v>
      </c>
    </row>
    <row r="26">
      <c r="BL26" s="2">
        <f t="shared" si="1"/>
        <v>0</v>
      </c>
    </row>
    <row r="27">
      <c r="BL27" s="2">
        <f t="shared" si="1"/>
        <v>0</v>
      </c>
    </row>
    <row r="28">
      <c r="BL28" s="2">
        <f t="shared" si="1"/>
        <v>0</v>
      </c>
    </row>
    <row r="29">
      <c r="BL29" s="2">
        <f t="shared" si="1"/>
        <v>0</v>
      </c>
    </row>
    <row r="30">
      <c r="BL30" s="2">
        <f t="shared" si="1"/>
        <v>0</v>
      </c>
    </row>
    <row r="31">
      <c r="BL31" s="2">
        <f t="shared" si="1"/>
        <v>0</v>
      </c>
    </row>
    <row r="32">
      <c r="BL32" s="2">
        <f t="shared" si="1"/>
        <v>0</v>
      </c>
    </row>
    <row r="33">
      <c r="BL33" s="2">
        <f t="shared" si="1"/>
        <v>0</v>
      </c>
    </row>
    <row r="34">
      <c r="BL34" s="2">
        <f t="shared" si="1"/>
        <v>0</v>
      </c>
    </row>
    <row r="35">
      <c r="BL35" s="2">
        <f t="shared" si="1"/>
        <v>0</v>
      </c>
    </row>
    <row r="36">
      <c r="BL36" s="2">
        <f t="shared" si="1"/>
        <v>0</v>
      </c>
    </row>
    <row r="37">
      <c r="BL37" s="2">
        <f t="shared" si="1"/>
        <v>0</v>
      </c>
    </row>
    <row r="38">
      <c r="BL38" s="2">
        <f t="shared" si="1"/>
        <v>0</v>
      </c>
    </row>
    <row r="39">
      <c r="BL39" s="2">
        <f t="shared" si="1"/>
        <v>0</v>
      </c>
    </row>
    <row r="40">
      <c r="BL40" s="2">
        <f t="shared" si="1"/>
        <v>0</v>
      </c>
    </row>
    <row r="41">
      <c r="BL41" s="2">
        <f t="shared" si="1"/>
        <v>0</v>
      </c>
    </row>
    <row r="42">
      <c r="BL42" s="2">
        <f t="shared" si="1"/>
        <v>0</v>
      </c>
    </row>
    <row r="43">
      <c r="BL43" s="2">
        <f t="shared" si="1"/>
        <v>0</v>
      </c>
    </row>
    <row r="44">
      <c r="BL44" s="2">
        <f t="shared" si="1"/>
        <v>0</v>
      </c>
    </row>
    <row r="45">
      <c r="BL45" s="2">
        <f t="shared" si="1"/>
        <v>0</v>
      </c>
    </row>
    <row r="46">
      <c r="BL46" s="2">
        <f t="shared" si="1"/>
        <v>0</v>
      </c>
    </row>
    <row r="47">
      <c r="BL47" s="2">
        <f t="shared" si="1"/>
        <v>0</v>
      </c>
    </row>
    <row r="48">
      <c r="BL48" s="2">
        <f t="shared" si="1"/>
        <v>0</v>
      </c>
    </row>
    <row r="49">
      <c r="BL49" s="2">
        <f t="shared" si="1"/>
        <v>0</v>
      </c>
    </row>
    <row r="50">
      <c r="BL50" s="2">
        <f t="shared" si="1"/>
        <v>0</v>
      </c>
    </row>
    <row r="51">
      <c r="BL51" s="2">
        <f t="shared" si="1"/>
        <v>0</v>
      </c>
    </row>
    <row r="52">
      <c r="BL52" s="2">
        <f t="shared" si="1"/>
        <v>0</v>
      </c>
    </row>
    <row r="53">
      <c r="BL53" s="2">
        <f t="shared" si="1"/>
        <v>0</v>
      </c>
    </row>
    <row r="54">
      <c r="BL54" s="2">
        <f t="shared" si="1"/>
        <v>0</v>
      </c>
    </row>
    <row r="55">
      <c r="BL55" s="2">
        <f t="shared" si="1"/>
        <v>0</v>
      </c>
    </row>
    <row r="56">
      <c r="BL56" s="2">
        <f t="shared" si="1"/>
        <v>0</v>
      </c>
    </row>
    <row r="57">
      <c r="BL57" s="2">
        <f t="shared" si="1"/>
        <v>0</v>
      </c>
    </row>
    <row r="58">
      <c r="BL58" s="2">
        <f t="shared" si="1"/>
        <v>0</v>
      </c>
    </row>
    <row r="59">
      <c r="BL59" s="2">
        <f t="shared" si="1"/>
        <v>0</v>
      </c>
    </row>
    <row r="60">
      <c r="BL60" s="2">
        <f t="shared" si="1"/>
        <v>0</v>
      </c>
    </row>
    <row r="61">
      <c r="BL61" s="2">
        <f t="shared" si="1"/>
        <v>0</v>
      </c>
    </row>
    <row r="62">
      <c r="BL62" s="2">
        <f t="shared" si="1"/>
        <v>0</v>
      </c>
    </row>
    <row r="63">
      <c r="BL63" s="2">
        <f t="shared" si="1"/>
        <v>0</v>
      </c>
    </row>
    <row r="64">
      <c r="BL64" s="2">
        <f t="shared" si="1"/>
        <v>0</v>
      </c>
    </row>
    <row r="65">
      <c r="BL65" s="2">
        <f t="shared" si="1"/>
        <v>0</v>
      </c>
    </row>
    <row r="66">
      <c r="BL66" s="2">
        <f t="shared" si="1"/>
        <v>0</v>
      </c>
    </row>
    <row r="67">
      <c r="BL67" s="2">
        <f t="shared" si="1"/>
        <v>0</v>
      </c>
    </row>
    <row r="68">
      <c r="BL68" s="2">
        <f t="shared" si="1"/>
        <v>0</v>
      </c>
    </row>
    <row r="69">
      <c r="BL69" s="2">
        <f t="shared" si="1"/>
        <v>0</v>
      </c>
    </row>
    <row r="70">
      <c r="BL70" s="2">
        <f t="shared" si="1"/>
        <v>0</v>
      </c>
    </row>
    <row r="71">
      <c r="BL71" s="2">
        <f t="shared" si="1"/>
        <v>0</v>
      </c>
    </row>
    <row r="72">
      <c r="BL72" s="2">
        <f t="shared" si="1"/>
        <v>0</v>
      </c>
    </row>
    <row r="73">
      <c r="BL73" s="2">
        <f t="shared" si="1"/>
        <v>0</v>
      </c>
    </row>
    <row r="74">
      <c r="BL74" s="2">
        <f t="shared" si="1"/>
        <v>0</v>
      </c>
    </row>
    <row r="75">
      <c r="BL75" s="2">
        <f t="shared" si="1"/>
        <v>0</v>
      </c>
    </row>
    <row r="76">
      <c r="BL76" s="2">
        <f t="shared" si="1"/>
        <v>0</v>
      </c>
    </row>
    <row r="77">
      <c r="BL77" s="2">
        <f t="shared" si="1"/>
        <v>0</v>
      </c>
    </row>
    <row r="78">
      <c r="BL78" s="2">
        <f t="shared" si="1"/>
        <v>0</v>
      </c>
    </row>
    <row r="79">
      <c r="BL79" s="2">
        <f t="shared" si="1"/>
        <v>0</v>
      </c>
    </row>
    <row r="80">
      <c r="BL80" s="2">
        <f t="shared" si="1"/>
        <v>0</v>
      </c>
    </row>
    <row r="81">
      <c r="BL81" s="2">
        <f t="shared" si="1"/>
        <v>0</v>
      </c>
    </row>
    <row r="82">
      <c r="BL82" s="2">
        <f t="shared" si="1"/>
        <v>0</v>
      </c>
    </row>
    <row r="83">
      <c r="BL83" s="2">
        <f t="shared" si="1"/>
        <v>0</v>
      </c>
    </row>
    <row r="84">
      <c r="BL84" s="2">
        <f t="shared" si="1"/>
        <v>0</v>
      </c>
    </row>
    <row r="85">
      <c r="BL85" s="2">
        <f t="shared" si="1"/>
        <v>0</v>
      </c>
    </row>
    <row r="86">
      <c r="BL86" s="2">
        <f t="shared" si="1"/>
        <v>0</v>
      </c>
    </row>
    <row r="87">
      <c r="BL87" s="2">
        <f t="shared" si="1"/>
        <v>0</v>
      </c>
    </row>
    <row r="88">
      <c r="BL88" s="2">
        <f t="shared" si="1"/>
        <v>0</v>
      </c>
    </row>
    <row r="89">
      <c r="BL89" s="2">
        <f t="shared" si="1"/>
        <v>0</v>
      </c>
    </row>
    <row r="90">
      <c r="BL90" s="2">
        <f t="shared" si="1"/>
        <v>0</v>
      </c>
    </row>
    <row r="91">
      <c r="BL91" s="2">
        <f t="shared" si="1"/>
        <v>0</v>
      </c>
    </row>
    <row r="92">
      <c r="BL92" s="2">
        <f t="shared" si="1"/>
        <v>0</v>
      </c>
    </row>
    <row r="93">
      <c r="BL93" s="2">
        <f t="shared" si="1"/>
        <v>0</v>
      </c>
    </row>
    <row r="94">
      <c r="BL94" s="2">
        <f t="shared" si="1"/>
        <v>0</v>
      </c>
    </row>
    <row r="95">
      <c r="BL95" s="2">
        <f t="shared" si="1"/>
        <v>0</v>
      </c>
    </row>
    <row r="96">
      <c r="BL96" s="2">
        <f t="shared" si="1"/>
        <v>0</v>
      </c>
    </row>
    <row r="97">
      <c r="BL97" s="2">
        <f t="shared" si="1"/>
        <v>0</v>
      </c>
    </row>
    <row r="98">
      <c r="BL98" s="2">
        <f t="shared" si="1"/>
        <v>0</v>
      </c>
    </row>
    <row r="99">
      <c r="BL99" s="2">
        <f t="shared" si="1"/>
        <v>0</v>
      </c>
    </row>
    <row r="100">
      <c r="BL100" s="2">
        <f t="shared" si="1"/>
        <v>0</v>
      </c>
    </row>
    <row r="101">
      <c r="BL101" s="2">
        <f t="shared" si="1"/>
        <v>0</v>
      </c>
    </row>
    <row r="102">
      <c r="BL102" s="2">
        <f t="shared" si="1"/>
        <v>0</v>
      </c>
    </row>
    <row r="103">
      <c r="BL103" s="2">
        <f t="shared" si="1"/>
        <v>0</v>
      </c>
    </row>
    <row r="104">
      <c r="BL104" s="2">
        <f t="shared" si="1"/>
        <v>0</v>
      </c>
    </row>
    <row r="105">
      <c r="BL105" s="2">
        <f t="shared" si="1"/>
        <v>0</v>
      </c>
    </row>
    <row r="106">
      <c r="BL106" s="2">
        <f t="shared" si="1"/>
        <v>0</v>
      </c>
    </row>
    <row r="107">
      <c r="BL107" s="2">
        <f t="shared" si="1"/>
        <v>0</v>
      </c>
    </row>
    <row r="108">
      <c r="BL108" s="2">
        <f t="shared" si="1"/>
        <v>0</v>
      </c>
    </row>
    <row r="109">
      <c r="BL109" s="2">
        <f t="shared" si="1"/>
        <v>0</v>
      </c>
    </row>
    <row r="110">
      <c r="BL110" s="2">
        <f t="shared" si="1"/>
        <v>0</v>
      </c>
    </row>
    <row r="111">
      <c r="BL111" s="2">
        <f t="shared" si="1"/>
        <v>0</v>
      </c>
    </row>
    <row r="112">
      <c r="BL112" s="2">
        <f t="shared" si="1"/>
        <v>0</v>
      </c>
    </row>
    <row r="113">
      <c r="BL113" s="2">
        <f t="shared" si="1"/>
        <v>0</v>
      </c>
    </row>
    <row r="114">
      <c r="BL114" s="2">
        <f t="shared" si="1"/>
        <v>0</v>
      </c>
    </row>
    <row r="115">
      <c r="BL115" s="2">
        <f t="shared" si="1"/>
        <v>0</v>
      </c>
    </row>
    <row r="116">
      <c r="BL116" s="2">
        <f t="shared" si="1"/>
        <v>0</v>
      </c>
    </row>
    <row r="117">
      <c r="BL117" s="2">
        <f t="shared" si="1"/>
        <v>0</v>
      </c>
    </row>
    <row r="118">
      <c r="BL118" s="2">
        <f t="shared" si="1"/>
        <v>0</v>
      </c>
    </row>
    <row r="119">
      <c r="BL119" s="2">
        <f t="shared" si="1"/>
        <v>0</v>
      </c>
    </row>
    <row r="120">
      <c r="BL120" s="2">
        <f t="shared" si="1"/>
        <v>0</v>
      </c>
    </row>
    <row r="121">
      <c r="BL121" s="2">
        <f t="shared" si="1"/>
        <v>0</v>
      </c>
    </row>
    <row r="122">
      <c r="BL122" s="2">
        <f t="shared" si="1"/>
        <v>0</v>
      </c>
    </row>
    <row r="123">
      <c r="BL123" s="2">
        <f t="shared" si="1"/>
        <v>0</v>
      </c>
    </row>
    <row r="124">
      <c r="BL124" s="2">
        <f t="shared" si="1"/>
        <v>0</v>
      </c>
    </row>
    <row r="125">
      <c r="BL125" s="2">
        <f t="shared" si="1"/>
        <v>0</v>
      </c>
    </row>
    <row r="126">
      <c r="BL126" s="2">
        <f t="shared" si="1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IFERROR(__xludf.DUMMYFUNCTION("IMPORTRANGE('Ссылки'!B2,""Лист1!A:M"")"),"Отчёт о товарах 23.10.2026 Stock")</f>
        <v>Отчёт о товарах 23.10.2026 Stock</v>
      </c>
      <c r="B1" s="5"/>
      <c r="C1" s="2"/>
      <c r="D1" s="5"/>
      <c r="E1" s="5"/>
      <c r="F1" s="2"/>
      <c r="G1" s="5"/>
      <c r="H1" s="5"/>
      <c r="I1" s="2"/>
      <c r="J1" s="5"/>
      <c r="K1" s="5"/>
      <c r="L1" s="2"/>
      <c r="M1" s="5"/>
    </row>
    <row r="2">
      <c r="A2" s="5" t="str">
        <f>IFERROR(__xludf.DUMMYFUNCTION("""COMPUTED_VALUE"""),"Артикул")</f>
        <v>Артикул</v>
      </c>
      <c r="B2" s="5" t="str">
        <f>IFERROR(__xludf.DUMMYFUNCTION("""COMPUTED_VALUE"""),"Раб. наименование")</f>
        <v>Раб. наименование</v>
      </c>
      <c r="C2" s="2" t="str">
        <f>IFERROR(__xludf.DUMMYFUNCTION("""COMPUTED_VALUE"""),"Масса ед")</f>
        <v>Масса ед</v>
      </c>
      <c r="D2" s="2" t="str">
        <f>IFERROR(__xludf.DUMMYFUNCTION("""COMPUTED_VALUE"""),"Объем ед")</f>
        <v>Объем ед</v>
      </c>
      <c r="E2" s="2" t="str">
        <f>IFERROR(__xludf.DUMMYFUNCTION("""COMPUTED_VALUE"""),"Прайс-Лист Закупок по Умолчанию")</f>
        <v>Прайс-Лист Закупок по Умолчанию</v>
      </c>
      <c r="F2" s="2" t="str">
        <f>IFERROR(__xludf.DUMMYFUNCTION("""COMPUTED_VALUE"""),"Дилерский Р1 прайс-лист")</f>
        <v>Дилерский Р1 прайс-лист</v>
      </c>
      <c r="G2" s="2" t="str">
        <f>IFERROR(__xludf.DUMMYFUNCTION("""COMPUTED_VALUE"""),"МРЦ прайс-лист")</f>
        <v>МРЦ прайс-лист</v>
      </c>
      <c r="H2" s="2" t="str">
        <f>IFERROR(__xludf.DUMMYFUNCTION("""COMPUTED_VALUE"""),"Оптовый прайс-лист")</f>
        <v>Оптовый прайс-лист</v>
      </c>
      <c r="I2" s="2" t="str">
        <f>IFERROR(__xludf.DUMMYFUNCTION("""COMPUTED_VALUE"""),"Розничный прайс-лист")</f>
        <v>Розничный прайс-лист</v>
      </c>
      <c r="J2" s="2" t="str">
        <f>IFERROR(__xludf.DUMMYFUNCTION("""COMPUTED_VALUE"""),"Прайс-лист распродажи")</f>
        <v>Прайс-лист распродажи</v>
      </c>
      <c r="K2" s="2" t="str">
        <f>IFERROR(__xludf.DUMMYFUNCTION("""COMPUTED_VALUE"""),"Кол-во свободно")</f>
        <v>Кол-во свободно</v>
      </c>
      <c r="L2" s="2" t="str">
        <f>IFERROR(__xludf.DUMMYFUNCTION("""COMPUTED_VALUE"""),"Внутр категория")</f>
        <v>Внутр категория</v>
      </c>
      <c r="M2" s="2" t="str">
        <f>IFERROR(__xludf.DUMMYFUNCTION("""COMPUTED_VALUE"""),"Открытая категория")</f>
        <v>Открытая категория</v>
      </c>
    </row>
    <row r="3">
      <c r="A3" s="5" t="str">
        <f>IFERROR(__xludf.DUMMYFUNCTION("""COMPUTED_VALUE"""),"4690612035413")</f>
        <v>4690612035413</v>
      </c>
      <c r="B3" s="5" t="str">
        <f>IFERROR(__xludf.DUMMYFUNCTION("""COMPUTED_VALUE"""),"ELEGANT ARIS-B 90Вт 230В 3000-6500K 7000Лм 590х590х130мм c пультом ДУ черный IN HOME")</f>
        <v>ELEGANT ARIS-B 90Вт 230В 3000-6500K 7000Лм 590х590х130мм c пультом ДУ черный IN HOME</v>
      </c>
      <c r="C3" s="2">
        <f>IFERROR(__xludf.DUMMYFUNCTION("""COMPUTED_VALUE"""),2.24)</f>
        <v>2.24</v>
      </c>
      <c r="D3" s="2">
        <f>IFERROR(__xludf.DUMMYFUNCTION("""COMPUTED_VALUE"""),0.012)</f>
        <v>0.012</v>
      </c>
      <c r="E3" s="2">
        <f>IFERROR(__xludf.DUMMYFUNCTION("""COMPUTED_VALUE"""),3156.14)</f>
        <v>3156.14</v>
      </c>
      <c r="F3" s="2">
        <f>IFERROR(__xludf.DUMMYFUNCTION("""COMPUTED_VALUE"""),2482.0)</f>
        <v>2482</v>
      </c>
      <c r="G3" s="2">
        <f>IFERROR(__xludf.DUMMYFUNCTION("""COMPUTED_VALUE"""),2792.0)</f>
        <v>2792</v>
      </c>
      <c r="H3" s="2">
        <f>IFERROR(__xludf.DUMMYFUNCTION("""COMPUTED_VALUE"""),3239.0)</f>
        <v>3239</v>
      </c>
      <c r="I3" s="2">
        <f>IFERROR(__xludf.DUMMYFUNCTION("""COMPUTED_VALUE"""),3723.0)</f>
        <v>3723</v>
      </c>
      <c r="J3" s="2">
        <f>IFERROR(__xludf.DUMMYFUNCTION("""COMPUTED_VALUE"""),1862.0)</f>
        <v>1862</v>
      </c>
      <c r="K3" s="2">
        <f>IFERROR(__xludf.DUMMYFUNCTION("""COMPUTED_VALUE"""),2.0)</f>
        <v>2</v>
      </c>
      <c r="L3" s="2" t="str">
        <f>IFERROR(__xludf.DUMMYFUNCTION("""COMPUTED_VALUE"""),"Светильники светодиодные серии ELEGANT IN HOME")</f>
        <v>Светильники светодиодные серии ELEGANT IN HOME</v>
      </c>
      <c r="M3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4">
      <c r="A4" s="5" t="str">
        <f>IFERROR(__xludf.DUMMYFUNCTION("""COMPUTED_VALUE"""),"GL8290")</f>
        <v>GL8290</v>
      </c>
      <c r="B4" s="5" t="str">
        <f>IFERROR(__xludf.DUMMYFUNCTION("""COMPUTED_VALUE"""),"GLERIO Line Ultra 48 Вт 4000К 94P-48D-4N-M")</f>
        <v>GLERIO Line Ultra 48 Вт 4000К 94P-48D-4N-M</v>
      </c>
      <c r="C4" s="2">
        <f>IFERROR(__xludf.DUMMYFUNCTION("""COMPUTED_VALUE"""),0.7200000000000001)</f>
        <v>0.72</v>
      </c>
      <c r="D4" s="2">
        <f>IFERROR(__xludf.DUMMYFUNCTION("""COMPUTED_VALUE"""),0.00485)</f>
        <v>0.00485</v>
      </c>
      <c r="E4" s="2">
        <f>IFERROR(__xludf.DUMMYFUNCTION("""COMPUTED_VALUE"""),2475.31)</f>
        <v>2475.31</v>
      </c>
      <c r="F4" s="2">
        <f>IFERROR(__xludf.DUMMYFUNCTION("""COMPUTED_VALUE"""),3060.0)</f>
        <v>3060</v>
      </c>
      <c r="G4" s="2">
        <f>IFERROR(__xludf.DUMMYFUNCTION("""COMPUTED_VALUE"""),3853.0)</f>
        <v>3853</v>
      </c>
      <c r="H4" s="2">
        <f>IFERROR(__xludf.DUMMYFUNCTION("""COMPUTED_VALUE"""),4327.0)</f>
        <v>4327</v>
      </c>
      <c r="I4" s="2">
        <f>IFERROR(__xludf.DUMMYFUNCTION("""COMPUTED_VALUE"""),4801.0)</f>
        <v>4801</v>
      </c>
      <c r="J4" s="2">
        <f>IFERROR(__xludf.DUMMYFUNCTION("""COMPUTED_VALUE"""),3853.0)</f>
        <v>3853</v>
      </c>
      <c r="K4" s="2">
        <f>IFERROR(__xludf.DUMMYFUNCTION("""COMPUTED_VALUE"""),7.0)</f>
        <v>7</v>
      </c>
      <c r="L4" s="2" t="str">
        <f>IFERROR(__xludf.DUMMYFUNCTION("""COMPUTED_VALUE"""),"Line Ultra (Сеть) до 10.2025")</f>
        <v>Line Ultra (Сеть) до 10.2025</v>
      </c>
      <c r="M4" s="2" t="str">
        <f>IFERROR(__xludf.DUMMYFUNCTION("""COMPUTED_VALUE"""),"Пластиковые (линейные), LED Светильники")</f>
        <v>Пластиковые (линейные), LED Светильники</v>
      </c>
    </row>
    <row r="5">
      <c r="A5" s="5" t="str">
        <f>IFERROR(__xludf.DUMMYFUNCTION("""COMPUTED_VALUE"""),"4690612053011-2")</f>
        <v>4690612053011-2</v>
      </c>
      <c r="B5" s="5" t="str">
        <f>IFERROR(__xludf.DUMMYFUNCTION("""COMPUTED_VALUE"""),"ДВО-02-EMERGENCY 3640-ПРИЗМА 36Вт 4000К 595х595х19 NEOX без БАП-10W90 (2 шт в упак.)")</f>
        <v>ДВО-02-EMERGENCY 3640-ПРИЗМА 36Вт 4000К 595х595х19 NEOX без БАП-10W90 (2 шт в упак.)</v>
      </c>
      <c r="C5" s="2">
        <f>IFERROR(__xludf.DUMMYFUNCTION("""COMPUTED_VALUE"""),1.38)</f>
        <v>1.38</v>
      </c>
      <c r="D5" s="2">
        <f>IFERROR(__xludf.DUMMYFUNCTION("""COMPUTED_VALUE"""),0.0)</f>
        <v>0</v>
      </c>
      <c r="E5" s="2">
        <f>IFERROR(__xludf.DUMMYFUNCTION("""COMPUTED_VALUE"""),1099.56)</f>
        <v>1099.56</v>
      </c>
      <c r="F5" s="2">
        <f>IFERROR(__xludf.DUMMYFUNCTION("""COMPUTED_VALUE"""),1206.0)</f>
        <v>1206</v>
      </c>
      <c r="G5" s="2">
        <f>IFERROR(__xludf.DUMMYFUNCTION("""COMPUTED_VALUE"""),1583.0)</f>
        <v>1583</v>
      </c>
      <c r="H5" s="2">
        <f>IFERROR(__xludf.DUMMYFUNCTION("""COMPUTED_VALUE"""),1781.0)</f>
        <v>1781</v>
      </c>
      <c r="I5" s="2">
        <f>IFERROR(__xludf.DUMMYFUNCTION("""COMPUTED_VALUE"""),1979.0)</f>
        <v>1979</v>
      </c>
      <c r="J5" s="2">
        <f>IFERROR(__xludf.DUMMYFUNCTION("""COMPUTED_VALUE"""),990.0)</f>
        <v>990</v>
      </c>
      <c r="K5" s="2">
        <f>IFERROR(__xludf.DUMMYFUNCTION("""COMPUTED_VALUE"""),4.0)</f>
        <v>4</v>
      </c>
      <c r="L5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5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6">
      <c r="A6" s="5" t="str">
        <f>IFERROR(__xludf.DUMMYFUNCTION("""COMPUTED_VALUE"""),"4690612000879")</f>
        <v>4690612000879</v>
      </c>
      <c r="B6" s="5" t="str">
        <f>IFERROR(__xludf.DUMMYFUNCTION("""COMPUTED_VALUE"""),"LS50-RGB CС 20см")</f>
        <v>LS50-RGB CС 20см</v>
      </c>
      <c r="C6" s="2">
        <f>IFERROR(__xludf.DUMMYFUNCTION("""COMPUTED_VALUE"""),0.001)</f>
        <v>0.001</v>
      </c>
      <c r="D6" s="2">
        <f>IFERROR(__xludf.DUMMYFUNCTION("""COMPUTED_VALUE"""),1.0E-5)</f>
        <v>0.00001</v>
      </c>
      <c r="E6" s="2">
        <f>IFERROR(__xludf.DUMMYFUNCTION("""COMPUTED_VALUE"""),27.65)</f>
        <v>27.65</v>
      </c>
      <c r="F6" s="2">
        <f>IFERROR(__xludf.DUMMYFUNCTION("""COMPUTED_VALUE"""),30.0)</f>
        <v>30</v>
      </c>
      <c r="G6" s="2">
        <f>IFERROR(__xludf.DUMMYFUNCTION("""COMPUTED_VALUE"""),34.0)</f>
        <v>34</v>
      </c>
      <c r="H6" s="2">
        <f>IFERROR(__xludf.DUMMYFUNCTION("""COMPUTED_VALUE"""),39.0)</f>
        <v>39</v>
      </c>
      <c r="I6" s="2">
        <f>IFERROR(__xludf.DUMMYFUNCTION("""COMPUTED_VALUE"""),45.0)</f>
        <v>45</v>
      </c>
      <c r="J6" s="2">
        <f>IFERROR(__xludf.DUMMYFUNCTION("""COMPUTED_VALUE"""),23.0)</f>
        <v>23</v>
      </c>
      <c r="K6" s="2">
        <f>IFERROR(__xludf.DUMMYFUNCTION("""COMPUTED_VALUE"""),97.0)</f>
        <v>97</v>
      </c>
      <c r="L6" s="2" t="str">
        <f>IFERROR(__xludf.DUMMYFUNCTION("""COMPUTED_VALUE"""),"ASD Комплектующие")</f>
        <v>ASD Комплектующие</v>
      </c>
      <c r="M6" s="2" t="str">
        <f>IFERROR(__xludf.DUMMYFUNCTION("""COMPUTED_VALUE"""),"Прочие товары")</f>
        <v>Прочие товары</v>
      </c>
    </row>
    <row r="7">
      <c r="A7" s="5" t="str">
        <f>IFERROR(__xludf.DUMMYFUNCTION("""COMPUTED_VALUE"""),"4690612053028")</f>
        <v>4690612053028</v>
      </c>
      <c r="B7" s="5" t="str">
        <f>IFERROR(__xludf.DUMMYFUNCTION("""COMPUTED_VALUE"""),"ДВО-02-EMERGENCY 3665-ПРИЗМА 36Вт 6500К 595х595х19 NEOX без БАП-10W90")</f>
        <v>ДВО-02-EMERGENCY 3665-ПРИЗМА 36Вт 6500К 595х595х19 NEOX без БАП-10W90</v>
      </c>
      <c r="C7" s="2">
        <f>IFERROR(__xludf.DUMMYFUNCTION("""COMPUTED_VALUE"""),1.14)</f>
        <v>1.14</v>
      </c>
      <c r="D7" s="2">
        <f>IFERROR(__xludf.DUMMYFUNCTION("""COMPUTED_VALUE"""),0.008)</f>
        <v>0.008</v>
      </c>
      <c r="E7" s="2">
        <f>IFERROR(__xludf.DUMMYFUNCTION("""COMPUTED_VALUE"""),551.91)</f>
        <v>551.91</v>
      </c>
      <c r="F7" s="2">
        <f>IFERROR(__xludf.DUMMYFUNCTION("""COMPUTED_VALUE"""),644.0)</f>
        <v>644</v>
      </c>
      <c r="G7" s="2">
        <f>IFERROR(__xludf.DUMMYFUNCTION("""COMPUTED_VALUE"""),725.0)</f>
        <v>725</v>
      </c>
      <c r="H7" s="2">
        <f>IFERROR(__xludf.DUMMYFUNCTION("""COMPUTED_VALUE"""),840.0)</f>
        <v>840</v>
      </c>
      <c r="I7" s="2">
        <f>IFERROR(__xludf.DUMMYFUNCTION("""COMPUTED_VALUE"""),966.0)</f>
        <v>966</v>
      </c>
      <c r="J7" s="2">
        <f>IFERROR(__xludf.DUMMYFUNCTION("""COMPUTED_VALUE"""),483.0)</f>
        <v>483</v>
      </c>
      <c r="K7" s="2">
        <f>IFERROR(__xludf.DUMMYFUNCTION("""COMPUTED_VALUE"""),1.0)</f>
        <v>1</v>
      </c>
      <c r="L7" s="2" t="str">
        <f>IFERROR(__xludf.DUMMYFUNCTION("""COMPUTED_VALUE"""),"NEOX Светильники LED ДВО")</f>
        <v>NEOX Светильники LED ДВО</v>
      </c>
      <c r="M7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8">
      <c r="A8" s="5" t="str">
        <f>IFERROR(__xludf.DUMMYFUNCTION("""COMPUTED_VALUE"""),"4690612020792")</f>
        <v>4690612020792</v>
      </c>
      <c r="B8" s="5" t="str">
        <f>IFERROR(__xludf.DUMMYFUNCTION("""COMPUTED_VALUE"""),"LED-GX53-VC 12Вт 230В 4000К 1140Лм IN HOME")</f>
        <v>LED-GX53-VC 12Вт 230В 4000К 1140Лм IN HOME</v>
      </c>
      <c r="C8" s="2">
        <f>IFERROR(__xludf.DUMMYFUNCTION("""COMPUTED_VALUE"""),0.03800000000000001)</f>
        <v>0.038</v>
      </c>
      <c r="D8" s="2">
        <f>IFERROR(__xludf.DUMMYFUNCTION("""COMPUTED_VALUE"""),2.1E-4)</f>
        <v>0.00021</v>
      </c>
      <c r="E8" s="2">
        <f>IFERROR(__xludf.DUMMYFUNCTION("""COMPUTED_VALUE"""),47.09)</f>
        <v>47.09</v>
      </c>
      <c r="F8" s="2">
        <f>IFERROR(__xludf.DUMMYFUNCTION("""COMPUTED_VALUE"""),48.0)</f>
        <v>48</v>
      </c>
      <c r="G8" s="2">
        <f>IFERROR(__xludf.DUMMYFUNCTION("""COMPUTED_VALUE"""),54.0)</f>
        <v>54</v>
      </c>
      <c r="H8" s="2">
        <f>IFERROR(__xludf.DUMMYFUNCTION("""COMPUTED_VALUE"""),62.0)</f>
        <v>62</v>
      </c>
      <c r="I8" s="2">
        <f>IFERROR(__xludf.DUMMYFUNCTION("""COMPUTED_VALUE"""),71.9)</f>
        <v>71.9</v>
      </c>
      <c r="J8" s="2">
        <f>IFERROR(__xludf.DUMMYFUNCTION("""COMPUTED_VALUE"""),36.0)</f>
        <v>36</v>
      </c>
      <c r="K8" s="2">
        <f>IFERROR(__xludf.DUMMYFUNCTION("""COMPUTED_VALUE"""),1.0)</f>
        <v>1</v>
      </c>
      <c r="L8" s="2" t="str">
        <f>IFERROR(__xludf.DUMMYFUNCTION("""COMPUTED_VALUE"""),"Лампа светодиодная LED-GX53-standard")</f>
        <v>Лампа светодиодная LED-GX53-standard</v>
      </c>
      <c r="M8" s="2" t="str">
        <f>IFERROR(__xludf.DUMMYFUNCTION("""COMPUTED_VALUE"""),"Лампы")</f>
        <v>Лампы</v>
      </c>
    </row>
    <row r="9">
      <c r="A9" s="5" t="str">
        <f>IFERROR(__xludf.DUMMYFUNCTION("""COMPUTED_VALUE"""),"ves033")</f>
        <v>ves033</v>
      </c>
      <c r="B9" s="5" t="str">
        <f>IFERROR(__xludf.DUMMYFUNCTION("""COMPUTED_VALUE"""),"Светильник под лампу накаливания НСП 02-100-003")</f>
        <v>Светильник под лампу накаливания НСП 02-100-003</v>
      </c>
      <c r="C9" s="2">
        <f>IFERROR(__xludf.DUMMYFUNCTION("""COMPUTED_VALUE"""),0.0)</f>
        <v>0</v>
      </c>
      <c r="D9" s="2">
        <f>IFERROR(__xludf.DUMMYFUNCTION("""COMPUTED_VALUE"""),0.0)</f>
        <v>0</v>
      </c>
      <c r="E9" s="2">
        <f>IFERROR(__xludf.DUMMYFUNCTION("""COMPUTED_VALUE"""),335.03)</f>
        <v>335.03</v>
      </c>
      <c r="F9" s="2">
        <f>IFERROR(__xludf.DUMMYFUNCTION("""COMPUTED_VALUE"""),525.0)</f>
        <v>525</v>
      </c>
      <c r="G9" s="2">
        <f>IFERROR(__xludf.DUMMYFUNCTION("""COMPUTED_VALUE"""),560.0)</f>
        <v>560</v>
      </c>
      <c r="H9" s="2">
        <f>IFERROR(__xludf.DUMMYFUNCTION("""COMPUTED_VALUE"""),630.0)</f>
        <v>630</v>
      </c>
      <c r="I9" s="2">
        <f>IFERROR(__xludf.DUMMYFUNCTION("""COMPUTED_VALUE"""),700.0)</f>
        <v>700</v>
      </c>
      <c r="J9" s="2">
        <f>IFERROR(__xludf.DUMMYFUNCTION("""COMPUTED_VALUE"""),335.0)</f>
        <v>335</v>
      </c>
      <c r="K9" s="2">
        <f>IFERROR(__xludf.DUMMYFUNCTION("""COMPUTED_VALUE"""),30.0)</f>
        <v>30</v>
      </c>
      <c r="L9" s="2" t="str">
        <f>IFERROR(__xludf.DUMMYFUNCTION("""COMPUTED_VALUE"""),"ves")</f>
        <v>ves</v>
      </c>
      <c r="M9" s="2" t="str">
        <f>IFERROR(__xludf.DUMMYFUNCTION("""COMPUTED_VALUE"""),"LED Светильники")</f>
        <v>LED Светильники</v>
      </c>
    </row>
    <row r="10">
      <c r="A10" s="5" t="str">
        <f>IFERROR(__xludf.DUMMYFUNCTION("""COMPUTED_VALUE"""),"4690612037653-2")</f>
        <v>4690612037653-2</v>
      </c>
      <c r="B10" s="5" t="str">
        <f>IFERROR(__xludf.DUMMYFUNCTION("""COMPUTED_VALUE"""),"ДВО-02 4565-ПРИЗМА 45Вт 230В 6500К 4500Лм 100Лм/Вт 595х595х19 NEOX (2 шт в упак.)")</f>
        <v>ДВО-02 4565-ПРИЗМА 45Вт 230В 6500К 4500Лм 100Лм/Вт 595х595х19 NEOX (2 шт в упак.)</v>
      </c>
      <c r="C10" s="2">
        <f>IFERROR(__xludf.DUMMYFUNCTION("""COMPUTED_VALUE"""),1.24)</f>
        <v>1.24</v>
      </c>
      <c r="D10" s="2">
        <f>IFERROR(__xludf.DUMMYFUNCTION("""COMPUTED_VALUE"""),0.0)</f>
        <v>0</v>
      </c>
      <c r="E10" s="2">
        <f>IFERROR(__xludf.DUMMYFUNCTION("""COMPUTED_VALUE"""),1230.51)</f>
        <v>1230.51</v>
      </c>
      <c r="F10" s="2">
        <f>IFERROR(__xludf.DUMMYFUNCTION("""COMPUTED_VALUE"""),1350.0)</f>
        <v>1350</v>
      </c>
      <c r="G10" s="2">
        <f>IFERROR(__xludf.DUMMYFUNCTION("""COMPUTED_VALUE"""),1772.0)</f>
        <v>1772</v>
      </c>
      <c r="H10" s="2">
        <f>IFERROR(__xludf.DUMMYFUNCTION("""COMPUTED_VALUE"""),1994.0)</f>
        <v>1994</v>
      </c>
      <c r="I10" s="2">
        <f>IFERROR(__xludf.DUMMYFUNCTION("""COMPUTED_VALUE"""),2215.0)</f>
        <v>2215</v>
      </c>
      <c r="J10" s="2">
        <f>IFERROR(__xludf.DUMMYFUNCTION("""COMPUTED_VALUE"""),1108.0)</f>
        <v>1108</v>
      </c>
      <c r="K10" s="2">
        <f>IFERROR(__xludf.DUMMYFUNCTION("""COMPUTED_VALUE"""),12.0)</f>
        <v>12</v>
      </c>
      <c r="L10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10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11">
      <c r="A11" s="5" t="str">
        <f>IFERROR(__xludf.DUMMYFUNCTION("""COMPUTED_VALUE"""),"4690612062877")</f>
        <v>4690612062877</v>
      </c>
      <c r="B11" s="5" t="str">
        <f>IFERROR(__xludf.DUMMYFUNCTION("""COMPUTED_VALUE"""),"ГРИЛЬЯТО ДВО-02 G3640-ОПАЛ 36Вт 4000К IP40 588х588x19мм NEOX")</f>
        <v>ГРИЛЬЯТО ДВО-02 G3640-ОПАЛ 36Вт 4000К IP40 588х588x19мм NEOX</v>
      </c>
      <c r="C11" s="2">
        <f>IFERROR(__xludf.DUMMYFUNCTION("""COMPUTED_VALUE"""),1.1)</f>
        <v>1.1</v>
      </c>
      <c r="D11" s="2">
        <f>IFERROR(__xludf.DUMMYFUNCTION("""COMPUTED_VALUE"""),0.007500000000000001)</f>
        <v>0.0075</v>
      </c>
      <c r="E11" s="2">
        <f>IFERROR(__xludf.DUMMYFUNCTION("""COMPUTED_VALUE"""),600.14)</f>
        <v>600.14</v>
      </c>
      <c r="F11" s="2">
        <f>IFERROR(__xludf.DUMMYFUNCTION("""COMPUTED_VALUE"""),707.0)</f>
        <v>707</v>
      </c>
      <c r="G11" s="2">
        <f>IFERROR(__xludf.DUMMYFUNCTION("""COMPUTED_VALUE"""),796.0)</f>
        <v>796</v>
      </c>
      <c r="H11" s="2">
        <f>IFERROR(__xludf.DUMMYFUNCTION("""COMPUTED_VALUE"""),923.0)</f>
        <v>923</v>
      </c>
      <c r="I11" s="2">
        <f>IFERROR(__xludf.DUMMYFUNCTION("""COMPUTED_VALUE"""),1061.0)</f>
        <v>1061</v>
      </c>
      <c r="J11" s="2">
        <f>IFERROR(__xludf.DUMMYFUNCTION("""COMPUTED_VALUE"""),796.0)</f>
        <v>796</v>
      </c>
      <c r="K11" s="2">
        <f>IFERROR(__xludf.DUMMYFUNCTION("""COMPUTED_VALUE"""),2.0)</f>
        <v>2</v>
      </c>
      <c r="L11" s="2" t="str">
        <f>IFERROR(__xludf.DUMMYFUNCTION("""COMPUTED_VALUE"""),"NEOX Светильники LED ДВО")</f>
        <v>NEOX Светильники LED ДВО</v>
      </c>
      <c r="M11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12">
      <c r="A12" s="5" t="str">
        <f>IFERROR(__xludf.DUMMYFUNCTION("""COMPUTED_VALUE"""),"4690612029818")</f>
        <v>4690612029818</v>
      </c>
      <c r="B12" s="5" t="str">
        <f>IFERROR(__xludf.DUMMYFUNCTION("""COMPUTED_VALUE"""),"LPU-01 36Вт ПРИЗМА 230В 6500K 3420Лм 180х1195х19мм IP40 IN HOME")</f>
        <v>LPU-01 36Вт ПРИЗМА 230В 6500K 3420Лм 180х1195х19мм IP40 IN HOME</v>
      </c>
      <c r="C12" s="2">
        <f>IFERROR(__xludf.DUMMYFUNCTION("""COMPUTED_VALUE"""),1.2)</f>
        <v>1.2</v>
      </c>
      <c r="D12" s="2">
        <f>IFERROR(__xludf.DUMMYFUNCTION("""COMPUTED_VALUE"""),0.00525)</f>
        <v>0.00525</v>
      </c>
      <c r="E12" s="2">
        <f>IFERROR(__xludf.DUMMYFUNCTION("""COMPUTED_VALUE"""),485.21)</f>
        <v>485.21</v>
      </c>
      <c r="F12" s="2">
        <f>IFERROR(__xludf.DUMMYFUNCTION("""COMPUTED_VALUE"""),537.0)</f>
        <v>537</v>
      </c>
      <c r="G12" s="2">
        <f>IFERROR(__xludf.DUMMYFUNCTION("""COMPUTED_VALUE"""),605.0)</f>
        <v>605</v>
      </c>
      <c r="H12" s="2">
        <f>IFERROR(__xludf.DUMMYFUNCTION("""COMPUTED_VALUE"""),701.0)</f>
        <v>701</v>
      </c>
      <c r="I12" s="2">
        <f>IFERROR(__xludf.DUMMYFUNCTION("""COMPUTED_VALUE"""),806.0)</f>
        <v>806</v>
      </c>
      <c r="J12" s="2">
        <f>IFERROR(__xludf.DUMMYFUNCTION("""COMPUTED_VALUE"""),403.0)</f>
        <v>403</v>
      </c>
      <c r="K12" s="2">
        <f>IFERROR(__xludf.DUMMYFUNCTION("""COMPUTED_VALUE"""),11.0)</f>
        <v>11</v>
      </c>
      <c r="L12" s="2" t="str">
        <f>IFERROR(__xludf.DUMMYFUNCTION("""COMPUTED_VALUE"""),"Панели светодиодные LP серии ПРИЗМА")</f>
        <v>Панели светодиодные LP серии ПРИЗМА</v>
      </c>
      <c r="M12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13">
      <c r="A13" s="5" t="str">
        <f>IFERROR(__xludf.DUMMYFUNCTION("""COMPUTED_VALUE"""),"12-0133")</f>
        <v>12-0133</v>
      </c>
      <c r="B13" s="5" t="str">
        <f>IFERROR(__xludf.DUMMYFUNCTION("""COMPUTED_VALUE"""),"Паяльник импульсный с керамическим нагревателем 220 В/30-70 Вт REXANT")</f>
        <v>Паяльник импульсный с керамическим нагревателем 220 В/30-70 Вт REXANT</v>
      </c>
      <c r="C13" s="2">
        <f>IFERROR(__xludf.DUMMYFUNCTION("""COMPUTED_VALUE"""),0.0)</f>
        <v>0</v>
      </c>
      <c r="D13" s="2">
        <f>IFERROR(__xludf.DUMMYFUNCTION("""COMPUTED_VALUE"""),0.0)</f>
        <v>0</v>
      </c>
      <c r="E13" s="2">
        <f>IFERROR(__xludf.DUMMYFUNCTION("""COMPUTED_VALUE"""),1.0)</f>
        <v>1</v>
      </c>
      <c r="F13" s="2">
        <f>IFERROR(__xludf.DUMMYFUNCTION("""COMPUTED_VALUE"""),794.0)</f>
        <v>794</v>
      </c>
      <c r="G13" s="2">
        <f>IFERROR(__xludf.DUMMYFUNCTION("""COMPUTED_VALUE"""),847.0)</f>
        <v>847</v>
      </c>
      <c r="H13" s="2">
        <f>IFERROR(__xludf.DUMMYFUNCTION("""COMPUTED_VALUE"""),952.0)</f>
        <v>952</v>
      </c>
      <c r="I13" s="2">
        <f>IFERROR(__xludf.DUMMYFUNCTION("""COMPUTED_VALUE"""),1058.26)</f>
        <v>1058.26</v>
      </c>
      <c r="J13" s="2">
        <f>IFERROR(__xludf.DUMMYFUNCTION("""COMPUTED_VALUE"""),529.0)</f>
        <v>529</v>
      </c>
      <c r="K13" s="2">
        <f>IFERROR(__xludf.DUMMYFUNCTION("""COMPUTED_VALUE"""),1.0)</f>
        <v>1</v>
      </c>
      <c r="L13" s="2" t="str">
        <f>IFERROR(__xludf.DUMMYFUNCTION("""COMPUTED_VALUE"""),"Rexant")</f>
        <v>Rexant</v>
      </c>
      <c r="M13" s="2" t="str">
        <f>IFERROR(__xludf.DUMMYFUNCTION("""COMPUTED_VALUE"""),"Прочие товары")</f>
        <v>Прочие товары</v>
      </c>
    </row>
    <row r="14">
      <c r="A14" s="5" t="str">
        <f>IFERROR(__xludf.DUMMYFUNCTION("""COMPUTED_VALUE"""),"83800404")</f>
        <v>83800404</v>
      </c>
      <c r="B14" s="5" t="str">
        <f>IFERROR(__xludf.DUMMYFUNCTION("""COMPUTED_VALUE"""),"ДВП 3.2 мм 1220X610 мм 0.75 м²")</f>
        <v>ДВП 3.2 мм 1220X610 мм 0.75 м²</v>
      </c>
      <c r="C14" s="2">
        <f>IFERROR(__xludf.DUMMYFUNCTION("""COMPUTED_VALUE"""),0.0)</f>
        <v>0</v>
      </c>
      <c r="D14" s="2">
        <f>IFERROR(__xludf.DUMMYFUNCTION("""COMPUTED_VALUE"""),0.0)</f>
        <v>0</v>
      </c>
      <c r="E14" s="2">
        <f>IFERROR(__xludf.DUMMYFUNCTION("""COMPUTED_VALUE"""),144.33)</f>
        <v>144.33</v>
      </c>
      <c r="F14" s="2">
        <f>IFERROR(__xludf.DUMMYFUNCTION("""COMPUTED_VALUE"""),0.0)</f>
        <v>0</v>
      </c>
      <c r="G14" s="2">
        <f>IFERROR(__xludf.DUMMYFUNCTION("""COMPUTED_VALUE"""),0.0)</f>
        <v>0</v>
      </c>
      <c r="H14" s="2">
        <f>IFERROR(__xludf.DUMMYFUNCTION("""COMPUTED_VALUE"""),0.0)</f>
        <v>0</v>
      </c>
      <c r="I14" s="2">
        <f>IFERROR(__xludf.DUMMYFUNCTION("""COMPUTED_VALUE"""),0.5)</f>
        <v>0.5</v>
      </c>
      <c r="J14" s="2">
        <f>IFERROR(__xludf.DUMMYFUNCTION("""COMPUTED_VALUE"""),0.5)</f>
        <v>0.5</v>
      </c>
      <c r="K14" s="2">
        <f>IFERROR(__xludf.DUMMYFUNCTION("""COMPUTED_VALUE"""),68.0)</f>
        <v>68</v>
      </c>
      <c r="L14" s="2" t="str">
        <f>IFERROR(__xludf.DUMMYFUNCTION("""COMPUTED_VALUE"""),"Упаковка")</f>
        <v>Упаковка</v>
      </c>
      <c r="M14" s="2" t="str">
        <f>IFERROR(__xludf.DUMMYFUNCTION("""COMPUTED_VALUE"""),"Прочие товары")</f>
        <v>Прочие товары</v>
      </c>
    </row>
    <row r="15">
      <c r="A15" s="5" t="str">
        <f>IFERROR(__xludf.DUMMYFUNCTION("""COMPUTED_VALUE"""),"4690612003047")</f>
        <v>4690612003047</v>
      </c>
      <c r="B15" s="5" t="str">
        <f>IFERROR(__xludf.DUMMYFUNCTION("""COMPUTED_VALUE"""),"СПБ-Т5 10Вт 230В 4000К 900Лм 900мм IN HOME")</f>
        <v>СПБ-Т5 10Вт 230В 4000К 900Лм 900мм IN HOME</v>
      </c>
      <c r="C15" s="2">
        <f>IFERROR(__xludf.DUMMYFUNCTION("""COMPUTED_VALUE"""),0.2)</f>
        <v>0.2</v>
      </c>
      <c r="D15" s="2">
        <f>IFERROR(__xludf.DUMMYFUNCTION("""COMPUTED_VALUE"""),0.00124)</f>
        <v>0.00124</v>
      </c>
      <c r="E15" s="2">
        <f>IFERROR(__xludf.DUMMYFUNCTION("""COMPUTED_VALUE"""),224.41)</f>
        <v>224.41</v>
      </c>
      <c r="F15" s="2">
        <f>IFERROR(__xludf.DUMMYFUNCTION("""COMPUTED_VALUE"""),260.0)</f>
        <v>260</v>
      </c>
      <c r="G15" s="2">
        <f>IFERROR(__xludf.DUMMYFUNCTION("""COMPUTED_VALUE"""),293.0)</f>
        <v>293</v>
      </c>
      <c r="H15" s="2">
        <f>IFERROR(__xludf.DUMMYFUNCTION("""COMPUTED_VALUE"""),340.0)</f>
        <v>340</v>
      </c>
      <c r="I15" s="2">
        <f>IFERROR(__xludf.DUMMYFUNCTION("""COMPUTED_VALUE"""),391.0)</f>
        <v>391</v>
      </c>
      <c r="J15" s="2">
        <f>IFERROR(__xludf.DUMMYFUNCTION("""COMPUTED_VALUE"""),391.0)</f>
        <v>391</v>
      </c>
      <c r="K15" s="2">
        <f>IFERROR(__xludf.DUMMYFUNCTION("""COMPUTED_VALUE"""),-77.0)</f>
        <v>-77</v>
      </c>
      <c r="L15" s="2" t="str">
        <f>IFERROR(__xludf.DUMMYFUNCTION("""COMPUTED_VALUE"""),"Светильники светодиодные СПБ-T5, СПБ-Т5Д ")</f>
        <v>Светильники светодиодные СПБ-T5, СПБ-Т5Д </v>
      </c>
      <c r="M15" s="2" t="str">
        <f>IFERROR(__xludf.DUMMYFUNCTION("""COMPUTED_VALUE"""),"Пластиковые (линейные), LED Светильники")</f>
        <v>Пластиковые (линейные), LED Светильники</v>
      </c>
    </row>
    <row r="16">
      <c r="A16" s="5" t="str">
        <f>IFERROR(__xludf.DUMMYFUNCTION("""COMPUTED_VALUE"""),"12-3441")</f>
        <v>12-3441</v>
      </c>
      <c r="B16" s="5" t="str">
        <f>IFERROR(__xludf.DUMMYFUNCTION("""COMPUTED_VALUE"""),"Кримпер для обжима 8P8C / 6P6C / 4P4C (ht-200), заделка витой пары (ht-318М) REXANT")</f>
        <v>Кримпер для обжима 8P8C / 6P6C / 4P4C (ht-200), заделка витой пары (ht-318М) REXANT</v>
      </c>
      <c r="C16" s="2">
        <f>IFERROR(__xludf.DUMMYFUNCTION("""COMPUTED_VALUE"""),0.0)</f>
        <v>0</v>
      </c>
      <c r="D16" s="2">
        <f>IFERROR(__xludf.DUMMYFUNCTION("""COMPUTED_VALUE"""),0.0)</f>
        <v>0</v>
      </c>
      <c r="E16" s="2">
        <f>IFERROR(__xludf.DUMMYFUNCTION("""COMPUTED_VALUE"""),1.0)</f>
        <v>1</v>
      </c>
      <c r="F16" s="2">
        <f>IFERROR(__xludf.DUMMYFUNCTION("""COMPUTED_VALUE"""),978.0)</f>
        <v>978</v>
      </c>
      <c r="G16" s="2">
        <f>IFERROR(__xludf.DUMMYFUNCTION("""COMPUTED_VALUE"""),1043.0)</f>
        <v>1043</v>
      </c>
      <c r="H16" s="2">
        <f>IFERROR(__xludf.DUMMYFUNCTION("""COMPUTED_VALUE"""),1173.0)</f>
        <v>1173</v>
      </c>
      <c r="I16" s="2">
        <f>IFERROR(__xludf.DUMMYFUNCTION("""COMPUTED_VALUE"""),1303.52)</f>
        <v>1303.52</v>
      </c>
      <c r="J16" s="2">
        <f>IFERROR(__xludf.DUMMYFUNCTION("""COMPUTED_VALUE"""),652.0)</f>
        <v>652</v>
      </c>
      <c r="K16" s="2">
        <f>IFERROR(__xludf.DUMMYFUNCTION("""COMPUTED_VALUE"""),2.0)</f>
        <v>2</v>
      </c>
      <c r="L16" s="2" t="str">
        <f>IFERROR(__xludf.DUMMYFUNCTION("""COMPUTED_VALUE"""),"Rexant")</f>
        <v>Rexant</v>
      </c>
      <c r="M16" s="2" t="str">
        <f>IFERROR(__xludf.DUMMYFUNCTION("""COMPUTED_VALUE"""),"Прочие товары")</f>
        <v>Прочие товары</v>
      </c>
    </row>
    <row r="17">
      <c r="A17" s="5" t="str">
        <f>IFERROR(__xludf.DUMMYFUNCTION("""COMPUTED_VALUE"""),"4690612008141")</f>
        <v>4690612008141</v>
      </c>
      <c r="B17" s="5" t="str">
        <f>IFERROR(__xludf.DUMMYFUNCTION("""COMPUTED_VALUE"""),"NRLP-eco 24Вт 230В 4000К 1680Лм 300мм белая накладная IP40 IN HOME")</f>
        <v>NRLP-eco 24Вт 230В 4000К 1680Лм 300мм белая накладная IP40 IN HOME</v>
      </c>
      <c r="C17" s="2">
        <f>IFERROR(__xludf.DUMMYFUNCTION("""COMPUTED_VALUE"""),0.5860000000000001)</f>
        <v>0.586</v>
      </c>
      <c r="D17" s="2">
        <f>IFERROR(__xludf.DUMMYFUNCTION("""COMPUTED_VALUE"""),0.004350000000000001)</f>
        <v>0.00435</v>
      </c>
      <c r="E17" s="2">
        <f>IFERROR(__xludf.DUMMYFUNCTION("""COMPUTED_VALUE"""),515.9)</f>
        <v>515.9</v>
      </c>
      <c r="F17" s="2">
        <f>IFERROR(__xludf.DUMMYFUNCTION("""COMPUTED_VALUE"""),504.0)</f>
        <v>504</v>
      </c>
      <c r="G17" s="2">
        <f>IFERROR(__xludf.DUMMYFUNCTION("""COMPUTED_VALUE"""),567.0)</f>
        <v>567</v>
      </c>
      <c r="H17" s="2">
        <f>IFERROR(__xludf.DUMMYFUNCTION("""COMPUTED_VALUE"""),658.0)</f>
        <v>658</v>
      </c>
      <c r="I17" s="2">
        <f>IFERROR(__xludf.DUMMYFUNCTION("""COMPUTED_VALUE"""),756.0)</f>
        <v>756</v>
      </c>
      <c r="J17" s="2">
        <f>IFERROR(__xludf.DUMMYFUNCTION("""COMPUTED_VALUE"""),378.0)</f>
        <v>378</v>
      </c>
      <c r="K17" s="2">
        <f>IFERROR(__xludf.DUMMYFUNCTION("""COMPUTED_VALUE"""),1.0)</f>
        <v>1</v>
      </c>
      <c r="L17" s="2" t="str">
        <f>IFERROR(__xludf.DUMMYFUNCTION("""COMPUTED_VALUE"""),"Панели светодиодные круглые накладные NRLP")</f>
        <v>Панели светодиодные круглые накладные NRLP</v>
      </c>
      <c r="M17" s="2" t="str">
        <f>IFERROR(__xludf.DUMMYFUNCTION("""COMPUTED_VALUE"""),"Точечные круглые Downlight, LED Светильники")</f>
        <v>Точечные круглые Downlight, LED Светильники</v>
      </c>
    </row>
    <row r="18">
      <c r="A18" s="5" t="str">
        <f>IFERROR(__xludf.DUMMYFUNCTION("""COMPUTED_VALUE"""),"06-0107-A")</f>
        <v>06-0107-A</v>
      </c>
      <c r="B18" s="5" t="str">
        <f>IFERROR(__xludf.DUMMYFUNCTION("""COMPUTED_VALUE"""),"Переходник телефонный, (гнездо 6Р-4С (RJ-11) - гнездо 6Р-4С (RJ-11)) REXANT")</f>
        <v>Переходник телефонный, (гнездо 6Р-4С (RJ-11) - гнездо 6Р-4С (RJ-11)) REXANT</v>
      </c>
      <c r="C18" s="2">
        <f>IFERROR(__xludf.DUMMYFUNCTION("""COMPUTED_VALUE"""),0.0)</f>
        <v>0</v>
      </c>
      <c r="D18" s="2">
        <f>IFERROR(__xludf.DUMMYFUNCTION("""COMPUTED_VALUE"""),0.0)</f>
        <v>0</v>
      </c>
      <c r="E18" s="2">
        <f>IFERROR(__xludf.DUMMYFUNCTION("""COMPUTED_VALUE"""),1.0)</f>
        <v>1</v>
      </c>
      <c r="F18" s="2">
        <f>IFERROR(__xludf.DUMMYFUNCTION("""COMPUTED_VALUE"""),45.0)</f>
        <v>45</v>
      </c>
      <c r="G18" s="2">
        <f>IFERROR(__xludf.DUMMYFUNCTION("""COMPUTED_VALUE"""),48.0)</f>
        <v>48</v>
      </c>
      <c r="H18" s="2">
        <f>IFERROR(__xludf.DUMMYFUNCTION("""COMPUTED_VALUE"""),54.0)</f>
        <v>54</v>
      </c>
      <c r="I18" s="2">
        <f>IFERROR(__xludf.DUMMYFUNCTION("""COMPUTED_VALUE"""),59.5)</f>
        <v>59.5</v>
      </c>
      <c r="J18" s="2">
        <f>IFERROR(__xludf.DUMMYFUNCTION("""COMPUTED_VALUE"""),30.0)</f>
        <v>30</v>
      </c>
      <c r="K18" s="2">
        <f>IFERROR(__xludf.DUMMYFUNCTION("""COMPUTED_VALUE"""),8.0)</f>
        <v>8</v>
      </c>
      <c r="L18" s="2" t="str">
        <f>IFERROR(__xludf.DUMMYFUNCTION("""COMPUTED_VALUE"""),"Rexant")</f>
        <v>Rexant</v>
      </c>
      <c r="M18" s="2" t="str">
        <f>IFERROR(__xludf.DUMMYFUNCTION("""COMPUTED_VALUE"""),"Прочие товары")</f>
        <v>Прочие товары</v>
      </c>
    </row>
    <row r="19">
      <c r="A19" s="5" t="str">
        <f>IFERROR(__xludf.DUMMYFUNCTION("""COMPUTED_VALUE"""),"4260652193284")</f>
        <v>4260652193284</v>
      </c>
      <c r="B19" s="5" t="str">
        <f>IFERROR(__xludf.DUMMYFUNCTION("""COMPUTED_VALUE"""),"LCL04-8W-R11-6K-SOA")</f>
        <v>LCL04-8W-R11-6K-SOA</v>
      </c>
      <c r="C19" s="2">
        <f>IFERROR(__xludf.DUMMYFUNCTION("""COMPUTED_VALUE"""),0.09200000000000001)</f>
        <v>0.092</v>
      </c>
      <c r="D19" s="2">
        <f>IFERROR(__xludf.DUMMYFUNCTION("""COMPUTED_VALUE"""),0.0)</f>
        <v>0</v>
      </c>
      <c r="E19" s="2">
        <f>IFERROR(__xludf.DUMMYFUNCTION("""COMPUTED_VALUE"""),120.0)</f>
        <v>120</v>
      </c>
      <c r="F19" s="2">
        <f>IFERROR(__xludf.DUMMYFUNCTION("""COMPUTED_VALUE"""),291.0)</f>
        <v>291</v>
      </c>
      <c r="G19" s="2">
        <f>IFERROR(__xludf.DUMMYFUNCTION("""COMPUTED_VALUE"""),301.0)</f>
        <v>301</v>
      </c>
      <c r="H19" s="2">
        <f>IFERROR(__xludf.DUMMYFUNCTION("""COMPUTED_VALUE"""),394.0)</f>
        <v>394</v>
      </c>
      <c r="I19" s="2">
        <f>IFERROR(__xludf.DUMMYFUNCTION("""COMPUTED_VALUE"""),493.0)</f>
        <v>493</v>
      </c>
      <c r="J19" s="2">
        <f>IFERROR(__xludf.DUMMYFUNCTION("""COMPUTED_VALUE"""),247.0)</f>
        <v>247</v>
      </c>
      <c r="K19" s="2">
        <f>IFERROR(__xludf.DUMMYFUNCTION("""COMPUTED_VALUE"""),16.0)</f>
        <v>16</v>
      </c>
      <c r="L19" s="2" t="str">
        <f>IFERROR(__xludf.DUMMYFUNCTION("""COMPUTED_VALUE"""),"Wolta ЖКХ")</f>
        <v>Wolta ЖКХ</v>
      </c>
      <c r="M19" s="2" t="str">
        <f>IFERROR(__xludf.DUMMYFUNCTION("""COMPUTED_VALUE"""),"Для ЖКХ, дома, дачи, LED Светильники")</f>
        <v>Для ЖКХ, дома, дачи, LED Светильники</v>
      </c>
    </row>
    <row r="20">
      <c r="A20" s="5" t="str">
        <f>IFERROR(__xludf.DUMMYFUNCTION("""COMPUTED_VALUE"""),"12-0180")</f>
        <v>12-0180</v>
      </c>
      <c r="B20" s="5" t="str">
        <f>IFERROR(__xludf.DUMMYFUNCTION("""COMPUTED_VALUE"""),"Паяльник Мини (питание через USB) 5 V/8 Вт REXANT")</f>
        <v>Паяльник Мини (питание через USB) 5 V/8 Вт REXANT</v>
      </c>
      <c r="C20" s="2">
        <f>IFERROR(__xludf.DUMMYFUNCTION("""COMPUTED_VALUE"""),0.0)</f>
        <v>0</v>
      </c>
      <c r="D20" s="2">
        <f>IFERROR(__xludf.DUMMYFUNCTION("""COMPUTED_VALUE"""),0.0)</f>
        <v>0</v>
      </c>
      <c r="E20" s="2">
        <f>IFERROR(__xludf.DUMMYFUNCTION("""COMPUTED_VALUE"""),1.0)</f>
        <v>1</v>
      </c>
      <c r="F20" s="2">
        <f>IFERROR(__xludf.DUMMYFUNCTION("""COMPUTED_VALUE"""),937.0)</f>
        <v>937</v>
      </c>
      <c r="G20" s="2">
        <f>IFERROR(__xludf.DUMMYFUNCTION("""COMPUTED_VALUE"""),1000.0)</f>
        <v>1000</v>
      </c>
      <c r="H20" s="2">
        <f>IFERROR(__xludf.DUMMYFUNCTION("""COMPUTED_VALUE"""),1125.0)</f>
        <v>1125</v>
      </c>
      <c r="I20" s="2">
        <f>IFERROR(__xludf.DUMMYFUNCTION("""COMPUTED_VALUE"""),1249.5)</f>
        <v>1249.5</v>
      </c>
      <c r="J20" s="2">
        <f>IFERROR(__xludf.DUMMYFUNCTION("""COMPUTED_VALUE"""),625.0)</f>
        <v>625</v>
      </c>
      <c r="K20" s="2">
        <f>IFERROR(__xludf.DUMMYFUNCTION("""COMPUTED_VALUE"""),12.0)</f>
        <v>12</v>
      </c>
      <c r="L20" s="2" t="str">
        <f>IFERROR(__xludf.DUMMYFUNCTION("""COMPUTED_VALUE"""),"Rexant")</f>
        <v>Rexant</v>
      </c>
      <c r="M20" s="2" t="str">
        <f>IFERROR(__xludf.DUMMYFUNCTION("""COMPUTED_VALUE"""),"Прочие товары")</f>
        <v>Прочие товары</v>
      </c>
    </row>
    <row r="21">
      <c r="A21" s="5" t="str">
        <f>IFERROR(__xludf.DUMMYFUNCTION("""COMPUTED_VALUE"""),"4690612024653")</f>
        <v>4690612024653</v>
      </c>
      <c r="B21" s="5" t="str">
        <f>IFERROR(__xludf.DUMMYFUNCTION("""COMPUTED_VALUE"""),"LED-A70-std 30Вт 230В Е27 4000К 2700Лм ASD")</f>
        <v>LED-A70-std 30Вт 230В Е27 4000К 2700Лм ASD</v>
      </c>
      <c r="C21" s="2">
        <f>IFERROR(__xludf.DUMMYFUNCTION("""COMPUTED_VALUE"""),0.085)</f>
        <v>0.085</v>
      </c>
      <c r="D21" s="2">
        <f>IFERROR(__xludf.DUMMYFUNCTION("""COMPUTED_VALUE"""),8.0E-4)</f>
        <v>0.0008</v>
      </c>
      <c r="E21" s="2">
        <f>IFERROR(__xludf.DUMMYFUNCTION("""COMPUTED_VALUE"""),116.9)</f>
        <v>116.9</v>
      </c>
      <c r="F21" s="2">
        <f>IFERROR(__xludf.DUMMYFUNCTION("""COMPUTED_VALUE"""),93.0)</f>
        <v>93</v>
      </c>
      <c r="G21" s="2">
        <f>IFERROR(__xludf.DUMMYFUNCTION("""COMPUTED_VALUE"""),105.0)</f>
        <v>105</v>
      </c>
      <c r="H21" s="2">
        <f>IFERROR(__xludf.DUMMYFUNCTION("""COMPUTED_VALUE"""),122.0)</f>
        <v>122</v>
      </c>
      <c r="I21" s="2">
        <f>IFERROR(__xludf.DUMMYFUNCTION("""COMPUTED_VALUE"""),140.5)</f>
        <v>140.5</v>
      </c>
      <c r="J21" s="2">
        <f>IFERROR(__xludf.DUMMYFUNCTION("""COMPUTED_VALUE"""),105.0)</f>
        <v>105</v>
      </c>
      <c r="K21" s="2">
        <f>IFERROR(__xludf.DUMMYFUNCTION("""COMPUTED_VALUE"""),39.0)</f>
        <v>39</v>
      </c>
      <c r="L21" s="2" t="str">
        <f>IFERROR(__xludf.DUMMYFUNCTION("""COMPUTED_VALUE"""),"Лампа светодиодная LED-A60-standard")</f>
        <v>Лампа светодиодная LED-A60-standard</v>
      </c>
      <c r="M21" s="2" t="str">
        <f>IFERROR(__xludf.DUMMYFUNCTION("""COMPUTED_VALUE"""),"Лампы")</f>
        <v>Лампы</v>
      </c>
    </row>
    <row r="22">
      <c r="A22" s="5" t="str">
        <f>IFERROR(__xludf.DUMMYFUNCTION("""COMPUTED_VALUE"""),"4690612053059")</f>
        <v>4690612053059</v>
      </c>
      <c r="B22" s="5" t="str">
        <f>IFERROR(__xludf.DUMMYFUNCTION("""COMPUTED_VALUE"""),"ДВО-02 5040-ОПАЛ 50Вт 4000К 595х595х25 NEOX")</f>
        <v>ДВО-02 5040-ОПАЛ 50Вт 4000К 595х595х25 NEOX</v>
      </c>
      <c r="C22" s="2">
        <f>IFERROR(__xludf.DUMMYFUNCTION("""COMPUTED_VALUE"""),1.2)</f>
        <v>1.2</v>
      </c>
      <c r="D22" s="2">
        <f>IFERROR(__xludf.DUMMYFUNCTION("""COMPUTED_VALUE"""),0.00975)</f>
        <v>0.00975</v>
      </c>
      <c r="E22" s="2">
        <f>IFERROR(__xludf.DUMMYFUNCTION("""COMPUTED_VALUE"""),674.94)</f>
        <v>674.94</v>
      </c>
      <c r="F22" s="2">
        <f>IFERROR(__xludf.DUMMYFUNCTION("""COMPUTED_VALUE"""),896.0)</f>
        <v>896</v>
      </c>
      <c r="G22" s="2">
        <f>IFERROR(__xludf.DUMMYFUNCTION("""COMPUTED_VALUE"""),1008.0)</f>
        <v>1008</v>
      </c>
      <c r="H22" s="2">
        <f>IFERROR(__xludf.DUMMYFUNCTION("""COMPUTED_VALUE"""),1169.0)</f>
        <v>1169</v>
      </c>
      <c r="I22" s="2">
        <f>IFERROR(__xludf.DUMMYFUNCTION("""COMPUTED_VALUE"""),1344.0)</f>
        <v>1344</v>
      </c>
      <c r="J22" s="2">
        <f>IFERROR(__xludf.DUMMYFUNCTION("""COMPUTED_VALUE"""),672.0)</f>
        <v>672</v>
      </c>
      <c r="K22" s="2">
        <f>IFERROR(__xludf.DUMMYFUNCTION("""COMPUTED_VALUE"""),2.0)</f>
        <v>2</v>
      </c>
      <c r="L22" s="2" t="str">
        <f>IFERROR(__xludf.DUMMYFUNCTION("""COMPUTED_VALUE"""),"NEOX Светильники LED ДВО")</f>
        <v>NEOX Светильники LED ДВО</v>
      </c>
      <c r="M22" s="2" t="str">
        <f>IFERROR(__xludf.DUMMYFUNCTION("""COMPUTED_VALUE"""),"С равномерной засветкой, С равномерной засветкой, LED Светильники")</f>
        <v>С равномерной засветкой, С равномерной засветкой, LED Светильники</v>
      </c>
    </row>
    <row r="23">
      <c r="A23" s="5" t="str">
        <f>IFERROR(__xludf.DUMMYFUNCTION("""COMPUTED_VALUE"""),"4690612029115")</f>
        <v>4690612029115</v>
      </c>
      <c r="B23" s="5" t="str">
        <f>IFERROR(__xludf.DUMMYFUNCTION("""COMPUTED_VALUE"""),"NLA 08-DY-DS УТЁНОК желтый с датчиком освещения 230В IN HOME")</f>
        <v>NLA 08-DY-DS УТЁНОК желтый с датчиком освещения 230В IN HOME</v>
      </c>
      <c r="C23" s="2">
        <f>IFERROR(__xludf.DUMMYFUNCTION("""COMPUTED_VALUE"""),0.05792000000000001)</f>
        <v>0.05792</v>
      </c>
      <c r="D23" s="2">
        <f>IFERROR(__xludf.DUMMYFUNCTION("""COMPUTED_VALUE"""),7.1E-4)</f>
        <v>0.00071</v>
      </c>
      <c r="E23" s="2">
        <f>IFERROR(__xludf.DUMMYFUNCTION("""COMPUTED_VALUE"""),82.52)</f>
        <v>82.52</v>
      </c>
      <c r="F23" s="2">
        <f>IFERROR(__xludf.DUMMYFUNCTION("""COMPUTED_VALUE"""),93.0)</f>
        <v>93</v>
      </c>
      <c r="G23" s="2">
        <f>IFERROR(__xludf.DUMMYFUNCTION("""COMPUTED_VALUE"""),104.0)</f>
        <v>104</v>
      </c>
      <c r="H23" s="2">
        <f>IFERROR(__xludf.DUMMYFUNCTION("""COMPUTED_VALUE"""),121.0)</f>
        <v>121</v>
      </c>
      <c r="I23" s="2">
        <f>IFERROR(__xludf.DUMMYFUNCTION("""COMPUTED_VALUE"""),139.0)</f>
        <v>139</v>
      </c>
      <c r="J23" s="2">
        <f>IFERROR(__xludf.DUMMYFUNCTION("""COMPUTED_VALUE"""),70.0)</f>
        <v>70</v>
      </c>
      <c r="K23" s="2">
        <f>IFERROR(__xludf.DUMMYFUNCTION("""COMPUTED_VALUE"""),1.0)</f>
        <v>1</v>
      </c>
      <c r="L23" s="2" t="str">
        <f>IFERROR(__xludf.DUMMYFUNCTION("""COMPUTED_VALUE"""),"Светильники ночники")</f>
        <v>Светильники ночники</v>
      </c>
      <c r="M23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24">
      <c r="A24" s="5" t="str">
        <f>IFERROR(__xludf.DUMMYFUNCTION("""COMPUTED_VALUE"""),"4690612047492")</f>
        <v>4690612047492</v>
      </c>
      <c r="B24" s="5" t="str">
        <f>IFERROR(__xludf.DUMMYFUNCTION("""COMPUTED_VALUE"""),"TR-08-TL 25Вт 6000К 2500Лм IP40 36 градусов черный серии TOP-LINE IN HOME")</f>
        <v>TR-08-TL 25Вт 6000К 2500Лм IP40 36 градусов черный серии TOP-LINE IN HOME</v>
      </c>
      <c r="C24" s="2">
        <f>IFERROR(__xludf.DUMMYFUNCTION("""COMPUTED_VALUE"""),0.275)</f>
        <v>0.275</v>
      </c>
      <c r="D24" s="2">
        <f>IFERROR(__xludf.DUMMYFUNCTION("""COMPUTED_VALUE"""),0.00118)</f>
        <v>0.00118</v>
      </c>
      <c r="E24" s="2">
        <f>IFERROR(__xludf.DUMMYFUNCTION("""COMPUTED_VALUE"""),453.0)</f>
        <v>453</v>
      </c>
      <c r="F24" s="2">
        <f>IFERROR(__xludf.DUMMYFUNCTION("""COMPUTED_VALUE"""),609.0)</f>
        <v>609</v>
      </c>
      <c r="G24" s="2">
        <f>IFERROR(__xludf.DUMMYFUNCTION("""COMPUTED_VALUE"""),685.0)</f>
        <v>685</v>
      </c>
      <c r="H24" s="2">
        <f>IFERROR(__xludf.DUMMYFUNCTION("""COMPUTED_VALUE"""),794.0)</f>
        <v>794</v>
      </c>
      <c r="I24" s="2">
        <f>IFERROR(__xludf.DUMMYFUNCTION("""COMPUTED_VALUE"""),913.0)</f>
        <v>913</v>
      </c>
      <c r="J24" s="2">
        <f>IFERROR(__xludf.DUMMYFUNCTION("""COMPUTED_VALUE"""),457.0)</f>
        <v>457</v>
      </c>
      <c r="K24" s="2">
        <f>IFERROR(__xludf.DUMMYFUNCTION("""COMPUTED_VALUE"""),8.0)</f>
        <v>8</v>
      </c>
      <c r="L24" s="2" t="str">
        <f>IFERROR(__xludf.DUMMYFUNCTION("""COMPUTED_VALUE"""),"Светильники светодиодные трековые TR-01, 02, 03, 04, 05, 06, 07, 08")</f>
        <v>Светильники светодиодные трековые TR-01, 02, 03, 04, 05, 06, 07, 08</v>
      </c>
      <c r="M24" s="2" t="str">
        <f>IFERROR(__xludf.DUMMYFUNCTION("""COMPUTED_VALUE"""),"Трековые, LED Светильники")</f>
        <v>Трековые, LED Светильники</v>
      </c>
    </row>
    <row r="25">
      <c r="A25" s="5" t="str">
        <f>IFERROR(__xludf.DUMMYFUNCTION("""COMPUTED_VALUE"""),"KRAS030")</f>
        <v>KRAS030</v>
      </c>
      <c r="B25" s="5" t="str">
        <f>IFERROR(__xludf.DUMMYFUNCTION("""COMPUTED_VALUE"""),"Светильник ПСХ-60-002")</f>
        <v>Светильник ПСХ-60-002</v>
      </c>
      <c r="C25" s="2">
        <f>IFERROR(__xludf.DUMMYFUNCTION("""COMPUTED_VALUE"""),0.0)</f>
        <v>0</v>
      </c>
      <c r="D25" s="2">
        <f>IFERROR(__xludf.DUMMYFUNCTION("""COMPUTED_VALUE"""),0.0)</f>
        <v>0</v>
      </c>
      <c r="E25" s="2">
        <f>IFERROR(__xludf.DUMMYFUNCTION("""COMPUTED_VALUE"""),158.49)</f>
        <v>158.49</v>
      </c>
      <c r="F25" s="2">
        <f>IFERROR(__xludf.DUMMYFUNCTION("""COMPUTED_VALUE"""),387.0)</f>
        <v>387</v>
      </c>
      <c r="G25" s="2">
        <f>IFERROR(__xludf.DUMMYFUNCTION("""COMPUTED_VALUE"""),413.0)</f>
        <v>413</v>
      </c>
      <c r="H25" s="2">
        <f>IFERROR(__xludf.DUMMYFUNCTION("""COMPUTED_VALUE"""),464.0)</f>
        <v>464</v>
      </c>
      <c r="I25" s="2">
        <f>IFERROR(__xludf.DUMMYFUNCTION("""COMPUTED_VALUE"""),516.0)</f>
        <v>516</v>
      </c>
      <c r="J25" s="2">
        <f>IFERROR(__xludf.DUMMYFUNCTION("""COMPUTED_VALUE"""),158.0)</f>
        <v>158</v>
      </c>
      <c r="K25" s="2">
        <f>IFERROR(__xludf.DUMMYFUNCTION("""COMPUTED_VALUE"""),26.0)</f>
        <v>26</v>
      </c>
      <c r="L25" s="2" t="str">
        <f>IFERROR(__xludf.DUMMYFUNCTION("""COMPUTED_VALUE"""),"KRAS (тендер)")</f>
        <v>KRAS (тендер)</v>
      </c>
      <c r="M25" s="2" t="str">
        <f>IFERROR(__xludf.DUMMYFUNCTION("""COMPUTED_VALUE"""),"LED Светильники")</f>
        <v>LED Светильники</v>
      </c>
    </row>
    <row r="26">
      <c r="A26" s="5" t="str">
        <f>IFERROR(__xludf.DUMMYFUNCTION("""COMPUTED_VALUE"""),"4690612000398")</f>
        <v>4690612000398</v>
      </c>
      <c r="B26" s="5" t="str">
        <f>IFERROR(__xludf.DUMMYFUNCTION("""COMPUTED_VALUE"""),"Розетка ТЛФ BOLLETO белая накл 7034")</f>
        <v>Розетка ТЛФ BOLLETO белая накл 7034</v>
      </c>
      <c r="C26" s="2">
        <f>IFERROR(__xludf.DUMMYFUNCTION("""COMPUTED_VALUE"""),0.04)</f>
        <v>0.04</v>
      </c>
      <c r="D26" s="2">
        <f>IFERROR(__xludf.DUMMYFUNCTION("""COMPUTED_VALUE"""),3.0E-4)</f>
        <v>0.0003</v>
      </c>
      <c r="E26" s="2">
        <f>IFERROR(__xludf.DUMMYFUNCTION("""COMPUTED_VALUE"""),39.72)</f>
        <v>39.72</v>
      </c>
      <c r="F26" s="2">
        <f>IFERROR(__xludf.DUMMYFUNCTION("""COMPUTED_VALUE"""),69.0)</f>
        <v>69</v>
      </c>
      <c r="G26" s="2">
        <f>IFERROR(__xludf.DUMMYFUNCTION("""COMPUTED_VALUE"""),78.0)</f>
        <v>78</v>
      </c>
      <c r="H26" s="2">
        <f>IFERROR(__xludf.DUMMYFUNCTION("""COMPUTED_VALUE"""),90.0)</f>
        <v>90</v>
      </c>
      <c r="I26" s="2">
        <f>IFERROR(__xludf.DUMMYFUNCTION("""COMPUTED_VALUE"""),104.0)</f>
        <v>104</v>
      </c>
      <c r="J26" s="2">
        <f>IFERROR(__xludf.DUMMYFUNCTION("""COMPUTED_VALUE"""),52.0)</f>
        <v>52</v>
      </c>
      <c r="K26" s="2">
        <f>IFERROR(__xludf.DUMMYFUNCTION("""COMPUTED_VALUE"""),3.0)</f>
        <v>3</v>
      </c>
      <c r="L26" s="2" t="str">
        <f>IFERROR(__xludf.DUMMYFUNCTION("""COMPUTED_VALUE"""),"ASD электромонтажные изделия")</f>
        <v>ASD электромонтажные изделия</v>
      </c>
      <c r="M26" s="2" t="str">
        <f>IFERROR(__xludf.DUMMYFUNCTION("""COMPUTED_VALUE"""),"Прочие товары")</f>
        <v>Прочие товары</v>
      </c>
    </row>
    <row r="27">
      <c r="A27" s="5" t="str">
        <f>IFERROR(__xludf.DUMMYFUNCTION("""COMPUTED_VALUE"""),"4260652191099")</f>
        <v>4260652191099</v>
      </c>
      <c r="B27" s="5" t="str">
        <f>IFERROR(__xludf.DUMMYFUNCTION("""COMPUTED_VALUE"""),"WLFS18W05")</f>
        <v>WLFS18W05</v>
      </c>
      <c r="C27" s="2">
        <f>IFERROR(__xludf.DUMMYFUNCTION("""COMPUTED_VALUE"""),0.25)</f>
        <v>0.25</v>
      </c>
      <c r="D27" s="2">
        <f>IFERROR(__xludf.DUMMYFUNCTION("""COMPUTED_VALUE"""),4.7E-4)</f>
        <v>0.00047</v>
      </c>
      <c r="E27" s="2">
        <f>IFERROR(__xludf.DUMMYFUNCTION("""COMPUTED_VALUE"""),272.74)</f>
        <v>272.74</v>
      </c>
      <c r="F27" s="2">
        <f>IFERROR(__xludf.DUMMYFUNCTION("""COMPUTED_VALUE"""),208.0)</f>
        <v>208</v>
      </c>
      <c r="G27" s="2">
        <f>IFERROR(__xludf.DUMMYFUNCTION("""COMPUTED_VALUE"""),215.0)</f>
        <v>215</v>
      </c>
      <c r="H27" s="2">
        <f>IFERROR(__xludf.DUMMYFUNCTION("""COMPUTED_VALUE"""),282.0)</f>
        <v>282</v>
      </c>
      <c r="I27" s="2">
        <f>IFERROR(__xludf.DUMMYFUNCTION("""COMPUTED_VALUE"""),353.0)</f>
        <v>353</v>
      </c>
      <c r="J27" s="2">
        <f>IFERROR(__xludf.DUMMYFUNCTION("""COMPUTED_VALUE"""),177.0)</f>
        <v>177</v>
      </c>
      <c r="K27" s="2">
        <f>IFERROR(__xludf.DUMMYFUNCTION("""COMPUTED_VALUE"""),17.0)</f>
        <v>17</v>
      </c>
      <c r="L27" s="2" t="str">
        <f>IFERROR(__xludf.DUMMYFUNCTION("""COMPUTED_VALUE"""),"Wolta офисные")</f>
        <v>Wolta офисные</v>
      </c>
      <c r="M27" s="2" t="str">
        <f>IFERROR(__xludf.DUMMYFUNCTION("""COMPUTED_VALUE"""),"Светильники общего назначения (LED), LED Светильники")</f>
        <v>Светильники общего назначения (LED), LED Светильники</v>
      </c>
    </row>
    <row r="28">
      <c r="A28" s="5" t="str">
        <f>IFERROR(__xludf.DUMMYFUNCTION("""COMPUTED_VALUE"""),"4690612057293-2")</f>
        <v>4690612057293-2</v>
      </c>
      <c r="B28" s="5" t="str">
        <f>IFERROR(__xludf.DUMMYFUNCTION("""COMPUTED_VALUE"""),"ДВО-PRO 5040-ОПАЛ 50Вт 4000К 120лм/Вт CRI80 IP40 595х595х30мм NEOX (2 шт в упак.)")</f>
        <v>ДВО-PRO 5040-ОПАЛ 50Вт 4000К 120лм/Вт CRI80 IP40 595х595х30мм NEOX (2 шт в упак.)</v>
      </c>
      <c r="C28" s="2">
        <f>IFERROR(__xludf.DUMMYFUNCTION("""COMPUTED_VALUE"""),0.0)</f>
        <v>0</v>
      </c>
      <c r="D28" s="2">
        <f>IFERROR(__xludf.DUMMYFUNCTION("""COMPUTED_VALUE"""),0.0)</f>
        <v>0</v>
      </c>
      <c r="E28" s="2">
        <f>IFERROR(__xludf.DUMMYFUNCTION("""COMPUTED_VALUE"""),1665.9)</f>
        <v>1665.9</v>
      </c>
      <c r="F28" s="2">
        <f>IFERROR(__xludf.DUMMYFUNCTION("""COMPUTED_VALUE"""),1828.0)</f>
        <v>1828</v>
      </c>
      <c r="G28" s="2">
        <f>IFERROR(__xludf.DUMMYFUNCTION("""COMPUTED_VALUE"""),2399.0)</f>
        <v>2399</v>
      </c>
      <c r="H28" s="2">
        <f>IFERROR(__xludf.DUMMYFUNCTION("""COMPUTED_VALUE"""),2699.0)</f>
        <v>2699</v>
      </c>
      <c r="I28" s="2">
        <f>IFERROR(__xludf.DUMMYFUNCTION("""COMPUTED_VALUE"""),2999.0)</f>
        <v>2999</v>
      </c>
      <c r="J28" s="2">
        <f>IFERROR(__xludf.DUMMYFUNCTION("""COMPUTED_VALUE"""),1500.0)</f>
        <v>1500</v>
      </c>
      <c r="K28" s="2">
        <f>IFERROR(__xludf.DUMMYFUNCTION("""COMPUTED_VALUE"""),20.0)</f>
        <v>20</v>
      </c>
      <c r="L28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28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29">
      <c r="A29" s="5" t="str">
        <f>IFERROR(__xludf.DUMMYFUNCTION("""COMPUTED_VALUE"""),"4690612030999")</f>
        <v>4690612030999</v>
      </c>
      <c r="B29" s="5" t="str">
        <f>IFERROR(__xludf.DUMMYFUNCTION("""COMPUTED_VALUE"""),"LED-T8-М-PRO 20Вт 230В G13 6500К 2000Лм 1200мм матовая IN HOME")</f>
        <v>LED-T8-М-PRO 20Вт 230В G13 6500К 2000Лм 1200мм матовая IN HOME</v>
      </c>
      <c r="C29" s="2">
        <f>IFERROR(__xludf.DUMMYFUNCTION("""COMPUTED_VALUE"""),0.188)</f>
        <v>0.188</v>
      </c>
      <c r="D29" s="2">
        <f>IFERROR(__xludf.DUMMYFUNCTION("""COMPUTED_VALUE"""),0.00144)</f>
        <v>0.00144</v>
      </c>
      <c r="E29" s="2">
        <f>IFERROR(__xludf.DUMMYFUNCTION("""COMPUTED_VALUE"""),87.60000000000001)</f>
        <v>87.6</v>
      </c>
      <c r="F29" s="2">
        <f>IFERROR(__xludf.DUMMYFUNCTION("""COMPUTED_VALUE"""),111.0)</f>
        <v>111</v>
      </c>
      <c r="G29" s="2">
        <f>IFERROR(__xludf.DUMMYFUNCTION("""COMPUTED_VALUE"""),125.0)</f>
        <v>125</v>
      </c>
      <c r="H29" s="2">
        <f>IFERROR(__xludf.DUMMYFUNCTION("""COMPUTED_VALUE"""),145.0)</f>
        <v>145</v>
      </c>
      <c r="I29" s="2">
        <f>IFERROR(__xludf.DUMMYFUNCTION("""COMPUTED_VALUE"""),166.6)</f>
        <v>166.6</v>
      </c>
      <c r="J29" s="2">
        <f>IFERROR(__xludf.DUMMYFUNCTION("""COMPUTED_VALUE"""),83.0)</f>
        <v>83</v>
      </c>
      <c r="K29" s="2">
        <f>IFERROR(__xludf.DUMMYFUNCTION("""COMPUTED_VALUE"""),10.0)</f>
        <v>10</v>
      </c>
      <c r="L29" s="2" t="str">
        <f>IFERROR(__xludf.DUMMYFUNCTION("""COMPUTED_VALUE"""),"Лампа светодиодная LED-T8")</f>
        <v>Лампа светодиодная LED-T8</v>
      </c>
      <c r="M29" s="2" t="str">
        <f>IFERROR(__xludf.DUMMYFUNCTION("""COMPUTED_VALUE"""),"Лампы")</f>
        <v>Лампы</v>
      </c>
    </row>
    <row r="30">
      <c r="A30" s="5" t="str">
        <f>IFERROR(__xludf.DUMMYFUNCTION("""COMPUTED_VALUE"""),"4690612015446")</f>
        <v>4690612015446</v>
      </c>
      <c r="B30" s="5" t="str">
        <f>IFERROR(__xludf.DUMMYFUNCTION("""COMPUTED_VALUE"""),"LED-ШАР-standard 10Вт 230В Е14 3000К 900Лм ASD")</f>
        <v>LED-ШАР-standard 10Вт 230В Е14 3000К 900Лм ASD</v>
      </c>
      <c r="C30" s="2">
        <f>IFERROR(__xludf.DUMMYFUNCTION("""COMPUTED_VALUE"""),0.036)</f>
        <v>0.036</v>
      </c>
      <c r="D30" s="2">
        <f>IFERROR(__xludf.DUMMYFUNCTION("""COMPUTED_VALUE"""),2.3E-4)</f>
        <v>0.00023</v>
      </c>
      <c r="E30" s="2">
        <f>IFERROR(__xludf.DUMMYFUNCTION("""COMPUTED_VALUE"""),48.02)</f>
        <v>48.02</v>
      </c>
      <c r="F30" s="2">
        <f>IFERROR(__xludf.DUMMYFUNCTION("""COMPUTED_VALUE"""),33.0)</f>
        <v>33</v>
      </c>
      <c r="G30" s="2">
        <f>IFERROR(__xludf.DUMMYFUNCTION("""COMPUTED_VALUE"""),37.0)</f>
        <v>37</v>
      </c>
      <c r="H30" s="2">
        <f>IFERROR(__xludf.DUMMYFUNCTION("""COMPUTED_VALUE"""),43.0)</f>
        <v>43</v>
      </c>
      <c r="I30" s="2">
        <f>IFERROR(__xludf.DUMMYFUNCTION("""COMPUTED_VALUE"""),49.9)</f>
        <v>49.9</v>
      </c>
      <c r="J30" s="2">
        <f>IFERROR(__xludf.DUMMYFUNCTION("""COMPUTED_VALUE"""),25.0)</f>
        <v>25</v>
      </c>
      <c r="K30" s="2">
        <f>IFERROR(__xludf.DUMMYFUNCTION("""COMPUTED_VALUE"""),30.0)</f>
        <v>30</v>
      </c>
      <c r="L30" s="2" t="str">
        <f>IFERROR(__xludf.DUMMYFUNCTION("""COMPUTED_VALUE"""),"Лампа светодиодная LED-ШАР-standard")</f>
        <v>Лампа светодиодная LED-ШАР-standard</v>
      </c>
      <c r="M30" s="2" t="str">
        <f>IFERROR(__xludf.DUMMYFUNCTION("""COMPUTED_VALUE"""),"Лампы")</f>
        <v>Лампы</v>
      </c>
    </row>
    <row r="31">
      <c r="A31" s="5" t="str">
        <f>IFERROR(__xludf.DUMMYFUNCTION("""COMPUTED_VALUE"""),"4690612002125")</f>
        <v>4690612002125</v>
      </c>
      <c r="B31" s="5" t="str">
        <f>IFERROR(__xludf.DUMMYFUNCTION("""COMPUTED_VALUE"""),"LED-ШАР-standard 5.0Вт 220В Е14 3000К 400Лм")</f>
        <v>LED-ШАР-standard 5.0Вт 220В Е14 3000К 400Лм</v>
      </c>
      <c r="C31" s="2">
        <f>IFERROR(__xludf.DUMMYFUNCTION("""COMPUTED_VALUE"""),0.029)</f>
        <v>0.029</v>
      </c>
      <c r="D31" s="2">
        <f>IFERROR(__xludf.DUMMYFUNCTION("""COMPUTED_VALUE"""),2.3E-4)</f>
        <v>0.00023</v>
      </c>
      <c r="E31" s="2">
        <f>IFERROR(__xludf.DUMMYFUNCTION("""COMPUTED_VALUE"""),33.58)</f>
        <v>33.58</v>
      </c>
      <c r="F31" s="2">
        <f>IFERROR(__xludf.DUMMYFUNCTION("""COMPUTED_VALUE"""),25.0)</f>
        <v>25</v>
      </c>
      <c r="G31" s="2">
        <f>IFERROR(__xludf.DUMMYFUNCTION("""COMPUTED_VALUE"""),29.0)</f>
        <v>29</v>
      </c>
      <c r="H31" s="2">
        <f>IFERROR(__xludf.DUMMYFUNCTION("""COMPUTED_VALUE"""),33.0)</f>
        <v>33</v>
      </c>
      <c r="I31" s="2">
        <f>IFERROR(__xludf.DUMMYFUNCTION("""COMPUTED_VALUE"""),38.5)</f>
        <v>38.5</v>
      </c>
      <c r="J31" s="2">
        <f>IFERROR(__xludf.DUMMYFUNCTION("""COMPUTED_VALUE"""),19.0)</f>
        <v>19</v>
      </c>
      <c r="K31" s="2">
        <f>IFERROR(__xludf.DUMMYFUNCTION("""COMPUTED_VALUE"""),10.0)</f>
        <v>10</v>
      </c>
      <c r="L31" s="2" t="str">
        <f>IFERROR(__xludf.DUMMYFUNCTION("""COMPUTED_VALUE"""),"Лампа светодиодная LED-ШАР-standard")</f>
        <v>Лампа светодиодная LED-ШАР-standard</v>
      </c>
      <c r="M31" s="2" t="str">
        <f>IFERROR(__xludf.DUMMYFUNCTION("""COMPUTED_VALUE"""),"Лампы")</f>
        <v>Лампы</v>
      </c>
    </row>
    <row r="32">
      <c r="A32" s="5" t="str">
        <f>IFERROR(__xludf.DUMMYFUNCTION("""COMPUTED_VALUE"""),"4690612016597")</f>
        <v>4690612016597</v>
      </c>
      <c r="B32" s="5" t="str">
        <f>IFERROR(__xludf.DUMMYFUNCTION("""COMPUTED_VALUE"""),"Е27-ПВ-deco подвесной с выключателем Бронза IN HOME")</f>
        <v>Е27-ПВ-deco подвесной с выключателем Бронза IN HOME</v>
      </c>
      <c r="C32" s="2">
        <f>IFERROR(__xludf.DUMMYFUNCTION("""COMPUTED_VALUE"""),1.5E-4)</f>
        <v>0.00015</v>
      </c>
      <c r="D32" s="2">
        <f>IFERROR(__xludf.DUMMYFUNCTION("""COMPUTED_VALUE"""),1.5E-4)</f>
        <v>0.00015</v>
      </c>
      <c r="E32" s="2">
        <f>IFERROR(__xludf.DUMMYFUNCTION("""COMPUTED_VALUE"""),221.1)</f>
        <v>221.1</v>
      </c>
      <c r="F32" s="2">
        <f>IFERROR(__xludf.DUMMYFUNCTION("""COMPUTED_VALUE"""),220.0)</f>
        <v>220</v>
      </c>
      <c r="G32" s="2">
        <f>IFERROR(__xludf.DUMMYFUNCTION("""COMPUTED_VALUE"""),248.0)</f>
        <v>248</v>
      </c>
      <c r="H32" s="2">
        <f>IFERROR(__xludf.DUMMYFUNCTION("""COMPUTED_VALUE"""),287.0)</f>
        <v>287</v>
      </c>
      <c r="I32" s="2">
        <f>IFERROR(__xludf.DUMMYFUNCTION("""COMPUTED_VALUE"""),330.0)</f>
        <v>330</v>
      </c>
      <c r="J32" s="2">
        <f>IFERROR(__xludf.DUMMYFUNCTION("""COMPUTED_VALUE"""),165.0)</f>
        <v>165</v>
      </c>
      <c r="K32" s="2">
        <f>IFERROR(__xludf.DUMMYFUNCTION("""COMPUTED_VALUE"""),2.0)</f>
        <v>2</v>
      </c>
      <c r="L32" s="2" t="str">
        <f>IFERROR(__xludf.DUMMYFUNCTION("""COMPUTED_VALUE"""),"ASD электромонтажные изделия")</f>
        <v>ASD электромонтажные изделия</v>
      </c>
      <c r="M32" s="2" t="str">
        <f>IFERROR(__xludf.DUMMYFUNCTION("""COMPUTED_VALUE"""),"Прочие товары")</f>
        <v>Прочие товары</v>
      </c>
    </row>
    <row r="33">
      <c r="A33" s="5" t="str">
        <f>IFERROR(__xludf.DUMMYFUNCTION("""COMPUTED_VALUE"""),"V12008")</f>
        <v>V12008</v>
      </c>
      <c r="B33" s="5" t="str">
        <f>IFERROR(__xludf.DUMMYFUNCTION("""COMPUTED_VALUE"""),"VRN-LME136X78-64-A50K67-K, 64Вт, Консольный")</f>
        <v>VRN-LME136X78-64-A50K67-K, 64Вт, Консольный</v>
      </c>
      <c r="C33" s="2">
        <f>IFERROR(__xludf.DUMMYFUNCTION("""COMPUTED_VALUE"""),0.16)</f>
        <v>0.16</v>
      </c>
      <c r="D33" s="2">
        <f>IFERROR(__xludf.DUMMYFUNCTION("""COMPUTED_VALUE"""),0.00902)</f>
        <v>0.00902</v>
      </c>
      <c r="E33" s="2">
        <f>IFERROR(__xludf.DUMMYFUNCTION("""COMPUTED_VALUE"""),3255.57)</f>
        <v>3255.57</v>
      </c>
      <c r="F33" s="2">
        <f>IFERROR(__xludf.DUMMYFUNCTION("""COMPUTED_VALUE"""),3760.0)</f>
        <v>3760</v>
      </c>
      <c r="G33" s="2">
        <f>IFERROR(__xludf.DUMMYFUNCTION("""COMPUTED_VALUE"""),4888.0)</f>
        <v>4888</v>
      </c>
      <c r="H33" s="2">
        <f>IFERROR(__xludf.DUMMYFUNCTION("""COMPUTED_VALUE"""),5132.0)</f>
        <v>5132</v>
      </c>
      <c r="I33" s="2">
        <f>IFERROR(__xludf.DUMMYFUNCTION("""COMPUTED_VALUE"""),5377.0)</f>
        <v>5377</v>
      </c>
      <c r="J33" s="2">
        <f>IFERROR(__xludf.DUMMYFUNCTION("""COMPUTED_VALUE"""),2689.0)</f>
        <v>2689</v>
      </c>
      <c r="K33" s="2">
        <f>IFERROR(__xludf.DUMMYFUNCTION("""COMPUTED_VALUE"""),5.0)</f>
        <v>5</v>
      </c>
      <c r="L33" s="2" t="str">
        <f>IFERROR(__xludf.DUMMYFUNCTION("""COMPUTED_VALUE"""),"Магистраль Эконом")</f>
        <v>Магистраль Эконом</v>
      </c>
      <c r="M33" s="2" t="str">
        <f>IFERROR(__xludf.DUMMYFUNCTION("""COMPUTED_VALUE"""),"Для автомагистралей, LED Светильники")</f>
        <v>Для автомагистралей, LED Светильники</v>
      </c>
    </row>
    <row r="34">
      <c r="A34" s="5" t="str">
        <f>IFERROR(__xludf.DUMMYFUNCTION("""COMPUTED_VALUE"""),"4690612006789")</f>
        <v>4690612006789</v>
      </c>
      <c r="B34" s="5" t="str">
        <f>IFERROR(__xludf.DUMMYFUNCTION("""COMPUTED_VALUE"""),"LED-СВЕЧА-deco 7Вт 230В Е14 4000К 630Лм матовая IN HOME")</f>
        <v>LED-СВЕЧА-deco 7Вт 230В Е14 4000К 630Лм матовая IN HOME</v>
      </c>
      <c r="C34" s="2">
        <f>IFERROR(__xludf.DUMMYFUNCTION("""COMPUTED_VALUE"""),0.025)</f>
        <v>0.025</v>
      </c>
      <c r="D34" s="2">
        <f>IFERROR(__xludf.DUMMYFUNCTION("""COMPUTED_VALUE"""),2.6E-4)</f>
        <v>0.00026</v>
      </c>
      <c r="E34" s="2">
        <f>IFERROR(__xludf.DUMMYFUNCTION("""COMPUTED_VALUE"""),53.14)</f>
        <v>53.14</v>
      </c>
      <c r="F34" s="2">
        <f>IFERROR(__xludf.DUMMYFUNCTION("""COMPUTED_VALUE"""),53.0)</f>
        <v>53</v>
      </c>
      <c r="G34" s="2">
        <f>IFERROR(__xludf.DUMMYFUNCTION("""COMPUTED_VALUE"""),60.0)</f>
        <v>60</v>
      </c>
      <c r="H34" s="2">
        <f>IFERROR(__xludf.DUMMYFUNCTION("""COMPUTED_VALUE"""),70.0)</f>
        <v>70</v>
      </c>
      <c r="I34" s="2">
        <f>IFERROR(__xludf.DUMMYFUNCTION("""COMPUTED_VALUE"""),80.5)</f>
        <v>80.5</v>
      </c>
      <c r="J34" s="2">
        <f>IFERROR(__xludf.DUMMYFUNCTION("""COMPUTED_VALUE"""),40.0)</f>
        <v>40</v>
      </c>
      <c r="K34" s="2">
        <f>IFERROR(__xludf.DUMMYFUNCTION("""COMPUTED_VALUE"""),1.0)</f>
        <v>1</v>
      </c>
      <c r="L34" s="2" t="str">
        <f>IFERROR(__xludf.DUMMYFUNCTION("""COMPUTED_VALUE"""),"Лампа светодиодная LED-СВЕЧА-DECO")</f>
        <v>Лампа светодиодная LED-СВЕЧА-DECO</v>
      </c>
      <c r="M34" s="2" t="str">
        <f>IFERROR(__xludf.DUMMYFUNCTION("""COMPUTED_VALUE"""),"Лампы")</f>
        <v>Лампы</v>
      </c>
    </row>
    <row r="35">
      <c r="A35" s="5" t="str">
        <f>IFERROR(__xludf.DUMMYFUNCTION("""COMPUTED_VALUE"""),"G101505205-10")</f>
        <v>G101505205-10</v>
      </c>
      <c r="B35" s="5" t="str">
        <f>IFERROR(__xludf.DUMMYFUNCTION("""COMPUTED_VALUE"""),"10 шт. Лампа MR16 GU5.3 5W 4100K 1/10/100 (Комплект 10 шт)")</f>
        <v>10 шт. Лампа MR16 GU5.3 5W 4100K 1/10/100 (Комплект 10 шт)</v>
      </c>
      <c r="C35" s="2">
        <f>IFERROR(__xludf.DUMMYFUNCTION("""COMPUTED_VALUE"""),0.04)</f>
        <v>0.04</v>
      </c>
      <c r="D35" s="2">
        <f>IFERROR(__xludf.DUMMYFUNCTION("""COMPUTED_VALUE"""),0.0)</f>
        <v>0</v>
      </c>
      <c r="E35" s="2">
        <f>IFERROR(__xludf.DUMMYFUNCTION("""COMPUTED_VALUE"""),664.1)</f>
        <v>664.1</v>
      </c>
      <c r="F35" s="2">
        <f>IFERROR(__xludf.DUMMYFUNCTION("""COMPUTED_VALUE"""),729.0)</f>
        <v>729</v>
      </c>
      <c r="G35" s="2">
        <f>IFERROR(__xludf.DUMMYFUNCTION("""COMPUTED_VALUE"""),956.0)</f>
        <v>956</v>
      </c>
      <c r="H35" s="2">
        <f>IFERROR(__xludf.DUMMYFUNCTION("""COMPUTED_VALUE"""),1076.0)</f>
        <v>1076</v>
      </c>
      <c r="I35" s="2">
        <f>IFERROR(__xludf.DUMMYFUNCTION("""COMPUTED_VALUE"""),1195.0)</f>
        <v>1195</v>
      </c>
      <c r="J35" s="2">
        <f>IFERROR(__xludf.DUMMYFUNCTION("""COMPUTED_VALUE"""),598.0)</f>
        <v>598</v>
      </c>
      <c r="K35" s="2">
        <f>IFERROR(__xludf.DUMMYFUNCTION("""COMPUTED_VALUE"""),7.0)</f>
        <v>7</v>
      </c>
      <c r="L35" s="2" t="str">
        <f>IFERROR(__xludf.DUMMYFUNCTION("""COMPUTED_VALUE"""),"Лампы производство, упаковка")</f>
        <v>Лампы производство, упаковка</v>
      </c>
      <c r="M35" s="2" t="str">
        <f>IFERROR(__xludf.DUMMYFUNCTION("""COMPUTED_VALUE"""),"Лампы")</f>
        <v>Лампы</v>
      </c>
    </row>
    <row r="36">
      <c r="A36" s="5" t="str">
        <f>IFERROR(__xludf.DUMMYFUNCTION("""COMPUTED_VALUE"""),"4690612035765")</f>
        <v>4690612035765</v>
      </c>
      <c r="B36" s="5" t="str">
        <f>IFERROR(__xludf.DUMMYFUNCTION("""COMPUTED_VALUE"""),"GEO LOTOS 120Вт 230В 3000-6500К 8400Лм 500x60мм с пультом ДУ IN HOME")</f>
        <v>GEO LOTOS 120Вт 230В 3000-6500К 8400Лм 500x60мм с пультом ДУ IN HOME</v>
      </c>
      <c r="C36" s="2">
        <f>IFERROR(__xludf.DUMMYFUNCTION("""COMPUTED_VALUE"""),3.4)</f>
        <v>3.4</v>
      </c>
      <c r="D36" s="2">
        <f>IFERROR(__xludf.DUMMYFUNCTION("""COMPUTED_VALUE"""),0.028)</f>
        <v>0.028</v>
      </c>
      <c r="E36" s="2">
        <f>IFERROR(__xludf.DUMMYFUNCTION("""COMPUTED_VALUE"""),2092.0)</f>
        <v>2092</v>
      </c>
      <c r="F36" s="2">
        <f>IFERROR(__xludf.DUMMYFUNCTION("""COMPUTED_VALUE"""),3517.0)</f>
        <v>3517</v>
      </c>
      <c r="G36" s="2">
        <f>IFERROR(__xludf.DUMMYFUNCTION("""COMPUTED_VALUE"""),3956.0)</f>
        <v>3956</v>
      </c>
      <c r="H36" s="2">
        <f>IFERROR(__xludf.DUMMYFUNCTION("""COMPUTED_VALUE"""),4589.0)</f>
        <v>4589</v>
      </c>
      <c r="I36" s="2">
        <f>IFERROR(__xludf.DUMMYFUNCTION("""COMPUTED_VALUE"""),5275.0)</f>
        <v>5275</v>
      </c>
      <c r="J36" s="2">
        <f>IFERROR(__xludf.DUMMYFUNCTION("""COMPUTED_VALUE"""),5275.0)</f>
        <v>5275</v>
      </c>
      <c r="K36" s="2">
        <f>IFERROR(__xludf.DUMMYFUNCTION("""COMPUTED_VALUE"""),1.0)</f>
        <v>1</v>
      </c>
      <c r="L36" s="2" t="str">
        <f>IFERROR(__xludf.DUMMYFUNCTION("""COMPUTED_VALUE"""),"Светильники светодиодные GEO")</f>
        <v>Светильники светодиодные GEO</v>
      </c>
      <c r="M36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37">
      <c r="A37" s="5" t="str">
        <f>IFERROR(__xludf.DUMMYFUNCTION("""COMPUTED_VALUE"""),"4690612038179-2")</f>
        <v>4690612038179-2</v>
      </c>
      <c r="B37" s="5" t="str">
        <f>IFERROR(__xludf.DUMMYFUNCTION("""COMPUTED_VALUE"""),"ДВО-02 3665-ПРИЗМА 36Вт 230В 6500К 4020Лм 110Лм/Вт 595х595х19 NEOX (2 шт в упак.)")</f>
        <v>ДВО-02 3665-ПРИЗМА 36Вт 230В 6500К 4020Лм 110Лм/Вт 595х595х19 NEOX (2 шт в упак.)</v>
      </c>
      <c r="C37" s="2">
        <f>IFERROR(__xludf.DUMMYFUNCTION("""COMPUTED_VALUE"""),1.29)</f>
        <v>1.29</v>
      </c>
      <c r="D37" s="2">
        <f>IFERROR(__xludf.DUMMYFUNCTION("""COMPUTED_VALUE"""),0.0)</f>
        <v>0</v>
      </c>
      <c r="E37" s="2">
        <f>IFERROR(__xludf.DUMMYFUNCTION("""COMPUTED_VALUE"""),1011.44)</f>
        <v>1011.44</v>
      </c>
      <c r="F37" s="2">
        <f>IFERROR(__xludf.DUMMYFUNCTION("""COMPUTED_VALUE"""),1110.0)</f>
        <v>1110</v>
      </c>
      <c r="G37" s="2">
        <f>IFERROR(__xludf.DUMMYFUNCTION("""COMPUTED_VALUE"""),1457.0)</f>
        <v>1457</v>
      </c>
      <c r="H37" s="2">
        <f>IFERROR(__xludf.DUMMYFUNCTION("""COMPUTED_VALUE"""),1639.0)</f>
        <v>1639</v>
      </c>
      <c r="I37" s="2">
        <f>IFERROR(__xludf.DUMMYFUNCTION("""COMPUTED_VALUE"""),1821.0)</f>
        <v>1821</v>
      </c>
      <c r="J37" s="2">
        <f>IFERROR(__xludf.DUMMYFUNCTION("""COMPUTED_VALUE"""),911.0)</f>
        <v>911</v>
      </c>
      <c r="K37" s="2">
        <f>IFERROR(__xludf.DUMMYFUNCTION("""COMPUTED_VALUE"""),4.0)</f>
        <v>4</v>
      </c>
      <c r="L37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37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38">
      <c r="A38" s="5" t="str">
        <f>IFERROR(__xludf.DUMMYFUNCTION("""COMPUTED_VALUE"""),"4690612051970")</f>
        <v>4690612051970</v>
      </c>
      <c r="B38" s="5" t="str">
        <f>IFERROR(__xludf.DUMMYFUNCTION("""COMPUTED_VALUE"""),"ДБУ TWIN-1030BL 10Вт 3000К IP54 черный IN HOME")</f>
        <v>ДБУ TWIN-1030BL 10Вт 3000К IP54 черный IN HOME</v>
      </c>
      <c r="C38" s="2">
        <f>IFERROR(__xludf.DUMMYFUNCTION("""COMPUTED_VALUE"""),0.343)</f>
        <v>0.343</v>
      </c>
      <c r="D38" s="2">
        <f>IFERROR(__xludf.DUMMYFUNCTION("""COMPUTED_VALUE"""),0.00132)</f>
        <v>0.00132</v>
      </c>
      <c r="E38" s="2">
        <f>IFERROR(__xludf.DUMMYFUNCTION("""COMPUTED_VALUE"""),478.2)</f>
        <v>478.2</v>
      </c>
      <c r="F38" s="2">
        <f>IFERROR(__xludf.DUMMYFUNCTION("""COMPUTED_VALUE"""),527.0)</f>
        <v>527</v>
      </c>
      <c r="G38" s="2">
        <f>IFERROR(__xludf.DUMMYFUNCTION("""COMPUTED_VALUE"""),593.0)</f>
        <v>593</v>
      </c>
      <c r="H38" s="2">
        <f>IFERROR(__xludf.DUMMYFUNCTION("""COMPUTED_VALUE"""),688.0)</f>
        <v>688</v>
      </c>
      <c r="I38" s="2">
        <f>IFERROR(__xludf.DUMMYFUNCTION("""COMPUTED_VALUE"""),791.0)</f>
        <v>791</v>
      </c>
      <c r="J38" s="2">
        <f>IFERROR(__xludf.DUMMYFUNCTION("""COMPUTED_VALUE"""),396.0)</f>
        <v>396</v>
      </c>
      <c r="K38" s="2">
        <f>IFERROR(__xludf.DUMMYFUNCTION("""COMPUTED_VALUE"""),1.0)</f>
        <v>1</v>
      </c>
      <c r="L38" s="2" t="str">
        <f>IFERROR(__xludf.DUMMYFUNCTION("""COMPUTED_VALUE"""),"Светильники светодиодные уличные ДБУ")</f>
        <v>Светильники светодиодные уличные ДБУ</v>
      </c>
      <c r="M38" s="2" t="str">
        <f>IFERROR(__xludf.DUMMYFUNCTION("""COMPUTED_VALUE"""),"Садово-парковые, ландшафтные, LED Светильники")</f>
        <v>Садово-парковые, ландшафтные, LED Светильники</v>
      </c>
    </row>
    <row r="39">
      <c r="A39" s="5" t="str">
        <f>IFERROR(__xludf.DUMMYFUNCTION("""COMPUTED_VALUE"""),"4260652193512")</f>
        <v>4260652193512</v>
      </c>
      <c r="B39" s="5" t="str">
        <f>IFERROR(__xludf.DUMMYFUNCTION("""COMPUTED_VALUE"""),"LCL04-18W-R11-4K-SOA")</f>
        <v>LCL04-18W-R11-4K-SOA</v>
      </c>
      <c r="C39" s="2">
        <f>IFERROR(__xludf.DUMMYFUNCTION("""COMPUTED_VALUE"""),0.149)</f>
        <v>0.149</v>
      </c>
      <c r="D39" s="2">
        <f>IFERROR(__xludf.DUMMYFUNCTION("""COMPUTED_VALUE"""),0.043)</f>
        <v>0.043</v>
      </c>
      <c r="E39" s="2">
        <f>IFERROR(__xludf.DUMMYFUNCTION("""COMPUTED_VALUE"""),402.82)</f>
        <v>402.82</v>
      </c>
      <c r="F39" s="2">
        <f>IFERROR(__xludf.DUMMYFUNCTION("""COMPUTED_VALUE"""),417.0)</f>
        <v>417</v>
      </c>
      <c r="G39" s="2">
        <f>IFERROR(__xludf.DUMMYFUNCTION("""COMPUTED_VALUE"""),431.0)</f>
        <v>431</v>
      </c>
      <c r="H39" s="2">
        <f>IFERROR(__xludf.DUMMYFUNCTION("""COMPUTED_VALUE"""),565.0)</f>
        <v>565</v>
      </c>
      <c r="I39" s="2">
        <f>IFERROR(__xludf.DUMMYFUNCTION("""COMPUTED_VALUE"""),707.0)</f>
        <v>707</v>
      </c>
      <c r="J39" s="2">
        <f>IFERROR(__xludf.DUMMYFUNCTION("""COMPUTED_VALUE"""),354.0)</f>
        <v>354</v>
      </c>
      <c r="K39" s="2">
        <f>IFERROR(__xludf.DUMMYFUNCTION("""COMPUTED_VALUE"""),41.0)</f>
        <v>41</v>
      </c>
      <c r="L39" s="2" t="str">
        <f>IFERROR(__xludf.DUMMYFUNCTION("""COMPUTED_VALUE"""),"Wolta ЖКХ")</f>
        <v>Wolta ЖКХ</v>
      </c>
      <c r="M39" s="2" t="str">
        <f>IFERROR(__xludf.DUMMYFUNCTION("""COMPUTED_VALUE"""),"Для ЖКХ, дома, дачи, LED Светильники")</f>
        <v>Для ЖКХ, дома, дачи, LED Светильники</v>
      </c>
    </row>
    <row r="40">
      <c r="A40" s="5" t="str">
        <f>IFERROR(__xludf.DUMMYFUNCTION("""COMPUTED_VALUE"""),"4690612020747-10")</f>
        <v>4690612020747-10</v>
      </c>
      <c r="B40" s="5" t="str">
        <f>IFERROR(__xludf.DUMMYFUNCTION("""COMPUTED_VALUE"""),"10 шт. Лампа LED-GX53-VC 8Вт 230В 6500К 760Лм IN HOME (Комплект 10 шт)")</f>
        <v>10 шт. Лампа LED-GX53-VC 8Вт 230В 6500К 760Лм IN HOME (Комплект 10 шт)</v>
      </c>
      <c r="C40" s="2">
        <f>IFERROR(__xludf.DUMMYFUNCTION("""COMPUTED_VALUE"""),0.04)</f>
        <v>0.04</v>
      </c>
      <c r="D40" s="2">
        <f>IFERROR(__xludf.DUMMYFUNCTION("""COMPUTED_VALUE"""),0.0021)</f>
        <v>0.0021</v>
      </c>
      <c r="E40" s="2">
        <f>IFERROR(__xludf.DUMMYFUNCTION("""COMPUTED_VALUE"""),390.0)</f>
        <v>390</v>
      </c>
      <c r="F40" s="2">
        <f>IFERROR(__xludf.DUMMYFUNCTION("""COMPUTED_VALUE"""),428.0)</f>
        <v>428</v>
      </c>
      <c r="G40" s="2">
        <f>IFERROR(__xludf.DUMMYFUNCTION("""COMPUTED_VALUE"""),562.0)</f>
        <v>562</v>
      </c>
      <c r="H40" s="2">
        <f>IFERROR(__xludf.DUMMYFUNCTION("""COMPUTED_VALUE"""),632.0)</f>
        <v>632</v>
      </c>
      <c r="I40" s="2">
        <f>IFERROR(__xludf.DUMMYFUNCTION("""COMPUTED_VALUE"""),702.0)</f>
        <v>702</v>
      </c>
      <c r="J40" s="2">
        <f>IFERROR(__xludf.DUMMYFUNCTION("""COMPUTED_VALUE"""),351.0)</f>
        <v>351</v>
      </c>
      <c r="K40" s="2">
        <f>IFERROR(__xludf.DUMMYFUNCTION("""COMPUTED_VALUE"""),10.0)</f>
        <v>10</v>
      </c>
      <c r="L40" s="2" t="str">
        <f>IFERROR(__xludf.DUMMYFUNCTION("""COMPUTED_VALUE"""),"Лампы производство, упаковка")</f>
        <v>Лампы производство, упаковка</v>
      </c>
      <c r="M40" s="2" t="str">
        <f>IFERROR(__xludf.DUMMYFUNCTION("""COMPUTED_VALUE"""),"Лампы")</f>
        <v>Лампы</v>
      </c>
    </row>
    <row r="41">
      <c r="A41" s="5" t="str">
        <f>IFERROR(__xludf.DUMMYFUNCTION("""COMPUTED_VALUE"""),"4690612024691")</f>
        <v>4690612024691</v>
      </c>
      <c r="B41" s="5" t="str">
        <f>IFERROR(__xludf.DUMMYFUNCTION("""COMPUTED_VALUE"""),"LED-HP-PRO 40Вт 230В Е27 с адаптером E40 4000К 3600Лм ASD")</f>
        <v>LED-HP-PRO 40Вт 230В Е27 с адаптером E40 4000К 3600Лм ASD</v>
      </c>
      <c r="C41" s="2">
        <f>IFERROR(__xludf.DUMMYFUNCTION("""COMPUTED_VALUE"""),0.31)</f>
        <v>0.31</v>
      </c>
      <c r="D41" s="2">
        <f>IFERROR(__xludf.DUMMYFUNCTION("""COMPUTED_VALUE"""),0.00395)</f>
        <v>0.00395</v>
      </c>
      <c r="E41" s="2">
        <f>IFERROR(__xludf.DUMMYFUNCTION("""COMPUTED_VALUE"""),174.2)</f>
        <v>174.2</v>
      </c>
      <c r="F41" s="2">
        <f>IFERROR(__xludf.DUMMYFUNCTION("""COMPUTED_VALUE"""),173.0)</f>
        <v>173</v>
      </c>
      <c r="G41" s="2">
        <f>IFERROR(__xludf.DUMMYFUNCTION("""COMPUTED_VALUE"""),195.0)</f>
        <v>195</v>
      </c>
      <c r="H41" s="2">
        <f>IFERROR(__xludf.DUMMYFUNCTION("""COMPUTED_VALUE"""),226.0)</f>
        <v>226</v>
      </c>
      <c r="I41" s="2">
        <f>IFERROR(__xludf.DUMMYFUNCTION("""COMPUTED_VALUE"""),260.5)</f>
        <v>260.5</v>
      </c>
      <c r="J41" s="2">
        <f>IFERROR(__xludf.DUMMYFUNCTION("""COMPUTED_VALUE"""),130.0)</f>
        <v>130</v>
      </c>
      <c r="K41" s="2">
        <f>IFERROR(__xludf.DUMMYFUNCTION("""COMPUTED_VALUE"""),1.0)</f>
        <v>1</v>
      </c>
      <c r="L41" s="2" t="str">
        <f>IFERROR(__xludf.DUMMYFUNCTION("""COMPUTED_VALUE"""),"Лампа светодиодная HP PRO")</f>
        <v>Лампа светодиодная HP PRO</v>
      </c>
      <c r="M41" s="2" t="str">
        <f>IFERROR(__xludf.DUMMYFUNCTION("""COMPUTED_VALUE"""),"Лампы")</f>
        <v>Лампы</v>
      </c>
    </row>
    <row r="42">
      <c r="A42" s="5" t="str">
        <f>IFERROR(__xludf.DUMMYFUNCTION("""COMPUTED_VALUE"""),"4690612020747")</f>
        <v>4690612020747</v>
      </c>
      <c r="B42" s="5" t="str">
        <f>IFERROR(__xludf.DUMMYFUNCTION("""COMPUTED_VALUE"""),"LED-GX53-VC 8Вт 230В 6500К 760Лм IN HOME")</f>
        <v>LED-GX53-VC 8Вт 230В 6500К 760Лм IN HOME</v>
      </c>
      <c r="C42" s="2">
        <f>IFERROR(__xludf.DUMMYFUNCTION("""COMPUTED_VALUE"""),0.035)</f>
        <v>0.035</v>
      </c>
      <c r="D42" s="2">
        <f>IFERROR(__xludf.DUMMYFUNCTION("""COMPUTED_VALUE"""),2.1E-4)</f>
        <v>0.00021</v>
      </c>
      <c r="E42" s="2">
        <f>IFERROR(__xludf.DUMMYFUNCTION("""COMPUTED_VALUE"""),39.0)</f>
        <v>39</v>
      </c>
      <c r="F42" s="2">
        <f>IFERROR(__xludf.DUMMYFUNCTION("""COMPUTED_VALUE"""),43.0)</f>
        <v>43</v>
      </c>
      <c r="G42" s="2">
        <f>IFERROR(__xludf.DUMMYFUNCTION("""COMPUTED_VALUE"""),49.0)</f>
        <v>49</v>
      </c>
      <c r="H42" s="2">
        <f>IFERROR(__xludf.DUMMYFUNCTION("""COMPUTED_VALUE"""),57.0)</f>
        <v>57</v>
      </c>
      <c r="I42" s="2">
        <f>IFERROR(__xludf.DUMMYFUNCTION("""COMPUTED_VALUE"""),65.6)</f>
        <v>65.6</v>
      </c>
      <c r="J42" s="2">
        <f>IFERROR(__xludf.DUMMYFUNCTION("""COMPUTED_VALUE"""),33.0)</f>
        <v>33</v>
      </c>
      <c r="K42" s="2">
        <f>IFERROR(__xludf.DUMMYFUNCTION("""COMPUTED_VALUE"""),3.0)</f>
        <v>3</v>
      </c>
      <c r="L42" s="2" t="str">
        <f>IFERROR(__xludf.DUMMYFUNCTION("""COMPUTED_VALUE"""),"Лампа светодиодная LED-GX53-standard")</f>
        <v>Лампа светодиодная LED-GX53-standard</v>
      </c>
      <c r="M42" s="2" t="str">
        <f>IFERROR(__xludf.DUMMYFUNCTION("""COMPUTED_VALUE"""),"Лампы")</f>
        <v>Лампы</v>
      </c>
    </row>
    <row r="43">
      <c r="A43" s="5" t="str">
        <f>IFERROR(__xludf.DUMMYFUNCTION("""COMPUTED_VALUE"""),"4690612024028")</f>
        <v>4690612024028</v>
      </c>
      <c r="B43" s="5" t="str">
        <f>IFERROR(__xludf.DUMMYFUNCTION("""COMPUTED_VALUE"""),"LED-A60-VC 8Вт 230В Е27 4000К 760Лм IN HOME")</f>
        <v>LED-A60-VC 8Вт 230В Е27 4000К 760Лм IN HOME</v>
      </c>
      <c r="C43" s="2">
        <f>IFERROR(__xludf.DUMMYFUNCTION("""COMPUTED_VALUE"""),0.05500000000000001)</f>
        <v>0.055</v>
      </c>
      <c r="D43" s="2">
        <f>IFERROR(__xludf.DUMMYFUNCTION("""COMPUTED_VALUE"""),4.0E-4)</f>
        <v>0.0004</v>
      </c>
      <c r="E43" s="2">
        <f>IFERROR(__xludf.DUMMYFUNCTION("""COMPUTED_VALUE"""),38.4)</f>
        <v>38.4</v>
      </c>
      <c r="F43" s="2">
        <f>IFERROR(__xludf.DUMMYFUNCTION("""COMPUTED_VALUE"""),39.0)</f>
        <v>39</v>
      </c>
      <c r="G43" s="2">
        <f>IFERROR(__xludf.DUMMYFUNCTION("""COMPUTED_VALUE"""),44.0)</f>
        <v>44</v>
      </c>
      <c r="H43" s="2">
        <f>IFERROR(__xludf.DUMMYFUNCTION("""COMPUTED_VALUE"""),50.0)</f>
        <v>50</v>
      </c>
      <c r="I43" s="2">
        <f>IFERROR(__xludf.DUMMYFUNCTION("""COMPUTED_VALUE"""),58.5)</f>
        <v>58.5</v>
      </c>
      <c r="J43" s="2">
        <f>IFERROR(__xludf.DUMMYFUNCTION("""COMPUTED_VALUE"""),29.0)</f>
        <v>29</v>
      </c>
      <c r="K43" s="2">
        <f>IFERROR(__xludf.DUMMYFUNCTION("""COMPUTED_VALUE"""),4.0)</f>
        <v>4</v>
      </c>
      <c r="L43" s="2" t="str">
        <f>IFERROR(__xludf.DUMMYFUNCTION("""COMPUTED_VALUE"""),"Лампа светодиодная LED-A60-standard")</f>
        <v>Лампа светодиодная LED-A60-standard</v>
      </c>
      <c r="M43" s="2" t="str">
        <f>IFERROR(__xludf.DUMMYFUNCTION("""COMPUTED_VALUE"""),"Лампы")</f>
        <v>Лампы</v>
      </c>
    </row>
    <row r="44">
      <c r="A44" s="5" t="str">
        <f>IFERROR(__xludf.DUMMYFUNCTION("""COMPUTED_VALUE"""),"4690612020327")</f>
        <v>4690612020327</v>
      </c>
      <c r="B44" s="5" t="str">
        <f>IFERROR(__xludf.DUMMYFUNCTION("""COMPUTED_VALUE"""),"LED-JCDR-VC 8Вт 230В GU5.3 3000К 720Лм IN HOME")</f>
        <v>LED-JCDR-VC 8Вт 230В GU5.3 3000К 720Лм IN HOME</v>
      </c>
      <c r="C44" s="2">
        <f>IFERROR(__xludf.DUMMYFUNCTION("""COMPUTED_VALUE"""),0.03)</f>
        <v>0.03</v>
      </c>
      <c r="D44" s="2">
        <f>IFERROR(__xludf.DUMMYFUNCTION("""COMPUTED_VALUE"""),2.1E-4)</f>
        <v>0.00021</v>
      </c>
      <c r="E44" s="2">
        <f>IFERROR(__xludf.DUMMYFUNCTION("""COMPUTED_VALUE"""),33.6)</f>
        <v>33.6</v>
      </c>
      <c r="F44" s="2">
        <f>IFERROR(__xludf.DUMMYFUNCTION("""COMPUTED_VALUE"""),45.0)</f>
        <v>45</v>
      </c>
      <c r="G44" s="2">
        <f>IFERROR(__xludf.DUMMYFUNCTION("""COMPUTED_VALUE"""),50.0)</f>
        <v>50</v>
      </c>
      <c r="H44" s="2">
        <f>IFERROR(__xludf.DUMMYFUNCTION("""COMPUTED_VALUE"""),58.0)</f>
        <v>58</v>
      </c>
      <c r="I44" s="2">
        <f>IFERROR(__xludf.DUMMYFUNCTION("""COMPUTED_VALUE"""),67.6)</f>
        <v>67.6</v>
      </c>
      <c r="J44" s="2">
        <f>IFERROR(__xludf.DUMMYFUNCTION("""COMPUTED_VALUE"""),34.0)</f>
        <v>34</v>
      </c>
      <c r="K44" s="2">
        <f>IFERROR(__xludf.DUMMYFUNCTION("""COMPUTED_VALUE"""),64.0)</f>
        <v>64</v>
      </c>
      <c r="L44" s="2" t="str">
        <f>IFERROR(__xludf.DUMMYFUNCTION("""COMPUTED_VALUE"""),"Лампа светодиодная LED-JCDR-standard")</f>
        <v>Лампа светодиодная LED-JCDR-standard</v>
      </c>
      <c r="M44" s="2" t="str">
        <f>IFERROR(__xludf.DUMMYFUNCTION("""COMPUTED_VALUE"""),"Лампы")</f>
        <v>Лампы</v>
      </c>
    </row>
    <row r="45">
      <c r="A45" s="5" t="str">
        <f>IFERROR(__xludf.DUMMYFUNCTION("""COMPUTED_VALUE"""),"XRUN073")</f>
        <v>XRUN073</v>
      </c>
      <c r="B45" s="5" t="str">
        <f>IFERROR(__xludf.DUMMYFUNCTION("""COMPUTED_VALUE"""),"Панель светодиодная 36Вт 4000К")</f>
        <v>Панель светодиодная 36Вт 4000К</v>
      </c>
      <c r="C45" s="2">
        <f>IFERROR(__xludf.DUMMYFUNCTION("""COMPUTED_VALUE"""),0.0)</f>
        <v>0</v>
      </c>
      <c r="D45" s="2">
        <f>IFERROR(__xludf.DUMMYFUNCTION("""COMPUTED_VALUE"""),0.0)</f>
        <v>0</v>
      </c>
      <c r="E45" s="2">
        <f>IFERROR(__xludf.DUMMYFUNCTION("""COMPUTED_VALUE"""),427.77)</f>
        <v>427.77</v>
      </c>
      <c r="F45" s="2">
        <f>IFERROR(__xludf.DUMMYFUNCTION("""COMPUTED_VALUE"""),664.0)</f>
        <v>664</v>
      </c>
      <c r="G45" s="2">
        <f>IFERROR(__xludf.DUMMYFUNCTION("""COMPUTED_VALUE"""),708.0)</f>
        <v>708</v>
      </c>
      <c r="H45" s="2">
        <f>IFERROR(__xludf.DUMMYFUNCTION("""COMPUTED_VALUE"""),796.0)</f>
        <v>796</v>
      </c>
      <c r="I45" s="2">
        <f>IFERROR(__xludf.DUMMYFUNCTION("""COMPUTED_VALUE"""),884.86)</f>
        <v>884.86</v>
      </c>
      <c r="J45" s="2">
        <f>IFERROR(__xludf.DUMMYFUNCTION("""COMPUTED_VALUE"""),428.0)</f>
        <v>428</v>
      </c>
      <c r="K45" s="2">
        <f>IFERROR(__xludf.DUMMYFUNCTION("""COMPUTED_VALUE"""),1.0)</f>
        <v>1</v>
      </c>
      <c r="L45" s="2" t="str">
        <f>IFERROR(__xludf.DUMMYFUNCTION("""COMPUTED_VALUE"""),"XRUM(тендеры)")</f>
        <v>XRUM(тендеры)</v>
      </c>
      <c r="M45" s="2" t="str">
        <f>IFERROR(__xludf.DUMMYFUNCTION("""COMPUTED_VALUE"""),"LED Светильники")</f>
        <v>LED Светильники</v>
      </c>
    </row>
    <row r="46">
      <c r="A46" s="5" t="str">
        <f>IFERROR(__xludf.DUMMYFUNCTION("""COMPUTED_VALUE"""),"4690612012193")</f>
        <v>4690612012193</v>
      </c>
      <c r="B46" s="5" t="str">
        <f>IFERROR(__xludf.DUMMYFUNCTION("""COMPUTED_VALUE"""),"GX53S-standard RW металл под лампу GX53 230В белый IN HOME")</f>
        <v>GX53S-standard RW металл под лампу GX53 230В белый IN HOME</v>
      </c>
      <c r="C46" s="2">
        <f>IFERROR(__xludf.DUMMYFUNCTION("""COMPUTED_VALUE"""),0.08700000000000001)</f>
        <v>0.087</v>
      </c>
      <c r="D46" s="2">
        <f>IFERROR(__xludf.DUMMYFUNCTION("""COMPUTED_VALUE"""),3.2E-4)</f>
        <v>0.00032</v>
      </c>
      <c r="E46" s="2">
        <f>IFERROR(__xludf.DUMMYFUNCTION("""COMPUTED_VALUE"""),63.35)</f>
        <v>63.35</v>
      </c>
      <c r="F46" s="2">
        <f>IFERROR(__xludf.DUMMYFUNCTION("""COMPUTED_VALUE"""),93.0)</f>
        <v>93</v>
      </c>
      <c r="G46" s="2">
        <f>IFERROR(__xludf.DUMMYFUNCTION("""COMPUTED_VALUE"""),104.0)</f>
        <v>104</v>
      </c>
      <c r="H46" s="2">
        <f>IFERROR(__xludf.DUMMYFUNCTION("""COMPUTED_VALUE"""),121.0)</f>
        <v>121</v>
      </c>
      <c r="I46" s="2">
        <f>IFERROR(__xludf.DUMMYFUNCTION("""COMPUTED_VALUE"""),139.0)</f>
        <v>139</v>
      </c>
      <c r="J46" s="2">
        <f>IFERROR(__xludf.DUMMYFUNCTION("""COMPUTED_VALUE"""),63.0)</f>
        <v>63</v>
      </c>
      <c r="K46" s="2">
        <f>IFERROR(__xludf.DUMMYFUNCTION("""COMPUTED_VALUE"""),29.0)</f>
        <v>29</v>
      </c>
      <c r="L46" s="2" t="str">
        <f>IFERROR(__xludf.DUMMYFUNCTION("""COMPUTED_VALUE"""),"Накладной по лампу GX53")</f>
        <v>Накладной по лампу GX53</v>
      </c>
      <c r="M46" s="2" t="str">
        <f>IFERROR(__xludf.DUMMYFUNCTION("""COMPUTED_VALUE"""),"Светильники общего назначения (LED), Накладные, Ламповые светильники")</f>
        <v>Светильники общего назначения (LED), Накладные, Ламповые светильники</v>
      </c>
    </row>
    <row r="47">
      <c r="A47" s="5" t="str">
        <f>IFERROR(__xludf.DUMMYFUNCTION("""COMPUTED_VALUE"""),"GL8140")</f>
        <v>GL8140</v>
      </c>
      <c r="B47" s="5" t="str">
        <f>IFERROR(__xludf.DUMMYFUNCTION("""COMPUTED_VALUE"""),"GLERIO Office Special 24 Вт 4000К 82P-24D-4V-M")</f>
        <v>GLERIO Office Special 24 Вт 4000К 82P-24D-4V-M</v>
      </c>
      <c r="C47" s="2">
        <f>IFERROR(__xludf.DUMMYFUNCTION("""COMPUTED_VALUE"""),1.04)</f>
        <v>1.04</v>
      </c>
      <c r="D47" s="2">
        <f>IFERROR(__xludf.DUMMYFUNCTION("""COMPUTED_VALUE"""),0.008190000000000001)</f>
        <v>0.00819</v>
      </c>
      <c r="E47" s="2">
        <f>IFERROR(__xludf.DUMMYFUNCTION("""COMPUTED_VALUE"""),1436.39)</f>
        <v>1436.39</v>
      </c>
      <c r="F47" s="2">
        <f>IFERROR(__xludf.DUMMYFUNCTION("""COMPUTED_VALUE"""),1700.0)</f>
        <v>1700</v>
      </c>
      <c r="G47" s="2">
        <f>IFERROR(__xludf.DUMMYFUNCTION("""COMPUTED_VALUE"""),2140.0)</f>
        <v>2140</v>
      </c>
      <c r="H47" s="2">
        <f>IFERROR(__xludf.DUMMYFUNCTION("""COMPUTED_VALUE"""),2404.0)</f>
        <v>2404</v>
      </c>
      <c r="I47" s="2">
        <f>IFERROR(__xludf.DUMMYFUNCTION("""COMPUTED_VALUE"""),2667.0)</f>
        <v>2667</v>
      </c>
      <c r="J47" s="2">
        <f>IFERROR(__xludf.DUMMYFUNCTION("""COMPUTED_VALUE"""),2667.0)</f>
        <v>2667</v>
      </c>
      <c r="K47" s="2">
        <f>IFERROR(__xludf.DUMMYFUNCTION("""COMPUTED_VALUE"""),21.0)</f>
        <v>21</v>
      </c>
      <c r="L47" s="2" t="str">
        <f>IFERROR(__xludf.DUMMYFUNCTION("""COMPUTED_VALUE"""),"Office Special (Офис Премиум) до 10.2025")</f>
        <v>Office Special (Офис Премиум) до 10.2025</v>
      </c>
      <c r="M47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48">
      <c r="A48" s="5" t="str">
        <f>IFERROR(__xludf.DUMMYFUNCTION("""COMPUTED_VALUE"""),"64404")</f>
        <v>64404</v>
      </c>
      <c r="B48" s="5" t="str">
        <f>IFERROR(__xludf.DUMMYFUNCTION("""COMPUTED_VALUE"""),"ECO HALOLUX CERAM 205W 230V E27 (прозрач) l=105 d=32")</f>
        <v>ECO HALOLUX CERAM 205W 230V E27 (прозрач) l=105 d=32</v>
      </c>
      <c r="C48" s="2">
        <f>IFERROR(__xludf.DUMMYFUNCTION("""COMPUTED_VALUE"""),0.0)</f>
        <v>0</v>
      </c>
      <c r="D48" s="2">
        <f>IFERROR(__xludf.DUMMYFUNCTION("""COMPUTED_VALUE"""),0.0)</f>
        <v>0</v>
      </c>
      <c r="E48" s="2">
        <f>IFERROR(__xludf.DUMMYFUNCTION("""COMPUTED_VALUE"""),260.98)</f>
        <v>260.98</v>
      </c>
      <c r="F48" s="2">
        <f>IFERROR(__xludf.DUMMYFUNCTION("""COMPUTED_VALUE"""),1.0)</f>
        <v>1</v>
      </c>
      <c r="G48" s="2">
        <f>IFERROR(__xludf.DUMMYFUNCTION("""COMPUTED_VALUE"""),1.0)</f>
        <v>1</v>
      </c>
      <c r="H48" s="2">
        <f>IFERROR(__xludf.DUMMYFUNCTION("""COMPUTED_VALUE"""),1.0)</f>
        <v>1</v>
      </c>
      <c r="I48" s="2">
        <f>IFERROR(__xludf.DUMMYFUNCTION("""COMPUTED_VALUE"""),1.5)</f>
        <v>1.5</v>
      </c>
      <c r="J48" s="2">
        <f>IFERROR(__xludf.DUMMYFUNCTION("""COMPUTED_VALUE"""),1.5)</f>
        <v>1.5</v>
      </c>
      <c r="K48" s="2">
        <f>IFERROR(__xludf.DUMMYFUNCTION("""COMPUTED_VALUE"""),11.0)</f>
        <v>11</v>
      </c>
      <c r="L48" s="2" t="str">
        <f>IFERROR(__xludf.DUMMYFUNCTION("""COMPUTED_VALUE"""),"OSRAM галогенные")</f>
        <v>OSRAM галогенные</v>
      </c>
      <c r="M48" s="2" t="str">
        <f>IFERROR(__xludf.DUMMYFUNCTION("""COMPUTED_VALUE"""),"Лампы")</f>
        <v>Лампы</v>
      </c>
    </row>
    <row r="49">
      <c r="A49" s="5" t="str">
        <f>IFERROR(__xludf.DUMMYFUNCTION("""COMPUTED_VALUE"""),"4690612020815-10")</f>
        <v>4690612020815-10</v>
      </c>
      <c r="B49" s="5" t="str">
        <f>IFERROR(__xludf.DUMMYFUNCTION("""COMPUTED_VALUE"""),"10 шт. Лампа LED-GX53-VC 15Вт 230В 3000К 1430Лм IN HOME (Комплект 10 шт)")</f>
        <v>10 шт. Лампа LED-GX53-VC 15Вт 230В 3000К 1430Лм IN HOME (Комплект 10 шт)</v>
      </c>
      <c r="C49" s="2">
        <f>IFERROR(__xludf.DUMMYFUNCTION("""COMPUTED_VALUE"""),0.05)</f>
        <v>0.05</v>
      </c>
      <c r="D49" s="2">
        <f>IFERROR(__xludf.DUMMYFUNCTION("""COMPUTED_VALUE"""),0.0021)</f>
        <v>0.0021</v>
      </c>
      <c r="E49" s="2">
        <f>IFERROR(__xludf.DUMMYFUNCTION("""COMPUTED_VALUE"""),534.0)</f>
        <v>534</v>
      </c>
      <c r="F49" s="2">
        <f>IFERROR(__xludf.DUMMYFUNCTION("""COMPUTED_VALUE"""),586.0)</f>
        <v>586</v>
      </c>
      <c r="G49" s="2">
        <f>IFERROR(__xludf.DUMMYFUNCTION("""COMPUTED_VALUE"""),769.0)</f>
        <v>769</v>
      </c>
      <c r="H49" s="2">
        <f>IFERROR(__xludf.DUMMYFUNCTION("""COMPUTED_VALUE"""),865.0)</f>
        <v>865</v>
      </c>
      <c r="I49" s="2">
        <f>IFERROR(__xludf.DUMMYFUNCTION("""COMPUTED_VALUE"""),961.0)</f>
        <v>961</v>
      </c>
      <c r="J49" s="2">
        <f>IFERROR(__xludf.DUMMYFUNCTION("""COMPUTED_VALUE"""),481.0)</f>
        <v>481</v>
      </c>
      <c r="K49" s="2">
        <f>IFERROR(__xludf.DUMMYFUNCTION("""COMPUTED_VALUE"""),7.0)</f>
        <v>7</v>
      </c>
      <c r="L49" s="2" t="str">
        <f>IFERROR(__xludf.DUMMYFUNCTION("""COMPUTED_VALUE"""),"Лампы производство, упаковка")</f>
        <v>Лампы производство, упаковка</v>
      </c>
      <c r="M49" s="2" t="str">
        <f>IFERROR(__xludf.DUMMYFUNCTION("""COMPUTED_VALUE"""),"Лампы")</f>
        <v>Лампы</v>
      </c>
    </row>
    <row r="50">
      <c r="A50" s="5" t="str">
        <f>IFERROR(__xludf.DUMMYFUNCTION("""COMPUTED_VALUE"""),"1176040-5000K")</f>
        <v>1176040-5000K</v>
      </c>
      <c r="B50" s="5" t="str">
        <f>IFERROR(__xludf.DUMMYFUNCTION("""COMPUTED_VALUE"""),"76 Вт 01A-76D-5U-5000K")</f>
        <v>76 Вт 01A-76D-5U-5000K</v>
      </c>
      <c r="C50" s="2">
        <f>IFERROR(__xludf.DUMMYFUNCTION("""COMPUTED_VALUE"""),1.8)</f>
        <v>1.8</v>
      </c>
      <c r="D50" s="2">
        <f>IFERROR(__xludf.DUMMYFUNCTION("""COMPUTED_VALUE"""),0.007940000000000001)</f>
        <v>0.00794</v>
      </c>
      <c r="E50" s="2">
        <f>IFERROR(__xludf.DUMMYFUNCTION("""COMPUTED_VALUE"""),3690.0)</f>
        <v>3690</v>
      </c>
      <c r="F50" s="2">
        <f>IFERROR(__xludf.DUMMYFUNCTION("""COMPUTED_VALUE"""),4061.0)</f>
        <v>4061</v>
      </c>
      <c r="G50" s="2">
        <f>IFERROR(__xludf.DUMMYFUNCTION("""COMPUTED_VALUE"""),5113.0)</f>
        <v>5113</v>
      </c>
      <c r="H50" s="2">
        <f>IFERROR(__xludf.DUMMYFUNCTION("""COMPUTED_VALUE"""),5742.0)</f>
        <v>5742</v>
      </c>
      <c r="I50" s="2">
        <f>IFERROR(__xludf.DUMMYFUNCTION("""COMPUTED_VALUE"""),6371.0)</f>
        <v>6371</v>
      </c>
      <c r="J50" s="2">
        <f>IFERROR(__xludf.DUMMYFUNCTION("""COMPUTED_VALUE"""),3186.0)</f>
        <v>3186</v>
      </c>
      <c r="K50" s="2">
        <f>IFERROR(__xludf.DUMMYFUNCTION("""COMPUTED_VALUE"""),1.0)</f>
        <v>1</v>
      </c>
      <c r="L50" s="2" t="str">
        <f>IFERROR(__xludf.DUMMYFUNCTION("""COMPUTED_VALUE"""),"Архивные GLERIO")</f>
        <v>Архивные GLERIO</v>
      </c>
      <c r="M50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51">
      <c r="A51" s="5" t="str">
        <f>IFERROR(__xludf.DUMMYFUNCTION("""COMPUTED_VALUE"""),"4690612033655")</f>
        <v>4690612033655</v>
      </c>
      <c r="B51" s="5" t="str">
        <f>IFERROR(__xludf.DUMMYFUNCTION("""COMPUTED_VALUE"""),"DECO ДАЙМОНД 18Вт 230В 6500К 1620Лм 260х55мм IN HOME")</f>
        <v>DECO ДАЙМОНД 18Вт 230В 6500К 1620Лм 260х55мм IN HOME</v>
      </c>
      <c r="C51" s="2">
        <f>IFERROR(__xludf.DUMMYFUNCTION("""COMPUTED_VALUE"""),0.31)</f>
        <v>0.31</v>
      </c>
      <c r="D51" s="2">
        <f>IFERROR(__xludf.DUMMYFUNCTION("""COMPUTED_VALUE"""),0.00455)</f>
        <v>0.00455</v>
      </c>
      <c r="E51" s="2">
        <f>IFERROR(__xludf.DUMMYFUNCTION("""COMPUTED_VALUE"""),294.68)</f>
        <v>294.68</v>
      </c>
      <c r="F51" s="2">
        <f>IFERROR(__xludf.DUMMYFUNCTION("""COMPUTED_VALUE"""),365.0)</f>
        <v>365</v>
      </c>
      <c r="G51" s="2">
        <f>IFERROR(__xludf.DUMMYFUNCTION("""COMPUTED_VALUE"""),411.0)</f>
        <v>411</v>
      </c>
      <c r="H51" s="2">
        <f>IFERROR(__xludf.DUMMYFUNCTION("""COMPUTED_VALUE"""),477.0)</f>
        <v>477</v>
      </c>
      <c r="I51" s="2">
        <f>IFERROR(__xludf.DUMMYFUNCTION("""COMPUTED_VALUE"""),548.0)</f>
        <v>548</v>
      </c>
      <c r="J51" s="2">
        <f>IFERROR(__xludf.DUMMYFUNCTION("""COMPUTED_VALUE"""),274.0)</f>
        <v>274</v>
      </c>
      <c r="K51" s="2">
        <f>IFERROR(__xludf.DUMMYFUNCTION("""COMPUTED_VALUE"""),1.0)</f>
        <v>1</v>
      </c>
      <c r="L51" s="2" t="str">
        <f>IFERROR(__xludf.DUMMYFUNCTION("""COMPUTED_VALUE"""),"Светильник светодиодный серии DECO")</f>
        <v>Светильник светодиодный серии DECO</v>
      </c>
      <c r="M51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52">
      <c r="A52" s="5" t="str">
        <f>IFERROR(__xludf.DUMMYFUNCTION("""COMPUTED_VALUE"""),"55083")</f>
        <v>55083</v>
      </c>
      <c r="B52" s="5" t="str">
        <f>IFERROR(__xludf.DUMMYFUNCTION("""COMPUTED_VALUE"""),"Бриллианты 25 теплых LED ламп, прозрачный провод, 5 м, 220 v /20")</f>
        <v>Бриллианты 25 теплых LED ламп, прозрачный провод, 5 м, 220 v /20</v>
      </c>
      <c r="C52" s="2">
        <f>IFERROR(__xludf.DUMMYFUNCTION("""COMPUTED_VALUE"""),0.0)</f>
        <v>0</v>
      </c>
      <c r="D52" s="2">
        <f>IFERROR(__xludf.DUMMYFUNCTION("""COMPUTED_VALUE"""),0.0)</f>
        <v>0</v>
      </c>
      <c r="E52" s="2">
        <f>IFERROR(__xludf.DUMMYFUNCTION("""COMPUTED_VALUE"""),405.48)</f>
        <v>405.48</v>
      </c>
      <c r="F52" s="2">
        <f>IFERROR(__xludf.DUMMYFUNCTION("""COMPUTED_VALUE"""),500.0)</f>
        <v>500</v>
      </c>
      <c r="G52" s="2">
        <f>IFERROR(__xludf.DUMMYFUNCTION("""COMPUTED_VALUE"""),545.0)</f>
        <v>545</v>
      </c>
      <c r="H52" s="2">
        <f>IFERROR(__xludf.DUMMYFUNCTION("""COMPUTED_VALUE"""),591.0)</f>
        <v>591</v>
      </c>
      <c r="I52" s="2">
        <f>IFERROR(__xludf.DUMMYFUNCTION("""COMPUTED_VALUE"""),636.0)</f>
        <v>636</v>
      </c>
      <c r="J52" s="2">
        <f>IFERROR(__xludf.DUMMYFUNCTION("""COMPUTED_VALUE"""),318.0)</f>
        <v>318</v>
      </c>
      <c r="K52" s="2">
        <f>IFERROR(__xludf.DUMMYFUNCTION("""COMPUTED_VALUE"""),33.0)</f>
        <v>33</v>
      </c>
      <c r="L52" s="2" t="str">
        <f>IFERROR(__xludf.DUMMYFUNCTION("""COMPUTED_VALUE"""),"Праздничная иллюминация")</f>
        <v>Праздничная иллюминация</v>
      </c>
      <c r="M52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53">
      <c r="A53" s="5" t="str">
        <f>IFERROR(__xludf.DUMMYFUNCTION("""COMPUTED_VALUE"""),"4680005959013-10")</f>
        <v>4680005959013-10</v>
      </c>
      <c r="B53" s="5" t="str">
        <f>IFERROR(__xludf.DUMMYFUNCTION("""COMPUTED_VALUE"""),"10 шт. LS50-P 20см Шнур питания (Упаковка 10 шт.)")</f>
        <v>10 шт. LS50-P 20см Шнур питания (Упаковка 10 шт.)</v>
      </c>
      <c r="C53" s="2">
        <f>IFERROR(__xludf.DUMMYFUNCTION("""COMPUTED_VALUE"""),0.0054)</f>
        <v>0.0054</v>
      </c>
      <c r="D53" s="2">
        <f>IFERROR(__xludf.DUMMYFUNCTION("""COMPUTED_VALUE"""),1.0E-5)</f>
        <v>0.00001</v>
      </c>
      <c r="E53" s="2">
        <f>IFERROR(__xludf.DUMMYFUNCTION("""COMPUTED_VALUE"""),131.7)</f>
        <v>131.7</v>
      </c>
      <c r="F53" s="2">
        <f>IFERROR(__xludf.DUMMYFUNCTION("""COMPUTED_VALUE"""),15.0)</f>
        <v>15</v>
      </c>
      <c r="G53" s="2">
        <f>IFERROR(__xludf.DUMMYFUNCTION("""COMPUTED_VALUE"""),17.0)</f>
        <v>17</v>
      </c>
      <c r="H53" s="2">
        <f>IFERROR(__xludf.DUMMYFUNCTION("""COMPUTED_VALUE"""),19.0)</f>
        <v>19</v>
      </c>
      <c r="I53" s="2">
        <f>IFERROR(__xludf.DUMMYFUNCTION("""COMPUTED_VALUE"""),22.0)</f>
        <v>22</v>
      </c>
      <c r="J53" s="2">
        <f>IFERROR(__xludf.DUMMYFUNCTION("""COMPUTED_VALUE"""),11.0)</f>
        <v>11</v>
      </c>
      <c r="K53" s="2">
        <f>IFERROR(__xludf.DUMMYFUNCTION("""COMPUTED_VALUE"""),74.0)</f>
        <v>74</v>
      </c>
      <c r="L53" s="2" t="str">
        <f>IFERROR(__xludf.DUMMYFUNCTION("""COMPUTED_VALUE"""),"ASD электромонтажные изделия")</f>
        <v>ASD электромонтажные изделия</v>
      </c>
      <c r="M53" s="2" t="str">
        <f>IFERROR(__xludf.DUMMYFUNCTION("""COMPUTED_VALUE"""),"Прочие товары")</f>
        <v>Прочие товары</v>
      </c>
    </row>
    <row r="54">
      <c r="A54" s="5" t="str">
        <f>IFERROR(__xludf.DUMMYFUNCTION("""COMPUTED_VALUE"""),"4260693449494")</f>
        <v>4260693449494</v>
      </c>
      <c r="B54" s="5" t="str">
        <f>IFERROR(__xludf.DUMMYFUNCTION("""COMPUTED_VALUE"""),"WML-MK5/01B")</f>
        <v>WML-MK5/01B</v>
      </c>
      <c r="C54" s="2">
        <f>IFERROR(__xludf.DUMMYFUNCTION("""COMPUTED_VALUE"""),0.095)</f>
        <v>0.095</v>
      </c>
      <c r="D54" s="2">
        <f>IFERROR(__xludf.DUMMYFUNCTION("""COMPUTED_VALUE"""),0.0)</f>
        <v>0</v>
      </c>
      <c r="E54" s="2">
        <f>IFERROR(__xludf.DUMMYFUNCTION("""COMPUTED_VALUE"""),282.65)</f>
        <v>282.65</v>
      </c>
      <c r="F54" s="2">
        <f>IFERROR(__xludf.DUMMYFUNCTION("""COMPUTED_VALUE"""),201.0)</f>
        <v>201</v>
      </c>
      <c r="G54" s="2">
        <f>IFERROR(__xludf.DUMMYFUNCTION("""COMPUTED_VALUE"""),207.0)</f>
        <v>207</v>
      </c>
      <c r="H54" s="2">
        <f>IFERROR(__xludf.DUMMYFUNCTION("""COMPUTED_VALUE"""),272.0)</f>
        <v>272</v>
      </c>
      <c r="I54" s="2">
        <f>IFERROR(__xludf.DUMMYFUNCTION("""COMPUTED_VALUE"""),340.0)</f>
        <v>340</v>
      </c>
      <c r="J54" s="2">
        <f>IFERROR(__xludf.DUMMYFUNCTION("""COMPUTED_VALUE"""),170.0)</f>
        <v>170</v>
      </c>
      <c r="K54" s="2">
        <f>IFERROR(__xludf.DUMMYFUNCTION("""COMPUTED_VALUE"""),29.0)</f>
        <v>29</v>
      </c>
      <c r="L54" s="2" t="str">
        <f>IFERROR(__xludf.DUMMYFUNCTION("""COMPUTED_VALUE"""),"Wolta трековые")</f>
        <v>Wolta трековые</v>
      </c>
      <c r="M54" s="2" t="str">
        <f>IFERROR(__xludf.DUMMYFUNCTION("""COMPUTED_VALUE"""),"Трековые, LED Светильники")</f>
        <v>Трековые, LED Светильники</v>
      </c>
    </row>
    <row r="55">
      <c r="A55" s="5" t="str">
        <f>IFERROR(__xludf.DUMMYFUNCTION("""COMPUTED_VALUE"""),"12-9926")</f>
        <v>12-9926</v>
      </c>
      <c r="B55" s="5" t="str">
        <f>IFERROR(__xludf.DUMMYFUNCTION("""COMPUTED_VALUE"""),"Rexant Жало для паяльника 100 Вт 12-9926")</f>
        <v>Rexant Жало для паяльника 100 Вт 12-9926</v>
      </c>
      <c r="C55" s="2">
        <f>IFERROR(__xludf.DUMMYFUNCTION("""COMPUTED_VALUE"""),0.0)</f>
        <v>0</v>
      </c>
      <c r="D55" s="2">
        <f>IFERROR(__xludf.DUMMYFUNCTION("""COMPUTED_VALUE"""),0.0)</f>
        <v>0</v>
      </c>
      <c r="E55" s="2">
        <f>IFERROR(__xludf.DUMMYFUNCTION("""COMPUTED_VALUE"""),1.0)</f>
        <v>1</v>
      </c>
      <c r="F55" s="2">
        <f>IFERROR(__xludf.DUMMYFUNCTION("""COMPUTED_VALUE"""),211.0)</f>
        <v>211</v>
      </c>
      <c r="G55" s="2">
        <f>IFERROR(__xludf.DUMMYFUNCTION("""COMPUTED_VALUE"""),226.0)</f>
        <v>226</v>
      </c>
      <c r="H55" s="2">
        <f>IFERROR(__xludf.DUMMYFUNCTION("""COMPUTED_VALUE"""),254.0)</f>
        <v>254</v>
      </c>
      <c r="I55" s="2">
        <f>IFERROR(__xludf.DUMMYFUNCTION("""COMPUTED_VALUE"""),281.98)</f>
        <v>281.98</v>
      </c>
      <c r="J55" s="2">
        <f>IFERROR(__xludf.DUMMYFUNCTION("""COMPUTED_VALUE"""),141.0)</f>
        <v>141</v>
      </c>
      <c r="K55" s="2">
        <f>IFERROR(__xludf.DUMMYFUNCTION("""COMPUTED_VALUE"""),2.0)</f>
        <v>2</v>
      </c>
      <c r="L55" s="2" t="str">
        <f>IFERROR(__xludf.DUMMYFUNCTION("""COMPUTED_VALUE"""),"Rexant")</f>
        <v>Rexant</v>
      </c>
      <c r="M55" s="2" t="str">
        <f>IFERROR(__xludf.DUMMYFUNCTION("""COMPUTED_VALUE"""),"Прочие товары")</f>
        <v>Прочие товары</v>
      </c>
    </row>
    <row r="56">
      <c r="A56" s="5" t="str">
        <f>IFERROR(__xludf.DUMMYFUNCTION("""COMPUTED_VALUE"""),"AR12524")</f>
        <v>AR12524</v>
      </c>
      <c r="B56" s="5" t="str">
        <f>IFERROR(__xludf.DUMMYFUNCTION("""COMPUTED_VALUE"""),"C LITE 100 (цена договорная)")</f>
        <v>C LITE 100 (цена договорная)</v>
      </c>
      <c r="C56" s="2">
        <f>IFERROR(__xludf.DUMMYFUNCTION("""COMPUTED_VALUE"""),0.0)</f>
        <v>0</v>
      </c>
      <c r="D56" s="2">
        <f>IFERROR(__xludf.DUMMYFUNCTION("""COMPUTED_VALUE"""),0.0)</f>
        <v>0</v>
      </c>
      <c r="E56" s="2">
        <f>IFERROR(__xludf.DUMMYFUNCTION("""COMPUTED_VALUE"""),4378.0)</f>
        <v>4378</v>
      </c>
      <c r="F56" s="2">
        <f>IFERROR(__xludf.DUMMYFUNCTION("""COMPUTED_VALUE"""),4838.0)</f>
        <v>4838</v>
      </c>
      <c r="G56" s="2">
        <f>IFERROR(__xludf.DUMMYFUNCTION("""COMPUTED_VALUE"""),5122.0)</f>
        <v>5122</v>
      </c>
      <c r="H56" s="2">
        <f>IFERROR(__xludf.DUMMYFUNCTION("""COMPUTED_VALUE"""),5692.0)</f>
        <v>5692</v>
      </c>
      <c r="I56" s="2">
        <f>IFERROR(__xludf.DUMMYFUNCTION("""COMPUTED_VALUE"""),7399.0)</f>
        <v>7399</v>
      </c>
      <c r="J56" s="2">
        <f>IFERROR(__xludf.DUMMYFUNCTION("""COMPUTED_VALUE"""),2189.0)</f>
        <v>2189</v>
      </c>
      <c r="K56" s="2">
        <f>IFERROR(__xludf.DUMMYFUNCTION("""COMPUTED_VALUE"""),1.0)</f>
        <v>1</v>
      </c>
      <c r="L56" s="2" t="str">
        <f>IFERROR(__xludf.DUMMYFUNCTION("""COMPUTED_VALUE"""),"RSD C LITE")</f>
        <v>RSD C LITE</v>
      </c>
      <c r="M56" s="2" t="str">
        <f>IFERROR(__xludf.DUMMYFUNCTION("""COMPUTED_VALUE"""),"Для обычных дорог, LED Светильники")</f>
        <v>Для обычных дорог, LED Светильники</v>
      </c>
    </row>
    <row r="57">
      <c r="A57" s="5" t="str">
        <f>IFERROR(__xludf.DUMMYFUNCTION("""COMPUTED_VALUE"""),"G13629")</f>
        <v>G13629</v>
      </c>
      <c r="B57" s="5" t="str">
        <f>IFERROR(__xludf.DUMMYFUNCTION("""COMPUTED_VALUE"""),"Лампа Gauss LED Elementary MR16 GU10 9W 660lm 4100К 1/10/100")</f>
        <v>Лампа Gauss LED Elementary MR16 GU10 9W 660lm 4100К 1/10/100</v>
      </c>
      <c r="C57" s="2">
        <f>IFERROR(__xludf.DUMMYFUNCTION("""COMPUTED_VALUE"""),0.0)</f>
        <v>0</v>
      </c>
      <c r="D57" s="2">
        <f>IFERROR(__xludf.DUMMYFUNCTION("""COMPUTED_VALUE"""),0.0)</f>
        <v>0</v>
      </c>
      <c r="E57" s="2">
        <f>IFERROR(__xludf.DUMMYFUNCTION("""COMPUTED_VALUE"""),122.02)</f>
        <v>122.02</v>
      </c>
      <c r="F57" s="2">
        <f>IFERROR(__xludf.DUMMYFUNCTION("""COMPUTED_VALUE"""),143.0)</f>
        <v>143</v>
      </c>
      <c r="G57" s="2">
        <f>IFERROR(__xludf.DUMMYFUNCTION("""COMPUTED_VALUE"""),158.0)</f>
        <v>158</v>
      </c>
      <c r="H57" s="2">
        <f>IFERROR(__xludf.DUMMYFUNCTION("""COMPUTED_VALUE"""),186.0)</f>
        <v>186</v>
      </c>
      <c r="I57" s="2">
        <f>IFERROR(__xludf.DUMMYFUNCTION("""COMPUTED_VALUE"""),234.0)</f>
        <v>234</v>
      </c>
      <c r="J57" s="2">
        <f>IFERROR(__xludf.DUMMYFUNCTION("""COMPUTED_VALUE"""),117.0)</f>
        <v>117</v>
      </c>
      <c r="K57" s="2">
        <f>IFERROR(__xludf.DUMMYFUNCTION("""COMPUTED_VALUE"""),17.0)</f>
        <v>17</v>
      </c>
      <c r="L57" s="2" t="str">
        <f>IFERROR(__xludf.DUMMYFUNCTION("""COMPUTED_VALUE"""),"GAUSS лампы LED")</f>
        <v>GAUSS лампы LED</v>
      </c>
      <c r="M57" s="2" t="str">
        <f>IFERROR(__xludf.DUMMYFUNCTION("""COMPUTED_VALUE"""),"Лампы")</f>
        <v>Лампы</v>
      </c>
    </row>
    <row r="58">
      <c r="A58" s="5" t="str">
        <f>IFERROR(__xludf.DUMMYFUNCTION("""COMPUTED_VALUE"""),"4690612040189")</f>
        <v>4690612040189</v>
      </c>
      <c r="B58" s="5" t="str">
        <f>IFERROR(__xludf.DUMMYFUNCTION("""COMPUTED_VALUE"""),"TR-07-TL 35Вт 6500К 3500Лм IP40 24 градуса черный серии TOP-LINE IN HOME")</f>
        <v>TR-07-TL 35Вт 6500К 3500Лм IP40 24 градуса черный серии TOP-LINE IN HOME</v>
      </c>
      <c r="C58" s="2">
        <f>IFERROR(__xludf.DUMMYFUNCTION("""COMPUTED_VALUE"""),0.43)</f>
        <v>0.43</v>
      </c>
      <c r="D58" s="2">
        <f>IFERROR(__xludf.DUMMYFUNCTION("""COMPUTED_VALUE"""),0.00133)</f>
        <v>0.00133</v>
      </c>
      <c r="E58" s="2">
        <f>IFERROR(__xludf.DUMMYFUNCTION("""COMPUTED_VALUE"""),740.24)</f>
        <v>740.24</v>
      </c>
      <c r="F58" s="2">
        <f>IFERROR(__xludf.DUMMYFUNCTION("""COMPUTED_VALUE"""),823.0)</f>
        <v>823</v>
      </c>
      <c r="G58" s="2">
        <f>IFERROR(__xludf.DUMMYFUNCTION("""COMPUTED_VALUE"""),926.0)</f>
        <v>926</v>
      </c>
      <c r="H58" s="2">
        <f>IFERROR(__xludf.DUMMYFUNCTION("""COMPUTED_VALUE"""),1074.0)</f>
        <v>1074</v>
      </c>
      <c r="I58" s="2">
        <f>IFERROR(__xludf.DUMMYFUNCTION("""COMPUTED_VALUE"""),1234.0)</f>
        <v>1234</v>
      </c>
      <c r="J58" s="2">
        <f>IFERROR(__xludf.DUMMYFUNCTION("""COMPUTED_VALUE"""),617.0)</f>
        <v>617</v>
      </c>
      <c r="K58" s="2">
        <f>IFERROR(__xludf.DUMMYFUNCTION("""COMPUTED_VALUE"""),13.0)</f>
        <v>13</v>
      </c>
      <c r="L58" s="2" t="str">
        <f>IFERROR(__xludf.DUMMYFUNCTION("""COMPUTED_VALUE"""),"Светильники светодиодные трековые TR-01, 02, 03, 04, 05, 06, 07, 08")</f>
        <v>Светильники светодиодные трековые TR-01, 02, 03, 04, 05, 06, 07, 08</v>
      </c>
      <c r="M58" s="2" t="str">
        <f>IFERROR(__xludf.DUMMYFUNCTION("""COMPUTED_VALUE"""),"Трековые, LED Светильники")</f>
        <v>Трековые, LED Светильники</v>
      </c>
    </row>
    <row r="59">
      <c r="A59" s="5" t="str">
        <f>IFERROR(__xludf.DUMMYFUNCTION("""COMPUTED_VALUE"""),"01-4015")</f>
        <v>01-4015</v>
      </c>
      <c r="B59" s="5" t="str">
        <f>IFERROR(__xludf.DUMMYFUNCTION("""COMPUTED_VALUE"""),"Кабель КВК-П-1,5+2x0,75 мм (Cu/Cu) черный (бухта 200 м) REXANT")</f>
        <v>Кабель КВК-П-1,5+2x0,75 мм (Cu/Cu) черный (бухта 200 м) REXANT</v>
      </c>
      <c r="C59" s="2">
        <f>IFERROR(__xludf.DUMMYFUNCTION("""COMPUTED_VALUE"""),0.0)</f>
        <v>0</v>
      </c>
      <c r="D59" s="2">
        <f>IFERROR(__xludf.DUMMYFUNCTION("""COMPUTED_VALUE"""),0.0)</f>
        <v>0</v>
      </c>
      <c r="E59" s="2">
        <f>IFERROR(__xludf.DUMMYFUNCTION("""COMPUTED_VALUE"""),1.0)</f>
        <v>1</v>
      </c>
      <c r="F59" s="2">
        <f>IFERROR(__xludf.DUMMYFUNCTION("""COMPUTED_VALUE"""),11135.0)</f>
        <v>11135</v>
      </c>
      <c r="G59" s="2">
        <f>IFERROR(__xludf.DUMMYFUNCTION("""COMPUTED_VALUE"""),11878.0)</f>
        <v>11878</v>
      </c>
      <c r="H59" s="2">
        <f>IFERROR(__xludf.DUMMYFUNCTION("""COMPUTED_VALUE"""),13362.0)</f>
        <v>13362</v>
      </c>
      <c r="I59" s="2">
        <f>IFERROR(__xludf.DUMMYFUNCTION("""COMPUTED_VALUE"""),14846.96)</f>
        <v>14846.96</v>
      </c>
      <c r="J59" s="2">
        <f>IFERROR(__xludf.DUMMYFUNCTION("""COMPUTED_VALUE"""),7423.0)</f>
        <v>7423</v>
      </c>
      <c r="K59" s="2">
        <f>IFERROR(__xludf.DUMMYFUNCTION("""COMPUTED_VALUE"""),1.0)</f>
        <v>1</v>
      </c>
      <c r="L59" s="2" t="str">
        <f>IFERROR(__xludf.DUMMYFUNCTION("""COMPUTED_VALUE"""),"Rexant")</f>
        <v>Rexant</v>
      </c>
      <c r="M59" s="2" t="str">
        <f>IFERROR(__xludf.DUMMYFUNCTION("""COMPUTED_VALUE"""),"Прочие товары")</f>
        <v>Прочие товары</v>
      </c>
    </row>
    <row r="60">
      <c r="A60" s="5" t="str">
        <f>IFERROR(__xludf.DUMMYFUNCTION("""COMPUTED_VALUE"""),"4690612029337")</f>
        <v>4690612029337</v>
      </c>
      <c r="B60" s="5" t="str">
        <f>IFERROR(__xludf.DUMMYFUNCTION("""COMPUTED_VALUE"""),"Шинопровод однофазный R-2B-TL 2м черный серии TOP-LINE IN HOME")</f>
        <v>Шинопровод однофазный R-2B-TL 2м черный серии TOP-LINE IN HOME</v>
      </c>
      <c r="C60" s="2">
        <f>IFERROR(__xludf.DUMMYFUNCTION("""COMPUTED_VALUE"""),0.43)</f>
        <v>0.43</v>
      </c>
      <c r="D60" s="2">
        <f>IFERROR(__xludf.DUMMYFUNCTION("""COMPUTED_VALUE"""),0.0012)</f>
        <v>0.0012</v>
      </c>
      <c r="E60" s="2">
        <f>IFERROR(__xludf.DUMMYFUNCTION("""COMPUTED_VALUE"""),394.84)</f>
        <v>394.84</v>
      </c>
      <c r="F60" s="2">
        <f>IFERROR(__xludf.DUMMYFUNCTION("""COMPUTED_VALUE"""),401.0)</f>
        <v>401</v>
      </c>
      <c r="G60" s="2">
        <f>IFERROR(__xludf.DUMMYFUNCTION("""COMPUTED_VALUE"""),452.0)</f>
        <v>452</v>
      </c>
      <c r="H60" s="2">
        <f>IFERROR(__xludf.DUMMYFUNCTION("""COMPUTED_VALUE"""),524.0)</f>
        <v>524</v>
      </c>
      <c r="I60" s="2">
        <f>IFERROR(__xludf.DUMMYFUNCTION("""COMPUTED_VALUE"""),602.0)</f>
        <v>602</v>
      </c>
      <c r="J60" s="2">
        <f>IFERROR(__xludf.DUMMYFUNCTION("""COMPUTED_VALUE"""),301.0)</f>
        <v>301</v>
      </c>
      <c r="K60" s="2">
        <f>IFERROR(__xludf.DUMMYFUNCTION("""COMPUTED_VALUE"""),5.0)</f>
        <v>5</v>
      </c>
      <c r="L60" s="2" t="str">
        <f>IFERROR(__xludf.DUMMYFUNCTION("""COMPUTED_VALUE"""),"Шинопровод и комплектующие")</f>
        <v>Шинопровод и комплектующие</v>
      </c>
      <c r="M60" s="2" t="str">
        <f>IFERROR(__xludf.DUMMYFUNCTION("""COMPUTED_VALUE"""),"Прочие товары")</f>
        <v>Прочие товары</v>
      </c>
    </row>
    <row r="61">
      <c r="A61" s="5" t="str">
        <f>IFERROR(__xludf.DUMMYFUNCTION("""COMPUTED_VALUE"""),"ves029")</f>
        <v>ves029</v>
      </c>
      <c r="B61" s="5" t="str">
        <f>IFERROR(__xludf.DUMMYFUNCTION("""COMPUTED_VALUE"""),"Светильник светодиодный 80W SP3050")</f>
        <v>Светильник светодиодный 80W SP3050</v>
      </c>
      <c r="C61" s="2">
        <f>IFERROR(__xludf.DUMMYFUNCTION("""COMPUTED_VALUE"""),0.0)</f>
        <v>0</v>
      </c>
      <c r="D61" s="2">
        <f>IFERROR(__xludf.DUMMYFUNCTION("""COMPUTED_VALUE"""),0.0)</f>
        <v>0</v>
      </c>
      <c r="E61" s="2">
        <f>IFERROR(__xludf.DUMMYFUNCTION("""COMPUTED_VALUE"""),2958.32)</f>
        <v>2958.32</v>
      </c>
      <c r="F61" s="2">
        <f>IFERROR(__xludf.DUMMYFUNCTION("""COMPUTED_VALUE"""),2738.0)</f>
        <v>2738</v>
      </c>
      <c r="G61" s="2">
        <f>IFERROR(__xludf.DUMMYFUNCTION("""COMPUTED_VALUE"""),2920.0)</f>
        <v>2920</v>
      </c>
      <c r="H61" s="2">
        <f>IFERROR(__xludf.DUMMYFUNCTION("""COMPUTED_VALUE"""),3285.0)</f>
        <v>3285</v>
      </c>
      <c r="I61" s="2">
        <f>IFERROR(__xludf.DUMMYFUNCTION("""COMPUTED_VALUE"""),3650.0)</f>
        <v>3650</v>
      </c>
      <c r="J61" s="2">
        <f>IFERROR(__xludf.DUMMYFUNCTION("""COMPUTED_VALUE"""),1825.0)</f>
        <v>1825</v>
      </c>
      <c r="K61" s="2">
        <f>IFERROR(__xludf.DUMMYFUNCTION("""COMPUTED_VALUE"""),5.0)</f>
        <v>5</v>
      </c>
      <c r="L61" s="2" t="str">
        <f>IFERROR(__xludf.DUMMYFUNCTION("""COMPUTED_VALUE"""),"ves")</f>
        <v>ves</v>
      </c>
      <c r="M61" s="2" t="str">
        <f>IFERROR(__xludf.DUMMYFUNCTION("""COMPUTED_VALUE"""),"LED Светильники")</f>
        <v>LED Светильники</v>
      </c>
    </row>
    <row r="62">
      <c r="A62" s="5" t="str">
        <f>IFERROR(__xludf.DUMMYFUNCTION("""COMPUTED_VALUE"""),"4630015264812")</f>
        <v>4630015264812</v>
      </c>
      <c r="B62" s="5" t="str">
        <f>IFERROR(__xludf.DUMMYFUNCTION("""COMPUTED_VALUE"""),"CT108BR-DL50GU5.3")</f>
        <v>CT108BR-DL50GU5.3</v>
      </c>
      <c r="C62" s="2">
        <f>IFERROR(__xludf.DUMMYFUNCTION("""COMPUTED_VALUE"""),0.0)</f>
        <v>0</v>
      </c>
      <c r="D62" s="2">
        <f>IFERROR(__xludf.DUMMYFUNCTION("""COMPUTED_VALUE"""),0.0)</f>
        <v>0</v>
      </c>
      <c r="E62" s="2">
        <f>IFERROR(__xludf.DUMMYFUNCTION("""COMPUTED_VALUE"""),262.14)</f>
        <v>262.14</v>
      </c>
      <c r="F62" s="2">
        <f>IFERROR(__xludf.DUMMYFUNCTION("""COMPUTED_VALUE"""),148.0)</f>
        <v>148</v>
      </c>
      <c r="G62" s="2">
        <f>IFERROR(__xludf.DUMMYFUNCTION("""COMPUTED_VALUE"""),153.0)</f>
        <v>153</v>
      </c>
      <c r="H62" s="2">
        <f>IFERROR(__xludf.DUMMYFUNCTION("""COMPUTED_VALUE"""),200.0)</f>
        <v>200</v>
      </c>
      <c r="I62" s="2">
        <f>IFERROR(__xludf.DUMMYFUNCTION("""COMPUTED_VALUE"""),250.0)</f>
        <v>250</v>
      </c>
      <c r="J62" s="2">
        <f>IFERROR(__xludf.DUMMYFUNCTION("""COMPUTED_VALUE"""),125.0)</f>
        <v>125</v>
      </c>
      <c r="K62" s="2">
        <f>IFERROR(__xludf.DUMMYFUNCTION("""COMPUTED_VALUE"""),7.0)</f>
        <v>7</v>
      </c>
      <c r="L62" s="2" t="str">
        <f>IFERROR(__xludf.DUMMYFUNCTION("""COMPUTED_VALUE"""),"Wolta декоративные")</f>
        <v>Wolta декоративные</v>
      </c>
      <c r="M62" s="2" t="str">
        <f>IFERROR(__xludf.DUMMYFUNCTION("""COMPUTED_VALUE"""),"Встраиваемые, Декоративные, LED Светильники")</f>
        <v>Встраиваемые, Декоративные, LED Светильники</v>
      </c>
    </row>
    <row r="63">
      <c r="A63" s="5" t="str">
        <f>IFERROR(__xludf.DUMMYFUNCTION("""COMPUTED_VALUE"""),"4690612020273")</f>
        <v>4690612020273</v>
      </c>
      <c r="B63" s="5" t="str">
        <f>IFERROR(__xludf.DUMMYFUNCTION("""COMPUTED_VALUE"""),"LED-A60-VC 15Вт 230В Е27 4000К 1430Лм IN HOME")</f>
        <v>LED-A60-VC 15Вт 230В Е27 4000К 1430Лм IN HOME</v>
      </c>
      <c r="C63" s="2">
        <f>IFERROR(__xludf.DUMMYFUNCTION("""COMPUTED_VALUE"""),0.05500000000000001)</f>
        <v>0.055</v>
      </c>
      <c r="D63" s="2">
        <f>IFERROR(__xludf.DUMMYFUNCTION("""COMPUTED_VALUE"""),4.0E-4)</f>
        <v>0.0004</v>
      </c>
      <c r="E63" s="2">
        <f>IFERROR(__xludf.DUMMYFUNCTION("""COMPUTED_VALUE"""),43.8)</f>
        <v>43.8</v>
      </c>
      <c r="F63" s="2">
        <f>IFERROR(__xludf.DUMMYFUNCTION("""COMPUTED_VALUE"""),54.0)</f>
        <v>54</v>
      </c>
      <c r="G63" s="2">
        <f>IFERROR(__xludf.DUMMYFUNCTION("""COMPUTED_VALUE"""),60.0)</f>
        <v>60</v>
      </c>
      <c r="H63" s="2">
        <f>IFERROR(__xludf.DUMMYFUNCTION("""COMPUTED_VALUE"""),70.0)</f>
        <v>70</v>
      </c>
      <c r="I63" s="2">
        <f>IFERROR(__xludf.DUMMYFUNCTION("""COMPUTED_VALUE"""),80.8)</f>
        <v>80.8</v>
      </c>
      <c r="J63" s="2">
        <f>IFERROR(__xludf.DUMMYFUNCTION("""COMPUTED_VALUE"""),60.0)</f>
        <v>60</v>
      </c>
      <c r="K63" s="2">
        <f>IFERROR(__xludf.DUMMYFUNCTION("""COMPUTED_VALUE"""),9.0)</f>
        <v>9</v>
      </c>
      <c r="L63" s="2" t="str">
        <f>IFERROR(__xludf.DUMMYFUNCTION("""COMPUTED_VALUE"""),"Лампа светодиодная LED-A60-standard")</f>
        <v>Лампа светодиодная LED-A60-standard</v>
      </c>
      <c r="M63" s="2" t="str">
        <f>IFERROR(__xludf.DUMMYFUNCTION("""COMPUTED_VALUE"""),"Лампы")</f>
        <v>Лампы</v>
      </c>
    </row>
    <row r="64">
      <c r="A64" s="5" t="str">
        <f>IFERROR(__xludf.DUMMYFUNCTION("""COMPUTED_VALUE"""),"4690612031101")</f>
        <v>4690612031101</v>
      </c>
      <c r="B64" s="5" t="str">
        <f>IFERROR(__xludf.DUMMYFUNCTION("""COMPUTED_VALUE"""),"LED-HP-PRO 40Вт 230В Е27 с адаптером E40 6500К 3800Лм IN HOME")</f>
        <v>LED-HP-PRO 40Вт 230В Е27 с адаптером E40 6500К 3800Лм IN HOME</v>
      </c>
      <c r="C64" s="2">
        <f>IFERROR(__xludf.DUMMYFUNCTION("""COMPUTED_VALUE"""),0.2)</f>
        <v>0.2</v>
      </c>
      <c r="D64" s="2">
        <f>IFERROR(__xludf.DUMMYFUNCTION("""COMPUTED_VALUE"""),0.003)</f>
        <v>0.003</v>
      </c>
      <c r="E64" s="2">
        <f>IFERROR(__xludf.DUMMYFUNCTION("""COMPUTED_VALUE"""),166.66)</f>
        <v>166.66</v>
      </c>
      <c r="F64" s="2">
        <f>IFERROR(__xludf.DUMMYFUNCTION("""COMPUTED_VALUE"""),182.0)</f>
        <v>182</v>
      </c>
      <c r="G64" s="2">
        <f>IFERROR(__xludf.DUMMYFUNCTION("""COMPUTED_VALUE"""),205.0)</f>
        <v>205</v>
      </c>
      <c r="H64" s="2">
        <f>IFERROR(__xludf.DUMMYFUNCTION("""COMPUTED_VALUE"""),237.0)</f>
        <v>237</v>
      </c>
      <c r="I64" s="2">
        <f>IFERROR(__xludf.DUMMYFUNCTION("""COMPUTED_VALUE"""),273.3)</f>
        <v>273.3</v>
      </c>
      <c r="J64" s="2">
        <f>IFERROR(__xludf.DUMMYFUNCTION("""COMPUTED_VALUE"""),137.0)</f>
        <v>137</v>
      </c>
      <c r="K64" s="2">
        <f>IFERROR(__xludf.DUMMYFUNCTION("""COMPUTED_VALUE"""),17.0)</f>
        <v>17</v>
      </c>
      <c r="L64" s="2" t="str">
        <f>IFERROR(__xludf.DUMMYFUNCTION("""COMPUTED_VALUE"""),"Лампа светодиодная HP PRO")</f>
        <v>Лампа светодиодная HP PRO</v>
      </c>
      <c r="M64" s="2" t="str">
        <f>IFERROR(__xludf.DUMMYFUNCTION("""COMPUTED_VALUE"""),"Лампы")</f>
        <v>Лампы</v>
      </c>
    </row>
    <row r="65">
      <c r="A65" s="5" t="str">
        <f>IFERROR(__xludf.DUMMYFUNCTION("""COMPUTED_VALUE"""),"4690612035345")</f>
        <v>4690612035345</v>
      </c>
      <c r="B65" s="5" t="str">
        <f>IFERROR(__xludf.DUMMYFUNCTION("""COMPUTED_VALUE"""),"ELEGANT BLISS-W 15Вт 230В 3000-6500K 1050Лм STEP COLOR белый IN HOME")</f>
        <v>ELEGANT BLISS-W 15Вт 230В 3000-6500K 1050Лм STEP COLOR белый IN HOME</v>
      </c>
      <c r="C65" s="2">
        <f>IFERROR(__xludf.DUMMYFUNCTION("""COMPUTED_VALUE"""),0.35)</f>
        <v>0.35</v>
      </c>
      <c r="D65" s="2">
        <f>IFERROR(__xludf.DUMMYFUNCTION("""COMPUTED_VALUE"""),0.0035)</f>
        <v>0.0035</v>
      </c>
      <c r="E65" s="2">
        <f>IFERROR(__xludf.DUMMYFUNCTION("""COMPUTED_VALUE"""),655.28)</f>
        <v>655.28</v>
      </c>
      <c r="F65" s="2">
        <f>IFERROR(__xludf.DUMMYFUNCTION("""COMPUTED_VALUE"""),622.0)</f>
        <v>622</v>
      </c>
      <c r="G65" s="2">
        <f>IFERROR(__xludf.DUMMYFUNCTION("""COMPUTED_VALUE"""),700.0)</f>
        <v>700</v>
      </c>
      <c r="H65" s="2">
        <f>IFERROR(__xludf.DUMMYFUNCTION("""COMPUTED_VALUE"""),812.0)</f>
        <v>812</v>
      </c>
      <c r="I65" s="2">
        <f>IFERROR(__xludf.DUMMYFUNCTION("""COMPUTED_VALUE"""),933.0)</f>
        <v>933</v>
      </c>
      <c r="J65" s="2">
        <f>IFERROR(__xludf.DUMMYFUNCTION("""COMPUTED_VALUE"""),467.0)</f>
        <v>467</v>
      </c>
      <c r="K65" s="2">
        <f>IFERROR(__xludf.DUMMYFUNCTION("""COMPUTED_VALUE"""),2.0)</f>
        <v>2</v>
      </c>
      <c r="L65" s="2" t="str">
        <f>IFERROR(__xludf.DUMMYFUNCTION("""COMPUTED_VALUE"""),"Светильники светодиодные серии ELEGANT IN HOME")</f>
        <v>Светильники светодиодные серии ELEGANT IN HOME</v>
      </c>
      <c r="M65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66">
      <c r="A66" s="5" t="str">
        <f>IFERROR(__xludf.DUMMYFUNCTION("""COMPUTED_VALUE"""),"4690612035734")</f>
        <v>4690612035734</v>
      </c>
      <c r="B66" s="5" t="str">
        <f>IFERROR(__xludf.DUMMYFUNCTION("""COMPUTED_VALUE"""),"COMFORT LEGION 75Вт 230В 3000-6500K 6000Лм 490x85мм с пультом ДУ IN HOME")</f>
        <v>COMFORT LEGION 75Вт 230В 3000-6500K 6000Лм 490x85мм с пультом ДУ IN HOME</v>
      </c>
      <c r="C66" s="2">
        <f>IFERROR(__xludf.DUMMYFUNCTION("""COMPUTED_VALUE"""),1.34)</f>
        <v>1.34</v>
      </c>
      <c r="D66" s="2">
        <f>IFERROR(__xludf.DUMMYFUNCTION("""COMPUTED_VALUE"""),0.028)</f>
        <v>0.028</v>
      </c>
      <c r="E66" s="2">
        <f>IFERROR(__xludf.DUMMYFUNCTION("""COMPUTED_VALUE"""),2378.5)</f>
        <v>2378.5</v>
      </c>
      <c r="F66" s="2">
        <f>IFERROR(__xludf.DUMMYFUNCTION("""COMPUTED_VALUE"""),2243.0)</f>
        <v>2243</v>
      </c>
      <c r="G66" s="2">
        <f>IFERROR(__xludf.DUMMYFUNCTION("""COMPUTED_VALUE"""),2523.0)</f>
        <v>2523</v>
      </c>
      <c r="H66" s="2">
        <f>IFERROR(__xludf.DUMMYFUNCTION("""COMPUTED_VALUE"""),2927.0)</f>
        <v>2927</v>
      </c>
      <c r="I66" s="2">
        <f>IFERROR(__xludf.DUMMYFUNCTION("""COMPUTED_VALUE"""),3364.0)</f>
        <v>3364</v>
      </c>
      <c r="J66" s="2">
        <f>IFERROR(__xludf.DUMMYFUNCTION("""COMPUTED_VALUE"""),1682.0)</f>
        <v>1682</v>
      </c>
      <c r="K66" s="2">
        <f>IFERROR(__xludf.DUMMYFUNCTION("""COMPUTED_VALUE"""),1.0)</f>
        <v>1</v>
      </c>
      <c r="L66" s="2" t="str">
        <f>IFERROR(__xludf.DUMMYFUNCTION("""COMPUTED_VALUE"""),"Светильники светодиодные COMFORT")</f>
        <v>Светильники светодиодные COMFORT</v>
      </c>
      <c r="M66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67">
      <c r="A67" s="5" t="str">
        <f>IFERROR(__xludf.DUMMYFUNCTION("""COMPUTED_VALUE"""),"V5004")</f>
        <v>V5004</v>
      </c>
      <c r="B67" s="5" t="str">
        <f>IFERROR(__xludf.DUMMYFUNCTION("""COMPUTED_VALUE"""),"VRN-LUX153X84-76-A50K67-K")</f>
        <v>VRN-LUX153X84-76-A50K67-K</v>
      </c>
      <c r="C67" s="2">
        <f>IFERROR(__xludf.DUMMYFUNCTION("""COMPUTED_VALUE"""),2.4)</f>
        <v>2.4</v>
      </c>
      <c r="D67" s="2">
        <f>IFERROR(__xludf.DUMMYFUNCTION("""COMPUTED_VALUE"""),0.0088)</f>
        <v>0.0088</v>
      </c>
      <c r="E67" s="2">
        <f>IFERROR(__xludf.DUMMYFUNCTION("""COMPUTED_VALUE"""),7172.5)</f>
        <v>7172.5</v>
      </c>
      <c r="F67" s="2">
        <f>IFERROR(__xludf.DUMMYFUNCTION("""COMPUTED_VALUE"""),7430.0)</f>
        <v>7430</v>
      </c>
      <c r="G67" s="2">
        <f>IFERROR(__xludf.DUMMYFUNCTION("""COMPUTED_VALUE"""),9659.0)</f>
        <v>9659</v>
      </c>
      <c r="H67" s="2">
        <f>IFERROR(__xludf.DUMMYFUNCTION("""COMPUTED_VALUE"""),10142.0)</f>
        <v>10142</v>
      </c>
      <c r="I67" s="2">
        <f>IFERROR(__xludf.DUMMYFUNCTION("""COMPUTED_VALUE"""),10625.0)</f>
        <v>10625</v>
      </c>
      <c r="J67" s="2">
        <f>IFERROR(__xludf.DUMMYFUNCTION("""COMPUTED_VALUE"""),5313.0)</f>
        <v>5313</v>
      </c>
      <c r="K67" s="2">
        <f>IFERROR(__xludf.DUMMYFUNCTION("""COMPUTED_VALUE"""),1.0)</f>
        <v>1</v>
      </c>
      <c r="L67" s="2" t="str">
        <f>IFERROR(__xludf.DUMMYFUNCTION("""COMPUTED_VALUE"""),"Премиум")</f>
        <v>Премиум</v>
      </c>
      <c r="M67" s="2" t="str">
        <f>IFERROR(__xludf.DUMMYFUNCTION("""COMPUTED_VALUE"""),"Профессиональные, LED Светильники")</f>
        <v>Профессиональные, LED Светильники</v>
      </c>
    </row>
    <row r="68">
      <c r="A68" s="5" t="str">
        <f>IFERROR(__xludf.DUMMYFUNCTION("""COMPUTED_VALUE"""),"4690612020839")</f>
        <v>4690612020839</v>
      </c>
      <c r="B68" s="5" t="str">
        <f>IFERROR(__xludf.DUMMYFUNCTION("""COMPUTED_VALUE"""),"LED-GX53-VC 15Вт 230В 6500К 1430Лм IN HOME")</f>
        <v>LED-GX53-VC 15Вт 230В 6500К 1430Лм IN HOME</v>
      </c>
      <c r="C68" s="2">
        <f>IFERROR(__xludf.DUMMYFUNCTION("""COMPUTED_VALUE"""),0.051)</f>
        <v>0.051</v>
      </c>
      <c r="D68" s="2">
        <f>IFERROR(__xludf.DUMMYFUNCTION("""COMPUTED_VALUE"""),2.1E-4)</f>
        <v>0.00021</v>
      </c>
      <c r="E68" s="2">
        <f>IFERROR(__xludf.DUMMYFUNCTION("""COMPUTED_VALUE"""),54.06)</f>
        <v>54.06</v>
      </c>
      <c r="F68" s="2">
        <f>IFERROR(__xludf.DUMMYFUNCTION("""COMPUTED_VALUE"""),57.0)</f>
        <v>57</v>
      </c>
      <c r="G68" s="2">
        <f>IFERROR(__xludf.DUMMYFUNCTION("""COMPUTED_VALUE"""),64.0)</f>
        <v>64</v>
      </c>
      <c r="H68" s="2">
        <f>IFERROR(__xludf.DUMMYFUNCTION("""COMPUTED_VALUE"""),74.0)</f>
        <v>74</v>
      </c>
      <c r="I68" s="2">
        <f>IFERROR(__xludf.DUMMYFUNCTION("""COMPUTED_VALUE"""),85.55)</f>
        <v>85.55</v>
      </c>
      <c r="J68" s="2">
        <f>IFERROR(__xludf.DUMMYFUNCTION("""COMPUTED_VALUE"""),43.0)</f>
        <v>43</v>
      </c>
      <c r="K68" s="2">
        <f>IFERROR(__xludf.DUMMYFUNCTION("""COMPUTED_VALUE"""),71.0)</f>
        <v>71</v>
      </c>
      <c r="L68" s="2" t="str">
        <f>IFERROR(__xludf.DUMMYFUNCTION("""COMPUTED_VALUE"""),"Лампа светодиодная LED-GX53-standard")</f>
        <v>Лампа светодиодная LED-GX53-standard</v>
      </c>
      <c r="M68" s="2" t="str">
        <f>IFERROR(__xludf.DUMMYFUNCTION("""COMPUTED_VALUE"""),"Лампы")</f>
        <v>Лампы</v>
      </c>
    </row>
    <row r="69">
      <c r="A69" s="5" t="str">
        <f>IFERROR(__xludf.DUMMYFUNCTION("""COMPUTED_VALUE"""),"4690612015125")</f>
        <v>4690612015125</v>
      </c>
      <c r="B69" s="5" t="str">
        <f>IFERROR(__xludf.DUMMYFUNCTION("""COMPUTED_VALUE"""),"NL03-BB Медвежонок с датчиком освещения 230В СИНИЙ IN HOME")</f>
        <v>NL03-BB Медвежонок с датчиком освещения 230В СИНИЙ IN HOME</v>
      </c>
      <c r="C69" s="2">
        <f>IFERROR(__xludf.DUMMYFUNCTION("""COMPUTED_VALUE"""),0.115)</f>
        <v>0.115</v>
      </c>
      <c r="D69" s="2">
        <f>IFERROR(__xludf.DUMMYFUNCTION("""COMPUTED_VALUE"""),0.0023)</f>
        <v>0.0023</v>
      </c>
      <c r="E69" s="2">
        <f>IFERROR(__xludf.DUMMYFUNCTION("""COMPUTED_VALUE"""),100.5)</f>
        <v>100.5</v>
      </c>
      <c r="F69" s="2">
        <f>IFERROR(__xludf.DUMMYFUNCTION("""COMPUTED_VALUE"""),100.0)</f>
        <v>100</v>
      </c>
      <c r="G69" s="2">
        <f>IFERROR(__xludf.DUMMYFUNCTION("""COMPUTED_VALUE"""),113.0)</f>
        <v>113</v>
      </c>
      <c r="H69" s="2">
        <f>IFERROR(__xludf.DUMMYFUNCTION("""COMPUTED_VALUE"""),131.0)</f>
        <v>131</v>
      </c>
      <c r="I69" s="2">
        <f>IFERROR(__xludf.DUMMYFUNCTION("""COMPUTED_VALUE"""),150.0)</f>
        <v>150</v>
      </c>
      <c r="J69" s="2">
        <f>IFERROR(__xludf.DUMMYFUNCTION("""COMPUTED_VALUE"""),75.0)</f>
        <v>75</v>
      </c>
      <c r="K69" s="2">
        <f>IFERROR(__xludf.DUMMYFUNCTION("""COMPUTED_VALUE"""),7.0)</f>
        <v>7</v>
      </c>
      <c r="L69" s="2" t="str">
        <f>IFERROR(__xludf.DUMMYFUNCTION("""COMPUTED_VALUE"""),"Светильники ночники")</f>
        <v>Светильники ночники</v>
      </c>
      <c r="M69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70">
      <c r="A70" s="5" t="str">
        <f>IFERROR(__xludf.DUMMYFUNCTION("""COMPUTED_VALUE"""),"G106001104")</f>
        <v>G106001104</v>
      </c>
      <c r="B70" s="5" t="str">
        <f>IFERROR(__xludf.DUMMYFUNCTION("""COMPUTED_VALUE"""),"Reflector R39 E14 4W 2700K 1/10/50")</f>
        <v>Reflector R39 E14 4W 2700K 1/10/50</v>
      </c>
      <c r="C70" s="2">
        <f>IFERROR(__xludf.DUMMYFUNCTION("""COMPUTED_VALUE"""),0.0)</f>
        <v>0</v>
      </c>
      <c r="D70" s="2">
        <f>IFERROR(__xludf.DUMMYFUNCTION("""COMPUTED_VALUE"""),0.0)</f>
        <v>0</v>
      </c>
      <c r="E70" s="2">
        <f>IFERROR(__xludf.DUMMYFUNCTION("""COMPUTED_VALUE"""),109.0)</f>
        <v>109</v>
      </c>
      <c r="F70" s="2">
        <f>IFERROR(__xludf.DUMMYFUNCTION("""COMPUTED_VALUE"""),131.0)</f>
        <v>131</v>
      </c>
      <c r="G70" s="2">
        <f>IFERROR(__xludf.DUMMYFUNCTION("""COMPUTED_VALUE"""),144.0)</f>
        <v>144</v>
      </c>
      <c r="H70" s="2">
        <f>IFERROR(__xludf.DUMMYFUNCTION("""COMPUTED_VALUE"""),170.0)</f>
        <v>170</v>
      </c>
      <c r="I70" s="2">
        <f>IFERROR(__xludf.DUMMYFUNCTION("""COMPUTED_VALUE"""),215.0)</f>
        <v>215</v>
      </c>
      <c r="J70" s="2">
        <f>IFERROR(__xludf.DUMMYFUNCTION("""COMPUTED_VALUE"""),108.0)</f>
        <v>108</v>
      </c>
      <c r="K70" s="2">
        <f>IFERROR(__xludf.DUMMYFUNCTION("""COMPUTED_VALUE"""),8.0)</f>
        <v>8</v>
      </c>
      <c r="L70" s="2" t="str">
        <f>IFERROR(__xludf.DUMMYFUNCTION("""COMPUTED_VALUE"""),"Зеркальные Лампы")</f>
        <v>Зеркальные Лампы</v>
      </c>
      <c r="M70" s="2" t="str">
        <f>IFERROR(__xludf.DUMMYFUNCTION("""COMPUTED_VALUE"""),"Лампы")</f>
        <v>Лампы</v>
      </c>
    </row>
    <row r="71">
      <c r="A71" s="5" t="str">
        <f>IFERROR(__xludf.DUMMYFUNCTION("""COMPUTED_VALUE"""),"4690612029375")</f>
        <v>4690612029375</v>
      </c>
      <c r="B71" s="5" t="str">
        <f>IFERROR(__xludf.DUMMYFUNCTION("""COMPUTED_VALUE"""),"Коннектор шинопровода угловой AC-B-TL черный серии TOP-LINE IN HOME")</f>
        <v>Коннектор шинопровода угловой AC-B-TL черный серии TOP-LINE IN HOME</v>
      </c>
      <c r="C71" s="2">
        <f>IFERROR(__xludf.DUMMYFUNCTION("""COMPUTED_VALUE"""),0.0288)</f>
        <v>0.0288</v>
      </c>
      <c r="D71" s="2">
        <f>IFERROR(__xludf.DUMMYFUNCTION("""COMPUTED_VALUE"""),6.000000000000001E-5)</f>
        <v>0.00006</v>
      </c>
      <c r="E71" s="2">
        <f>IFERROR(__xludf.DUMMYFUNCTION("""COMPUTED_VALUE"""),49.24)</f>
        <v>49.24</v>
      </c>
      <c r="F71" s="2">
        <f>IFERROR(__xludf.DUMMYFUNCTION("""COMPUTED_VALUE"""),65.0)</f>
        <v>65</v>
      </c>
      <c r="G71" s="2">
        <f>IFERROR(__xludf.DUMMYFUNCTION("""COMPUTED_VALUE"""),73.0)</f>
        <v>73</v>
      </c>
      <c r="H71" s="2">
        <f>IFERROR(__xludf.DUMMYFUNCTION("""COMPUTED_VALUE"""),84.0)</f>
        <v>84</v>
      </c>
      <c r="I71" s="2">
        <f>IFERROR(__xludf.DUMMYFUNCTION("""COMPUTED_VALUE"""),97.0)</f>
        <v>97</v>
      </c>
      <c r="J71" s="2">
        <f>IFERROR(__xludf.DUMMYFUNCTION("""COMPUTED_VALUE"""),49.0)</f>
        <v>49</v>
      </c>
      <c r="K71" s="2">
        <f>IFERROR(__xludf.DUMMYFUNCTION("""COMPUTED_VALUE"""),14.0)</f>
        <v>14</v>
      </c>
      <c r="L71" s="2" t="str">
        <f>IFERROR(__xludf.DUMMYFUNCTION("""COMPUTED_VALUE"""),"Шинопровод и комплектующие")</f>
        <v>Шинопровод и комплектующие</v>
      </c>
      <c r="M71" s="2" t="str">
        <f>IFERROR(__xludf.DUMMYFUNCTION("""COMPUTED_VALUE"""),"Прочие товары")</f>
        <v>Прочие товары</v>
      </c>
    </row>
    <row r="72">
      <c r="A72" s="5" t="str">
        <f>IFERROR(__xludf.DUMMYFUNCTION("""COMPUTED_VALUE"""),"14690612057306")</f>
        <v>14690612057306</v>
      </c>
      <c r="B72" s="5" t="str">
        <f>IFERROR(__xludf.DUMMYFUNCTION("""COMPUTED_VALUE"""),"ДВО-PRO 5065-ОПАЛ 50Вт 6500К 120лм/Вт CRI80 IP40 595х595х30мм NEOX (4 шт в упак.)")</f>
        <v>ДВО-PRO 5065-ОПАЛ 50Вт 6500К 120лм/Вт CRI80 IP40 595х595х30мм NEOX (4 шт в упак.)</v>
      </c>
      <c r="C72" s="2">
        <f>IFERROR(__xludf.DUMMYFUNCTION("""COMPUTED_VALUE"""),0.0)</f>
        <v>0</v>
      </c>
      <c r="D72" s="2">
        <f>IFERROR(__xludf.DUMMYFUNCTION("""COMPUTED_VALUE"""),0.0)</f>
        <v>0</v>
      </c>
      <c r="E72" s="2">
        <f>IFERROR(__xludf.DUMMYFUNCTION("""COMPUTED_VALUE"""),3739.86)</f>
        <v>3739.86</v>
      </c>
      <c r="F72" s="2">
        <f>IFERROR(__xludf.DUMMYFUNCTION("""COMPUTED_VALUE"""),4103.0)</f>
        <v>4103</v>
      </c>
      <c r="G72" s="2">
        <f>IFERROR(__xludf.DUMMYFUNCTION("""COMPUTED_VALUE"""),5386.0)</f>
        <v>5386</v>
      </c>
      <c r="H72" s="2">
        <f>IFERROR(__xludf.DUMMYFUNCTION("""COMPUTED_VALUE"""),6059.0)</f>
        <v>6059</v>
      </c>
      <c r="I72" s="2">
        <f>IFERROR(__xludf.DUMMYFUNCTION("""COMPUTED_VALUE"""),6732.0)</f>
        <v>6732</v>
      </c>
      <c r="J72" s="2">
        <f>IFERROR(__xludf.DUMMYFUNCTION("""COMPUTED_VALUE"""),3366.0)</f>
        <v>3366</v>
      </c>
      <c r="K72" s="2">
        <f>IFERROR(__xludf.DUMMYFUNCTION("""COMPUTED_VALUE"""),5.0)</f>
        <v>5</v>
      </c>
      <c r="L72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72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73">
      <c r="A73" s="5" t="str">
        <f>IFERROR(__xludf.DUMMYFUNCTION("""COMPUTED_VALUE"""),"HD016")</f>
        <v>HD016</v>
      </c>
      <c r="B73" s="5" t="str">
        <f>IFERROR(__xludf.DUMMYFUNCTION("""COMPUTED_VALUE"""),"Светильник Gauss Overhead накл цил 10W 700lm 3000K 170-240V IP20 88*75мм черный с расс LED 1/30")</f>
        <v>Светильник Gauss Overhead накл цил 10W 700lm 3000K 170-240V IP20 88*75мм черный с расс LED 1/30</v>
      </c>
      <c r="C73" s="2">
        <f>IFERROR(__xludf.DUMMYFUNCTION("""COMPUTED_VALUE"""),0.0)</f>
        <v>0</v>
      </c>
      <c r="D73" s="2">
        <f>IFERROR(__xludf.DUMMYFUNCTION("""COMPUTED_VALUE"""),0.0)</f>
        <v>0</v>
      </c>
      <c r="E73" s="2">
        <f>IFERROR(__xludf.DUMMYFUNCTION("""COMPUTED_VALUE"""),0.0)</f>
        <v>0</v>
      </c>
      <c r="F73" s="2">
        <f>IFERROR(__xludf.DUMMYFUNCTION("""COMPUTED_VALUE"""),0.0)</f>
        <v>0</v>
      </c>
      <c r="G73" s="2">
        <f>IFERROR(__xludf.DUMMYFUNCTION("""COMPUTED_VALUE"""),0.0)</f>
        <v>0</v>
      </c>
      <c r="H73" s="2">
        <f>IFERROR(__xludf.DUMMYFUNCTION("""COMPUTED_VALUE"""),0.0)</f>
        <v>0</v>
      </c>
      <c r="I73" s="2">
        <f>IFERROR(__xludf.DUMMYFUNCTION("""COMPUTED_VALUE"""),0.0)</f>
        <v>0</v>
      </c>
      <c r="J73" s="2">
        <f>IFERROR(__xludf.DUMMYFUNCTION("""COMPUTED_VALUE"""),0.0)</f>
        <v>0</v>
      </c>
      <c r="K73" s="2">
        <f>IFERROR(__xludf.DUMMYFUNCTION("""COMPUTED_VALUE"""),1.0)</f>
        <v>1</v>
      </c>
      <c r="L73" s="2" t="str">
        <f>IFERROR(__xludf.DUMMYFUNCTION("""COMPUTED_VALUE"""),"Gauss светильники")</f>
        <v>Gauss светильники</v>
      </c>
      <c r="M73" s="2" t="str">
        <f>IFERROR(__xludf.DUMMYFUNCTION("""COMPUTED_VALUE"""),"Ламповые светильники")</f>
        <v>Ламповые светильники</v>
      </c>
    </row>
    <row r="74">
      <c r="A74" s="5" t="str">
        <f>IFERROR(__xludf.DUMMYFUNCTION("""COMPUTED_VALUE"""),"V9001")</f>
        <v>V9001</v>
      </c>
      <c r="B74" s="5" t="str">
        <f>IFERROR(__xludf.DUMMYFUNCTION("""COMPUTED_VALUE"""),"VRN-UNE-32-G40K67-U, 32Вт, Универсальный")</f>
        <v>VRN-UNE-32-G40K67-U, 32Вт, Универсальный</v>
      </c>
      <c r="C74" s="2">
        <f>IFERROR(__xludf.DUMMYFUNCTION("""COMPUTED_VALUE"""),1.05)</f>
        <v>1.05</v>
      </c>
      <c r="D74" s="2">
        <f>IFERROR(__xludf.DUMMYFUNCTION("""COMPUTED_VALUE"""),0.004030000000000001)</f>
        <v>0.00403</v>
      </c>
      <c r="E74" s="2">
        <f>IFERROR(__xludf.DUMMYFUNCTION("""COMPUTED_VALUE"""),1783.41)</f>
        <v>1783.41</v>
      </c>
      <c r="F74" s="2">
        <f>IFERROR(__xludf.DUMMYFUNCTION("""COMPUTED_VALUE"""),2020.0)</f>
        <v>2020</v>
      </c>
      <c r="G74" s="2">
        <f>IFERROR(__xludf.DUMMYFUNCTION("""COMPUTED_VALUE"""),2626.0)</f>
        <v>2626</v>
      </c>
      <c r="H74" s="2">
        <f>IFERROR(__xludf.DUMMYFUNCTION("""COMPUTED_VALUE"""),2757.0)</f>
        <v>2757</v>
      </c>
      <c r="I74" s="2">
        <f>IFERROR(__xludf.DUMMYFUNCTION("""COMPUTED_VALUE"""),2889.0)</f>
        <v>2889</v>
      </c>
      <c r="J74" s="2">
        <f>IFERROR(__xludf.DUMMYFUNCTION("""COMPUTED_VALUE"""),2889.0)</f>
        <v>2889</v>
      </c>
      <c r="K74" s="2">
        <f>IFERROR(__xludf.DUMMYFUNCTION("""COMPUTED_VALUE"""),38.0)</f>
        <v>38</v>
      </c>
      <c r="L74" s="2" t="str">
        <f>IFERROR(__xludf.DUMMYFUNCTION("""COMPUTED_VALUE"""),"Универсал Эконом")</f>
        <v>Универсал Эконом</v>
      </c>
      <c r="M74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75">
      <c r="A75" s="5" t="str">
        <f>IFERROR(__xludf.DUMMYFUNCTION("""COMPUTED_VALUE"""),"4690612004235")</f>
        <v>4690612004235</v>
      </c>
      <c r="B75" s="5" t="str">
        <f>IFERROR(__xludf.DUMMYFUNCTION("""COMPUTED_VALUE"""),"LED-T8-PREMIUM 18Вт 160-260В G13 6500К 1980Лм 1200мм ASD")</f>
        <v>LED-T8-PREMIUM 18Вт 160-260В G13 6500К 1980Лм 1200мм ASD</v>
      </c>
      <c r="C75" s="2">
        <f>IFERROR(__xludf.DUMMYFUNCTION("""COMPUTED_VALUE"""),0.3780000000000001)</f>
        <v>0.378</v>
      </c>
      <c r="D75" s="2">
        <f>IFERROR(__xludf.DUMMYFUNCTION("""COMPUTED_VALUE"""),0.0)</f>
        <v>0</v>
      </c>
      <c r="E75" s="2">
        <f>IFERROR(__xludf.DUMMYFUNCTION("""COMPUTED_VALUE"""),256.8)</f>
        <v>256.8</v>
      </c>
      <c r="F75" s="2">
        <f>IFERROR(__xludf.DUMMYFUNCTION("""COMPUTED_VALUE"""),0.0)</f>
        <v>0</v>
      </c>
      <c r="G75" s="2">
        <f>IFERROR(__xludf.DUMMYFUNCTION("""COMPUTED_VALUE"""),0.0)</f>
        <v>0</v>
      </c>
      <c r="H75" s="2">
        <f>IFERROR(__xludf.DUMMYFUNCTION("""COMPUTED_VALUE"""),0.0)</f>
        <v>0</v>
      </c>
      <c r="I75" s="2">
        <f>IFERROR(__xludf.DUMMYFUNCTION("""COMPUTED_VALUE"""),0.5)</f>
        <v>0.5</v>
      </c>
      <c r="J75" s="2">
        <f>IFERROR(__xludf.DUMMYFUNCTION("""COMPUTED_VALUE"""),0.5)</f>
        <v>0.5</v>
      </c>
      <c r="K75" s="2">
        <f>IFERROR(__xludf.DUMMYFUNCTION("""COMPUTED_VALUE"""),1.0)</f>
        <v>1</v>
      </c>
      <c r="L75" s="2" t="str">
        <f>IFERROR(__xludf.DUMMYFUNCTION("""COMPUTED_VALUE"""),"Лампа светодиодная LED-T8")</f>
        <v>Лампа светодиодная LED-T8</v>
      </c>
      <c r="M75" s="2" t="str">
        <f>IFERROR(__xludf.DUMMYFUNCTION("""COMPUTED_VALUE"""),"Лампы")</f>
        <v>Лампы</v>
      </c>
    </row>
    <row r="76">
      <c r="A76" s="5" t="str">
        <f>IFERROR(__xludf.DUMMYFUNCTION("""COMPUTED_VALUE"""),"4690612034683")</f>
        <v>4690612034683</v>
      </c>
      <c r="B76" s="5" t="str">
        <f>IFERROR(__xludf.DUMMYFUNCTION("""COMPUTED_VALUE"""),"СДО-7 20Вт 230В 6500К IP65 белый IN HOME")</f>
        <v>СДО-7 20Вт 230В 6500К IP65 белый IN HOME</v>
      </c>
      <c r="C76" s="2">
        <f>IFERROR(__xludf.DUMMYFUNCTION("""COMPUTED_VALUE"""),0.175)</f>
        <v>0.175</v>
      </c>
      <c r="D76" s="2">
        <f>IFERROR(__xludf.DUMMYFUNCTION("""COMPUTED_VALUE"""),4.800000000000001E-4)</f>
        <v>0.00048</v>
      </c>
      <c r="E76" s="2">
        <f>IFERROR(__xludf.DUMMYFUNCTION("""COMPUTED_VALUE"""),166.23)</f>
        <v>166.23</v>
      </c>
      <c r="F76" s="2">
        <f>IFERROR(__xludf.DUMMYFUNCTION("""COMPUTED_VALUE"""),153.0)</f>
        <v>153</v>
      </c>
      <c r="G76" s="2">
        <f>IFERROR(__xludf.DUMMYFUNCTION("""COMPUTED_VALUE"""),172.0)</f>
        <v>172</v>
      </c>
      <c r="H76" s="2">
        <f>IFERROR(__xludf.DUMMYFUNCTION("""COMPUTED_VALUE"""),199.0)</f>
        <v>199</v>
      </c>
      <c r="I76" s="2">
        <f>IFERROR(__xludf.DUMMYFUNCTION("""COMPUTED_VALUE"""),229.0)</f>
        <v>229</v>
      </c>
      <c r="J76" s="2">
        <f>IFERROR(__xludf.DUMMYFUNCTION("""COMPUTED_VALUE"""),115.0)</f>
        <v>115</v>
      </c>
      <c r="K76" s="2">
        <f>IFERROR(__xludf.DUMMYFUNCTION("""COMPUTED_VALUE"""),17.0)</f>
        <v>17</v>
      </c>
      <c r="L76" s="2" t="str">
        <f>IFERROR(__xludf.DUMMYFUNCTION("""COMPUTED_VALUE"""),"Прожекторы светодиодные СДО-07")</f>
        <v>Прожекторы светодиодные СДО-07</v>
      </c>
      <c r="M76" s="2" t="str">
        <f>IFERROR(__xludf.DUMMYFUNCTION("""COMPUTED_VALUE"""),"Прожекторы (LED), Бытовые (недорогие), Без датчиков, LED Светильники")</f>
        <v>Прожекторы (LED), Бытовые (недорогие), Без датчиков, LED Светильники</v>
      </c>
    </row>
    <row r="77">
      <c r="A77" s="5" t="str">
        <f>IFERROR(__xludf.DUMMYFUNCTION("""COMPUTED_VALUE"""),"12-0480")</f>
        <v>12-0480</v>
      </c>
      <c r="B77" s="5" t="str">
        <f>IFERROR(__xludf.DUMMYFUNCTION("""COMPUTED_VALUE"""),"Паяльник с керамическим нагревателем 220 В 80 Вт")</f>
        <v>Паяльник с керамическим нагревателем 220 В 80 Вт</v>
      </c>
      <c r="C77" s="2">
        <f>IFERROR(__xludf.DUMMYFUNCTION("""COMPUTED_VALUE"""),0.0)</f>
        <v>0</v>
      </c>
      <c r="D77" s="2">
        <f>IFERROR(__xludf.DUMMYFUNCTION("""COMPUTED_VALUE"""),0.0)</f>
        <v>0</v>
      </c>
      <c r="E77" s="2">
        <f>IFERROR(__xludf.DUMMYFUNCTION("""COMPUTED_VALUE"""),1.0)</f>
        <v>1</v>
      </c>
      <c r="F77" s="2">
        <f>IFERROR(__xludf.DUMMYFUNCTION("""COMPUTED_VALUE"""),954.0)</f>
        <v>954</v>
      </c>
      <c r="G77" s="2">
        <f>IFERROR(__xludf.DUMMYFUNCTION("""COMPUTED_VALUE"""),1018.0)</f>
        <v>1018</v>
      </c>
      <c r="H77" s="2">
        <f>IFERROR(__xludf.DUMMYFUNCTION("""COMPUTED_VALUE"""),1145.0)</f>
        <v>1145</v>
      </c>
      <c r="I77" s="2">
        <f>IFERROR(__xludf.DUMMYFUNCTION("""COMPUTED_VALUE"""),1272.0)</f>
        <v>1272</v>
      </c>
      <c r="J77" s="2">
        <f>IFERROR(__xludf.DUMMYFUNCTION("""COMPUTED_VALUE"""),636.0)</f>
        <v>636</v>
      </c>
      <c r="K77" s="2">
        <f>IFERROR(__xludf.DUMMYFUNCTION("""COMPUTED_VALUE"""),1.0)</f>
        <v>1</v>
      </c>
      <c r="L77" s="2" t="str">
        <f>IFERROR(__xludf.DUMMYFUNCTION("""COMPUTED_VALUE"""),"Rexant")</f>
        <v>Rexant</v>
      </c>
      <c r="M77" s="2" t="str">
        <f>IFERROR(__xludf.DUMMYFUNCTION("""COMPUTED_VALUE"""),"Прочие товары")</f>
        <v>Прочие товары</v>
      </c>
    </row>
    <row r="78">
      <c r="A78" s="5" t="str">
        <f>IFERROR(__xludf.DUMMYFUNCTION("""COMPUTED_VALUE"""),"4690612042633")</f>
        <v>4690612042633</v>
      </c>
      <c r="B78" s="5" t="str">
        <f>IFERROR(__xludf.DUMMYFUNCTION("""COMPUTED_VALUE"""),"LHB-02 150Вт 120гр 230В 5000К 15750Лм 105Лм/Вт IP65 без пульсации NEOX")</f>
        <v>LHB-02 150Вт 120гр 230В 5000К 15750Лм 105Лм/Вт IP65 без пульсации NEOX</v>
      </c>
      <c r="C78" s="2">
        <f>IFERROR(__xludf.DUMMYFUNCTION("""COMPUTED_VALUE"""),1.41)</f>
        <v>1.41</v>
      </c>
      <c r="D78" s="2">
        <f>IFERROR(__xludf.DUMMYFUNCTION("""COMPUTED_VALUE"""),0.0054)</f>
        <v>0.0054</v>
      </c>
      <c r="E78" s="2">
        <f>IFERROR(__xludf.DUMMYFUNCTION("""COMPUTED_VALUE"""),1777.2)</f>
        <v>1777.2</v>
      </c>
      <c r="F78" s="2">
        <f>IFERROR(__xludf.DUMMYFUNCTION("""COMPUTED_VALUE"""),1378.0)</f>
        <v>1378</v>
      </c>
      <c r="G78" s="2">
        <f>IFERROR(__xludf.DUMMYFUNCTION("""COMPUTED_VALUE"""),1550.0)</f>
        <v>1550</v>
      </c>
      <c r="H78" s="2">
        <f>IFERROR(__xludf.DUMMYFUNCTION("""COMPUTED_VALUE"""),1798.0)</f>
        <v>1798</v>
      </c>
      <c r="I78" s="2">
        <f>IFERROR(__xludf.DUMMYFUNCTION("""COMPUTED_VALUE"""),2067.0)</f>
        <v>2067</v>
      </c>
      <c r="J78" s="2">
        <f>IFERROR(__xludf.DUMMYFUNCTION("""COMPUTED_VALUE"""),1034.0)</f>
        <v>1034</v>
      </c>
      <c r="K78" s="2">
        <f>IFERROR(__xludf.DUMMYFUNCTION("""COMPUTED_VALUE"""),1.0)</f>
        <v>1</v>
      </c>
      <c r="L78" s="2" t="str">
        <f>IFERROR(__xludf.DUMMYFUNCTION("""COMPUTED_VALUE"""),"NEOX Светильники LED LHB, WHB")</f>
        <v>NEOX Светильники LED LHB, WHB</v>
      </c>
      <c r="M78" s="2" t="str">
        <f>IFERROR(__xludf.DUMMYFUNCTION("""COMPUTED_VALUE"""),"Промышленные светильники (LED), LED Светильники")</f>
        <v>Промышленные светильники (LED), LED Светильники</v>
      </c>
    </row>
    <row r="79">
      <c r="A79" s="5" t="str">
        <f>IFERROR(__xludf.DUMMYFUNCTION("""COMPUTED_VALUE"""),"4690612000923")</f>
        <v>4690612000923</v>
      </c>
      <c r="B79" s="5" t="str">
        <f>IFERROR(__xludf.DUMMYFUNCTION("""COMPUTED_VALUE"""),"LS-AA-12.5 12.5А 150Вт 12В алюминий")</f>
        <v>LS-AA-12.5 12.5А 150Вт 12В алюминий</v>
      </c>
      <c r="C79" s="2">
        <f>IFERROR(__xludf.DUMMYFUNCTION("""COMPUTED_VALUE"""),0.5888000000000001)</f>
        <v>0.5888</v>
      </c>
      <c r="D79" s="2">
        <f>IFERROR(__xludf.DUMMYFUNCTION("""COMPUTED_VALUE"""),0.00115)</f>
        <v>0.00115</v>
      </c>
      <c r="E79" s="2">
        <f>IFERROR(__xludf.DUMMYFUNCTION("""COMPUTED_VALUE"""),544.17)</f>
        <v>544.17</v>
      </c>
      <c r="F79" s="2">
        <f>IFERROR(__xludf.DUMMYFUNCTION("""COMPUTED_VALUE"""),800.0)</f>
        <v>800</v>
      </c>
      <c r="G79" s="2">
        <f>IFERROR(__xludf.DUMMYFUNCTION("""COMPUTED_VALUE"""),900.0)</f>
        <v>900</v>
      </c>
      <c r="H79" s="2">
        <f>IFERROR(__xludf.DUMMYFUNCTION("""COMPUTED_VALUE"""),1044.0)</f>
        <v>1044</v>
      </c>
      <c r="I79" s="2">
        <f>IFERROR(__xludf.DUMMYFUNCTION("""COMPUTED_VALUE"""),1200.0)</f>
        <v>1200</v>
      </c>
      <c r="J79" s="2">
        <f>IFERROR(__xludf.DUMMYFUNCTION("""COMPUTED_VALUE"""),544.0)</f>
        <v>544</v>
      </c>
      <c r="K79" s="2">
        <f>IFERROR(__xludf.DUMMYFUNCTION("""COMPUTED_VALUE"""),5.0)</f>
        <v>5</v>
      </c>
      <c r="L79" s="2" t="str">
        <f>IFERROR(__xludf.DUMMYFUNCTION("""COMPUTED_VALUE"""),"ASD электромонтажные изделия")</f>
        <v>ASD электромонтажные изделия</v>
      </c>
      <c r="M79" s="2" t="str">
        <f>IFERROR(__xludf.DUMMYFUNCTION("""COMPUTED_VALUE"""),"Прочие товары")</f>
        <v>Прочие товары</v>
      </c>
    </row>
    <row r="80">
      <c r="A80" s="5" t="str">
        <f>IFERROR(__xludf.DUMMYFUNCTION("""COMPUTED_VALUE"""),"GL8143")</f>
        <v>GL8143</v>
      </c>
      <c r="B80" s="5" t="str">
        <f>IFERROR(__xludf.DUMMYFUNCTION("""COMPUTED_VALUE"""),"GLERIO Office Special 24 Вт 4000К 82P-24D-4V-K")</f>
        <v>GLERIO Office Special 24 Вт 4000К 82P-24D-4V-K</v>
      </c>
      <c r="C80" s="2">
        <f>IFERROR(__xludf.DUMMYFUNCTION("""COMPUTED_VALUE"""),1.04)</f>
        <v>1.04</v>
      </c>
      <c r="D80" s="2">
        <f>IFERROR(__xludf.DUMMYFUNCTION("""COMPUTED_VALUE"""),0.008190000000000001)</f>
        <v>0.00819</v>
      </c>
      <c r="E80" s="2">
        <f>IFERROR(__xludf.DUMMYFUNCTION("""COMPUTED_VALUE"""),1464.7)</f>
        <v>1464.7</v>
      </c>
      <c r="F80" s="2">
        <f>IFERROR(__xludf.DUMMYFUNCTION("""COMPUTED_VALUE"""),1700.0)</f>
        <v>1700</v>
      </c>
      <c r="G80" s="2">
        <f>IFERROR(__xludf.DUMMYFUNCTION("""COMPUTED_VALUE"""),2140.0)</f>
        <v>2140</v>
      </c>
      <c r="H80" s="2">
        <f>IFERROR(__xludf.DUMMYFUNCTION("""COMPUTED_VALUE"""),2404.0)</f>
        <v>2404</v>
      </c>
      <c r="I80" s="2">
        <f>IFERROR(__xludf.DUMMYFUNCTION("""COMPUTED_VALUE"""),2667.0)</f>
        <v>2667</v>
      </c>
      <c r="J80" s="2">
        <f>IFERROR(__xludf.DUMMYFUNCTION("""COMPUTED_VALUE"""),2140.0)</f>
        <v>2140</v>
      </c>
      <c r="K80" s="2">
        <f>IFERROR(__xludf.DUMMYFUNCTION("""COMPUTED_VALUE"""),10.0)</f>
        <v>10</v>
      </c>
      <c r="L80" s="2" t="str">
        <f>IFERROR(__xludf.DUMMYFUNCTION("""COMPUTED_VALUE"""),"Office Special (Офис Премиум) до 10.2025")</f>
        <v>Office Special (Офис Премиум) до 10.2025</v>
      </c>
      <c r="M80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81">
      <c r="A81" s="5" t="str">
        <f>IFERROR(__xludf.DUMMYFUNCTION("""COMPUTED_VALUE"""),"4690612020815")</f>
        <v>4690612020815</v>
      </c>
      <c r="B81" s="5" t="str">
        <f>IFERROR(__xludf.DUMMYFUNCTION("""COMPUTED_VALUE"""),"LED-GX53-VC 15Вт 230В 3000К 1430Лм IN HOME")</f>
        <v>LED-GX53-VC 15Вт 230В 3000К 1430Лм IN HOME</v>
      </c>
      <c r="C81" s="2">
        <f>IFERROR(__xludf.DUMMYFUNCTION("""COMPUTED_VALUE"""),0.051)</f>
        <v>0.051</v>
      </c>
      <c r="D81" s="2">
        <f>IFERROR(__xludf.DUMMYFUNCTION("""COMPUTED_VALUE"""),2.1E-4)</f>
        <v>0.00021</v>
      </c>
      <c r="E81" s="2">
        <f>IFERROR(__xludf.DUMMYFUNCTION("""COMPUTED_VALUE"""),53.4)</f>
        <v>53.4</v>
      </c>
      <c r="F81" s="2">
        <f>IFERROR(__xludf.DUMMYFUNCTION("""COMPUTED_VALUE"""),57.0)</f>
        <v>57</v>
      </c>
      <c r="G81" s="2">
        <f>IFERROR(__xludf.DUMMYFUNCTION("""COMPUTED_VALUE"""),64.0)</f>
        <v>64</v>
      </c>
      <c r="H81" s="2">
        <f>IFERROR(__xludf.DUMMYFUNCTION("""COMPUTED_VALUE"""),74.0)</f>
        <v>74</v>
      </c>
      <c r="I81" s="2">
        <f>IFERROR(__xludf.DUMMYFUNCTION("""COMPUTED_VALUE"""),85.55)</f>
        <v>85.55</v>
      </c>
      <c r="J81" s="2">
        <f>IFERROR(__xludf.DUMMYFUNCTION("""COMPUTED_VALUE"""),43.0)</f>
        <v>43</v>
      </c>
      <c r="K81" s="2">
        <f>IFERROR(__xludf.DUMMYFUNCTION("""COMPUTED_VALUE"""),9.0)</f>
        <v>9</v>
      </c>
      <c r="L81" s="2" t="str">
        <f>IFERROR(__xludf.DUMMYFUNCTION("""COMPUTED_VALUE"""),"Лампа светодиодная LED-GX53-standard")</f>
        <v>Лампа светодиодная LED-GX53-standard</v>
      </c>
      <c r="M81" s="2" t="str">
        <f>IFERROR(__xludf.DUMMYFUNCTION("""COMPUTED_VALUE"""),"Лампы")</f>
        <v>Лампы</v>
      </c>
    </row>
    <row r="82">
      <c r="A82" s="5" t="str">
        <f>IFERROR(__xludf.DUMMYFUNCTION("""COMPUTED_VALUE"""),"4690612030920")</f>
        <v>4690612030920</v>
      </c>
      <c r="B82" s="5" t="str">
        <f>IFERROR(__xludf.DUMMYFUNCTION("""COMPUTED_VALUE"""),"LED-T8R-M-PRO 10Вт 230В G13R 6500К 1000Лм 600мм матовая поворотная IN HOME")</f>
        <v>LED-T8R-M-PRO 10Вт 230В G13R 6500К 1000Лм 600мм матовая поворотная IN HOME</v>
      </c>
      <c r="C82" s="2">
        <f>IFERROR(__xludf.DUMMYFUNCTION("""COMPUTED_VALUE"""),0.108)</f>
        <v>0.108</v>
      </c>
      <c r="D82" s="2">
        <f>IFERROR(__xludf.DUMMYFUNCTION("""COMPUTED_VALUE"""),7.2E-4)</f>
        <v>0.00072</v>
      </c>
      <c r="E82" s="2">
        <f>IFERROR(__xludf.DUMMYFUNCTION("""COMPUTED_VALUE"""),76.49)</f>
        <v>76.49</v>
      </c>
      <c r="F82" s="2">
        <f>IFERROR(__xludf.DUMMYFUNCTION("""COMPUTED_VALUE"""),90.0)</f>
        <v>90</v>
      </c>
      <c r="G82" s="2">
        <f>IFERROR(__xludf.DUMMYFUNCTION("""COMPUTED_VALUE"""),101.0)</f>
        <v>101</v>
      </c>
      <c r="H82" s="2">
        <f>IFERROR(__xludf.DUMMYFUNCTION("""COMPUTED_VALUE"""),118.0)</f>
        <v>118</v>
      </c>
      <c r="I82" s="2">
        <f>IFERROR(__xludf.DUMMYFUNCTION("""COMPUTED_VALUE"""),135.8)</f>
        <v>135.8</v>
      </c>
      <c r="J82" s="2">
        <f>IFERROR(__xludf.DUMMYFUNCTION("""COMPUTED_VALUE"""),135.8)</f>
        <v>135.8</v>
      </c>
      <c r="K82" s="2">
        <f>IFERROR(__xludf.DUMMYFUNCTION("""COMPUTED_VALUE"""),15.0)</f>
        <v>15</v>
      </c>
      <c r="L82" s="2" t="str">
        <f>IFERROR(__xludf.DUMMYFUNCTION("""COMPUTED_VALUE"""),"Лампа светодиодная LED-T8")</f>
        <v>Лампа светодиодная LED-T8</v>
      </c>
      <c r="M82" s="2" t="str">
        <f>IFERROR(__xludf.DUMMYFUNCTION("""COMPUTED_VALUE"""),"Лампы")</f>
        <v>Лампы</v>
      </c>
    </row>
    <row r="83">
      <c r="A83" s="5" t="str">
        <f>IFERROR(__xludf.DUMMYFUNCTION("""COMPUTED_VALUE"""),"4690612034508")</f>
        <v>4690612034508</v>
      </c>
      <c r="B83" s="5" t="str">
        <f>IFERROR(__xludf.DUMMYFUNCTION("""COMPUTED_VALUE"""),"БС М1P с аккумулятором USB розовый IN HOME")</f>
        <v>БС М1P с аккумулятором USB розовый IN HOME</v>
      </c>
      <c r="C83" s="2">
        <f>IFERROR(__xludf.DUMMYFUNCTION("""COMPUTED_VALUE"""),0.08)</f>
        <v>0.08</v>
      </c>
      <c r="D83" s="2">
        <f>IFERROR(__xludf.DUMMYFUNCTION("""COMPUTED_VALUE"""),2.0E-4)</f>
        <v>0.0002</v>
      </c>
      <c r="E83" s="2">
        <f>IFERROR(__xludf.DUMMYFUNCTION("""COMPUTED_VALUE"""),1092.1)</f>
        <v>1092.1</v>
      </c>
      <c r="F83" s="2">
        <f>IFERROR(__xludf.DUMMYFUNCTION("""COMPUTED_VALUE"""),880.0)</f>
        <v>880</v>
      </c>
      <c r="G83" s="2">
        <f>IFERROR(__xludf.DUMMYFUNCTION("""COMPUTED_VALUE"""),990.0)</f>
        <v>990</v>
      </c>
      <c r="H83" s="2">
        <f>IFERROR(__xludf.DUMMYFUNCTION("""COMPUTED_VALUE"""),1148.0)</f>
        <v>1148</v>
      </c>
      <c r="I83" s="2">
        <f>IFERROR(__xludf.DUMMYFUNCTION("""COMPUTED_VALUE"""),1320.0)</f>
        <v>1320</v>
      </c>
      <c r="J83" s="2">
        <f>IFERROR(__xludf.DUMMYFUNCTION("""COMPUTED_VALUE"""),660.0)</f>
        <v>660</v>
      </c>
      <c r="K83" s="2">
        <f>IFERROR(__xludf.DUMMYFUNCTION("""COMPUTED_VALUE"""),6.0)</f>
        <v>6</v>
      </c>
      <c r="L83" s="2" t="str">
        <f>IFERROR(__xludf.DUMMYFUNCTION("""COMPUTED_VALUE"""),"Светильники светодиодные бактерицидные ультрафиолетовые")</f>
        <v>Светильники светодиодные бактерицидные ультрафиолетовые</v>
      </c>
      <c r="M83" s="2" t="str">
        <f>IFERROR(__xludf.DUMMYFUNCTION("""COMPUTED_VALUE"""),"Бактерицидные ультрафиолетовые  светильники (LED), LED Светильники")</f>
        <v>Бактерицидные ультрафиолетовые  светильники (LED), LED Светильники</v>
      </c>
    </row>
    <row r="84">
      <c r="A84" s="5" t="str">
        <f>IFERROR(__xludf.DUMMYFUNCTION("""COMPUTED_VALUE"""),"ms6168")</f>
        <v>ms6168</v>
      </c>
      <c r="B84" s="5" t="str">
        <f>IFERROR(__xludf.DUMMYFUNCTION("""COMPUTED_VALUE"""),"Светодиод L132-XID Красный")</f>
        <v>Светодиод L132-XID Красный</v>
      </c>
      <c r="C84" s="2">
        <f>IFERROR(__xludf.DUMMYFUNCTION("""COMPUTED_VALUE"""),0.0)</f>
        <v>0</v>
      </c>
      <c r="D84" s="2">
        <f>IFERROR(__xludf.DUMMYFUNCTION("""COMPUTED_VALUE"""),0.0)</f>
        <v>0</v>
      </c>
      <c r="E84" s="2">
        <f>IFERROR(__xludf.DUMMYFUNCTION("""COMPUTED_VALUE"""),12.23)</f>
        <v>12.23</v>
      </c>
      <c r="F84" s="2">
        <f>IFERROR(__xludf.DUMMYFUNCTION("""COMPUTED_VALUE"""),15.0)</f>
        <v>15</v>
      </c>
      <c r="G84" s="2">
        <f>IFERROR(__xludf.DUMMYFUNCTION("""COMPUTED_VALUE"""),16.0)</f>
        <v>16</v>
      </c>
      <c r="H84" s="2">
        <f>IFERROR(__xludf.DUMMYFUNCTION("""COMPUTED_VALUE"""),18.0)</f>
        <v>18</v>
      </c>
      <c r="I84" s="2">
        <f>IFERROR(__xludf.DUMMYFUNCTION("""COMPUTED_VALUE"""),19.99)</f>
        <v>19.99</v>
      </c>
      <c r="J84" s="2">
        <f>IFERROR(__xludf.DUMMYFUNCTION("""COMPUTED_VALUE"""),10.0)</f>
        <v>10</v>
      </c>
      <c r="K84" s="2">
        <f>IFERROR(__xludf.DUMMYFUNCTION("""COMPUTED_VALUE"""),6.0)</f>
        <v>6</v>
      </c>
      <c r="L84" s="2" t="str">
        <f>IFERROR(__xludf.DUMMYFUNCTION("""COMPUTED_VALUE"""),"ms6 (тендер)")</f>
        <v>ms6 (тендер)</v>
      </c>
      <c r="M84" s="2" t="str">
        <f>IFERROR(__xludf.DUMMYFUNCTION("""COMPUTED_VALUE"""),"LED Светильники")</f>
        <v>LED Светильники</v>
      </c>
    </row>
    <row r="85">
      <c r="A85" s="5" t="str">
        <f>IFERROR(__xludf.DUMMYFUNCTION("""COMPUTED_VALUE"""),"4690612033471")</f>
        <v>4690612033471</v>
      </c>
      <c r="B85" s="5" t="str">
        <f>IFERROR(__xludf.DUMMYFUNCTION("""COMPUTED_VALUE"""),"DECO НОЧНОЕ НЕБО 18Вт 230В 4000К 1620Лм 260х55мм IN HOME")</f>
        <v>DECO НОЧНОЕ НЕБО 18Вт 230В 4000К 1620Лм 260х55мм IN HOME</v>
      </c>
      <c r="C85" s="2">
        <f>IFERROR(__xludf.DUMMYFUNCTION("""COMPUTED_VALUE"""),0.31)</f>
        <v>0.31</v>
      </c>
      <c r="D85" s="2">
        <f>IFERROR(__xludf.DUMMYFUNCTION("""COMPUTED_VALUE"""),0.004500000000000001)</f>
        <v>0.0045</v>
      </c>
      <c r="E85" s="2">
        <f>IFERROR(__xludf.DUMMYFUNCTION("""COMPUTED_VALUE"""),298.25)</f>
        <v>298.25</v>
      </c>
      <c r="F85" s="2">
        <f>IFERROR(__xludf.DUMMYFUNCTION("""COMPUTED_VALUE"""),356.0)</f>
        <v>356</v>
      </c>
      <c r="G85" s="2">
        <f>IFERROR(__xludf.DUMMYFUNCTION("""COMPUTED_VALUE"""),401.0)</f>
        <v>401</v>
      </c>
      <c r="H85" s="2">
        <f>IFERROR(__xludf.DUMMYFUNCTION("""COMPUTED_VALUE"""),465.0)</f>
        <v>465</v>
      </c>
      <c r="I85" s="2">
        <f>IFERROR(__xludf.DUMMYFUNCTION("""COMPUTED_VALUE"""),534.0)</f>
        <v>534</v>
      </c>
      <c r="J85" s="2">
        <f>IFERROR(__xludf.DUMMYFUNCTION("""COMPUTED_VALUE"""),267.0)</f>
        <v>267</v>
      </c>
      <c r="K85" s="2">
        <f>IFERROR(__xludf.DUMMYFUNCTION("""COMPUTED_VALUE"""),22.0)</f>
        <v>22</v>
      </c>
      <c r="L85" s="2" t="str">
        <f>IFERROR(__xludf.DUMMYFUNCTION("""COMPUTED_VALUE"""),"Светильник светодиодный серии DECO")</f>
        <v>Светильник светодиодный серии DECO</v>
      </c>
      <c r="M85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86">
      <c r="A86" s="5" t="str">
        <f>IFERROR(__xludf.DUMMYFUNCTION("""COMPUTED_VALUE"""),"55085")</f>
        <v>55085</v>
      </c>
      <c r="B86" s="5" t="str">
        <f>IFERROR(__xludf.DUMMYFUNCTION("""COMPUTED_VALUE"""),"Звезды 35 теплых LED ламп, прозрачный провод, 6 м, 220 v /20")</f>
        <v>Звезды 35 теплых LED ламп, прозрачный провод, 6 м, 220 v /20</v>
      </c>
      <c r="C86" s="2">
        <f>IFERROR(__xludf.DUMMYFUNCTION("""COMPUTED_VALUE"""),0.0)</f>
        <v>0</v>
      </c>
      <c r="D86" s="2">
        <f>IFERROR(__xludf.DUMMYFUNCTION("""COMPUTED_VALUE"""),0.0)</f>
        <v>0</v>
      </c>
      <c r="E86" s="2">
        <f>IFERROR(__xludf.DUMMYFUNCTION("""COMPUTED_VALUE"""),526.95)</f>
        <v>526.95</v>
      </c>
      <c r="F86" s="2">
        <f>IFERROR(__xludf.DUMMYFUNCTION("""COMPUTED_VALUE"""),585.0)</f>
        <v>585</v>
      </c>
      <c r="G86" s="2">
        <f>IFERROR(__xludf.DUMMYFUNCTION("""COMPUTED_VALUE"""),638.0)</f>
        <v>638</v>
      </c>
      <c r="H86" s="2">
        <f>IFERROR(__xludf.DUMMYFUNCTION("""COMPUTED_VALUE"""),691.0)</f>
        <v>691</v>
      </c>
      <c r="I86" s="2">
        <f>IFERROR(__xludf.DUMMYFUNCTION("""COMPUTED_VALUE"""),745.0)</f>
        <v>745</v>
      </c>
      <c r="J86" s="2">
        <f>IFERROR(__xludf.DUMMYFUNCTION("""COMPUTED_VALUE"""),373.0)</f>
        <v>373</v>
      </c>
      <c r="K86" s="2">
        <f>IFERROR(__xludf.DUMMYFUNCTION("""COMPUTED_VALUE"""),33.0)</f>
        <v>33</v>
      </c>
      <c r="L86" s="2" t="str">
        <f>IFERROR(__xludf.DUMMYFUNCTION("""COMPUTED_VALUE"""),"Праздничная иллюминация")</f>
        <v>Праздничная иллюминация</v>
      </c>
      <c r="M86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87">
      <c r="A87" s="5" t="str">
        <f>IFERROR(__xludf.DUMMYFUNCTION("""COMPUTED_VALUE"""),"4690612029535")</f>
        <v>4690612029535</v>
      </c>
      <c r="B87" s="5" t="str">
        <f>IFERROR(__xludf.DUMMYFUNCTION("""COMPUTED_VALUE"""),"СБА 1098-90DC 90 LED 2.2Ah lithium battery DC IN HOME")</f>
        <v>СБА 1098-90DC 90 LED 2.2Ah lithium battery DC IN HOME</v>
      </c>
      <c r="C87" s="2">
        <f>IFERROR(__xludf.DUMMYFUNCTION("""COMPUTED_VALUE"""),0.39)</f>
        <v>0.39</v>
      </c>
      <c r="D87" s="2">
        <f>IFERROR(__xludf.DUMMYFUNCTION("""COMPUTED_VALUE"""),0.00135)</f>
        <v>0.00135</v>
      </c>
      <c r="E87" s="2">
        <f>IFERROR(__xludf.DUMMYFUNCTION("""COMPUTED_VALUE"""),642.6)</f>
        <v>642.6</v>
      </c>
      <c r="F87" s="2">
        <f>IFERROR(__xludf.DUMMYFUNCTION("""COMPUTED_VALUE"""),829.0)</f>
        <v>829</v>
      </c>
      <c r="G87" s="2">
        <f>IFERROR(__xludf.DUMMYFUNCTION("""COMPUTED_VALUE"""),933.0)</f>
        <v>933</v>
      </c>
      <c r="H87" s="2">
        <f>IFERROR(__xludf.DUMMYFUNCTION("""COMPUTED_VALUE"""),1082.0)</f>
        <v>1082</v>
      </c>
      <c r="I87" s="2">
        <f>IFERROR(__xludf.DUMMYFUNCTION("""COMPUTED_VALUE"""),1244.0)</f>
        <v>1244</v>
      </c>
      <c r="J87" s="2">
        <f>IFERROR(__xludf.DUMMYFUNCTION("""COMPUTED_VALUE"""),622.0)</f>
        <v>622</v>
      </c>
      <c r="K87" s="2">
        <f>IFERROR(__xludf.DUMMYFUNCTION("""COMPUTED_VALUE"""),8.0)</f>
        <v>8</v>
      </c>
      <c r="L87" s="2" t="str">
        <f>IFERROR(__xludf.DUMMYFUNCTION("""COMPUTED_VALUE"""),"Светильники аварийные ВЫХОД, СБА")</f>
        <v>Светильники аварийные ВЫХОД, СБА</v>
      </c>
      <c r="M87" s="2" t="str">
        <f>IFERROR(__xludf.DUMMYFUNCTION("""COMPUTED_VALUE"""),"Аварийные светильники, БАП (LED), LED Светильники")</f>
        <v>Аварийные светильники, БАП (LED), LED Светильники</v>
      </c>
    </row>
    <row r="88">
      <c r="A88" s="5" t="str">
        <f>IFERROR(__xludf.DUMMYFUNCTION("""COMPUTED_VALUE"""),"013176")</f>
        <v>013176</v>
      </c>
      <c r="B88" s="5" t="str">
        <f>IFERROR(__xludf.DUMMYFUNCTION("""COMPUTED_VALUE"""),"ArtLine-XS6/T/4K/L30/P G (6w/870Lm/4000K/вторичн.оптика 30°/300*43*80мм/стекло/т.серый RAL-7010/IP67) (FALDI)")</f>
        <v>ArtLine-XS6/T/4K/L30/P G (6w/870Lm/4000K/вторичн.оптика 30°/300*43*80мм/стекло/т.серый RAL-7010/IP67) (FALDI)</v>
      </c>
      <c r="C88" s="2">
        <f>IFERROR(__xludf.DUMMYFUNCTION("""COMPUTED_VALUE"""),0.0)</f>
        <v>0</v>
      </c>
      <c r="D88" s="2">
        <f>IFERROR(__xludf.DUMMYFUNCTION("""COMPUTED_VALUE"""),0.0)</f>
        <v>0</v>
      </c>
      <c r="E88" s="2">
        <f>IFERROR(__xludf.DUMMYFUNCTION("""COMPUTED_VALUE"""),6799.09)</f>
        <v>6799.09</v>
      </c>
      <c r="F88" s="2">
        <f>IFERROR(__xludf.DUMMYFUNCTION("""COMPUTED_VALUE"""),6630.0)</f>
        <v>6630</v>
      </c>
      <c r="G88" s="2">
        <f>IFERROR(__xludf.DUMMYFUNCTION("""COMPUTED_VALUE"""),7072.0)</f>
        <v>7072</v>
      </c>
      <c r="H88" s="2">
        <f>IFERROR(__xludf.DUMMYFUNCTION("""COMPUTED_VALUE"""),7956.0)</f>
        <v>7956</v>
      </c>
      <c r="I88" s="2">
        <f>IFERROR(__xludf.DUMMYFUNCTION("""COMPUTED_VALUE"""),8839.5)</f>
        <v>8839.5</v>
      </c>
      <c r="J88" s="2">
        <f>IFERROR(__xludf.DUMMYFUNCTION("""COMPUTED_VALUE"""),4420.0)</f>
        <v>4420</v>
      </c>
      <c r="K88" s="2">
        <f>IFERROR(__xludf.DUMMYFUNCTION("""COMPUTED_VALUE"""),1.0)</f>
        <v>1</v>
      </c>
      <c r="L88" s="2" t="str">
        <f>IFERROR(__xludf.DUMMYFUNCTION("""COMPUTED_VALUE"""),"FALDI")</f>
        <v>FALDI</v>
      </c>
      <c r="M88" s="2" t="str">
        <f>IFERROR(__xludf.DUMMYFUNCTION("""COMPUTED_VALUE"""),"Уличные светильники (LED), LED Светильники")</f>
        <v>Уличные светильники (LED), LED Светильники</v>
      </c>
    </row>
    <row r="89">
      <c r="A89" s="5" t="str">
        <f>IFERROR(__xludf.DUMMYFUNCTION("""COMPUTED_VALUE"""),"4690612002521")</f>
        <v>4690612002521</v>
      </c>
      <c r="B89" s="5" t="str">
        <f>IFERROR(__xludf.DUMMYFUNCTION("""COMPUTED_VALUE"""),"СПБ-2 5Вт 230В 4000К 400лм 155мм белый LLT")</f>
        <v>СПБ-2 5Вт 230В 4000К 400лм 155мм белый LLT</v>
      </c>
      <c r="C89" s="2">
        <f>IFERROR(__xludf.DUMMYFUNCTION("""COMPUTED_VALUE"""),0.22)</f>
        <v>0.22</v>
      </c>
      <c r="D89" s="2">
        <f>IFERROR(__xludf.DUMMYFUNCTION("""COMPUTED_VALUE"""),0.0013)</f>
        <v>0.0013</v>
      </c>
      <c r="E89" s="2">
        <f>IFERROR(__xludf.DUMMYFUNCTION("""COMPUTED_VALUE"""),184.1)</f>
        <v>184.1</v>
      </c>
      <c r="F89" s="2">
        <f>IFERROR(__xludf.DUMMYFUNCTION("""COMPUTED_VALUE"""),153.0)</f>
        <v>153</v>
      </c>
      <c r="G89" s="2">
        <f>IFERROR(__xludf.DUMMYFUNCTION("""COMPUTED_VALUE"""),172.0)</f>
        <v>172</v>
      </c>
      <c r="H89" s="2">
        <f>IFERROR(__xludf.DUMMYFUNCTION("""COMPUTED_VALUE"""),199.0)</f>
        <v>199</v>
      </c>
      <c r="I89" s="2">
        <f>IFERROR(__xludf.DUMMYFUNCTION("""COMPUTED_VALUE"""),229.0)</f>
        <v>229</v>
      </c>
      <c r="J89" s="2">
        <f>IFERROR(__xludf.DUMMYFUNCTION("""COMPUTED_VALUE"""),115.0)</f>
        <v>115</v>
      </c>
      <c r="K89" s="2">
        <f>IFERROR(__xludf.DUMMYFUNCTION("""COMPUTED_VALUE"""),5.0)</f>
        <v>5</v>
      </c>
      <c r="L89" s="2" t="str">
        <f>IFERROR(__xludf.DUMMYFUNCTION("""COMPUTED_VALUE"""),"Светильники светодиодные СПБ-2, СПБ-3")</f>
        <v>Светильники светодиодные СПБ-2, СПБ-3</v>
      </c>
      <c r="M89" s="2" t="str">
        <f>IFERROR(__xludf.DUMMYFUNCTION("""COMPUTED_VALUE"""),"Накладные, Без датчиков, LED Светильники")</f>
        <v>Накладные, Без датчиков, LED Светильники</v>
      </c>
    </row>
    <row r="90">
      <c r="A90" s="5" t="str">
        <f>IFERROR(__xludf.DUMMYFUNCTION("""COMPUTED_VALUE"""),"71-0666")</f>
        <v>71-0666</v>
      </c>
      <c r="B90" s="5" t="str">
        <f>IFERROR(__xludf.DUMMYFUNCTION("""COMPUTED_VALUE"""),"Rexant Ловушка уничтожитель крыс и мышей 71-0666")</f>
        <v>Rexant Ловушка уничтожитель крыс и мышей 71-0666</v>
      </c>
      <c r="C90" s="2">
        <f>IFERROR(__xludf.DUMMYFUNCTION("""COMPUTED_VALUE"""),0.0)</f>
        <v>0</v>
      </c>
      <c r="D90" s="2">
        <f>IFERROR(__xludf.DUMMYFUNCTION("""COMPUTED_VALUE"""),0.0)</f>
        <v>0</v>
      </c>
      <c r="E90" s="2">
        <f>IFERROR(__xludf.DUMMYFUNCTION("""COMPUTED_VALUE"""),1.0)</f>
        <v>1</v>
      </c>
      <c r="F90" s="2">
        <f>IFERROR(__xludf.DUMMYFUNCTION("""COMPUTED_VALUE"""),3673.0)</f>
        <v>3673</v>
      </c>
      <c r="G90" s="2">
        <f>IFERROR(__xludf.DUMMYFUNCTION("""COMPUTED_VALUE"""),3918.0)</f>
        <v>3918</v>
      </c>
      <c r="H90" s="2">
        <f>IFERROR(__xludf.DUMMYFUNCTION("""COMPUTED_VALUE"""),4408.0)</f>
        <v>4408</v>
      </c>
      <c r="I90" s="2">
        <f>IFERROR(__xludf.DUMMYFUNCTION("""COMPUTED_VALUE"""),4897.51)</f>
        <v>4897.51</v>
      </c>
      <c r="J90" s="2">
        <f>IFERROR(__xludf.DUMMYFUNCTION("""COMPUTED_VALUE"""),2449.0)</f>
        <v>2449</v>
      </c>
      <c r="K90" s="2">
        <f>IFERROR(__xludf.DUMMYFUNCTION("""COMPUTED_VALUE"""),1.0)</f>
        <v>1</v>
      </c>
      <c r="L90" s="2" t="str">
        <f>IFERROR(__xludf.DUMMYFUNCTION("""COMPUTED_VALUE"""),"Rexant")</f>
        <v>Rexant</v>
      </c>
      <c r="M90" s="2" t="str">
        <f>IFERROR(__xludf.DUMMYFUNCTION("""COMPUTED_VALUE"""),"Прочие товары")</f>
        <v>Прочие товары</v>
      </c>
    </row>
    <row r="91">
      <c r="A91" s="5" t="str">
        <f>IFERROR(__xludf.DUMMYFUNCTION("""COMPUTED_VALUE"""),"4690612029634")</f>
        <v>4690612029634</v>
      </c>
      <c r="B91" s="5" t="str">
        <f>IFERROR(__xludf.DUMMYFUNCTION("""COMPUTED_VALUE"""),"LPU-02 36Вт ПРИЗМА 230В 6500К 3420Лм 595х595х19мм IP40 IN HOME")</f>
        <v>LPU-02 36Вт ПРИЗМА 230В 6500К 3420Лм 595х595х19мм IP40 IN HOME</v>
      </c>
      <c r="C91" s="2">
        <f>IFERROR(__xludf.DUMMYFUNCTION("""COMPUTED_VALUE"""),4.4)</f>
        <v>4.4</v>
      </c>
      <c r="D91" s="2">
        <f>IFERROR(__xludf.DUMMYFUNCTION("""COMPUTED_VALUE"""),0.033)</f>
        <v>0.033</v>
      </c>
      <c r="E91" s="2">
        <f>IFERROR(__xludf.DUMMYFUNCTION("""COMPUTED_VALUE"""),530.91)</f>
        <v>530.91</v>
      </c>
      <c r="F91" s="2">
        <f>IFERROR(__xludf.DUMMYFUNCTION("""COMPUTED_VALUE"""),550.0)</f>
        <v>550</v>
      </c>
      <c r="G91" s="2">
        <f>IFERROR(__xludf.DUMMYFUNCTION("""COMPUTED_VALUE"""),619.0)</f>
        <v>619</v>
      </c>
      <c r="H91" s="2">
        <f>IFERROR(__xludf.DUMMYFUNCTION("""COMPUTED_VALUE"""),718.0)</f>
        <v>718</v>
      </c>
      <c r="I91" s="2">
        <f>IFERROR(__xludf.DUMMYFUNCTION("""COMPUTED_VALUE"""),825.0)</f>
        <v>825</v>
      </c>
      <c r="J91" s="2">
        <f>IFERROR(__xludf.DUMMYFUNCTION("""COMPUTED_VALUE"""),413.0)</f>
        <v>413</v>
      </c>
      <c r="K91" s="2">
        <f>IFERROR(__xludf.DUMMYFUNCTION("""COMPUTED_VALUE"""),10.0)</f>
        <v>10</v>
      </c>
      <c r="L91" s="2" t="str">
        <f>IFERROR(__xludf.DUMMYFUNCTION("""COMPUTED_VALUE"""),"Панели светодиодные LP серии ПРИЗМА")</f>
        <v>Панели светодиодные LP серии ПРИЗМА</v>
      </c>
      <c r="M91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92">
      <c r="A92" s="5" t="str">
        <f>IFERROR(__xludf.DUMMYFUNCTION("""COMPUTED_VALUE"""),"4690612020310")</f>
        <v>4690612020310</v>
      </c>
      <c r="B92" s="5" t="str">
        <f>IFERROR(__xludf.DUMMYFUNCTION("""COMPUTED_VALUE"""),"LED-A60-VC 20Вт 230В Е27 6500К 1900Лм IN HOME")</f>
        <v>LED-A60-VC 20Вт 230В Е27 6500К 1900Лм IN HOME</v>
      </c>
      <c r="C92" s="2">
        <f>IFERROR(__xludf.DUMMYFUNCTION("""COMPUTED_VALUE"""),0.05500000000000001)</f>
        <v>0.055</v>
      </c>
      <c r="D92" s="2">
        <f>IFERROR(__xludf.DUMMYFUNCTION("""COMPUTED_VALUE"""),4.0E-4)</f>
        <v>0.0004</v>
      </c>
      <c r="E92" s="2">
        <f>IFERROR(__xludf.DUMMYFUNCTION("""COMPUTED_VALUE"""),46.2)</f>
        <v>46.2</v>
      </c>
      <c r="F92" s="2">
        <f>IFERROR(__xludf.DUMMYFUNCTION("""COMPUTED_VALUE"""),60.0)</f>
        <v>60</v>
      </c>
      <c r="G92" s="2">
        <f>IFERROR(__xludf.DUMMYFUNCTION("""COMPUTED_VALUE"""),68.0)</f>
        <v>68</v>
      </c>
      <c r="H92" s="2">
        <f>IFERROR(__xludf.DUMMYFUNCTION("""COMPUTED_VALUE"""),78.0)</f>
        <v>78</v>
      </c>
      <c r="I92" s="2">
        <f>IFERROR(__xludf.DUMMYFUNCTION("""COMPUTED_VALUE"""),90.5)</f>
        <v>90.5</v>
      </c>
      <c r="J92" s="2">
        <f>IFERROR(__xludf.DUMMYFUNCTION("""COMPUTED_VALUE"""),45.0)</f>
        <v>45</v>
      </c>
      <c r="K92" s="2">
        <f>IFERROR(__xludf.DUMMYFUNCTION("""COMPUTED_VALUE"""),3.0)</f>
        <v>3</v>
      </c>
      <c r="L92" s="2" t="str">
        <f>IFERROR(__xludf.DUMMYFUNCTION("""COMPUTED_VALUE"""),"Лампа светодиодная LED-A60-standard")</f>
        <v>Лампа светодиодная LED-A60-standard</v>
      </c>
      <c r="M92" s="2" t="str">
        <f>IFERROR(__xludf.DUMMYFUNCTION("""COMPUTED_VALUE"""),"Лампы")</f>
        <v>Лампы</v>
      </c>
    </row>
    <row r="93">
      <c r="A93" s="5" t="str">
        <f>IFERROR(__xludf.DUMMYFUNCTION("""COMPUTED_VALUE"""),"V9049")</f>
        <v>V9049</v>
      </c>
      <c r="B93" s="5" t="str">
        <f>IFERROR(__xludf.DUMMYFUNCTION("""COMPUTED_VALUE"""),"VRN-UNE-124D-G40K67-UV, 124Вт, Галочка")</f>
        <v>VRN-UNE-124D-G40K67-UV, 124Вт, Галочка</v>
      </c>
      <c r="C93" s="2">
        <f>IFERROR(__xludf.DUMMYFUNCTION("""COMPUTED_VALUE"""),3.0)</f>
        <v>3</v>
      </c>
      <c r="D93" s="2">
        <f>IFERROR(__xludf.DUMMYFUNCTION("""COMPUTED_VALUE"""),0.015)</f>
        <v>0.015</v>
      </c>
      <c r="E93" s="2">
        <f>IFERROR(__xludf.DUMMYFUNCTION("""COMPUTED_VALUE"""),4478.41)</f>
        <v>4478.41</v>
      </c>
      <c r="F93" s="2">
        <f>IFERROR(__xludf.DUMMYFUNCTION("""COMPUTED_VALUE"""),5205.0)</f>
        <v>5205</v>
      </c>
      <c r="G93" s="2">
        <f>IFERROR(__xludf.DUMMYFUNCTION("""COMPUTED_VALUE"""),6767.0)</f>
        <v>6767</v>
      </c>
      <c r="H93" s="2">
        <f>IFERROR(__xludf.DUMMYFUNCTION("""COMPUTED_VALUE"""),7105.0)</f>
        <v>7105</v>
      </c>
      <c r="I93" s="2">
        <f>IFERROR(__xludf.DUMMYFUNCTION("""COMPUTED_VALUE"""),7443.0)</f>
        <v>7443</v>
      </c>
      <c r="J93" s="2">
        <f>IFERROR(__xludf.DUMMYFUNCTION("""COMPUTED_VALUE"""),7105.0)</f>
        <v>7105</v>
      </c>
      <c r="K93" s="2">
        <f>IFERROR(__xludf.DUMMYFUNCTION("""COMPUTED_VALUE"""),48.0)</f>
        <v>48</v>
      </c>
      <c r="L93" s="2" t="str">
        <f>IFERROR(__xludf.DUMMYFUNCTION("""COMPUTED_VALUE"""),"Универсал Эконом")</f>
        <v>Универсал Эконом</v>
      </c>
      <c r="M93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94">
      <c r="A94" s="5" t="str">
        <f>IFERROR(__xludf.DUMMYFUNCTION("""COMPUTED_VALUE"""),"4690612024066")</f>
        <v>4690612024066</v>
      </c>
      <c r="B94" s="5" t="str">
        <f>IFERROR(__xludf.DUMMYFUNCTION("""COMPUTED_VALUE"""),"LED-A65-VC 25Вт 230В Е27 3000К 2380Лм IN HOME")</f>
        <v>LED-A65-VC 25Вт 230В Е27 3000К 2380Лм IN HOME</v>
      </c>
      <c r="C94" s="2">
        <f>IFERROR(__xludf.DUMMYFUNCTION("""COMPUTED_VALUE"""),0.08)</f>
        <v>0.08</v>
      </c>
      <c r="D94" s="2">
        <f>IFERROR(__xludf.DUMMYFUNCTION("""COMPUTED_VALUE"""),6.000000000000001E-4)</f>
        <v>0.0006</v>
      </c>
      <c r="E94" s="2">
        <f>IFERROR(__xludf.DUMMYFUNCTION("""COMPUTED_VALUE"""),66.26)</f>
        <v>66.26</v>
      </c>
      <c r="F94" s="2">
        <f>IFERROR(__xludf.DUMMYFUNCTION("""COMPUTED_VALUE"""),71.0)</f>
        <v>71</v>
      </c>
      <c r="G94" s="2">
        <f>IFERROR(__xludf.DUMMYFUNCTION("""COMPUTED_VALUE"""),80.0)</f>
        <v>80</v>
      </c>
      <c r="H94" s="2">
        <f>IFERROR(__xludf.DUMMYFUNCTION("""COMPUTED_VALUE"""),92.0)</f>
        <v>92</v>
      </c>
      <c r="I94" s="2">
        <f>IFERROR(__xludf.DUMMYFUNCTION("""COMPUTED_VALUE"""),106.5)</f>
        <v>106.5</v>
      </c>
      <c r="J94" s="2">
        <f>IFERROR(__xludf.DUMMYFUNCTION("""COMPUTED_VALUE"""),53.0)</f>
        <v>53</v>
      </c>
      <c r="K94" s="2">
        <f>IFERROR(__xludf.DUMMYFUNCTION("""COMPUTED_VALUE"""),2.0)</f>
        <v>2</v>
      </c>
      <c r="L94" s="2" t="str">
        <f>IFERROR(__xludf.DUMMYFUNCTION("""COMPUTED_VALUE"""),"Лампа светодиодная LED-A60-standard")</f>
        <v>Лампа светодиодная LED-A60-standard</v>
      </c>
      <c r="M94" s="2" t="str">
        <f>IFERROR(__xludf.DUMMYFUNCTION("""COMPUTED_VALUE"""),"Лампы")</f>
        <v>Лампы</v>
      </c>
    </row>
    <row r="95">
      <c r="A95" s="5" t="str">
        <f>IFERROR(__xludf.DUMMYFUNCTION("""COMPUTED_VALUE"""),"4690612033082")</f>
        <v>4690612033082</v>
      </c>
      <c r="B95" s="5" t="str">
        <f>IFERROR(__xludf.DUMMYFUNCTION("""COMPUTED_VALUE"""),"NRLP-BL 24Вт 230В 4000К 1440Лм 245мм с подсветкой белая IP20 IN HOME")</f>
        <v>NRLP-BL 24Вт 230В 4000К 1440Лм 245мм с подсветкой белая IP20 IN HOME</v>
      </c>
      <c r="C95" s="2">
        <f>IFERROR(__xludf.DUMMYFUNCTION("""COMPUTED_VALUE"""),0.55)</f>
        <v>0.55</v>
      </c>
      <c r="D95" s="2">
        <f>IFERROR(__xludf.DUMMYFUNCTION("""COMPUTED_VALUE"""),0.003)</f>
        <v>0.003</v>
      </c>
      <c r="E95" s="2">
        <f>IFERROR(__xludf.DUMMYFUNCTION("""COMPUTED_VALUE"""),476.57)</f>
        <v>476.57</v>
      </c>
      <c r="F95" s="2">
        <f>IFERROR(__xludf.DUMMYFUNCTION("""COMPUTED_VALUE"""),409.0)</f>
        <v>409</v>
      </c>
      <c r="G95" s="2">
        <f>IFERROR(__xludf.DUMMYFUNCTION("""COMPUTED_VALUE"""),461.0)</f>
        <v>461</v>
      </c>
      <c r="H95" s="2">
        <f>IFERROR(__xludf.DUMMYFUNCTION("""COMPUTED_VALUE"""),534.0)</f>
        <v>534</v>
      </c>
      <c r="I95" s="2">
        <f>IFERROR(__xludf.DUMMYFUNCTION("""COMPUTED_VALUE"""),614.0)</f>
        <v>614</v>
      </c>
      <c r="J95" s="2">
        <f>IFERROR(__xludf.DUMMYFUNCTION("""COMPUTED_VALUE"""),409.0)</f>
        <v>409</v>
      </c>
      <c r="K95" s="2">
        <f>IFERROR(__xludf.DUMMYFUNCTION("""COMPUTED_VALUE"""),2.0)</f>
        <v>2</v>
      </c>
      <c r="L95" s="2" t="str">
        <f>IFERROR(__xludf.DUMMYFUNCTION("""COMPUTED_VALUE"""),"Панели светодиодные круглые накладные NRLP")</f>
        <v>Панели светодиодные круглые накладные NRLP</v>
      </c>
      <c r="M95" s="2" t="str">
        <f>IFERROR(__xludf.DUMMYFUNCTION("""COMPUTED_VALUE"""),"Накладные, Для ЖКХ, дома, дачи, LED Светильники")</f>
        <v>Накладные, Для ЖКХ, дома, дачи, LED Светильники</v>
      </c>
    </row>
    <row r="96">
      <c r="A96" s="5" t="str">
        <f>IFERROR(__xludf.DUMMYFUNCTION("""COMPUTED_VALUE"""),"GL8261")</f>
        <v>GL8261</v>
      </c>
      <c r="B96" s="5" t="str">
        <f>IFERROR(__xludf.DUMMYFUNCTION("""COMPUTED_VALUE"""),"GLERIO Line Free 24 Вт 4000К 93P-24D-4P-P")</f>
        <v>GLERIO Line Free 24 Вт 4000К 93P-24D-4P-P</v>
      </c>
      <c r="C96" s="2">
        <f>IFERROR(__xludf.DUMMYFUNCTION("""COMPUTED_VALUE"""),0.5)</f>
        <v>0.5</v>
      </c>
      <c r="D96" s="2">
        <f>IFERROR(__xludf.DUMMYFUNCTION("""COMPUTED_VALUE"""),0.00396)</f>
        <v>0.00396</v>
      </c>
      <c r="E96" s="2">
        <f>IFERROR(__xludf.DUMMYFUNCTION("""COMPUTED_VALUE"""),1309.5)</f>
        <v>1309.5</v>
      </c>
      <c r="F96" s="2">
        <f>IFERROR(__xludf.DUMMYFUNCTION("""COMPUTED_VALUE"""),1520.0)</f>
        <v>1520</v>
      </c>
      <c r="G96" s="2">
        <f>IFERROR(__xludf.DUMMYFUNCTION("""COMPUTED_VALUE"""),1914.0)</f>
        <v>1914</v>
      </c>
      <c r="H96" s="2">
        <f>IFERROR(__xludf.DUMMYFUNCTION("""COMPUTED_VALUE"""),2149.0)</f>
        <v>2149</v>
      </c>
      <c r="I96" s="2">
        <f>IFERROR(__xludf.DUMMYFUNCTION("""COMPUTED_VALUE"""),2385.0)</f>
        <v>2385</v>
      </c>
      <c r="J96" s="2">
        <f>IFERROR(__xludf.DUMMYFUNCTION("""COMPUTED_VALUE"""),2385.0)</f>
        <v>2385</v>
      </c>
      <c r="K96" s="2">
        <f>IFERROR(__xludf.DUMMYFUNCTION("""COMPUTED_VALUE"""),3.0)</f>
        <v>3</v>
      </c>
      <c r="L96" s="2" t="str">
        <f>IFERROR(__xludf.DUMMYFUNCTION("""COMPUTED_VALUE"""),"Line Shell, Free (Retail) до 10.2025")</f>
        <v>Line Shell, Free (Retail) до 10.2025</v>
      </c>
      <c r="M96" s="2" t="str">
        <f>IFERROR(__xludf.DUMMYFUNCTION("""COMPUTED_VALUE"""),"Пластиковые (линейные), LED Светильники")</f>
        <v>Пластиковые (линейные), LED Светильники</v>
      </c>
    </row>
    <row r="97">
      <c r="A97" s="5" t="str">
        <f>IFERROR(__xludf.DUMMYFUNCTION("""COMPUTED_VALUE"""),"4690612025131")</f>
        <v>4690612025131</v>
      </c>
      <c r="B97" s="5" t="str">
        <f>IFERROR(__xludf.DUMMYFUNCTION("""COMPUTED_VALUE"""),"DECO 24Вт 230В 6500К 1560Лм 300х55мм СОЗВЕЗДИЕ IN HOME")</f>
        <v>DECO 24Вт 230В 6500К 1560Лм 300х55мм СОЗВЕЗДИЕ IN HOME</v>
      </c>
      <c r="C97" s="2">
        <f>IFERROR(__xludf.DUMMYFUNCTION("""COMPUTED_VALUE"""),0.43333)</f>
        <v>0.43333</v>
      </c>
      <c r="D97" s="2">
        <f>IFERROR(__xludf.DUMMYFUNCTION("""COMPUTED_VALUE"""),0.006670000000000001)</f>
        <v>0.00667</v>
      </c>
      <c r="E97" s="2">
        <f>IFERROR(__xludf.DUMMYFUNCTION("""COMPUTED_VALUE"""),379.42)</f>
        <v>379.42</v>
      </c>
      <c r="F97" s="2">
        <f>IFERROR(__xludf.DUMMYFUNCTION("""COMPUTED_VALUE"""),473.0)</f>
        <v>473</v>
      </c>
      <c r="G97" s="2">
        <f>IFERROR(__xludf.DUMMYFUNCTION("""COMPUTED_VALUE"""),533.0)</f>
        <v>533</v>
      </c>
      <c r="H97" s="2">
        <f>IFERROR(__xludf.DUMMYFUNCTION("""COMPUTED_VALUE"""),618.0)</f>
        <v>618</v>
      </c>
      <c r="I97" s="2">
        <f>IFERROR(__xludf.DUMMYFUNCTION("""COMPUTED_VALUE"""),710.0)</f>
        <v>710</v>
      </c>
      <c r="J97" s="2">
        <f>IFERROR(__xludf.DUMMYFUNCTION("""COMPUTED_VALUE"""),533.0)</f>
        <v>533</v>
      </c>
      <c r="K97" s="2">
        <f>IFERROR(__xludf.DUMMYFUNCTION("""COMPUTED_VALUE"""),31.0)</f>
        <v>31</v>
      </c>
      <c r="L97" s="2" t="str">
        <f>IFERROR(__xludf.DUMMYFUNCTION("""COMPUTED_VALUE"""),"Светильник светодиодный серии DECO")</f>
        <v>Светильник светодиодный серии DECO</v>
      </c>
      <c r="M97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98">
      <c r="A98" s="5" t="str">
        <f>IFERROR(__xludf.DUMMYFUNCTION("""COMPUTED_VALUE"""),"GL8151")</f>
        <v>GL8151</v>
      </c>
      <c r="B98" s="5" t="str">
        <f>IFERROR(__xludf.DUMMYFUNCTION("""COMPUTED_VALUE"""),"GLERIO Office Special 48 Вт 4000К 82P-48D-4V-P")</f>
        <v>GLERIO Office Special 48 Вт 4000К 82P-48D-4V-P</v>
      </c>
      <c r="C98" s="2">
        <f>IFERROR(__xludf.DUMMYFUNCTION("""COMPUTED_VALUE"""),1.14)</f>
        <v>1.14</v>
      </c>
      <c r="D98" s="2">
        <f>IFERROR(__xludf.DUMMYFUNCTION("""COMPUTED_VALUE"""),0.008190000000000001)</f>
        <v>0.00819</v>
      </c>
      <c r="E98" s="2">
        <f>IFERROR(__xludf.DUMMYFUNCTION("""COMPUTED_VALUE"""),2095.2)</f>
        <v>2095.2</v>
      </c>
      <c r="F98" s="2">
        <f>IFERROR(__xludf.DUMMYFUNCTION("""COMPUTED_VALUE"""),2660.0)</f>
        <v>2660</v>
      </c>
      <c r="G98" s="2">
        <f>IFERROR(__xludf.DUMMYFUNCTION("""COMPUTED_VALUE"""),3349.0)</f>
        <v>3349</v>
      </c>
      <c r="H98" s="2">
        <f>IFERROR(__xludf.DUMMYFUNCTION("""COMPUTED_VALUE"""),3761.0)</f>
        <v>3761</v>
      </c>
      <c r="I98" s="2">
        <f>IFERROR(__xludf.DUMMYFUNCTION("""COMPUTED_VALUE"""),4173.0)</f>
        <v>4173</v>
      </c>
      <c r="J98" s="2">
        <f>IFERROR(__xludf.DUMMYFUNCTION("""COMPUTED_VALUE"""),2087.0)</f>
        <v>2087</v>
      </c>
      <c r="K98" s="2">
        <f>IFERROR(__xludf.DUMMYFUNCTION("""COMPUTED_VALUE"""),1.0)</f>
        <v>1</v>
      </c>
      <c r="L98" s="2" t="str">
        <f>IFERROR(__xludf.DUMMYFUNCTION("""COMPUTED_VALUE"""),"Office Special (Офис Премиум) до 10.2025")</f>
        <v>Office Special (Офис Премиум) до 10.2025</v>
      </c>
      <c r="M98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99">
      <c r="A99" s="5" t="str">
        <f>IFERROR(__xludf.DUMMYFUNCTION("""COMPUTED_VALUE"""),"4690612034690")</f>
        <v>4690612034690</v>
      </c>
      <c r="B99" s="5" t="str">
        <f>IFERROR(__xludf.DUMMYFUNCTION("""COMPUTED_VALUE"""),"СДО-7 30Вт 230В 6500К IP65 белый IN HOME")</f>
        <v>СДО-7 30Вт 230В 6500К IP65 белый IN HOME</v>
      </c>
      <c r="C99" s="2">
        <f>IFERROR(__xludf.DUMMYFUNCTION("""COMPUTED_VALUE"""),0.25)</f>
        <v>0.25</v>
      </c>
      <c r="D99" s="2">
        <f>IFERROR(__xludf.DUMMYFUNCTION("""COMPUTED_VALUE"""),6.8E-4)</f>
        <v>0.00068</v>
      </c>
      <c r="E99" s="2">
        <f>IFERROR(__xludf.DUMMYFUNCTION("""COMPUTED_VALUE"""),282.74)</f>
        <v>282.74</v>
      </c>
      <c r="F99" s="2">
        <f>IFERROR(__xludf.DUMMYFUNCTION("""COMPUTED_VALUE"""),196.0)</f>
        <v>196</v>
      </c>
      <c r="G99" s="2">
        <f>IFERROR(__xludf.DUMMYFUNCTION("""COMPUTED_VALUE"""),220.0)</f>
        <v>220</v>
      </c>
      <c r="H99" s="2">
        <f>IFERROR(__xludf.DUMMYFUNCTION("""COMPUTED_VALUE"""),256.0)</f>
        <v>256</v>
      </c>
      <c r="I99" s="2">
        <f>IFERROR(__xludf.DUMMYFUNCTION("""COMPUTED_VALUE"""),294.0)</f>
        <v>294</v>
      </c>
      <c r="J99" s="2">
        <f>IFERROR(__xludf.DUMMYFUNCTION("""COMPUTED_VALUE"""),147.0)</f>
        <v>147</v>
      </c>
      <c r="K99" s="2">
        <f>IFERROR(__xludf.DUMMYFUNCTION("""COMPUTED_VALUE"""),1.0)</f>
        <v>1</v>
      </c>
      <c r="L99" s="2" t="str">
        <f>IFERROR(__xludf.DUMMYFUNCTION("""COMPUTED_VALUE"""),"Прожекторы светодиодные СДО-07")</f>
        <v>Прожекторы светодиодные СДО-07</v>
      </c>
      <c r="M99" s="2" t="str">
        <f>IFERROR(__xludf.DUMMYFUNCTION("""COMPUTED_VALUE"""),"Прожекторы (LED), Бытовые (недорогие), Без датчиков, LED Светильники")</f>
        <v>Прожекторы (LED), Бытовые (недорогие), Без датчиков, LED Светильники</v>
      </c>
    </row>
    <row r="100">
      <c r="A100" s="5" t="str">
        <f>IFERROR(__xludf.DUMMYFUNCTION("""COMPUTED_VALUE"""),"4690612023380")</f>
        <v>4690612023380</v>
      </c>
      <c r="B100" s="5" t="str">
        <f>IFERROR(__xludf.DUMMYFUNCTION("""COMPUTED_VALUE"""),"LED-JCDRC-VC 6Вт 230В GU10 3000К 530Лм IN HOME")</f>
        <v>LED-JCDRC-VC 6Вт 230В GU10 3000К 530Лм IN HOME</v>
      </c>
      <c r="C100" s="2">
        <f>IFERROR(__xludf.DUMMYFUNCTION("""COMPUTED_VALUE"""),0.035)</f>
        <v>0.035</v>
      </c>
      <c r="D100" s="2">
        <f>IFERROR(__xludf.DUMMYFUNCTION("""COMPUTED_VALUE"""),2.1E-4)</f>
        <v>0.00021</v>
      </c>
      <c r="E100" s="2">
        <f>IFERROR(__xludf.DUMMYFUNCTION("""COMPUTED_VALUE"""),32.56)</f>
        <v>32.56</v>
      </c>
      <c r="F100" s="2">
        <f>IFERROR(__xludf.DUMMYFUNCTION("""COMPUTED_VALUE"""),35.0)</f>
        <v>35</v>
      </c>
      <c r="G100" s="2">
        <f>IFERROR(__xludf.DUMMYFUNCTION("""COMPUTED_VALUE"""),40.0)</f>
        <v>40</v>
      </c>
      <c r="H100" s="2">
        <f>IFERROR(__xludf.DUMMYFUNCTION("""COMPUTED_VALUE"""),46.0)</f>
        <v>46</v>
      </c>
      <c r="I100" s="2">
        <f>IFERROR(__xludf.DUMMYFUNCTION("""COMPUTED_VALUE"""),53.5)</f>
        <v>53.5</v>
      </c>
      <c r="J100" s="2">
        <f>IFERROR(__xludf.DUMMYFUNCTION("""COMPUTED_VALUE"""),27.0)</f>
        <v>27</v>
      </c>
      <c r="K100" s="2">
        <f>IFERROR(__xludf.DUMMYFUNCTION("""COMPUTED_VALUE"""),39.0)</f>
        <v>39</v>
      </c>
      <c r="L100" s="2" t="str">
        <f>IFERROR(__xludf.DUMMYFUNCTION("""COMPUTED_VALUE"""),"Лампа светодиодная LED-JCDR-standard")</f>
        <v>Лампа светодиодная LED-JCDR-standard</v>
      </c>
      <c r="M100" s="2" t="str">
        <f>IFERROR(__xludf.DUMMYFUNCTION("""COMPUTED_VALUE"""),"Лампы")</f>
        <v>Лампы</v>
      </c>
    </row>
    <row r="101">
      <c r="A101" s="5" t="str">
        <f>IFERROR(__xludf.DUMMYFUNCTION("""COMPUTED_VALUE"""),"4690612053936")</f>
        <v>4690612053936</v>
      </c>
      <c r="B101" s="5" t="str">
        <f>IFERROR(__xludf.DUMMYFUNCTION("""COMPUTED_VALUE"""),"ДБУ LINES-1530BL 15Вт 3000К IP54 черный IN HOME")</f>
        <v>ДБУ LINES-1530BL 15Вт 3000К IP54 черный IN HOME</v>
      </c>
      <c r="C101" s="2">
        <f>IFERROR(__xludf.DUMMYFUNCTION("""COMPUTED_VALUE"""),0.647)</f>
        <v>0.647</v>
      </c>
      <c r="D101" s="2">
        <f>IFERROR(__xludf.DUMMYFUNCTION("""COMPUTED_VALUE"""),0.00192)</f>
        <v>0.00192</v>
      </c>
      <c r="E101" s="2">
        <f>IFERROR(__xludf.DUMMYFUNCTION("""COMPUTED_VALUE"""),675.0)</f>
        <v>675</v>
      </c>
      <c r="F101" s="2">
        <f>IFERROR(__xludf.DUMMYFUNCTION("""COMPUTED_VALUE"""),689.0)</f>
        <v>689</v>
      </c>
      <c r="G101" s="2">
        <f>IFERROR(__xludf.DUMMYFUNCTION("""COMPUTED_VALUE"""),775.0)</f>
        <v>775</v>
      </c>
      <c r="H101" s="2">
        <f>IFERROR(__xludf.DUMMYFUNCTION("""COMPUTED_VALUE"""),899.0)</f>
        <v>899</v>
      </c>
      <c r="I101" s="2">
        <f>IFERROR(__xludf.DUMMYFUNCTION("""COMPUTED_VALUE"""),1033.0)</f>
        <v>1033</v>
      </c>
      <c r="J101" s="2">
        <f>IFERROR(__xludf.DUMMYFUNCTION("""COMPUTED_VALUE"""),517.0)</f>
        <v>517</v>
      </c>
      <c r="K101" s="2">
        <f>IFERROR(__xludf.DUMMYFUNCTION("""COMPUTED_VALUE"""),11.0)</f>
        <v>11</v>
      </c>
      <c r="L101" s="2" t="str">
        <f>IFERROR(__xludf.DUMMYFUNCTION("""COMPUTED_VALUE"""),"Светильники светодиодные уличные ДБУ")</f>
        <v>Светильники светодиодные уличные ДБУ</v>
      </c>
      <c r="M101" s="2" t="str">
        <f>IFERROR(__xludf.DUMMYFUNCTION("""COMPUTED_VALUE"""),"Садово-парковые, ландшафтные, LED Светильники")</f>
        <v>Садово-парковые, ландшафтные, LED Светильники</v>
      </c>
    </row>
    <row r="102">
      <c r="A102" s="5" t="str">
        <f>IFERROR(__xludf.DUMMYFUNCTION("""COMPUTED_VALUE"""),"R100059")</f>
        <v>R100059</v>
      </c>
      <c r="B102" s="5" t="str">
        <f>IFERROR(__xludf.DUMMYFUNCTION("""COMPUTED_VALUE"""),"RSV-SPO-03-40W-6500К, IP40 1200*65*25")</f>
        <v>RSV-SPO-03-40W-6500К, IP40 1200*65*25</v>
      </c>
      <c r="C102" s="2">
        <f>IFERROR(__xludf.DUMMYFUNCTION("""COMPUTED_VALUE"""),0.22333)</f>
        <v>0.22333</v>
      </c>
      <c r="D102" s="2">
        <f>IFERROR(__xludf.DUMMYFUNCTION("""COMPUTED_VALUE"""),0.0018)</f>
        <v>0.0018</v>
      </c>
      <c r="E102" s="2">
        <f>IFERROR(__xludf.DUMMYFUNCTION("""COMPUTED_VALUE"""),175.2)</f>
        <v>175.2</v>
      </c>
      <c r="F102" s="2">
        <f>IFERROR(__xludf.DUMMYFUNCTION("""COMPUTED_VALUE"""),198.0)</f>
        <v>198</v>
      </c>
      <c r="G102" s="2">
        <f>IFERROR(__xludf.DUMMYFUNCTION("""COMPUTED_VALUE"""),233.0)</f>
        <v>233</v>
      </c>
      <c r="H102" s="2">
        <f>IFERROR(__xludf.DUMMYFUNCTION("""COMPUTED_VALUE"""),240.0)</f>
        <v>240</v>
      </c>
      <c r="I102" s="2">
        <f>IFERROR(__xludf.DUMMYFUNCTION("""COMPUTED_VALUE"""),276.0)</f>
        <v>276</v>
      </c>
      <c r="J102" s="2">
        <f>IFERROR(__xludf.DUMMYFUNCTION("""COMPUTED_VALUE"""),138.0)</f>
        <v>138</v>
      </c>
      <c r="K102" s="2">
        <f>IFERROR(__xludf.DUMMYFUNCTION("""COMPUTED_VALUE"""),2.0)</f>
        <v>2</v>
      </c>
      <c r="L102" s="2" t="str">
        <f>IFERROR(__xludf.DUMMYFUNCTION("""COMPUTED_VALUE"""),"Офисный светильник RSV-SPO-02, SPO-03 (Сталь)")</f>
        <v>Офисный светильник RSV-SPO-02, SPO-03 (Сталь)</v>
      </c>
      <c r="M102" s="2" t="str">
        <f>IFERROR(__xludf.DUMMYFUNCTION("""COMPUTED_VALUE"""),"Пластиковые (линейные), С равномерной засветкой, Линейные (проходные), LED Светильники")</f>
        <v>Пластиковые (линейные), С равномерной засветкой, Линейные (проходные), LED Светильники</v>
      </c>
    </row>
    <row r="103">
      <c r="A103" s="5" t="str">
        <f>IFERROR(__xludf.DUMMYFUNCTION("""COMPUTED_VALUE"""),"4690626062757")</f>
        <v>4690626062757</v>
      </c>
      <c r="B103" s="5" t="str">
        <f>IFERROR(__xludf.DUMMYFUNCTION("""COMPUTED_VALUE"""),"Настенный светильник, на солн. батар., с датчиком движ., 24 LED, черный (SBF-63-MS)")</f>
        <v>Настенный светильник, на солн. батар., с датчиком движ., 24 LED, черный (SBF-63-MS)</v>
      </c>
      <c r="C103" s="2">
        <f>IFERROR(__xludf.DUMMYFUNCTION("""COMPUTED_VALUE"""),0.0)</f>
        <v>0</v>
      </c>
      <c r="D103" s="2">
        <f>IFERROR(__xludf.DUMMYFUNCTION("""COMPUTED_VALUE"""),0.0)</f>
        <v>0</v>
      </c>
      <c r="E103" s="2">
        <f>IFERROR(__xludf.DUMMYFUNCTION("""COMPUTED_VALUE"""),440.15)</f>
        <v>440.15</v>
      </c>
      <c r="F103" s="2">
        <f>IFERROR(__xludf.DUMMYFUNCTION("""COMPUTED_VALUE"""),328.0)</f>
        <v>328</v>
      </c>
      <c r="G103" s="2">
        <f>IFERROR(__xludf.DUMMYFUNCTION("""COMPUTED_VALUE"""),360.0)</f>
        <v>360</v>
      </c>
      <c r="H103" s="2">
        <f>IFERROR(__xludf.DUMMYFUNCTION("""COMPUTED_VALUE"""),400.0)</f>
        <v>400</v>
      </c>
      <c r="I103" s="2">
        <f>IFERROR(__xludf.DUMMYFUNCTION("""COMPUTED_VALUE"""),440.0)</f>
        <v>440</v>
      </c>
      <c r="J103" s="2">
        <f>IFERROR(__xludf.DUMMYFUNCTION("""COMPUTED_VALUE"""),220.0)</f>
        <v>220</v>
      </c>
      <c r="K103" s="2">
        <f>IFERROR(__xludf.DUMMYFUNCTION("""COMPUTED_VALUE"""),4.0)</f>
        <v>4</v>
      </c>
      <c r="L103" s="2" t="str">
        <f>IFERROR(__xludf.DUMMYFUNCTION("""COMPUTED_VALUE"""),"Smartbuy фонари")</f>
        <v>Smartbuy фонари</v>
      </c>
      <c r="M103" s="2" t="str">
        <f>IFERROR(__xludf.DUMMYFUNCTION("""COMPUTED_VALUE"""),"Садово-парковые, ландшафтные, Бытовые (недорогие), Прочие товары")</f>
        <v>Садово-парковые, ландшафтные, Бытовые (недорогие), Прочие товары</v>
      </c>
    </row>
    <row r="104">
      <c r="A104" s="5" t="str">
        <f>IFERROR(__xludf.DUMMYFUNCTION("""COMPUTED_VALUE"""),"13-0049")</f>
        <v>13-0049</v>
      </c>
      <c r="B104" s="5" t="str">
        <f>IFERROR(__xludf.DUMMYFUNCTION("""COMPUTED_VALUE"""),"Профессиональный мультиметр UNI-T UT71E")</f>
        <v>Профессиональный мультиметр UNI-T UT71E</v>
      </c>
      <c r="C104" s="2">
        <f>IFERROR(__xludf.DUMMYFUNCTION("""COMPUTED_VALUE"""),0.0)</f>
        <v>0</v>
      </c>
      <c r="D104" s="2">
        <f>IFERROR(__xludf.DUMMYFUNCTION("""COMPUTED_VALUE"""),0.0)</f>
        <v>0</v>
      </c>
      <c r="E104" s="2">
        <f>IFERROR(__xludf.DUMMYFUNCTION("""COMPUTED_VALUE"""),1.0)</f>
        <v>1</v>
      </c>
      <c r="F104" s="2">
        <f>IFERROR(__xludf.DUMMYFUNCTION("""COMPUTED_VALUE"""),36150.0)</f>
        <v>36150</v>
      </c>
      <c r="G104" s="2">
        <f>IFERROR(__xludf.DUMMYFUNCTION("""COMPUTED_VALUE"""),38561.0)</f>
        <v>38561</v>
      </c>
      <c r="H104" s="2">
        <f>IFERROR(__xludf.DUMMYFUNCTION("""COMPUTED_VALUE"""),43381.0)</f>
        <v>43381</v>
      </c>
      <c r="I104" s="2">
        <f>IFERROR(__xludf.DUMMYFUNCTION("""COMPUTED_VALUE"""),48200.63)</f>
        <v>48200.63</v>
      </c>
      <c r="J104" s="2">
        <f>IFERROR(__xludf.DUMMYFUNCTION("""COMPUTED_VALUE"""),24100.0)</f>
        <v>24100</v>
      </c>
      <c r="K104" s="2">
        <f>IFERROR(__xludf.DUMMYFUNCTION("""COMPUTED_VALUE"""),2.0)</f>
        <v>2</v>
      </c>
      <c r="L104" s="2" t="str">
        <f>IFERROR(__xludf.DUMMYFUNCTION("""COMPUTED_VALUE"""),"Rexant")</f>
        <v>Rexant</v>
      </c>
      <c r="M104" s="2" t="str">
        <f>IFERROR(__xludf.DUMMYFUNCTION("""COMPUTED_VALUE"""),"Прочие товары")</f>
        <v>Прочие товары</v>
      </c>
    </row>
    <row r="105">
      <c r="A105" s="5" t="str">
        <f>IFERROR(__xludf.DUMMYFUNCTION("""COMPUTED_VALUE"""),"4690612051994")</f>
        <v>4690612051994</v>
      </c>
      <c r="B105" s="5" t="str">
        <f>IFERROR(__xludf.DUMMYFUNCTION("""COMPUTED_VALUE"""),"ДБУ ROLL-1630BL 16Вт 3000К IP54 черный IN HOME")</f>
        <v>ДБУ ROLL-1630BL 16Вт 3000К IP54 черный IN HOME</v>
      </c>
      <c r="C105" s="2">
        <f>IFERROR(__xludf.DUMMYFUNCTION("""COMPUTED_VALUE"""),0.453)</f>
        <v>0.453</v>
      </c>
      <c r="D105" s="2">
        <f>IFERROR(__xludf.DUMMYFUNCTION("""COMPUTED_VALUE"""),0.00233)</f>
        <v>0.00233</v>
      </c>
      <c r="E105" s="2">
        <f>IFERROR(__xludf.DUMMYFUNCTION("""COMPUTED_VALUE"""),715.8000000000001)</f>
        <v>715.8</v>
      </c>
      <c r="F105" s="2">
        <f>IFERROR(__xludf.DUMMYFUNCTION("""COMPUTED_VALUE"""),731.0)</f>
        <v>731</v>
      </c>
      <c r="G105" s="2">
        <f>IFERROR(__xludf.DUMMYFUNCTION("""COMPUTED_VALUE"""),823.0)</f>
        <v>823</v>
      </c>
      <c r="H105" s="2">
        <f>IFERROR(__xludf.DUMMYFUNCTION("""COMPUTED_VALUE"""),954.0)</f>
        <v>954</v>
      </c>
      <c r="I105" s="2">
        <f>IFERROR(__xludf.DUMMYFUNCTION("""COMPUTED_VALUE"""),1097.0)</f>
        <v>1097</v>
      </c>
      <c r="J105" s="2">
        <f>IFERROR(__xludf.DUMMYFUNCTION("""COMPUTED_VALUE"""),549.0)</f>
        <v>549</v>
      </c>
      <c r="K105" s="2">
        <f>IFERROR(__xludf.DUMMYFUNCTION("""COMPUTED_VALUE"""),10.0)</f>
        <v>10</v>
      </c>
      <c r="L105" s="2" t="str">
        <f>IFERROR(__xludf.DUMMYFUNCTION("""COMPUTED_VALUE"""),"Светильники светодиодные уличные ДБУ")</f>
        <v>Светильники светодиодные уличные ДБУ</v>
      </c>
      <c r="M105" s="2" t="str">
        <f>IFERROR(__xludf.DUMMYFUNCTION("""COMPUTED_VALUE"""),"Садово-парковые, ландшафтные, LED Светильники")</f>
        <v>Садово-парковые, ландшафтные, LED Светильники</v>
      </c>
    </row>
    <row r="106">
      <c r="A106" s="5" t="str">
        <f>IFERROR(__xludf.DUMMYFUNCTION("""COMPUTED_VALUE"""),"12-6051")</f>
        <v>12-6051</v>
      </c>
      <c r="B106" s="5" t="str">
        <f>IFERROR(__xludf.DUMMYFUNCTION("""COMPUTED_VALUE"""),"Набор часовых отверток (16 предметов) (ht-16) REXANT")</f>
        <v>Набор часовых отверток (16 предметов) (ht-16) REXANT</v>
      </c>
      <c r="C106" s="2">
        <f>IFERROR(__xludf.DUMMYFUNCTION("""COMPUTED_VALUE"""),0.0)</f>
        <v>0</v>
      </c>
      <c r="D106" s="2">
        <f>IFERROR(__xludf.DUMMYFUNCTION("""COMPUTED_VALUE"""),0.0)</f>
        <v>0</v>
      </c>
      <c r="E106" s="2">
        <f>IFERROR(__xludf.DUMMYFUNCTION("""COMPUTED_VALUE"""),1.0)</f>
        <v>1</v>
      </c>
      <c r="F106" s="2">
        <f>IFERROR(__xludf.DUMMYFUNCTION("""COMPUTED_VALUE"""),498.0)</f>
        <v>498</v>
      </c>
      <c r="G106" s="2">
        <f>IFERROR(__xludf.DUMMYFUNCTION("""COMPUTED_VALUE"""),531.0)</f>
        <v>531</v>
      </c>
      <c r="H106" s="2">
        <f>IFERROR(__xludf.DUMMYFUNCTION("""COMPUTED_VALUE"""),597.0)</f>
        <v>597</v>
      </c>
      <c r="I106" s="2">
        <f>IFERROR(__xludf.DUMMYFUNCTION("""COMPUTED_VALUE"""),663.44)</f>
        <v>663.44</v>
      </c>
      <c r="J106" s="2">
        <f>IFERROR(__xludf.DUMMYFUNCTION("""COMPUTED_VALUE"""),332.0)</f>
        <v>332</v>
      </c>
      <c r="K106" s="2">
        <f>IFERROR(__xludf.DUMMYFUNCTION("""COMPUTED_VALUE"""),2.0)</f>
        <v>2</v>
      </c>
      <c r="L106" s="2" t="str">
        <f>IFERROR(__xludf.DUMMYFUNCTION("""COMPUTED_VALUE"""),"Rexant")</f>
        <v>Rexant</v>
      </c>
      <c r="M106" s="2" t="str">
        <f>IFERROR(__xludf.DUMMYFUNCTION("""COMPUTED_VALUE"""),"Прочие товары")</f>
        <v>Прочие товары</v>
      </c>
    </row>
    <row r="107">
      <c r="A107" s="5" t="str">
        <f>IFERROR(__xludf.DUMMYFUNCTION("""COMPUTED_VALUE"""),"4260652196346")</f>
        <v>4260652196346</v>
      </c>
      <c r="B107" s="5" t="str">
        <f>IFERROR(__xludf.DUMMYFUNCTION("""COMPUTED_VALUE"""),"WTL-15W/02W")</f>
        <v>WTL-15W/02W</v>
      </c>
      <c r="C107" s="2">
        <f>IFERROR(__xludf.DUMMYFUNCTION("""COMPUTED_VALUE"""),0.4950000000000001)</f>
        <v>0.495</v>
      </c>
      <c r="D107" s="2">
        <f>IFERROR(__xludf.DUMMYFUNCTION("""COMPUTED_VALUE"""),0.00193)</f>
        <v>0.00193</v>
      </c>
      <c r="E107" s="2">
        <f>IFERROR(__xludf.DUMMYFUNCTION("""COMPUTED_VALUE"""),875.0)</f>
        <v>875</v>
      </c>
      <c r="F107" s="2">
        <f>IFERROR(__xludf.DUMMYFUNCTION("""COMPUTED_VALUE"""),1446.0)</f>
        <v>1446</v>
      </c>
      <c r="G107" s="2">
        <f>IFERROR(__xludf.DUMMYFUNCTION("""COMPUTED_VALUE"""),1495.0)</f>
        <v>1495</v>
      </c>
      <c r="H107" s="2">
        <f>IFERROR(__xludf.DUMMYFUNCTION("""COMPUTED_VALUE"""),1960.0)</f>
        <v>1960</v>
      </c>
      <c r="I107" s="2">
        <f>IFERROR(__xludf.DUMMYFUNCTION("""COMPUTED_VALUE"""),2450.0)</f>
        <v>2450</v>
      </c>
      <c r="J107" s="2">
        <f>IFERROR(__xludf.DUMMYFUNCTION("""COMPUTED_VALUE"""),1225.0)</f>
        <v>1225</v>
      </c>
      <c r="K107" s="2">
        <f>IFERROR(__xludf.DUMMYFUNCTION("""COMPUTED_VALUE"""),7.0)</f>
        <v>7</v>
      </c>
      <c r="L107" s="2" t="str">
        <f>IFERROR(__xludf.DUMMYFUNCTION("""COMPUTED_VALUE"""),"Wolta трековые")</f>
        <v>Wolta трековые</v>
      </c>
      <c r="M107" s="2" t="str">
        <f>IFERROR(__xludf.DUMMYFUNCTION("""COMPUTED_VALUE"""),"Трековые, LED Светильники")</f>
        <v>Трековые, LED Светильники</v>
      </c>
    </row>
    <row r="108">
      <c r="A108" s="5" t="str">
        <f>IFERROR(__xludf.DUMMYFUNCTION("""COMPUTED_VALUE"""),"4690612034447")</f>
        <v>4690612034447</v>
      </c>
      <c r="B108" s="5" t="str">
        <f>IFERROR(__xludf.DUMMYFUNCTION("""COMPUTED_VALUE"""),"COMFORT HONEY 60Вт 230В 3000-6500K 4800Лм 500х110мм c пультом ДУ IN HOME")</f>
        <v>COMFORT HONEY 60Вт 230В 3000-6500K 4800Лм 500х110мм c пультом ДУ IN HOME</v>
      </c>
      <c r="C108" s="2">
        <f>IFERROR(__xludf.DUMMYFUNCTION("""COMPUTED_VALUE"""),1.7)</f>
        <v>1.7</v>
      </c>
      <c r="D108" s="2">
        <f>IFERROR(__xludf.DUMMYFUNCTION("""COMPUTED_VALUE"""),0.049)</f>
        <v>0.049</v>
      </c>
      <c r="E108" s="2">
        <f>IFERROR(__xludf.DUMMYFUNCTION("""COMPUTED_VALUE"""),2320.24)</f>
        <v>2320.24</v>
      </c>
      <c r="F108" s="2">
        <f>IFERROR(__xludf.DUMMYFUNCTION("""COMPUTED_VALUE"""),2360.0)</f>
        <v>2360</v>
      </c>
      <c r="G108" s="2">
        <f>IFERROR(__xludf.DUMMYFUNCTION("""COMPUTED_VALUE"""),2655.0)</f>
        <v>2655</v>
      </c>
      <c r="H108" s="2">
        <f>IFERROR(__xludf.DUMMYFUNCTION("""COMPUTED_VALUE"""),3080.0)</f>
        <v>3080</v>
      </c>
      <c r="I108" s="2">
        <f>IFERROR(__xludf.DUMMYFUNCTION("""COMPUTED_VALUE"""),3540.0)</f>
        <v>3540</v>
      </c>
      <c r="J108" s="2">
        <f>IFERROR(__xludf.DUMMYFUNCTION("""COMPUTED_VALUE"""),1770.0)</f>
        <v>1770</v>
      </c>
      <c r="K108" s="2">
        <f>IFERROR(__xludf.DUMMYFUNCTION("""COMPUTED_VALUE"""),5.0)</f>
        <v>5</v>
      </c>
      <c r="L108" s="2" t="str">
        <f>IFERROR(__xludf.DUMMYFUNCTION("""COMPUTED_VALUE"""),"Светильники светодиодные COMFORT")</f>
        <v>Светильники светодиодные COMFORT</v>
      </c>
      <c r="M108" s="2" t="str">
        <f>IFERROR(__xludf.DUMMYFUNCTION("""COMPUTED_VALUE"""),"Точечные круглые Downlight, LED Светильники")</f>
        <v>Точечные круглые Downlight, LED Светильники</v>
      </c>
    </row>
    <row r="109">
      <c r="A109" s="5" t="str">
        <f>IFERROR(__xludf.DUMMYFUNCTION("""COMPUTED_VALUE"""),"4690612020754")</f>
        <v>4690612020754</v>
      </c>
      <c r="B109" s="5" t="str">
        <f>IFERROR(__xludf.DUMMYFUNCTION("""COMPUTED_VALUE"""),"LED-GX53-VC 10Вт 230В 3000К 950Лм IN HOME")</f>
        <v>LED-GX53-VC 10Вт 230В 3000К 950Лм IN HOME</v>
      </c>
      <c r="C109" s="2">
        <f>IFERROR(__xludf.DUMMYFUNCTION("""COMPUTED_VALUE"""),0.03700000000000001)</f>
        <v>0.037</v>
      </c>
      <c r="D109" s="2">
        <f>IFERROR(__xludf.DUMMYFUNCTION("""COMPUTED_VALUE"""),2.1E-4)</f>
        <v>0.00021</v>
      </c>
      <c r="E109" s="2">
        <f>IFERROR(__xludf.DUMMYFUNCTION("""COMPUTED_VALUE"""),37.8)</f>
        <v>37.8</v>
      </c>
      <c r="F109" s="2">
        <f>IFERROR(__xludf.DUMMYFUNCTION("""COMPUTED_VALUE"""),45.0)</f>
        <v>45</v>
      </c>
      <c r="G109" s="2">
        <f>IFERROR(__xludf.DUMMYFUNCTION("""COMPUTED_VALUE"""),50.0)</f>
        <v>50</v>
      </c>
      <c r="H109" s="2">
        <f>IFERROR(__xludf.DUMMYFUNCTION("""COMPUTED_VALUE"""),58.0)</f>
        <v>58</v>
      </c>
      <c r="I109" s="2">
        <f>IFERROR(__xludf.DUMMYFUNCTION("""COMPUTED_VALUE"""),67.7)</f>
        <v>67.7</v>
      </c>
      <c r="J109" s="2">
        <f>IFERROR(__xludf.DUMMYFUNCTION("""COMPUTED_VALUE"""),34.0)</f>
        <v>34</v>
      </c>
      <c r="K109" s="2">
        <f>IFERROR(__xludf.DUMMYFUNCTION("""COMPUTED_VALUE"""),93.0)</f>
        <v>93</v>
      </c>
      <c r="L109" s="2" t="str">
        <f>IFERROR(__xludf.DUMMYFUNCTION("""COMPUTED_VALUE"""),"Лампа светодиодная LED-GX53-standard")</f>
        <v>Лампа светодиодная LED-GX53-standard</v>
      </c>
      <c r="M109" s="2" t="str">
        <f>IFERROR(__xludf.DUMMYFUNCTION("""COMPUTED_VALUE"""),"Лампы")</f>
        <v>Лампы</v>
      </c>
    </row>
    <row r="110">
      <c r="A110" s="5" t="str">
        <f>IFERROR(__xludf.DUMMYFUNCTION("""COMPUTED_VALUE"""),"4690612029870")</f>
        <v>4690612029870</v>
      </c>
      <c r="B110" s="5" t="str">
        <f>IFERROR(__xludf.DUMMYFUNCTION("""COMPUTED_VALUE"""),"LPU-01 40Вт ОПАЛ 230В 6500K 3600Лм 180x1195x30мм IP40 IN HOME")</f>
        <v>LPU-01 40Вт ОПАЛ 230В 6500K 3600Лм 180x1195x30мм IP40 IN HOME</v>
      </c>
      <c r="C110" s="2">
        <f>IFERROR(__xludf.DUMMYFUNCTION("""COMPUTED_VALUE"""),1.2)</f>
        <v>1.2</v>
      </c>
      <c r="D110" s="2">
        <f>IFERROR(__xludf.DUMMYFUNCTION("""COMPUTED_VALUE"""),0.008)</f>
        <v>0.008</v>
      </c>
      <c r="E110" s="2">
        <f>IFERROR(__xludf.DUMMYFUNCTION("""COMPUTED_VALUE"""),616.84)</f>
        <v>616.84</v>
      </c>
      <c r="F110" s="2">
        <f>IFERROR(__xludf.DUMMYFUNCTION("""COMPUTED_VALUE"""),617.0)</f>
        <v>617</v>
      </c>
      <c r="G110" s="2">
        <f>IFERROR(__xludf.DUMMYFUNCTION("""COMPUTED_VALUE"""),694.0)</f>
        <v>694</v>
      </c>
      <c r="H110" s="2">
        <f>IFERROR(__xludf.DUMMYFUNCTION("""COMPUTED_VALUE"""),805.0)</f>
        <v>805</v>
      </c>
      <c r="I110" s="2">
        <f>IFERROR(__xludf.DUMMYFUNCTION("""COMPUTED_VALUE"""),925.0)</f>
        <v>925</v>
      </c>
      <c r="J110" s="2">
        <f>IFERROR(__xludf.DUMMYFUNCTION("""COMPUTED_VALUE"""),463.0)</f>
        <v>463</v>
      </c>
      <c r="K110" s="2">
        <f>IFERROR(__xludf.DUMMYFUNCTION("""COMPUTED_VALUE"""),12.0)</f>
        <v>12</v>
      </c>
      <c r="L110" s="2" t="str">
        <f>IFERROR(__xludf.DUMMYFUNCTION("""COMPUTED_VALUE"""),"Панели светодиодные LP серии ОПАЛ")</f>
        <v>Панели светодиодные LP серии ОПАЛ</v>
      </c>
      <c r="M110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111">
      <c r="A111" s="5" t="str">
        <f>IFERROR(__xludf.DUMMYFUNCTION("""COMPUTED_VALUE"""),"4690612008653")</f>
        <v>4690612008653</v>
      </c>
      <c r="B111" s="5" t="str">
        <f>IFERROR(__xludf.DUMMYFUNCTION("""COMPUTED_VALUE"""),"AC-1 угловой белый LLT")</f>
        <v>AC-1 угловой белый LLT</v>
      </c>
      <c r="C111" s="2">
        <f>IFERROR(__xludf.DUMMYFUNCTION("""COMPUTED_VALUE"""),0.0264)</f>
        <v>0.0264</v>
      </c>
      <c r="D111" s="2">
        <f>IFERROR(__xludf.DUMMYFUNCTION("""COMPUTED_VALUE"""),7.000000000000001E-5)</f>
        <v>0.00007</v>
      </c>
      <c r="E111" s="2">
        <f>IFERROR(__xludf.DUMMYFUNCTION("""COMPUTED_VALUE"""),76.39)</f>
        <v>76.39</v>
      </c>
      <c r="F111" s="2">
        <f>IFERROR(__xludf.DUMMYFUNCTION("""COMPUTED_VALUE"""),67.0)</f>
        <v>67</v>
      </c>
      <c r="G111" s="2">
        <f>IFERROR(__xludf.DUMMYFUNCTION("""COMPUTED_VALUE"""),75.0)</f>
        <v>75</v>
      </c>
      <c r="H111" s="2">
        <f>IFERROR(__xludf.DUMMYFUNCTION("""COMPUTED_VALUE"""),87.0)</f>
        <v>87</v>
      </c>
      <c r="I111" s="2">
        <f>IFERROR(__xludf.DUMMYFUNCTION("""COMPUTED_VALUE"""),100.0)</f>
        <v>100</v>
      </c>
      <c r="J111" s="2">
        <f>IFERROR(__xludf.DUMMYFUNCTION("""COMPUTED_VALUE"""),50.0)</f>
        <v>50</v>
      </c>
      <c r="K111" s="2">
        <f>IFERROR(__xludf.DUMMYFUNCTION("""COMPUTED_VALUE"""),4.0)</f>
        <v>4</v>
      </c>
      <c r="L111" s="2" t="str">
        <f>IFERROR(__xludf.DUMMYFUNCTION("""COMPUTED_VALUE"""),"ASD Комплектующие")</f>
        <v>ASD Комплектующие</v>
      </c>
      <c r="M111" s="2" t="str">
        <f>IFERROR(__xludf.DUMMYFUNCTION("""COMPUTED_VALUE"""),"Прочие товары")</f>
        <v>Прочие товары</v>
      </c>
    </row>
    <row r="112">
      <c r="A112" s="5" t="str">
        <f>IFERROR(__xludf.DUMMYFUNCTION("""COMPUTED_VALUE"""),"4690612002026")</f>
        <v>4690612002026</v>
      </c>
      <c r="B112" s="5" t="str">
        <f>IFERROR(__xludf.DUMMYFUNCTION("""COMPUTED_VALUE"""),"Пластина установочная ПУ-456-С для светильника ССП-456 55*24*16")</f>
        <v>Пластина установочная ПУ-456-С для светильника ССП-456 55*24*16</v>
      </c>
      <c r="C112" s="2">
        <f>IFERROR(__xludf.DUMMYFUNCTION("""COMPUTED_VALUE"""),0.006)</f>
        <v>0.006</v>
      </c>
      <c r="D112" s="2">
        <f>IFERROR(__xludf.DUMMYFUNCTION("""COMPUTED_VALUE"""),0.0)</f>
        <v>0</v>
      </c>
      <c r="E112" s="2">
        <f>IFERROR(__xludf.DUMMYFUNCTION("""COMPUTED_VALUE"""),14.7)</f>
        <v>14.7</v>
      </c>
      <c r="F112" s="2">
        <f>IFERROR(__xludf.DUMMYFUNCTION("""COMPUTED_VALUE"""),15.0)</f>
        <v>15</v>
      </c>
      <c r="G112" s="2">
        <f>IFERROR(__xludf.DUMMYFUNCTION("""COMPUTED_VALUE"""),17.0)</f>
        <v>17</v>
      </c>
      <c r="H112" s="2">
        <f>IFERROR(__xludf.DUMMYFUNCTION("""COMPUTED_VALUE"""),19.0)</f>
        <v>19</v>
      </c>
      <c r="I112" s="2">
        <f>IFERROR(__xludf.DUMMYFUNCTION("""COMPUTED_VALUE"""),22.0)</f>
        <v>22</v>
      </c>
      <c r="J112" s="2">
        <f>IFERROR(__xludf.DUMMYFUNCTION("""COMPUTED_VALUE"""),11.0)</f>
        <v>11</v>
      </c>
      <c r="K112" s="2">
        <f>IFERROR(__xludf.DUMMYFUNCTION("""COMPUTED_VALUE"""),16.0)</f>
        <v>16</v>
      </c>
      <c r="L112" s="2" t="str">
        <f>IFERROR(__xludf.DUMMYFUNCTION("""COMPUTED_VALUE"""),"ASD Комплектующие")</f>
        <v>ASD Комплектующие</v>
      </c>
      <c r="M112" s="2" t="str">
        <f>IFERROR(__xludf.DUMMYFUNCTION("""COMPUTED_VALUE"""),"Прочие товары")</f>
        <v>Прочие товары</v>
      </c>
    </row>
    <row r="113">
      <c r="A113" s="5" t="str">
        <f>IFERROR(__xludf.DUMMYFUNCTION("""COMPUTED_VALUE"""),"ves2107")</f>
        <v>ves2107</v>
      </c>
      <c r="B113" s="5" t="str">
        <f>IFERROR(__xludf.DUMMYFUNCTION("""COMPUTED_VALUE"""),"Лампа светодиодная 18W G13 6500K")</f>
        <v>Лампа светодиодная 18W G13 6500K</v>
      </c>
      <c r="C113" s="2">
        <f>IFERROR(__xludf.DUMMYFUNCTION("""COMPUTED_VALUE"""),0.0)</f>
        <v>0</v>
      </c>
      <c r="D113" s="2">
        <f>IFERROR(__xludf.DUMMYFUNCTION("""COMPUTED_VALUE"""),0.0)</f>
        <v>0</v>
      </c>
      <c r="E113" s="2">
        <f>IFERROR(__xludf.DUMMYFUNCTION("""COMPUTED_VALUE"""),95.64)</f>
        <v>95.64</v>
      </c>
      <c r="F113" s="2">
        <f>IFERROR(__xludf.DUMMYFUNCTION("""COMPUTED_VALUE"""),133.0)</f>
        <v>133</v>
      </c>
      <c r="G113" s="2">
        <f>IFERROR(__xludf.DUMMYFUNCTION("""COMPUTED_VALUE"""),142.0)</f>
        <v>142</v>
      </c>
      <c r="H113" s="2">
        <f>IFERROR(__xludf.DUMMYFUNCTION("""COMPUTED_VALUE"""),160.0)</f>
        <v>160</v>
      </c>
      <c r="I113" s="2">
        <f>IFERROR(__xludf.DUMMYFUNCTION("""COMPUTED_VALUE"""),177.46)</f>
        <v>177.46</v>
      </c>
      <c r="J113" s="2">
        <f>IFERROR(__xludf.DUMMYFUNCTION("""COMPUTED_VALUE"""),89.0)</f>
        <v>89</v>
      </c>
      <c r="K113" s="2">
        <f>IFERROR(__xludf.DUMMYFUNCTION("""COMPUTED_VALUE"""),30.0)</f>
        <v>30</v>
      </c>
      <c r="L113" s="2" t="str">
        <f>IFERROR(__xludf.DUMMYFUNCTION("""COMPUTED_VALUE"""),"ves2 (тендер)")</f>
        <v>ves2 (тендер)</v>
      </c>
      <c r="M113" s="2" t="str">
        <f>IFERROR(__xludf.DUMMYFUNCTION("""COMPUTED_VALUE"""),"Прочие товары")</f>
        <v>Прочие товары</v>
      </c>
    </row>
    <row r="114">
      <c r="A114" s="5" t="str">
        <f>IFERROR(__xludf.DUMMYFUNCTION("""COMPUTED_VALUE"""),"4690612015828")</f>
        <v>4690612015828</v>
      </c>
      <c r="B114" s="5" t="str">
        <f>IFERROR(__xludf.DUMMYFUNCTION("""COMPUTED_VALUE"""),"LED-JCDR-standard 10Вт 230В GU5.3 4000К 900Лм ASD")</f>
        <v>LED-JCDR-standard 10Вт 230В GU5.3 4000К 900Лм ASD</v>
      </c>
      <c r="C114" s="2">
        <f>IFERROR(__xludf.DUMMYFUNCTION("""COMPUTED_VALUE"""),0.03700000000000001)</f>
        <v>0.037</v>
      </c>
      <c r="D114" s="2">
        <f>IFERROR(__xludf.DUMMYFUNCTION("""COMPUTED_VALUE"""),2.1E-4)</f>
        <v>0.00021</v>
      </c>
      <c r="E114" s="2">
        <f>IFERROR(__xludf.DUMMYFUNCTION("""COMPUTED_VALUE"""),50.35)</f>
        <v>50.35</v>
      </c>
      <c r="F114" s="2">
        <f>IFERROR(__xludf.DUMMYFUNCTION("""COMPUTED_VALUE"""),35.0)</f>
        <v>35</v>
      </c>
      <c r="G114" s="2">
        <f>IFERROR(__xludf.DUMMYFUNCTION("""COMPUTED_VALUE"""),39.0)</f>
        <v>39</v>
      </c>
      <c r="H114" s="2">
        <f>IFERROR(__xludf.DUMMYFUNCTION("""COMPUTED_VALUE"""),45.0)</f>
        <v>45</v>
      </c>
      <c r="I114" s="2">
        <f>IFERROR(__xludf.DUMMYFUNCTION("""COMPUTED_VALUE"""),52.75)</f>
        <v>52.75</v>
      </c>
      <c r="J114" s="2">
        <f>IFERROR(__xludf.DUMMYFUNCTION("""COMPUTED_VALUE"""),26.0)</f>
        <v>26</v>
      </c>
      <c r="K114" s="2">
        <f>IFERROR(__xludf.DUMMYFUNCTION("""COMPUTED_VALUE"""),5.0)</f>
        <v>5</v>
      </c>
      <c r="L114" s="2" t="str">
        <f>IFERROR(__xludf.DUMMYFUNCTION("""COMPUTED_VALUE"""),"Лампа светодиодная LED-JCDR-standard")</f>
        <v>Лампа светодиодная LED-JCDR-standard</v>
      </c>
      <c r="M114" s="2" t="str">
        <f>IFERROR(__xludf.DUMMYFUNCTION("""COMPUTED_VALUE"""),"Лампы")</f>
        <v>Лампы</v>
      </c>
    </row>
    <row r="115">
      <c r="A115" s="5" t="str">
        <f>IFERROR(__xludf.DUMMYFUNCTION("""COMPUTED_VALUE"""),"R100022")</f>
        <v>R100022</v>
      </c>
      <c r="B115" s="5" t="str">
        <f>IFERROR(__xludf.DUMMYFUNCTION("""COMPUTED_VALUE"""),"RSV-SSP-36W-6500K-IP65")</f>
        <v>RSV-SSP-36W-6500K-IP65</v>
      </c>
      <c r="C115" s="2">
        <f>IFERROR(__xludf.DUMMYFUNCTION("""COMPUTED_VALUE"""),1.3)</f>
        <v>1.3</v>
      </c>
      <c r="D115" s="2">
        <f>IFERROR(__xludf.DUMMYFUNCTION("""COMPUTED_VALUE"""),0.008960000000000001)</f>
        <v>0.00896</v>
      </c>
      <c r="E115" s="2">
        <f>IFERROR(__xludf.DUMMYFUNCTION("""COMPUTED_VALUE"""),1038.79)</f>
        <v>1038.79</v>
      </c>
      <c r="F115" s="2">
        <f>IFERROR(__xludf.DUMMYFUNCTION("""COMPUTED_VALUE"""),1548.0)</f>
        <v>1548</v>
      </c>
      <c r="G115" s="2">
        <f>IFERROR(__xludf.DUMMYFUNCTION("""COMPUTED_VALUE"""),1821.0)</f>
        <v>1821</v>
      </c>
      <c r="H115" s="2">
        <f>IFERROR(__xludf.DUMMYFUNCTION("""COMPUTED_VALUE"""),1876.0)</f>
        <v>1876</v>
      </c>
      <c r="I115" s="2">
        <f>IFERROR(__xludf.DUMMYFUNCTION("""COMPUTED_VALUE"""),2158.0)</f>
        <v>2158</v>
      </c>
      <c r="J115" s="2">
        <f>IFERROR(__xludf.DUMMYFUNCTION("""COMPUTED_VALUE"""),1548.0)</f>
        <v>1548</v>
      </c>
      <c r="K115" s="2">
        <f>IFERROR(__xludf.DUMMYFUNCTION("""COMPUTED_VALUE"""),70.0)</f>
        <v>70</v>
      </c>
      <c r="L115" s="2" t="str">
        <f>IFERROR(__xludf.DUMMYFUNCTION("""COMPUTED_VALUE"""),"Промышленное освещение RSV")</f>
        <v>Промышленное освещение RSV</v>
      </c>
      <c r="M115" s="2" t="str">
        <f>IFERROR(__xludf.DUMMYFUNCTION("""COMPUTED_VALUE"""),"Пластиковые (линейные), LED Светильники")</f>
        <v>Пластиковые (линейные), LED Светильники</v>
      </c>
    </row>
    <row r="116">
      <c r="A116" s="5" t="str">
        <f>IFERROR(__xludf.DUMMYFUNCTION("""COMPUTED_VALUE"""),"4680005959112")</f>
        <v>4680005959112</v>
      </c>
      <c r="B116" s="5" t="str">
        <f>IFERROR(__xludf.DUMMYFUNCTION("""COMPUTED_VALUE"""),"LS-AA-16.6 16.6А 12В алюминий")</f>
        <v>LS-AA-16.6 16.6А 12В алюминий</v>
      </c>
      <c r="C116" s="2">
        <f>IFERROR(__xludf.DUMMYFUNCTION("""COMPUTED_VALUE"""),0.6394000000000001)</f>
        <v>0.6394</v>
      </c>
      <c r="D116" s="2">
        <f>IFERROR(__xludf.DUMMYFUNCTION("""COMPUTED_VALUE"""),0.00115)</f>
        <v>0.00115</v>
      </c>
      <c r="E116" s="2">
        <f>IFERROR(__xludf.DUMMYFUNCTION("""COMPUTED_VALUE"""),611.1)</f>
        <v>611.1</v>
      </c>
      <c r="F116" s="2">
        <f>IFERROR(__xludf.DUMMYFUNCTION("""COMPUTED_VALUE"""),1.0)</f>
        <v>1</v>
      </c>
      <c r="G116" s="2">
        <f>IFERROR(__xludf.DUMMYFUNCTION("""COMPUTED_VALUE"""),1.0)</f>
        <v>1</v>
      </c>
      <c r="H116" s="2">
        <f>IFERROR(__xludf.DUMMYFUNCTION("""COMPUTED_VALUE"""),1.0)</f>
        <v>1</v>
      </c>
      <c r="I116" s="2">
        <f>IFERROR(__xludf.DUMMYFUNCTION("""COMPUTED_VALUE"""),1.0)</f>
        <v>1</v>
      </c>
      <c r="J116" s="2">
        <f>IFERROR(__xludf.DUMMYFUNCTION("""COMPUTED_VALUE"""),1.0)</f>
        <v>1</v>
      </c>
      <c r="K116" s="2">
        <f>IFERROR(__xludf.DUMMYFUNCTION("""COMPUTED_VALUE"""),4.0)</f>
        <v>4</v>
      </c>
      <c r="L116" s="2" t="str">
        <f>IFERROR(__xludf.DUMMYFUNCTION("""COMPUTED_VALUE"""),"ASD электромонтажные изделия")</f>
        <v>ASD электромонтажные изделия</v>
      </c>
      <c r="M116" s="2" t="str">
        <f>IFERROR(__xludf.DUMMYFUNCTION("""COMPUTED_VALUE"""),"Прочие товары")</f>
        <v>Прочие товары</v>
      </c>
    </row>
    <row r="117">
      <c r="A117" s="5" t="str">
        <f>IFERROR(__xludf.DUMMYFUNCTION("""COMPUTED_VALUE"""),"GL82211")</f>
        <v>GL82211</v>
      </c>
      <c r="B117" s="5" t="str">
        <f>IFERROR(__xludf.DUMMYFUNCTION("""COMPUTED_VALUE"""),"GLERIO Line 20 Вт 4000K 91P-20D-4N-P")</f>
        <v>GLERIO Line 20 Вт 4000K 91P-20D-4N-P</v>
      </c>
      <c r="C117" s="2">
        <f>IFERROR(__xludf.DUMMYFUNCTION("""COMPUTED_VALUE"""),0.5)</f>
        <v>0.5</v>
      </c>
      <c r="D117" s="2">
        <f>IFERROR(__xludf.DUMMYFUNCTION("""COMPUTED_VALUE"""),0.00396)</f>
        <v>0.00396</v>
      </c>
      <c r="E117" s="2">
        <f>IFERROR(__xludf.DUMMYFUNCTION("""COMPUTED_VALUE"""),1406.0)</f>
        <v>1406</v>
      </c>
      <c r="F117" s="2">
        <f>IFERROR(__xludf.DUMMYFUNCTION("""COMPUTED_VALUE"""),1660.0)</f>
        <v>1660</v>
      </c>
      <c r="G117" s="2">
        <f>IFERROR(__xludf.DUMMYFUNCTION("""COMPUTED_VALUE"""),2090.0)</f>
        <v>2090</v>
      </c>
      <c r="H117" s="2">
        <f>IFERROR(__xludf.DUMMYFUNCTION("""COMPUTED_VALUE"""),2347.0)</f>
        <v>2347</v>
      </c>
      <c r="I117" s="2">
        <f>IFERROR(__xludf.DUMMYFUNCTION("""COMPUTED_VALUE"""),2604.0)</f>
        <v>2604</v>
      </c>
      <c r="J117" s="2">
        <f>IFERROR(__xludf.DUMMYFUNCTION("""COMPUTED_VALUE"""),2604.0)</f>
        <v>2604</v>
      </c>
      <c r="K117" s="2">
        <f>IFERROR(__xludf.DUMMYFUNCTION("""COMPUTED_VALUE"""),23.0)</f>
        <v>23</v>
      </c>
      <c r="L117" s="2" t="str">
        <f>IFERROR(__xludf.DUMMYFUNCTION("""COMPUTED_VALUE"""),"Line+ GLERIO (Айсберг)")</f>
        <v>Line+ GLERIO (Айсберг)</v>
      </c>
      <c r="M117" s="2" t="str">
        <f>IFERROR(__xludf.DUMMYFUNCTION("""COMPUTED_VALUE"""),"Пластиковые (линейные), LED Светильники")</f>
        <v>Пластиковые (линейные), LED Светильники</v>
      </c>
    </row>
    <row r="118">
      <c r="A118" s="5" t="str">
        <f>IFERROR(__xludf.DUMMYFUNCTION("""COMPUTED_VALUE"""),"4690612057286-2")</f>
        <v>4690612057286-2</v>
      </c>
      <c r="B118" s="5" t="str">
        <f>IFERROR(__xludf.DUMMYFUNCTION("""COMPUTED_VALUE"""),"ДВО-PRO 4065-ОПАЛ 40Вт 6500К 120лм/Вт CRI80 IP40 595х595х30мм NEOX (2 шт в упак.)")</f>
        <v>ДВО-PRO 4065-ОПАЛ 40Вт 6500К 120лм/Вт CRI80 IP40 595х595х30мм NEOX (2 шт в упак.)</v>
      </c>
      <c r="C118" s="2">
        <f>IFERROR(__xludf.DUMMYFUNCTION("""COMPUTED_VALUE"""),0.0)</f>
        <v>0</v>
      </c>
      <c r="D118" s="2">
        <f>IFERROR(__xludf.DUMMYFUNCTION("""COMPUTED_VALUE"""),0.0)</f>
        <v>0</v>
      </c>
      <c r="E118" s="2">
        <f>IFERROR(__xludf.DUMMYFUNCTION("""COMPUTED_VALUE"""),1793.76)</f>
        <v>1793.76</v>
      </c>
      <c r="F118" s="2">
        <f>IFERROR(__xludf.DUMMYFUNCTION("""COMPUTED_VALUE"""),1968.0)</f>
        <v>1968</v>
      </c>
      <c r="G118" s="2">
        <f>IFERROR(__xludf.DUMMYFUNCTION("""COMPUTED_VALUE"""),2583.0)</f>
        <v>2583</v>
      </c>
      <c r="H118" s="2">
        <f>IFERROR(__xludf.DUMMYFUNCTION("""COMPUTED_VALUE"""),2906.0)</f>
        <v>2906</v>
      </c>
      <c r="I118" s="2">
        <f>IFERROR(__xludf.DUMMYFUNCTION("""COMPUTED_VALUE"""),3229.0)</f>
        <v>3229</v>
      </c>
      <c r="J118" s="2">
        <f>IFERROR(__xludf.DUMMYFUNCTION("""COMPUTED_VALUE"""),1615.0)</f>
        <v>1615</v>
      </c>
      <c r="K118" s="2">
        <f>IFERROR(__xludf.DUMMYFUNCTION("""COMPUTED_VALUE"""),1.0)</f>
        <v>1</v>
      </c>
      <c r="L118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118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119">
      <c r="A119" s="5" t="str">
        <f>IFERROR(__xludf.DUMMYFUNCTION("""COMPUTED_VALUE"""),"4690612052984")</f>
        <v>4690612052984</v>
      </c>
      <c r="B119" s="5" t="str">
        <f>IFERROR(__xludf.DUMMYFUNCTION("""COMPUTED_VALUE"""),"ДВО-02 7565-ПРИЗМА 75Вт 6500К 595х595х19 NEOX")</f>
        <v>ДВО-02 7565-ПРИЗМА 75Вт 6500К 595х595х19 NEOX</v>
      </c>
      <c r="C119" s="2">
        <f>IFERROR(__xludf.DUMMYFUNCTION("""COMPUTED_VALUE"""),0.9500000000000001)</f>
        <v>0.95</v>
      </c>
      <c r="D119" s="2">
        <f>IFERROR(__xludf.DUMMYFUNCTION("""COMPUTED_VALUE"""),0.008)</f>
        <v>0.008</v>
      </c>
      <c r="E119" s="2">
        <f>IFERROR(__xludf.DUMMYFUNCTION("""COMPUTED_VALUE"""),770.84)</f>
        <v>770.84</v>
      </c>
      <c r="F119" s="2">
        <f>IFERROR(__xludf.DUMMYFUNCTION("""COMPUTED_VALUE"""),953.0)</f>
        <v>953</v>
      </c>
      <c r="G119" s="2">
        <f>IFERROR(__xludf.DUMMYFUNCTION("""COMPUTED_VALUE"""),1073.0)</f>
        <v>1073</v>
      </c>
      <c r="H119" s="2">
        <f>IFERROR(__xludf.DUMMYFUNCTION("""COMPUTED_VALUE"""),1244.0)</f>
        <v>1244</v>
      </c>
      <c r="I119" s="2">
        <f>IFERROR(__xludf.DUMMYFUNCTION("""COMPUTED_VALUE"""),1430.0)</f>
        <v>1430</v>
      </c>
      <c r="J119" s="2">
        <f>IFERROR(__xludf.DUMMYFUNCTION("""COMPUTED_VALUE"""),715.0)</f>
        <v>715</v>
      </c>
      <c r="K119" s="2">
        <f>IFERROR(__xludf.DUMMYFUNCTION("""COMPUTED_VALUE"""),5.0)</f>
        <v>5</v>
      </c>
      <c r="L119" s="2" t="str">
        <f>IFERROR(__xludf.DUMMYFUNCTION("""COMPUTED_VALUE"""),"NEOX Светильники LED ДВО")</f>
        <v>NEOX Светильники LED ДВО</v>
      </c>
      <c r="M119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120">
      <c r="A120" s="5" t="str">
        <f>IFERROR(__xludf.DUMMYFUNCTION("""COMPUTED_VALUE"""),"51-0619")</f>
        <v>51-0619</v>
      </c>
      <c r="B120" s="5" t="str">
        <f>IFERROR(__xludf.DUMMYFUNCTION("""COMPUTED_VALUE"""),"Греющий саморегулирующийся кабель на трубу 15MSR-PB 8M (8м/120Вт) REXANT")</f>
        <v>Греющий саморегулирующийся кабель на трубу 15MSR-PB 8M (8м/120Вт) REXANT</v>
      </c>
      <c r="C120" s="2">
        <f>IFERROR(__xludf.DUMMYFUNCTION("""COMPUTED_VALUE"""),0.0)</f>
        <v>0</v>
      </c>
      <c r="D120" s="2">
        <f>IFERROR(__xludf.DUMMYFUNCTION("""COMPUTED_VALUE"""),0.0)</f>
        <v>0</v>
      </c>
      <c r="E120" s="2">
        <f>IFERROR(__xludf.DUMMYFUNCTION("""COMPUTED_VALUE"""),1.0)</f>
        <v>1</v>
      </c>
      <c r="F120" s="2">
        <f>IFERROR(__xludf.DUMMYFUNCTION("""COMPUTED_VALUE"""),3085.0)</f>
        <v>3085</v>
      </c>
      <c r="G120" s="2">
        <f>IFERROR(__xludf.DUMMYFUNCTION("""COMPUTED_VALUE"""),3291.0)</f>
        <v>3291</v>
      </c>
      <c r="H120" s="2">
        <f>IFERROR(__xludf.DUMMYFUNCTION("""COMPUTED_VALUE"""),3702.0)</f>
        <v>3702</v>
      </c>
      <c r="I120" s="2">
        <f>IFERROR(__xludf.DUMMYFUNCTION("""COMPUTED_VALUE"""),4113.87)</f>
        <v>4113.87</v>
      </c>
      <c r="J120" s="2">
        <f>IFERROR(__xludf.DUMMYFUNCTION("""COMPUTED_VALUE"""),2057.0)</f>
        <v>2057</v>
      </c>
      <c r="K120" s="2">
        <f>IFERROR(__xludf.DUMMYFUNCTION("""COMPUTED_VALUE"""),4.0)</f>
        <v>4</v>
      </c>
      <c r="L120" s="2" t="str">
        <f>IFERROR(__xludf.DUMMYFUNCTION("""COMPUTED_VALUE"""),"Rexant")</f>
        <v>Rexant</v>
      </c>
      <c r="M120" s="2" t="str">
        <f>IFERROR(__xludf.DUMMYFUNCTION("""COMPUTED_VALUE"""),"Прочие товары")</f>
        <v>Прочие товары</v>
      </c>
    </row>
    <row r="121">
      <c r="A121" s="5" t="str">
        <f>IFERROR(__xludf.DUMMYFUNCTION("""COMPUTED_VALUE"""),"4690612032191")</f>
        <v>4690612032191</v>
      </c>
      <c r="B121" s="5" t="str">
        <f>IFERROR(__xludf.DUMMYFUNCTION("""COMPUTED_VALUE"""),"Е27 Н12П-01 Е27 Патрон карболитовый подвесной IN HOME")</f>
        <v>Е27 Н12П-01 Е27 Патрон карболитовый подвесной IN HOME</v>
      </c>
      <c r="C121" s="2">
        <f>IFERROR(__xludf.DUMMYFUNCTION("""COMPUTED_VALUE"""),0.04)</f>
        <v>0.04</v>
      </c>
      <c r="D121" s="2">
        <f>IFERROR(__xludf.DUMMYFUNCTION("""COMPUTED_VALUE"""),8.0E-5)</f>
        <v>0.00008</v>
      </c>
      <c r="E121" s="2">
        <f>IFERROR(__xludf.DUMMYFUNCTION("""COMPUTED_VALUE"""),19.2)</f>
        <v>19.2</v>
      </c>
      <c r="F121" s="2">
        <f>IFERROR(__xludf.DUMMYFUNCTION("""COMPUTED_VALUE"""),23.0)</f>
        <v>23</v>
      </c>
      <c r="G121" s="2">
        <f>IFERROR(__xludf.DUMMYFUNCTION("""COMPUTED_VALUE"""),26.0)</f>
        <v>26</v>
      </c>
      <c r="H121" s="2">
        <f>IFERROR(__xludf.DUMMYFUNCTION("""COMPUTED_VALUE"""),31.0)</f>
        <v>31</v>
      </c>
      <c r="I121" s="2">
        <f>IFERROR(__xludf.DUMMYFUNCTION("""COMPUTED_VALUE"""),35.0)</f>
        <v>35</v>
      </c>
      <c r="J121" s="2">
        <f>IFERROR(__xludf.DUMMYFUNCTION("""COMPUTED_VALUE"""),18.0)</f>
        <v>18</v>
      </c>
      <c r="K121" s="2">
        <f>IFERROR(__xludf.DUMMYFUNCTION("""COMPUTED_VALUE"""),13.0)</f>
        <v>13</v>
      </c>
      <c r="L121" s="2" t="str">
        <f>IFERROR(__xludf.DUMMYFUNCTION("""COMPUTED_VALUE"""),"ASD электромонтажные изделия")</f>
        <v>ASD электромонтажные изделия</v>
      </c>
      <c r="M121" s="2" t="str">
        <f>IFERROR(__xludf.DUMMYFUNCTION("""COMPUTED_VALUE"""),"Прочие товары")</f>
        <v>Прочие товары</v>
      </c>
    </row>
    <row r="122">
      <c r="A122" s="5" t="str">
        <f>IFERROR(__xludf.DUMMYFUNCTION("""COMPUTED_VALUE"""),"4690612033518")</f>
        <v>4690612033518</v>
      </c>
      <c r="B122" s="5" t="str">
        <f>IFERROR(__xludf.DUMMYFUNCTION("""COMPUTED_VALUE"""),"DECO НОЧНОЕ НЕБО 24Вт 230В 4000К 2160Лм 330х55мм IN HOME")</f>
        <v>DECO НОЧНОЕ НЕБО 24Вт 230В 4000К 2160Лм 330х55мм IN HOME</v>
      </c>
      <c r="C122" s="2">
        <f>IFERROR(__xludf.DUMMYFUNCTION("""COMPUTED_VALUE"""),0.4400000000000001)</f>
        <v>0.44</v>
      </c>
      <c r="D122" s="2">
        <f>IFERROR(__xludf.DUMMYFUNCTION("""COMPUTED_VALUE"""),0.00725)</f>
        <v>0.00725</v>
      </c>
      <c r="E122" s="2">
        <f>IFERROR(__xludf.DUMMYFUNCTION("""COMPUTED_VALUE"""),381.61)</f>
        <v>381.61</v>
      </c>
      <c r="F122" s="2">
        <f>IFERROR(__xludf.DUMMYFUNCTION("""COMPUTED_VALUE"""),473.0)</f>
        <v>473</v>
      </c>
      <c r="G122" s="2">
        <f>IFERROR(__xludf.DUMMYFUNCTION("""COMPUTED_VALUE"""),533.0)</f>
        <v>533</v>
      </c>
      <c r="H122" s="2">
        <f>IFERROR(__xludf.DUMMYFUNCTION("""COMPUTED_VALUE"""),618.0)</f>
        <v>618</v>
      </c>
      <c r="I122" s="2">
        <f>IFERROR(__xludf.DUMMYFUNCTION("""COMPUTED_VALUE"""),710.0)</f>
        <v>710</v>
      </c>
      <c r="J122" s="2">
        <f>IFERROR(__xludf.DUMMYFUNCTION("""COMPUTED_VALUE"""),355.0)</f>
        <v>355</v>
      </c>
      <c r="K122" s="2">
        <f>IFERROR(__xludf.DUMMYFUNCTION("""COMPUTED_VALUE"""),12.0)</f>
        <v>12</v>
      </c>
      <c r="L122" s="2" t="str">
        <f>IFERROR(__xludf.DUMMYFUNCTION("""COMPUTED_VALUE"""),"Светильник светодиодный серии DECO")</f>
        <v>Светильник светодиодный серии DECO</v>
      </c>
      <c r="M122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123">
      <c r="A123" s="5" t="str">
        <f>IFERROR(__xludf.DUMMYFUNCTION("""COMPUTED_VALUE"""),"4690612045849")</f>
        <v>4690612045849</v>
      </c>
      <c r="B123" s="5" t="str">
        <f>IFERROR(__xludf.DUMMYFUNCTION("""COMPUTED_VALUE"""),"НПБ СПОТ-3xGU10-AR-WH под лампу GU10 56х165x350мм белый IN HOME")</f>
        <v>НПБ СПОТ-3xGU10-AR-WH под лампу GU10 56х165x350мм белый IN HOME</v>
      </c>
      <c r="C123" s="2">
        <f>IFERROR(__xludf.DUMMYFUNCTION("""COMPUTED_VALUE"""),0.55)</f>
        <v>0.55</v>
      </c>
      <c r="D123" s="2">
        <f>IFERROR(__xludf.DUMMYFUNCTION("""COMPUTED_VALUE"""),0.004500000000000001)</f>
        <v>0.0045</v>
      </c>
      <c r="E123" s="2">
        <f>IFERROR(__xludf.DUMMYFUNCTION("""COMPUTED_VALUE"""),810.0)</f>
        <v>810</v>
      </c>
      <c r="F123" s="2">
        <f>IFERROR(__xludf.DUMMYFUNCTION("""COMPUTED_VALUE"""),1172.0)</f>
        <v>1172</v>
      </c>
      <c r="G123" s="2">
        <f>IFERROR(__xludf.DUMMYFUNCTION("""COMPUTED_VALUE"""),1318.0)</f>
        <v>1318</v>
      </c>
      <c r="H123" s="2">
        <f>IFERROR(__xludf.DUMMYFUNCTION("""COMPUTED_VALUE"""),1529.0)</f>
        <v>1529</v>
      </c>
      <c r="I123" s="2">
        <f>IFERROR(__xludf.DUMMYFUNCTION("""COMPUTED_VALUE"""),1758.0)</f>
        <v>1758</v>
      </c>
      <c r="J123" s="2">
        <f>IFERROR(__xludf.DUMMYFUNCTION("""COMPUTED_VALUE"""),879.0)</f>
        <v>879</v>
      </c>
      <c r="K123" s="2">
        <f>IFERROR(__xludf.DUMMYFUNCTION("""COMPUTED_VALUE"""),3.0)</f>
        <v>3</v>
      </c>
      <c r="L123" s="2" t="str">
        <f>IFERROR(__xludf.DUMMYFUNCTION("""COMPUTED_VALUE"""),"НБУ, НПБ под лампу")</f>
        <v>НБУ, НПБ под лампу</v>
      </c>
      <c r="M123" s="2" t="str">
        <f>IFERROR(__xludf.DUMMYFUNCTION("""COMPUTED_VALUE"""),"Ламповые светильники")</f>
        <v>Ламповые светильники</v>
      </c>
    </row>
    <row r="124">
      <c r="A124" s="5" t="str">
        <f>IFERROR(__xludf.DUMMYFUNCTION("""COMPUTED_VALUE"""),"V11101")</f>
        <v>V11101</v>
      </c>
      <c r="B124" s="5" t="str">
        <f>IFERROR(__xludf.DUMMYFUNCTION("""COMPUTED_VALUE"""),"VRN-LPE58-79-A50K67-U, 79Вт, Универсальный")</f>
        <v>VRN-LPE58-79-A50K67-U, 79Вт, Универсальный</v>
      </c>
      <c r="C124" s="2">
        <f>IFERROR(__xludf.DUMMYFUNCTION("""COMPUTED_VALUE"""),2.1)</f>
        <v>2.1</v>
      </c>
      <c r="D124" s="2">
        <f>IFERROR(__xludf.DUMMYFUNCTION("""COMPUTED_VALUE"""),0.009000000000000001)</f>
        <v>0.009</v>
      </c>
      <c r="E124" s="2">
        <f>IFERROR(__xludf.DUMMYFUNCTION("""COMPUTED_VALUE"""),3750.0)</f>
        <v>3750</v>
      </c>
      <c r="F124" s="2">
        <f>IFERROR(__xludf.DUMMYFUNCTION("""COMPUTED_VALUE"""),4330.0)</f>
        <v>4330</v>
      </c>
      <c r="G124" s="2">
        <f>IFERROR(__xludf.DUMMYFUNCTION("""COMPUTED_VALUE"""),5629.0)</f>
        <v>5629</v>
      </c>
      <c r="H124" s="2">
        <f>IFERROR(__xludf.DUMMYFUNCTION("""COMPUTED_VALUE"""),5910.0)</f>
        <v>5910</v>
      </c>
      <c r="I124" s="2">
        <f>IFERROR(__xludf.DUMMYFUNCTION("""COMPUTED_VALUE"""),6192.0)</f>
        <v>6192</v>
      </c>
      <c r="J124" s="2">
        <f>IFERROR(__xludf.DUMMYFUNCTION("""COMPUTED_VALUE"""),3096.0)</f>
        <v>3096</v>
      </c>
      <c r="K124" s="2">
        <f>IFERROR(__xludf.DUMMYFUNCTION("""COMPUTED_VALUE"""),2.0)</f>
        <v>2</v>
      </c>
      <c r="L124" s="2" t="str">
        <f>IFERROR(__xludf.DUMMYFUNCTION("""COMPUTED_VALUE"""),"Прожектор Эконом")</f>
        <v>Прожектор Эконом</v>
      </c>
      <c r="M124" s="2" t="str">
        <f>IFERROR(__xludf.DUMMYFUNCTION("""COMPUTED_VALUE"""),"Уличные светильники (LED), Для обычных дорог, Прожекторы (LED), LED Светильники")</f>
        <v>Уличные светильники (LED), Для обычных дорог, Прожекторы (LED), LED Светильники</v>
      </c>
    </row>
    <row r="125">
      <c r="A125" s="5" t="str">
        <f>IFERROR(__xludf.DUMMYFUNCTION("""COMPUTED_VALUE"""),"ves2047")</f>
        <v>ves2047</v>
      </c>
      <c r="B125" s="5" t="str">
        <f>IFERROR(__xludf.DUMMYFUNCTION("""COMPUTED_VALUE"""),"Коробка распределительная арт. 10164")</f>
        <v>Коробка распределительная арт. 10164</v>
      </c>
      <c r="C125" s="2">
        <f>IFERROR(__xludf.DUMMYFUNCTION("""COMPUTED_VALUE"""),0.0)</f>
        <v>0</v>
      </c>
      <c r="D125" s="2">
        <f>IFERROR(__xludf.DUMMYFUNCTION("""COMPUTED_VALUE"""),0.0)</f>
        <v>0</v>
      </c>
      <c r="E125" s="2">
        <f>IFERROR(__xludf.DUMMYFUNCTION("""COMPUTED_VALUE"""),149.44)</f>
        <v>149.44</v>
      </c>
      <c r="F125" s="2">
        <f>IFERROR(__xludf.DUMMYFUNCTION("""COMPUTED_VALUE"""),146.0)</f>
        <v>146</v>
      </c>
      <c r="G125" s="2">
        <f>IFERROR(__xludf.DUMMYFUNCTION("""COMPUTED_VALUE"""),155.0)</f>
        <v>155</v>
      </c>
      <c r="H125" s="2">
        <f>IFERROR(__xludf.DUMMYFUNCTION("""COMPUTED_VALUE"""),175.0)</f>
        <v>175</v>
      </c>
      <c r="I125" s="2">
        <f>IFERROR(__xludf.DUMMYFUNCTION("""COMPUTED_VALUE"""),194.24)</f>
        <v>194.24</v>
      </c>
      <c r="J125" s="2">
        <f>IFERROR(__xludf.DUMMYFUNCTION("""COMPUTED_VALUE"""),97.0)</f>
        <v>97</v>
      </c>
      <c r="K125" s="2">
        <f>IFERROR(__xludf.DUMMYFUNCTION("""COMPUTED_VALUE"""),2.0)</f>
        <v>2</v>
      </c>
      <c r="L125" s="2" t="str">
        <f>IFERROR(__xludf.DUMMYFUNCTION("""COMPUTED_VALUE"""),"ves2 (тендер)")</f>
        <v>ves2 (тендер)</v>
      </c>
      <c r="M125" s="2" t="str">
        <f>IFERROR(__xludf.DUMMYFUNCTION("""COMPUTED_VALUE"""),"Прочие товары")</f>
        <v>Прочие товары</v>
      </c>
    </row>
    <row r="126">
      <c r="A126" s="5" t="str">
        <f>IFERROR(__xludf.DUMMYFUNCTION("""COMPUTED_VALUE"""),"08357")</f>
        <v>08357</v>
      </c>
      <c r="B126" s="5" t="str">
        <f>IFERROR(__xludf.DUMMYFUNCTION("""COMPUTED_VALUE"""),"Металлическая защелка для TLWP")</f>
        <v>Металлическая защелка для TLWP</v>
      </c>
      <c r="C126" s="2">
        <f>IFERROR(__xludf.DUMMYFUNCTION("""COMPUTED_VALUE"""),0.0)</f>
        <v>0</v>
      </c>
      <c r="D126" s="2">
        <f>IFERROR(__xludf.DUMMYFUNCTION("""COMPUTED_VALUE"""),0.0)</f>
        <v>0</v>
      </c>
      <c r="E126" s="2">
        <f>IFERROR(__xludf.DUMMYFUNCTION("""COMPUTED_VALUE"""),39.2)</f>
        <v>39.2</v>
      </c>
      <c r="F126" s="2">
        <f>IFERROR(__xludf.DUMMYFUNCTION("""COMPUTED_VALUE"""),43.0)</f>
        <v>43</v>
      </c>
      <c r="G126" s="2">
        <f>IFERROR(__xludf.DUMMYFUNCTION("""COMPUTED_VALUE"""),48.0)</f>
        <v>48</v>
      </c>
      <c r="H126" s="2">
        <f>IFERROR(__xludf.DUMMYFUNCTION("""COMPUTED_VALUE"""),49.0)</f>
        <v>49</v>
      </c>
      <c r="I126" s="2">
        <f>IFERROR(__xludf.DUMMYFUNCTION("""COMPUTED_VALUE"""),60.0)</f>
        <v>60</v>
      </c>
      <c r="J126" s="2">
        <f>IFERROR(__xludf.DUMMYFUNCTION("""COMPUTED_VALUE"""),30.0)</f>
        <v>30</v>
      </c>
      <c r="K126" s="2">
        <f>IFERROR(__xludf.DUMMYFUNCTION("""COMPUTED_VALUE"""),10.0)</f>
        <v>10</v>
      </c>
      <c r="L126" s="2" t="str">
        <f>IFERROR(__xludf.DUMMYFUNCTION("""COMPUTED_VALUE"""),"Комплектующие и аксессуары")</f>
        <v>Комплектующие и аксессуары</v>
      </c>
      <c r="M126" s="2" t="str">
        <f>IFERROR(__xludf.DUMMYFUNCTION("""COMPUTED_VALUE"""),"Прочие товары, Другие")</f>
        <v>Прочие товары, Другие</v>
      </c>
    </row>
    <row r="127">
      <c r="A127" s="5" t="str">
        <f>IFERROR(__xludf.DUMMYFUNCTION("""COMPUTED_VALUE"""),"4260652196469")</f>
        <v>4260652196469</v>
      </c>
      <c r="B127" s="5" t="str">
        <f>IFERROR(__xludf.DUMMYFUNCTION("""COMPUTED_VALUE"""),"WTL-45W/02W")</f>
        <v>WTL-45W/02W</v>
      </c>
      <c r="C127" s="2">
        <f>IFERROR(__xludf.DUMMYFUNCTION("""COMPUTED_VALUE"""),1.212)</f>
        <v>1.212</v>
      </c>
      <c r="D127" s="2">
        <f>IFERROR(__xludf.DUMMYFUNCTION("""COMPUTED_VALUE"""),0.00423)</f>
        <v>0.00423</v>
      </c>
      <c r="E127" s="2">
        <f>IFERROR(__xludf.DUMMYFUNCTION("""COMPUTED_VALUE"""),1624.0)</f>
        <v>1624</v>
      </c>
      <c r="F127" s="2">
        <f>IFERROR(__xludf.DUMMYFUNCTION("""COMPUTED_VALUE"""),2509.0)</f>
        <v>2509</v>
      </c>
      <c r="G127" s="2">
        <f>IFERROR(__xludf.DUMMYFUNCTION("""COMPUTED_VALUE"""),2594.0)</f>
        <v>2594</v>
      </c>
      <c r="H127" s="2">
        <f>IFERROR(__xludf.DUMMYFUNCTION("""COMPUTED_VALUE"""),3402.0)</f>
        <v>3402</v>
      </c>
      <c r="I127" s="2">
        <f>IFERROR(__xludf.DUMMYFUNCTION("""COMPUTED_VALUE"""),4253.0)</f>
        <v>4253</v>
      </c>
      <c r="J127" s="2">
        <f>IFERROR(__xludf.DUMMYFUNCTION("""COMPUTED_VALUE"""),2127.0)</f>
        <v>2127</v>
      </c>
      <c r="K127" s="2">
        <f>IFERROR(__xludf.DUMMYFUNCTION("""COMPUTED_VALUE"""),3.0)</f>
        <v>3</v>
      </c>
      <c r="L127" s="2" t="str">
        <f>IFERROR(__xludf.DUMMYFUNCTION("""COMPUTED_VALUE"""),"Wolta трековые")</f>
        <v>Wolta трековые</v>
      </c>
      <c r="M127" s="2" t="str">
        <f>IFERROR(__xludf.DUMMYFUNCTION("""COMPUTED_VALUE"""),"Трековые, LED Светильники")</f>
        <v>Трековые, LED Светильники</v>
      </c>
    </row>
    <row r="128">
      <c r="A128" s="5" t="str">
        <f>IFERROR(__xludf.DUMMYFUNCTION("""COMPUTED_VALUE"""),"4690612038810")</f>
        <v>4690612038810</v>
      </c>
      <c r="B128" s="5" t="str">
        <f>IFERROR(__xludf.DUMMYFUNCTION("""COMPUTED_VALUE"""),"ДВО-02 4065-ОПАЛ 40Вт 230В 6500К 3600Лм 595х595х25 NEOX")</f>
        <v>ДВО-02 4065-ОПАЛ 40Вт 230В 6500К 3600Лм 595х595х25 NEOX</v>
      </c>
      <c r="C128" s="2">
        <f>IFERROR(__xludf.DUMMYFUNCTION("""COMPUTED_VALUE"""),1.2)</f>
        <v>1.2</v>
      </c>
      <c r="D128" s="2">
        <f>IFERROR(__xludf.DUMMYFUNCTION("""COMPUTED_VALUE"""),0.009000000000000001)</f>
        <v>0.009</v>
      </c>
      <c r="E128" s="2">
        <f>IFERROR(__xludf.DUMMYFUNCTION("""COMPUTED_VALUE"""),769.0500000000001)</f>
        <v>769.05</v>
      </c>
      <c r="F128" s="2">
        <f>IFERROR(__xludf.DUMMYFUNCTION("""COMPUTED_VALUE"""),799.0)</f>
        <v>799</v>
      </c>
      <c r="G128" s="2">
        <f>IFERROR(__xludf.DUMMYFUNCTION("""COMPUTED_VALUE"""),899.0)</f>
        <v>899</v>
      </c>
      <c r="H128" s="2">
        <f>IFERROR(__xludf.DUMMYFUNCTION("""COMPUTED_VALUE"""),1042.0)</f>
        <v>1042</v>
      </c>
      <c r="I128" s="2">
        <f>IFERROR(__xludf.DUMMYFUNCTION("""COMPUTED_VALUE"""),1198.0)</f>
        <v>1198</v>
      </c>
      <c r="J128" s="2">
        <f>IFERROR(__xludf.DUMMYFUNCTION("""COMPUTED_VALUE"""),899.0)</f>
        <v>899</v>
      </c>
      <c r="K128" s="2">
        <f>IFERROR(__xludf.DUMMYFUNCTION("""COMPUTED_VALUE"""),10.0)</f>
        <v>10</v>
      </c>
      <c r="L128" s="2" t="str">
        <f>IFERROR(__xludf.DUMMYFUNCTION("""COMPUTED_VALUE"""),"NEOX Светильники LED ДВО")</f>
        <v>NEOX Светильники LED ДВО</v>
      </c>
      <c r="M128" s="2" t="str">
        <f>IFERROR(__xludf.DUMMYFUNCTION("""COMPUTED_VALUE"""),"С равномерной засветкой, С равномерной засветкой, LED Светильники")</f>
        <v>С равномерной засветкой, С равномерной засветкой, LED Светильники</v>
      </c>
    </row>
    <row r="129">
      <c r="A129" s="5" t="str">
        <f>IFERROR(__xludf.DUMMYFUNCTION("""COMPUTED_VALUE"""),"11700784")</f>
        <v>11700784</v>
      </c>
      <c r="B129" s="5" t="str">
        <f>IFERROR(__xludf.DUMMYFUNCTION("""COMPUTED_VALUE"""),"Светильник LEDOS Polestar 01-L1300 OP 4000К 30Вт")</f>
        <v>Светильник LEDOS Polestar 01-L1300 OP 4000К 30Вт</v>
      </c>
      <c r="C129" s="2">
        <f>IFERROR(__xludf.DUMMYFUNCTION("""COMPUTED_VALUE"""),0.0)</f>
        <v>0</v>
      </c>
      <c r="D129" s="2">
        <f>IFERROR(__xludf.DUMMYFUNCTION("""COMPUTED_VALUE"""),0.0)</f>
        <v>0</v>
      </c>
      <c r="E129" s="2">
        <f>IFERROR(__xludf.DUMMYFUNCTION("""COMPUTED_VALUE"""),2340.0)</f>
        <v>2340</v>
      </c>
      <c r="F129" s="2">
        <f>IFERROR(__xludf.DUMMYFUNCTION("""COMPUTED_VALUE"""),3117.0)</f>
        <v>3117</v>
      </c>
      <c r="G129" s="2">
        <f>IFERROR(__xludf.DUMMYFUNCTION("""COMPUTED_VALUE"""),3487.0)</f>
        <v>3487</v>
      </c>
      <c r="H129" s="2">
        <f>IFERROR(__xludf.DUMMYFUNCTION("""COMPUTED_VALUE"""),3923.0)</f>
        <v>3923</v>
      </c>
      <c r="I129" s="2">
        <f>IFERROR(__xludf.DUMMYFUNCTION("""COMPUTED_VALUE"""),4359.0)</f>
        <v>4359</v>
      </c>
      <c r="J129" s="2">
        <f>IFERROR(__xludf.DUMMYFUNCTION("""COMPUTED_VALUE"""),2180.0)</f>
        <v>2180</v>
      </c>
      <c r="K129" s="2">
        <f>IFERROR(__xludf.DUMMYFUNCTION("""COMPUTED_VALUE"""),1.0)</f>
        <v>1</v>
      </c>
      <c r="L129" s="2" t="str">
        <f>IFERROR(__xludf.DUMMYFUNCTION("""COMPUTED_VALUE"""),"LEDOS Промышленное освещение")</f>
        <v>LEDOS Промышленное освещение</v>
      </c>
      <c r="M129" s="2" t="str">
        <f>IFERROR(__xludf.DUMMYFUNCTION("""COMPUTED_VALUE"""),"Промышленные светильники (LED), Металлические (линейные), LED Светильники")</f>
        <v>Промышленные светильники (LED), Металлические (линейные), LED Светильники</v>
      </c>
    </row>
    <row r="130">
      <c r="A130" s="5" t="str">
        <f>IFERROR(__xludf.DUMMYFUNCTION("""COMPUTED_VALUE"""),"4690612042336")</f>
        <v>4690612042336</v>
      </c>
      <c r="B130" s="5" t="str">
        <f>IFERROR(__xludf.DUMMYFUNCTION("""COMPUTED_VALUE"""),"ДВО-01 4065-ОПАЛ 40Вт 230В 6500К 3600Лм 180х1195х25мм NEOX")</f>
        <v>ДВО-01 4065-ОПАЛ 40Вт 230В 6500К 3600Лм 180х1195х25мм NEOX</v>
      </c>
      <c r="C130" s="2">
        <f>IFERROR(__xludf.DUMMYFUNCTION("""COMPUTED_VALUE"""),4.800000000000001)</f>
        <v>4.8</v>
      </c>
      <c r="D130" s="2">
        <f>IFERROR(__xludf.DUMMYFUNCTION("""COMPUTED_VALUE"""),0.032)</f>
        <v>0.032</v>
      </c>
      <c r="E130" s="2">
        <f>IFERROR(__xludf.DUMMYFUNCTION("""COMPUTED_VALUE"""),771.47)</f>
        <v>771.47</v>
      </c>
      <c r="F130" s="2">
        <f>IFERROR(__xludf.DUMMYFUNCTION("""COMPUTED_VALUE"""),818.0)</f>
        <v>818</v>
      </c>
      <c r="G130" s="2">
        <f>IFERROR(__xludf.DUMMYFUNCTION("""COMPUTED_VALUE"""),920.0)</f>
        <v>920</v>
      </c>
      <c r="H130" s="2">
        <f>IFERROR(__xludf.DUMMYFUNCTION("""COMPUTED_VALUE"""),1067.0)</f>
        <v>1067</v>
      </c>
      <c r="I130" s="2">
        <f>IFERROR(__xludf.DUMMYFUNCTION("""COMPUTED_VALUE"""),1227.0)</f>
        <v>1227</v>
      </c>
      <c r="J130" s="2">
        <f>IFERROR(__xludf.DUMMYFUNCTION("""COMPUTED_VALUE"""),614.0)</f>
        <v>614</v>
      </c>
      <c r="K130" s="2">
        <f>IFERROR(__xludf.DUMMYFUNCTION("""COMPUTED_VALUE"""),36.0)</f>
        <v>36</v>
      </c>
      <c r="L130" s="2" t="str">
        <f>IFERROR(__xludf.DUMMYFUNCTION("""COMPUTED_VALUE"""),"NEOX Светильники LED ДВО")</f>
        <v>NEOX Светильники LED ДВО</v>
      </c>
      <c r="M130" s="2" t="str">
        <f>IFERROR(__xludf.DUMMYFUNCTION("""COMPUTED_VALUE"""),"С равномерной засветкой, С равномерной засветкой, LED Светильники")</f>
        <v>С равномерной засветкой, С равномерной засветкой, LED Светильники</v>
      </c>
    </row>
    <row r="131">
      <c r="A131" s="5" t="str">
        <f>IFERROR(__xludf.DUMMYFUNCTION("""COMPUTED_VALUE"""),"GL8121")</f>
        <v>GL8121</v>
      </c>
      <c r="B131" s="5" t="str">
        <f>IFERROR(__xludf.DUMMYFUNCTION("""COMPUTED_VALUE"""),"GLERIO Office Casual 36 Вт 4000К 81P-36D-4V-P")</f>
        <v>GLERIO Office Casual 36 Вт 4000К 81P-36D-4V-P</v>
      </c>
      <c r="C131" s="2">
        <f>IFERROR(__xludf.DUMMYFUNCTION("""COMPUTED_VALUE"""),1.14)</f>
        <v>1.14</v>
      </c>
      <c r="D131" s="2">
        <f>IFERROR(__xludf.DUMMYFUNCTION("""COMPUTED_VALUE"""),0.008190000000000001)</f>
        <v>0.00819</v>
      </c>
      <c r="E131" s="2">
        <f>IFERROR(__xludf.DUMMYFUNCTION("""COMPUTED_VALUE"""),1980.46)</f>
        <v>1980.46</v>
      </c>
      <c r="F131" s="2">
        <f>IFERROR(__xludf.DUMMYFUNCTION("""COMPUTED_VALUE"""),2420.0)</f>
        <v>2420</v>
      </c>
      <c r="G131" s="2">
        <f>IFERROR(__xludf.DUMMYFUNCTION("""COMPUTED_VALUE"""),3047.0)</f>
        <v>3047</v>
      </c>
      <c r="H131" s="2">
        <f>IFERROR(__xludf.DUMMYFUNCTION("""COMPUTED_VALUE"""),3422.0)</f>
        <v>3422</v>
      </c>
      <c r="I131" s="2">
        <f>IFERROR(__xludf.DUMMYFUNCTION("""COMPUTED_VALUE"""),3796.0)</f>
        <v>3796</v>
      </c>
      <c r="J131" s="2">
        <f>IFERROR(__xludf.DUMMYFUNCTION("""COMPUTED_VALUE"""),1898.0)</f>
        <v>1898</v>
      </c>
      <c r="K131" s="2">
        <f>IFERROR(__xludf.DUMMYFUNCTION("""COMPUTED_VALUE"""),2.0)</f>
        <v>2</v>
      </c>
      <c r="L131" s="2" t="str">
        <f>IFERROR(__xludf.DUMMYFUNCTION("""COMPUTED_VALUE"""),"Office Casual (Офис) до 10.2025")</f>
        <v>Office Casual (Офис) до 10.2025</v>
      </c>
      <c r="M131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132">
      <c r="A132" s="5" t="str">
        <f>IFERROR(__xludf.DUMMYFUNCTION("""COMPUTED_VALUE"""),"03680")</f>
        <v>03680</v>
      </c>
      <c r="B132" s="5" t="str">
        <f>IFERROR(__xludf.DUMMYFUNCTION("""COMPUTED_VALUE"""),"TLPL218 ECP")</f>
        <v>TLPL218 ECP</v>
      </c>
      <c r="C132" s="2">
        <f>IFERROR(__xludf.DUMMYFUNCTION("""COMPUTED_VALUE"""),1.1)</f>
        <v>1.1</v>
      </c>
      <c r="D132" s="2">
        <f>IFERROR(__xludf.DUMMYFUNCTION("""COMPUTED_VALUE"""),0.00661)</f>
        <v>0.00661</v>
      </c>
      <c r="E132" s="2">
        <f>IFERROR(__xludf.DUMMYFUNCTION("""COMPUTED_VALUE"""),374.5)</f>
        <v>374.5</v>
      </c>
      <c r="F132" s="2">
        <f>IFERROR(__xludf.DUMMYFUNCTION("""COMPUTED_VALUE"""),497.0)</f>
        <v>497</v>
      </c>
      <c r="G132" s="2">
        <f>IFERROR(__xludf.DUMMYFUNCTION("""COMPUTED_VALUE"""),561.0)</f>
        <v>561</v>
      </c>
      <c r="H132" s="2">
        <f>IFERROR(__xludf.DUMMYFUNCTION("""COMPUTED_VALUE"""),574.0)</f>
        <v>574</v>
      </c>
      <c r="I132" s="2">
        <f>IFERROR(__xludf.DUMMYFUNCTION("""COMPUTED_VALUE"""),700.0)</f>
        <v>700</v>
      </c>
      <c r="J132" s="2">
        <f>IFERROR(__xludf.DUMMYFUNCTION("""COMPUTED_VALUE"""),350.0)</f>
        <v>350</v>
      </c>
      <c r="K132" s="2">
        <f>IFERROR(__xludf.DUMMYFUNCTION("""COMPUTED_VALUE"""),12.0)</f>
        <v>12</v>
      </c>
      <c r="L132" s="2" t="str">
        <f>IFERROR(__xludf.DUMMYFUNCTION("""COMPUTED_VALUE"""),"Технолюкс Ламповые TLPL (IP20)")</f>
        <v>Технолюкс Ламповые TLPL (IP20)</v>
      </c>
      <c r="M132" s="2" t="str">
        <f>IFERROR(__xludf.DUMMYFUNCTION("""COMPUTED_VALUE"""),"Ламповые светильники")</f>
        <v>Ламповые светильники</v>
      </c>
    </row>
    <row r="133">
      <c r="A133" s="5" t="str">
        <f>IFERROR(__xludf.DUMMYFUNCTION("""COMPUTED_VALUE"""),"D55099")</f>
        <v>D55099</v>
      </c>
      <c r="B133" s="5" t="str">
        <f>IFERROR(__xludf.DUMMYFUNCTION("""COMPUTED_VALUE"""),"Лампа ""Диско"", 3 разноцветных LED лампы, цоколь Е27, 220v /48/12")</f>
        <v>Лампа "Диско", 3 разноцветных LED лампы, цоколь Е27, 220v /48/12</v>
      </c>
      <c r="C133" s="2">
        <f>IFERROR(__xludf.DUMMYFUNCTION("""COMPUTED_VALUE"""),0.0)</f>
        <v>0</v>
      </c>
      <c r="D133" s="2">
        <f>IFERROR(__xludf.DUMMYFUNCTION("""COMPUTED_VALUE"""),0.0)</f>
        <v>0</v>
      </c>
      <c r="E133" s="2">
        <f>IFERROR(__xludf.DUMMYFUNCTION("""COMPUTED_VALUE"""),298.5)</f>
        <v>298.5</v>
      </c>
      <c r="F133" s="2">
        <f>IFERROR(__xludf.DUMMYFUNCTION("""COMPUTED_VALUE"""),334.0)</f>
        <v>334</v>
      </c>
      <c r="G133" s="2">
        <f>IFERROR(__xludf.DUMMYFUNCTION("""COMPUTED_VALUE"""),364.0)</f>
        <v>364</v>
      </c>
      <c r="H133" s="2">
        <f>IFERROR(__xludf.DUMMYFUNCTION("""COMPUTED_VALUE"""),395.0)</f>
        <v>395</v>
      </c>
      <c r="I133" s="2">
        <f>IFERROR(__xludf.DUMMYFUNCTION("""COMPUTED_VALUE"""),425.0)</f>
        <v>425</v>
      </c>
      <c r="J133" s="2">
        <f>IFERROR(__xludf.DUMMYFUNCTION("""COMPUTED_VALUE"""),213.0)</f>
        <v>213</v>
      </c>
      <c r="K133" s="2">
        <f>IFERROR(__xludf.DUMMYFUNCTION("""COMPUTED_VALUE"""),12.0)</f>
        <v>12</v>
      </c>
      <c r="L133" s="2" t="str">
        <f>IFERROR(__xludf.DUMMYFUNCTION("""COMPUTED_VALUE"""),"Праздничная иллюминация")</f>
        <v>Праздничная иллюминация</v>
      </c>
      <c r="M133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134">
      <c r="A134" s="5" t="str">
        <f>IFERROR(__xludf.DUMMYFUNCTION("""COMPUTED_VALUE"""),"NVAS008")</f>
        <v>NVAS008</v>
      </c>
      <c r="B134" s="5" t="str">
        <f>IFERROR(__xludf.DUMMYFUNCTION("""COMPUTED_VALUE"""),"Светодиодный светильник серии Профи Лайт 180Вт")</f>
        <v>Светодиодный светильник серии Профи Лайт 180Вт</v>
      </c>
      <c r="C134" s="2">
        <f>IFERROR(__xludf.DUMMYFUNCTION("""COMPUTED_VALUE"""),0.0)</f>
        <v>0</v>
      </c>
      <c r="D134" s="2">
        <f>IFERROR(__xludf.DUMMYFUNCTION("""COMPUTED_VALUE"""),0.0)</f>
        <v>0</v>
      </c>
      <c r="E134" s="2">
        <f>IFERROR(__xludf.DUMMYFUNCTION("""COMPUTED_VALUE"""),7614.16)</f>
        <v>7614.16</v>
      </c>
      <c r="F134" s="2">
        <f>IFERROR(__xludf.DUMMYFUNCTION("""COMPUTED_VALUE"""),14128.0)</f>
        <v>14128</v>
      </c>
      <c r="G134" s="2">
        <f>IFERROR(__xludf.DUMMYFUNCTION("""COMPUTED_VALUE"""),15070.0)</f>
        <v>15070</v>
      </c>
      <c r="H134" s="2">
        <f>IFERROR(__xludf.DUMMYFUNCTION("""COMPUTED_VALUE"""),16954.0)</f>
        <v>16954</v>
      </c>
      <c r="I134" s="2">
        <f>IFERROR(__xludf.DUMMYFUNCTION("""COMPUTED_VALUE"""),18837.42)</f>
        <v>18837.42</v>
      </c>
      <c r="J134" s="2">
        <f>IFERROR(__xludf.DUMMYFUNCTION("""COMPUTED_VALUE"""),18837.42)</f>
        <v>18837.42</v>
      </c>
      <c r="K134" s="2">
        <f>IFERROR(__xludf.DUMMYFUNCTION("""COMPUTED_VALUE"""),0.0)</f>
        <v>0</v>
      </c>
      <c r="L134" s="2" t="str">
        <f>IFERROR(__xludf.DUMMYFUNCTION("""COMPUTED_VALUE"""),"NVAS (тендер)")</f>
        <v>NVAS (тендер)</v>
      </c>
      <c r="M134" s="2" t="str">
        <f>IFERROR(__xludf.DUMMYFUNCTION("""COMPUTED_VALUE"""),"LED Светильники")</f>
        <v>LED Светильники</v>
      </c>
    </row>
    <row r="135">
      <c r="A135" s="5" t="str">
        <f>IFERROR(__xludf.DUMMYFUNCTION("""COMPUTED_VALUE"""),"01-6101-6")</f>
        <v>01-6101-6</v>
      </c>
      <c r="B135" s="5" t="str">
        <f>IFERROR(__xludf.DUMMYFUNCTION("""COMPUTED_VALUE"""),"Кабель акустический ШВПМ PROconnect 2х0,25 мм , красно-черный, бухта 100 м")</f>
        <v>Кабель акустический ШВПМ PROconnect 2х0,25 мм , красно-черный, бухта 100 м</v>
      </c>
      <c r="C135" s="2">
        <f>IFERROR(__xludf.DUMMYFUNCTION("""COMPUTED_VALUE"""),0.0)</f>
        <v>0</v>
      </c>
      <c r="D135" s="2">
        <f>IFERROR(__xludf.DUMMYFUNCTION("""COMPUTED_VALUE"""),0.0)</f>
        <v>0</v>
      </c>
      <c r="E135" s="2">
        <f>IFERROR(__xludf.DUMMYFUNCTION("""COMPUTED_VALUE"""),1.0)</f>
        <v>1</v>
      </c>
      <c r="F135" s="2">
        <f>IFERROR(__xludf.DUMMYFUNCTION("""COMPUTED_VALUE"""),1078.0)</f>
        <v>1078</v>
      </c>
      <c r="G135" s="2">
        <f>IFERROR(__xludf.DUMMYFUNCTION("""COMPUTED_VALUE"""),1149.0)</f>
        <v>1149</v>
      </c>
      <c r="H135" s="2">
        <f>IFERROR(__xludf.DUMMYFUNCTION("""COMPUTED_VALUE"""),1293.0)</f>
        <v>1293</v>
      </c>
      <c r="I135" s="2">
        <f>IFERROR(__xludf.DUMMYFUNCTION("""COMPUTED_VALUE"""),1436.78)</f>
        <v>1436.78</v>
      </c>
      <c r="J135" s="2">
        <f>IFERROR(__xludf.DUMMYFUNCTION("""COMPUTED_VALUE"""),718.0)</f>
        <v>718</v>
      </c>
      <c r="K135" s="2">
        <f>IFERROR(__xludf.DUMMYFUNCTION("""COMPUTED_VALUE"""),5.0)</f>
        <v>5</v>
      </c>
      <c r="L135" s="2" t="str">
        <f>IFERROR(__xludf.DUMMYFUNCTION("""COMPUTED_VALUE"""),"Rexant")</f>
        <v>Rexant</v>
      </c>
      <c r="M135" s="2" t="str">
        <f>IFERROR(__xludf.DUMMYFUNCTION("""COMPUTED_VALUE"""),"Прочие товары")</f>
        <v>Прочие товары</v>
      </c>
    </row>
    <row r="136">
      <c r="A136" s="5" t="str">
        <f>IFERROR(__xludf.DUMMYFUNCTION("""COMPUTED_VALUE"""),"4690612042701-1")</f>
        <v>4690612042701-1</v>
      </c>
      <c r="B136" s="5" t="str">
        <f>IFERROR(__xludf.DUMMYFUNCTION("""COMPUTED_VALUE"""),"ДВО-01 3640-ПРИЗМА 36 Вт 230В 4000K 3600Лм 180х1195х19мм NEOX (в индивидуальной упаковке)")</f>
        <v>ДВО-01 3640-ПРИЗМА 36 Вт 230В 4000K 3600Лм 180х1195х19мм NEOX (в индивидуальной упаковке)</v>
      </c>
      <c r="C136" s="2">
        <f>IFERROR(__xludf.DUMMYFUNCTION("""COMPUTED_VALUE"""),0.0)</f>
        <v>0</v>
      </c>
      <c r="D136" s="2">
        <f>IFERROR(__xludf.DUMMYFUNCTION("""COMPUTED_VALUE"""),0.0)</f>
        <v>0</v>
      </c>
      <c r="E136" s="2">
        <f>IFERROR(__xludf.DUMMYFUNCTION("""COMPUTED_VALUE"""),520.78)</f>
        <v>520.78</v>
      </c>
      <c r="F136" s="2">
        <f>IFERROR(__xludf.DUMMYFUNCTION("""COMPUTED_VALUE"""),571.0)</f>
        <v>571</v>
      </c>
      <c r="G136" s="2">
        <f>IFERROR(__xludf.DUMMYFUNCTION("""COMPUTED_VALUE"""),750.0)</f>
        <v>750</v>
      </c>
      <c r="H136" s="2">
        <f>IFERROR(__xludf.DUMMYFUNCTION("""COMPUTED_VALUE"""),843.0)</f>
        <v>843</v>
      </c>
      <c r="I136" s="2">
        <f>IFERROR(__xludf.DUMMYFUNCTION("""COMPUTED_VALUE"""),937.0)</f>
        <v>937</v>
      </c>
      <c r="J136" s="2">
        <f>IFERROR(__xludf.DUMMYFUNCTION("""COMPUTED_VALUE"""),469.0)</f>
        <v>469</v>
      </c>
      <c r="K136" s="2">
        <f>IFERROR(__xludf.DUMMYFUNCTION("""COMPUTED_VALUE"""),19.0)</f>
        <v>19</v>
      </c>
      <c r="L136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136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137">
      <c r="A137" s="5" t="str">
        <f>IFERROR(__xludf.DUMMYFUNCTION("""COMPUTED_VALUE"""),"11700049")</f>
        <v>11700049</v>
      </c>
      <c r="B137" s="5" t="str">
        <f>IFERROR(__xludf.DUMMYFUNCTION("""COMPUTED_VALUE"""),"SLL - LEVEL 01-P5070 L1000 4000К 25Вт")</f>
        <v>SLL - LEVEL 01-P5070 L1000 4000К 25Вт</v>
      </c>
      <c r="C137" s="2">
        <f>IFERROR(__xludf.DUMMYFUNCTION("""COMPUTED_VALUE"""),0.0)</f>
        <v>0</v>
      </c>
      <c r="D137" s="2">
        <f>IFERROR(__xludf.DUMMYFUNCTION("""COMPUTED_VALUE"""),0.00431)</f>
        <v>0.00431</v>
      </c>
      <c r="E137" s="2">
        <f>IFERROR(__xludf.DUMMYFUNCTION("""COMPUTED_VALUE"""),1.0)</f>
        <v>1</v>
      </c>
      <c r="F137" s="2">
        <f>IFERROR(__xludf.DUMMYFUNCTION("""COMPUTED_VALUE"""),5470.0)</f>
        <v>5470</v>
      </c>
      <c r="G137" s="2">
        <f>IFERROR(__xludf.DUMMYFUNCTION("""COMPUTED_VALUE"""),6120.0)</f>
        <v>6120</v>
      </c>
      <c r="H137" s="2">
        <f>IFERROR(__xludf.DUMMYFUNCTION("""COMPUTED_VALUE"""),6885.0)</f>
        <v>6885</v>
      </c>
      <c r="I137" s="2">
        <f>IFERROR(__xludf.DUMMYFUNCTION("""COMPUTED_VALUE"""),7650.0)</f>
        <v>7650</v>
      </c>
      <c r="J137" s="2">
        <f>IFERROR(__xludf.DUMMYFUNCTION("""COMPUTED_VALUE"""),3825.0)</f>
        <v>3825</v>
      </c>
      <c r="K137" s="2">
        <f>IFERROR(__xludf.DUMMYFUNCTION("""COMPUTED_VALUE"""),1.0)</f>
        <v>1</v>
      </c>
      <c r="L137" s="2" t="str">
        <f>IFERROR(__xludf.DUMMYFUNCTION("""COMPUTED_VALUE"""),"LEDOS Офисное освещение")</f>
        <v>LEDOS Офисное освещение</v>
      </c>
      <c r="M137" s="2" t="str">
        <f>IFERROR(__xludf.DUMMYFUNCTION("""COMPUTED_VALUE"""),"Декоративные, LED Светильники")</f>
        <v>Декоративные, LED Светильники</v>
      </c>
    </row>
    <row r="138">
      <c r="A138" s="5" t="str">
        <f>IFERROR(__xludf.DUMMYFUNCTION("""COMPUTED_VALUE"""),"R100344-2")</f>
        <v>R100344-2</v>
      </c>
      <c r="B138" s="5" t="str">
        <f>IFERROR(__xludf.DUMMYFUNCTION("""COMPUTED_VALUE"""),"RSV-SPO-02-40W-6500К, IP40 P (2 штуки в упаковке)")</f>
        <v>RSV-SPO-02-40W-6500К, IP40 P (2 штуки в упаковке)</v>
      </c>
      <c r="C138" s="2">
        <f>IFERROR(__xludf.DUMMYFUNCTION("""COMPUTED_VALUE"""),0.42)</f>
        <v>0.42</v>
      </c>
      <c r="D138" s="2">
        <f>IFERROR(__xludf.DUMMYFUNCTION("""COMPUTED_VALUE"""),0.0)</f>
        <v>0</v>
      </c>
      <c r="E138" s="2">
        <f>IFERROR(__xludf.DUMMYFUNCTION("""COMPUTED_VALUE"""),430.04)</f>
        <v>430.04</v>
      </c>
      <c r="F138" s="2">
        <f>IFERROR(__xludf.DUMMYFUNCTION("""COMPUTED_VALUE"""),581.0)</f>
        <v>581</v>
      </c>
      <c r="G138" s="2">
        <f>IFERROR(__xludf.DUMMYFUNCTION("""COMPUTED_VALUE"""),619.0)</f>
        <v>619</v>
      </c>
      <c r="H138" s="2">
        <f>IFERROR(__xludf.DUMMYFUNCTION("""COMPUTED_VALUE"""),697.0)</f>
        <v>697</v>
      </c>
      <c r="I138" s="2">
        <f>IFERROR(__xludf.DUMMYFUNCTION("""COMPUTED_VALUE"""),774.0)</f>
        <v>774</v>
      </c>
      <c r="J138" s="2">
        <f>IFERROR(__xludf.DUMMYFUNCTION("""COMPUTED_VALUE"""),387.0)</f>
        <v>387</v>
      </c>
      <c r="K138" s="2">
        <f>IFERROR(__xludf.DUMMYFUNCTION("""COMPUTED_VALUE"""),7.0)</f>
        <v>7</v>
      </c>
      <c r="L138" s="2" t="str">
        <f>IFERROR(__xludf.DUMMYFUNCTION("""COMPUTED_VALUE"""),"RSV-SPO Светильники Производство, упаковка (2 и 3 штуки)")</f>
        <v>RSV-SPO Светильники Производство, упаковка (2 и 3 штуки)</v>
      </c>
      <c r="M138" s="2" t="str">
        <f>IFERROR(__xludf.DUMMYFUNCTION("""COMPUTED_VALUE"""),"Пластиковые (линейные), Светильники общего назначения (LED), Накладные, Линейные (проходные), LED Светильники")</f>
        <v>Пластиковые (линейные), Светильники общего назначения (LED), Накладные, Линейные (проходные), LED Светильники</v>
      </c>
    </row>
    <row r="139">
      <c r="A139" s="5" t="str">
        <f>IFERROR(__xludf.DUMMYFUNCTION("""COMPUTED_VALUE"""),"4690612008066-10")</f>
        <v>4690612008066-10</v>
      </c>
      <c r="B139" s="5" t="str">
        <f>IFERROR(__xludf.DUMMYFUNCTION("""COMPUTED_VALUE"""),"10 шт. Лампа LED-A60-deco 9Вт 230В Е27 3000К 1040Лм прозрачная IN HOME (Комплект 10 шт)")</f>
        <v>10 шт. Лампа LED-A60-deco 9Вт 230В Е27 3000К 1040Лм прозрачная IN HOME (Комплект 10 шт)</v>
      </c>
      <c r="C139" s="2">
        <f>IFERROR(__xludf.DUMMYFUNCTION("""COMPUTED_VALUE"""),0.04)</f>
        <v>0.04</v>
      </c>
      <c r="D139" s="2">
        <f>IFERROR(__xludf.DUMMYFUNCTION("""COMPUTED_VALUE"""),0.0028)</f>
        <v>0.0028</v>
      </c>
      <c r="E139" s="2">
        <f>IFERROR(__xludf.DUMMYFUNCTION("""COMPUTED_VALUE"""),820.0)</f>
        <v>820</v>
      </c>
      <c r="F139" s="2">
        <f>IFERROR(__xludf.DUMMYFUNCTION("""COMPUTED_VALUE"""),900.0)</f>
        <v>900</v>
      </c>
      <c r="G139" s="2">
        <f>IFERROR(__xludf.DUMMYFUNCTION("""COMPUTED_VALUE"""),1181.0)</f>
        <v>1181</v>
      </c>
      <c r="H139" s="2">
        <f>IFERROR(__xludf.DUMMYFUNCTION("""COMPUTED_VALUE"""),1328.0)</f>
        <v>1328</v>
      </c>
      <c r="I139" s="2">
        <f>IFERROR(__xludf.DUMMYFUNCTION("""COMPUTED_VALUE"""),1476.0)</f>
        <v>1476</v>
      </c>
      <c r="J139" s="2">
        <f>IFERROR(__xludf.DUMMYFUNCTION("""COMPUTED_VALUE"""),738.0)</f>
        <v>738</v>
      </c>
      <c r="K139" s="2">
        <f>IFERROR(__xludf.DUMMYFUNCTION("""COMPUTED_VALUE"""),1.0)</f>
        <v>1</v>
      </c>
      <c r="L139" s="2" t="str">
        <f>IFERROR(__xludf.DUMMYFUNCTION("""COMPUTED_VALUE"""),"Лампы производство, упаковка")</f>
        <v>Лампы производство, упаковка</v>
      </c>
      <c r="M139" s="2" t="str">
        <f>IFERROR(__xludf.DUMMYFUNCTION("""COMPUTED_VALUE"""),"Лампы")</f>
        <v>Лампы</v>
      </c>
    </row>
    <row r="140">
      <c r="A140" s="5" t="str">
        <f>IFERROR(__xludf.DUMMYFUNCTION("""COMPUTED_VALUE"""),"R100488")</f>
        <v>R100488</v>
      </c>
      <c r="B140" s="5" t="str">
        <f>IFERROR(__xludf.DUMMYFUNCTION("""COMPUTED_VALUE"""),"RSV-A60-11W-3000K-E27 P")</f>
        <v>RSV-A60-11W-3000K-E27 P</v>
      </c>
      <c r="C140" s="2">
        <f>IFERROR(__xludf.DUMMYFUNCTION("""COMPUTED_VALUE"""),0.05350000000000001)</f>
        <v>0.0535</v>
      </c>
      <c r="D140" s="2">
        <f>IFERROR(__xludf.DUMMYFUNCTION("""COMPUTED_VALUE"""),5.0E-4)</f>
        <v>0.0005</v>
      </c>
      <c r="E140" s="2">
        <f>IFERROR(__xludf.DUMMYFUNCTION("""COMPUTED_VALUE"""),47.73)</f>
        <v>47.73</v>
      </c>
      <c r="F140" s="2">
        <f>IFERROR(__xludf.DUMMYFUNCTION("""COMPUTED_VALUE"""),66.0)</f>
        <v>66</v>
      </c>
      <c r="G140" s="2">
        <f>IFERROR(__xludf.DUMMYFUNCTION("""COMPUTED_VALUE"""),70.0)</f>
        <v>70</v>
      </c>
      <c r="H140" s="2">
        <f>IFERROR(__xludf.DUMMYFUNCTION("""COMPUTED_VALUE"""),79.0)</f>
        <v>79</v>
      </c>
      <c r="I140" s="2">
        <f>IFERROR(__xludf.DUMMYFUNCTION("""COMPUTED_VALUE"""),88.10000000000001)</f>
        <v>88.1</v>
      </c>
      <c r="J140" s="2">
        <f>IFERROR(__xludf.DUMMYFUNCTION("""COMPUTED_VALUE"""),44.0)</f>
        <v>44</v>
      </c>
      <c r="K140" s="2">
        <f>IFERROR(__xludf.DUMMYFUNCTION("""COMPUTED_VALUE"""),3.0)</f>
        <v>3</v>
      </c>
      <c r="L140" s="2" t="str">
        <f>IFERROR(__xludf.DUMMYFUNCTION("""COMPUTED_VALUE"""),"Светодиодные лампы A60")</f>
        <v>Светодиодные лампы A60</v>
      </c>
      <c r="M140" s="2" t="str">
        <f>IFERROR(__xludf.DUMMYFUNCTION("""COMPUTED_VALUE"""),"Лампы")</f>
        <v>Лампы</v>
      </c>
    </row>
    <row r="141">
      <c r="A141" s="5" t="str">
        <f>IFERROR(__xludf.DUMMYFUNCTION("""COMPUTED_VALUE"""),"4690612010212")</f>
        <v>4690612010212</v>
      </c>
      <c r="B141" s="5" t="str">
        <f>IFERROR(__xludf.DUMMYFUNCTION("""COMPUTED_VALUE"""),"РШ/ВШ 32А 250В пластиковый встраиваемый белый 9133 IN HOME")</f>
        <v>РШ/ВШ 32А 250В пластиковый встраиваемый белый 9133 IN HOME</v>
      </c>
      <c r="C141" s="2">
        <f>IFERROR(__xludf.DUMMYFUNCTION("""COMPUTED_VALUE"""),0.16389)</f>
        <v>0.16389</v>
      </c>
      <c r="D141" s="2">
        <f>IFERROR(__xludf.DUMMYFUNCTION("""COMPUTED_VALUE"""),5.600000000000001E-4)</f>
        <v>0.00056</v>
      </c>
      <c r="E141" s="2">
        <f>IFERROR(__xludf.DUMMYFUNCTION("""COMPUTED_VALUE"""),126.98)</f>
        <v>126.98</v>
      </c>
      <c r="F141" s="2">
        <f>IFERROR(__xludf.DUMMYFUNCTION("""COMPUTED_VALUE"""),169.0)</f>
        <v>169</v>
      </c>
      <c r="G141" s="2">
        <f>IFERROR(__xludf.DUMMYFUNCTION("""COMPUTED_VALUE"""),190.0)</f>
        <v>190</v>
      </c>
      <c r="H141" s="2">
        <f>IFERROR(__xludf.DUMMYFUNCTION("""COMPUTED_VALUE"""),220.0)</f>
        <v>220</v>
      </c>
      <c r="I141" s="2">
        <f>IFERROR(__xludf.DUMMYFUNCTION("""COMPUTED_VALUE"""),253.0)</f>
        <v>253</v>
      </c>
      <c r="J141" s="2">
        <f>IFERROR(__xludf.DUMMYFUNCTION("""COMPUTED_VALUE"""),127.0)</f>
        <v>127</v>
      </c>
      <c r="K141" s="2">
        <f>IFERROR(__xludf.DUMMYFUNCTION("""COMPUTED_VALUE"""),4.0)</f>
        <v>4</v>
      </c>
      <c r="L141" s="2" t="str">
        <f>IFERROR(__xludf.DUMMYFUNCTION("""COMPUTED_VALUE"""),"Розетки, вилки и колодки")</f>
        <v>Розетки, вилки и колодки</v>
      </c>
      <c r="M141" s="2" t="str">
        <f>IFERROR(__xludf.DUMMYFUNCTION("""COMPUTED_VALUE"""),"Прочие товары")</f>
        <v>Прочие товары</v>
      </c>
    </row>
    <row r="142">
      <c r="A142" s="5" t="str">
        <f>IFERROR(__xludf.DUMMYFUNCTION("""COMPUTED_VALUE"""),"4690612055381")</f>
        <v>4690612055381</v>
      </c>
      <c r="B142" s="5" t="str">
        <f>IFERROR(__xludf.DUMMYFUNCTION("""COMPUTED_VALUE"""),"Светильник сд ДПО-110 ПРИЗМА 50Вт 6500К 1200мм IP40 NEOX")</f>
        <v>Светильник сд ДПО-110 ПРИЗМА 50Вт 6500К 1200мм IP40 NEOX</v>
      </c>
      <c r="C142" s="2">
        <f>IFERROR(__xludf.DUMMYFUNCTION("""COMPUTED_VALUE"""),0.32)</f>
        <v>0.32</v>
      </c>
      <c r="D142" s="2">
        <f>IFERROR(__xludf.DUMMYFUNCTION("""COMPUTED_VALUE"""),0.00205)</f>
        <v>0.00205</v>
      </c>
      <c r="E142" s="2">
        <f>IFERROR(__xludf.DUMMYFUNCTION("""COMPUTED_VALUE"""),280.2)</f>
        <v>280.2</v>
      </c>
      <c r="F142" s="2">
        <f>IFERROR(__xludf.DUMMYFUNCTION("""COMPUTED_VALUE"""),419.0)</f>
        <v>419</v>
      </c>
      <c r="G142" s="2">
        <f>IFERROR(__xludf.DUMMYFUNCTION("""COMPUTED_VALUE"""),471.0)</f>
        <v>471</v>
      </c>
      <c r="H142" s="2">
        <f>IFERROR(__xludf.DUMMYFUNCTION("""COMPUTED_VALUE"""),546.0)</f>
        <v>546</v>
      </c>
      <c r="I142" s="2">
        <f>IFERROR(__xludf.DUMMYFUNCTION("""COMPUTED_VALUE"""),628.0)</f>
        <v>628</v>
      </c>
      <c r="J142" s="2">
        <f>IFERROR(__xludf.DUMMYFUNCTION("""COMPUTED_VALUE"""),314.0)</f>
        <v>314</v>
      </c>
      <c r="K142" s="2">
        <f>IFERROR(__xludf.DUMMYFUNCTION("""COMPUTED_VALUE"""),35.0)</f>
        <v>35</v>
      </c>
      <c r="L142" s="2" t="str">
        <f>IFERROR(__xludf.DUMMYFUNCTION("""COMPUTED_VALUE"""),"NEOX Светильники LED ДПО")</f>
        <v>NEOX Светильники LED ДПО</v>
      </c>
      <c r="M142" s="2" t="str">
        <f>IFERROR(__xludf.DUMMYFUNCTION("""COMPUTED_VALUE"""),"Пластиковые (линейные), Накладные, Для ЖКХ, дома, дачи, LED Светильники")</f>
        <v>Пластиковые (линейные), Накладные, Для ЖКХ, дома, дачи, LED Светильники</v>
      </c>
    </row>
    <row r="143">
      <c r="A143" s="5" t="str">
        <f>IFERROR(__xludf.DUMMYFUNCTION("""COMPUTED_VALUE"""),"R100721")</f>
        <v>R100721</v>
      </c>
      <c r="B143" s="5" t="str">
        <f>IFERROR(__xludf.DUMMYFUNCTION("""COMPUTED_VALUE"""),"RSV-SFL-3-400W-6500K-IP65")</f>
        <v>RSV-SFL-3-400W-6500K-IP65</v>
      </c>
      <c r="C143" s="2">
        <f>IFERROR(__xludf.DUMMYFUNCTION("""COMPUTED_VALUE"""),2.7)</f>
        <v>2.7</v>
      </c>
      <c r="D143" s="2">
        <f>IFERROR(__xludf.DUMMYFUNCTION("""COMPUTED_VALUE"""),0.0057)</f>
        <v>0.0057</v>
      </c>
      <c r="E143" s="2">
        <f>IFERROR(__xludf.DUMMYFUNCTION("""COMPUTED_VALUE"""),4055.15)</f>
        <v>4055.15</v>
      </c>
      <c r="F143" s="2">
        <f>IFERROR(__xludf.DUMMYFUNCTION("""COMPUTED_VALUE"""),1497.0)</f>
        <v>1497</v>
      </c>
      <c r="G143" s="2">
        <f>IFERROR(__xludf.DUMMYFUNCTION("""COMPUTED_VALUE"""),1762.0)</f>
        <v>1762</v>
      </c>
      <c r="H143" s="2">
        <f>IFERROR(__xludf.DUMMYFUNCTION("""COMPUTED_VALUE"""),1815.0)</f>
        <v>1815</v>
      </c>
      <c r="I143" s="2">
        <f>IFERROR(__xludf.DUMMYFUNCTION("""COMPUTED_VALUE"""),2087.0)</f>
        <v>2087</v>
      </c>
      <c r="J143" s="2">
        <f>IFERROR(__xludf.DUMMYFUNCTION("""COMPUTED_VALUE"""),1044.0)</f>
        <v>1044</v>
      </c>
      <c r="K143" s="2">
        <f>IFERROR(__xludf.DUMMYFUNCTION("""COMPUTED_VALUE"""),4.0)</f>
        <v>4</v>
      </c>
      <c r="L143" s="2" t="str">
        <f>IFERROR(__xludf.DUMMYFUNCTION("""COMPUTED_VALUE"""),"Прожекторы RSV-SFL-3")</f>
        <v>Прожекторы RSV-SFL-3</v>
      </c>
      <c r="M143" s="2" t="str">
        <f>IFERROR(__xludf.DUMMYFUNCTION("""COMPUTED_VALUE"""),"Прожекторы (LED), Профессиональные, LED Светильники")</f>
        <v>Прожекторы (LED), Профессиональные, LED Светильники</v>
      </c>
    </row>
    <row r="144">
      <c r="A144" s="5" t="str">
        <f>IFERROR(__xludf.DUMMYFUNCTION("""COMPUTED_VALUE"""),"4690612029368")</f>
        <v>4690612029368</v>
      </c>
      <c r="B144" s="5" t="str">
        <f>IFERROR(__xludf.DUMMYFUNCTION("""COMPUTED_VALUE"""),"Коннектор шинопровода угловой AC-W-TL белый серии TOP-LINE IN HOME")</f>
        <v>Коннектор шинопровода угловой AC-W-TL белый серии TOP-LINE IN HOME</v>
      </c>
      <c r="C144" s="2">
        <f>IFERROR(__xludf.DUMMYFUNCTION("""COMPUTED_VALUE"""),0.0288)</f>
        <v>0.0288</v>
      </c>
      <c r="D144" s="2">
        <f>IFERROR(__xludf.DUMMYFUNCTION("""COMPUTED_VALUE"""),6.000000000000001E-5)</f>
        <v>0.00006</v>
      </c>
      <c r="E144" s="2">
        <f>IFERROR(__xludf.DUMMYFUNCTION("""COMPUTED_VALUE"""),45.0)</f>
        <v>45</v>
      </c>
      <c r="F144" s="2">
        <f>IFERROR(__xludf.DUMMYFUNCTION("""COMPUTED_VALUE"""),65.0)</f>
        <v>65</v>
      </c>
      <c r="G144" s="2">
        <f>IFERROR(__xludf.DUMMYFUNCTION("""COMPUTED_VALUE"""),73.0)</f>
        <v>73</v>
      </c>
      <c r="H144" s="2">
        <f>IFERROR(__xludf.DUMMYFUNCTION("""COMPUTED_VALUE"""),84.0)</f>
        <v>84</v>
      </c>
      <c r="I144" s="2">
        <f>IFERROR(__xludf.DUMMYFUNCTION("""COMPUTED_VALUE"""),97.0)</f>
        <v>97</v>
      </c>
      <c r="J144" s="2">
        <f>IFERROR(__xludf.DUMMYFUNCTION("""COMPUTED_VALUE"""),49.0)</f>
        <v>49</v>
      </c>
      <c r="K144" s="2">
        <f>IFERROR(__xludf.DUMMYFUNCTION("""COMPUTED_VALUE"""),1.0)</f>
        <v>1</v>
      </c>
      <c r="L144" s="2" t="str">
        <f>IFERROR(__xludf.DUMMYFUNCTION("""COMPUTED_VALUE"""),"Шинопровод и комплектующие")</f>
        <v>Шинопровод и комплектующие</v>
      </c>
      <c r="M144" s="2" t="str">
        <f>IFERROR(__xludf.DUMMYFUNCTION("""COMPUTED_VALUE"""),"Прочие товары")</f>
        <v>Прочие товары</v>
      </c>
    </row>
    <row r="145">
      <c r="A145" s="5" t="str">
        <f>IFERROR(__xludf.DUMMYFUNCTION("""COMPUTED_VALUE"""),"GL51211")</f>
        <v>GL51211</v>
      </c>
      <c r="B145" s="5" t="str">
        <f>IFERROR(__xludf.DUMMYFUNCTION("""COMPUTED_VALUE"""),"GLERIO Practical 48 Вт 5000К 6A-48D-5K+")</f>
        <v>GLERIO Practical 48 Вт 5000К 6A-48D-5K+</v>
      </c>
      <c r="C145" s="2">
        <f>IFERROR(__xludf.DUMMYFUNCTION("""COMPUTED_VALUE"""),1.0)</f>
        <v>1</v>
      </c>
      <c r="D145" s="2">
        <f>IFERROR(__xludf.DUMMYFUNCTION("""COMPUTED_VALUE"""),0.0033)</f>
        <v>0.0033</v>
      </c>
      <c r="E145" s="2">
        <f>IFERROR(__xludf.DUMMYFUNCTION("""COMPUTED_VALUE"""),1746.0)</f>
        <v>1746</v>
      </c>
      <c r="F145" s="2">
        <f>IFERROR(__xludf.DUMMYFUNCTION("""COMPUTED_VALUE"""),2000.0)</f>
        <v>2000</v>
      </c>
      <c r="G145" s="2">
        <f>IFERROR(__xludf.DUMMYFUNCTION("""COMPUTED_VALUE"""),2500.0)</f>
        <v>2500</v>
      </c>
      <c r="H145" s="2">
        <f>IFERROR(__xludf.DUMMYFUNCTION("""COMPUTED_VALUE"""),2813.0)</f>
        <v>2813</v>
      </c>
      <c r="I145" s="2">
        <f>IFERROR(__xludf.DUMMYFUNCTION("""COMPUTED_VALUE"""),3125.0)</f>
        <v>3125</v>
      </c>
      <c r="J145" s="2">
        <f>IFERROR(__xludf.DUMMYFUNCTION("""COMPUTED_VALUE"""),3125.0)</f>
        <v>3125</v>
      </c>
      <c r="K145" s="2">
        <f>IFERROR(__xludf.DUMMYFUNCTION("""COMPUTED_VALUE"""),10.0)</f>
        <v>10</v>
      </c>
      <c r="L145" s="2" t="str">
        <f>IFERROR(__xludf.DUMMYFUNCTION("""COMPUTED_VALUE"""),"Practical+ Уличные GLERIO")</f>
        <v>Practical+ Уличные GLERIO</v>
      </c>
      <c r="M145" s="2" t="str">
        <f>IFERROR(__xludf.DUMMYFUNCTION("""COMPUTED_VALUE"""),"Для обычных дорог, LED Светильники")</f>
        <v>Для обычных дорог, LED Светильники</v>
      </c>
    </row>
    <row r="146">
      <c r="A146" s="5" t="str">
        <f>IFERROR(__xludf.DUMMYFUNCTION("""COMPUTED_VALUE"""),"4690612015132")</f>
        <v>4690612015132</v>
      </c>
      <c r="B146" s="5" t="str">
        <f>IFERROR(__xludf.DUMMYFUNCTION("""COMPUTED_VALUE"""),"NL04-BW Медведь с датчиком освещения 230В БЕЛЫЙ IN HOME")</f>
        <v>NL04-BW Медведь с датчиком освещения 230В БЕЛЫЙ IN HOME</v>
      </c>
      <c r="C146" s="2">
        <f>IFERROR(__xludf.DUMMYFUNCTION("""COMPUTED_VALUE"""),0.10292)</f>
        <v>0.10292</v>
      </c>
      <c r="D146" s="2">
        <f>IFERROR(__xludf.DUMMYFUNCTION("""COMPUTED_VALUE"""),0.00217)</f>
        <v>0.00217</v>
      </c>
      <c r="E146" s="2">
        <f>IFERROR(__xludf.DUMMYFUNCTION("""COMPUTED_VALUE"""),91.69)</f>
        <v>91.69</v>
      </c>
      <c r="F146" s="2">
        <f>IFERROR(__xludf.DUMMYFUNCTION("""COMPUTED_VALUE"""),390.0)</f>
        <v>390</v>
      </c>
      <c r="G146" s="2">
        <f>IFERROR(__xludf.DUMMYFUNCTION("""COMPUTED_VALUE"""),439.0)</f>
        <v>439</v>
      </c>
      <c r="H146" s="2">
        <f>IFERROR(__xludf.DUMMYFUNCTION("""COMPUTED_VALUE"""),509.0)</f>
        <v>509</v>
      </c>
      <c r="I146" s="2">
        <f>IFERROR(__xludf.DUMMYFUNCTION("""COMPUTED_VALUE"""),585.0)</f>
        <v>585</v>
      </c>
      <c r="J146" s="2">
        <f>IFERROR(__xludf.DUMMYFUNCTION("""COMPUTED_VALUE"""),92.0)</f>
        <v>92</v>
      </c>
      <c r="K146" s="2">
        <f>IFERROR(__xludf.DUMMYFUNCTION("""COMPUTED_VALUE"""),1.0)</f>
        <v>1</v>
      </c>
      <c r="L146" s="2" t="str">
        <f>IFERROR(__xludf.DUMMYFUNCTION("""COMPUTED_VALUE"""),"Светильники ночники")</f>
        <v>Светильники ночники</v>
      </c>
      <c r="M146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147">
      <c r="A147" s="5" t="str">
        <f>IFERROR(__xludf.DUMMYFUNCTION("""COMPUTED_VALUE"""),"00894")</f>
        <v>00894</v>
      </c>
      <c r="B147" s="5" t="str">
        <f>IFERROR(__xludf.DUMMYFUNCTION("""COMPUTED_VALUE"""),"Кабельный гермоввод PG 13.5")</f>
        <v>Кабельный гермоввод PG 13.5</v>
      </c>
      <c r="C147" s="2">
        <f>IFERROR(__xludf.DUMMYFUNCTION("""COMPUTED_VALUE"""),0.0)</f>
        <v>0</v>
      </c>
      <c r="D147" s="2">
        <f>IFERROR(__xludf.DUMMYFUNCTION("""COMPUTED_VALUE"""),0.0)</f>
        <v>0</v>
      </c>
      <c r="E147" s="2">
        <f>IFERROR(__xludf.DUMMYFUNCTION("""COMPUTED_VALUE"""),8.0)</f>
        <v>8</v>
      </c>
      <c r="F147" s="2">
        <f>IFERROR(__xludf.DUMMYFUNCTION("""COMPUTED_VALUE"""),46.0)</f>
        <v>46</v>
      </c>
      <c r="G147" s="2">
        <f>IFERROR(__xludf.DUMMYFUNCTION("""COMPUTED_VALUE"""),52.0)</f>
        <v>52</v>
      </c>
      <c r="H147" s="2">
        <f>IFERROR(__xludf.DUMMYFUNCTION("""COMPUTED_VALUE"""),53.0)</f>
        <v>53</v>
      </c>
      <c r="I147" s="2">
        <f>IFERROR(__xludf.DUMMYFUNCTION("""COMPUTED_VALUE"""),65.0)</f>
        <v>65</v>
      </c>
      <c r="J147" s="2">
        <f>IFERROR(__xludf.DUMMYFUNCTION("""COMPUTED_VALUE"""),33.0)</f>
        <v>33</v>
      </c>
      <c r="K147" s="2">
        <f>IFERROR(__xludf.DUMMYFUNCTION("""COMPUTED_VALUE"""),4.0)</f>
        <v>4</v>
      </c>
      <c r="L147" s="2" t="str">
        <f>IFERROR(__xludf.DUMMYFUNCTION("""COMPUTED_VALUE"""),"Комплектующие и аксессуары")</f>
        <v>Комплектующие и аксессуары</v>
      </c>
      <c r="M147" s="2" t="str">
        <f>IFERROR(__xludf.DUMMYFUNCTION("""COMPUTED_VALUE"""),"Прочие товары")</f>
        <v>Прочие товары</v>
      </c>
    </row>
    <row r="148">
      <c r="A148" s="5" t="str">
        <f>IFERROR(__xludf.DUMMYFUNCTION("""COMPUTED_VALUE"""),"4690612029405")</f>
        <v>4690612029405</v>
      </c>
      <c r="B148" s="5" t="str">
        <f>IFERROR(__xludf.DUMMYFUNCTION("""COMPUTED_VALUE"""),"Ввод питания шинопровода P-W-TL белый серии TOP-LINE IN HOME")</f>
        <v>Ввод питания шинопровода P-W-TL белый серии TOP-LINE IN HOME</v>
      </c>
      <c r="C148" s="2">
        <f>IFERROR(__xludf.DUMMYFUNCTION("""COMPUTED_VALUE"""),0.018)</f>
        <v>0.018</v>
      </c>
      <c r="D148" s="2">
        <f>IFERROR(__xludf.DUMMYFUNCTION("""COMPUTED_VALUE"""),3.0E-5)</f>
        <v>0.00003</v>
      </c>
      <c r="E148" s="2">
        <f>IFERROR(__xludf.DUMMYFUNCTION("""COMPUTED_VALUE"""),32.15)</f>
        <v>32.15</v>
      </c>
      <c r="F148" s="2">
        <f>IFERROR(__xludf.DUMMYFUNCTION("""COMPUTED_VALUE"""),33.0)</f>
        <v>33</v>
      </c>
      <c r="G148" s="2">
        <f>IFERROR(__xludf.DUMMYFUNCTION("""COMPUTED_VALUE"""),37.0)</f>
        <v>37</v>
      </c>
      <c r="H148" s="2">
        <f>IFERROR(__xludf.DUMMYFUNCTION("""COMPUTED_VALUE"""),43.0)</f>
        <v>43</v>
      </c>
      <c r="I148" s="2">
        <f>IFERROR(__xludf.DUMMYFUNCTION("""COMPUTED_VALUE"""),49.0)</f>
        <v>49</v>
      </c>
      <c r="J148" s="2">
        <f>IFERROR(__xludf.DUMMYFUNCTION("""COMPUTED_VALUE"""),25.0)</f>
        <v>25</v>
      </c>
      <c r="K148" s="2">
        <f>IFERROR(__xludf.DUMMYFUNCTION("""COMPUTED_VALUE"""),6.0)</f>
        <v>6</v>
      </c>
      <c r="L148" s="2" t="str">
        <f>IFERROR(__xludf.DUMMYFUNCTION("""COMPUTED_VALUE"""),"Шинопровод и комплектующие")</f>
        <v>Шинопровод и комплектующие</v>
      </c>
      <c r="M148" s="2" t="str">
        <f>IFERROR(__xludf.DUMMYFUNCTION("""COMPUTED_VALUE"""),"Прочие товары")</f>
        <v>Прочие товары</v>
      </c>
    </row>
    <row r="149">
      <c r="A149" s="5" t="str">
        <f>IFERROR(__xludf.DUMMYFUNCTION("""COMPUTED_VALUE"""),"4690612033617")</f>
        <v>4690612033617</v>
      </c>
      <c r="B149" s="5" t="str">
        <f>IFERROR(__xludf.DUMMYFUNCTION("""COMPUTED_VALUE"""),"DECO ДАЙМОНД 12Вт 230В 6500К 1080Лм 210х55мм IN HOME")</f>
        <v>DECO ДАЙМОНД 12Вт 230В 6500К 1080Лм 210х55мм IN HOME</v>
      </c>
      <c r="C149" s="2">
        <f>IFERROR(__xludf.DUMMYFUNCTION("""COMPUTED_VALUE"""),0.23)</f>
        <v>0.23</v>
      </c>
      <c r="D149" s="2">
        <f>IFERROR(__xludf.DUMMYFUNCTION("""COMPUTED_VALUE"""),0.0037)</f>
        <v>0.0037</v>
      </c>
      <c r="E149" s="2">
        <f>IFERROR(__xludf.DUMMYFUNCTION("""COMPUTED_VALUE"""),270.18)</f>
        <v>270.18</v>
      </c>
      <c r="F149" s="2">
        <f>IFERROR(__xludf.DUMMYFUNCTION("""COMPUTED_VALUE"""),307.0)</f>
        <v>307</v>
      </c>
      <c r="G149" s="2">
        <f>IFERROR(__xludf.DUMMYFUNCTION("""COMPUTED_VALUE"""),346.0)</f>
        <v>346</v>
      </c>
      <c r="H149" s="2">
        <f>IFERROR(__xludf.DUMMYFUNCTION("""COMPUTED_VALUE"""),401.0)</f>
        <v>401</v>
      </c>
      <c r="I149" s="2">
        <f>IFERROR(__xludf.DUMMYFUNCTION("""COMPUTED_VALUE"""),461.0)</f>
        <v>461</v>
      </c>
      <c r="J149" s="2">
        <f>IFERROR(__xludf.DUMMYFUNCTION("""COMPUTED_VALUE"""),231.0)</f>
        <v>231</v>
      </c>
      <c r="K149" s="2">
        <f>IFERROR(__xludf.DUMMYFUNCTION("""COMPUTED_VALUE"""),37.0)</f>
        <v>37</v>
      </c>
      <c r="L149" s="2" t="str">
        <f>IFERROR(__xludf.DUMMYFUNCTION("""COMPUTED_VALUE"""),"Светильник светодиодный серии DECO")</f>
        <v>Светильник светодиодный серии DECO</v>
      </c>
      <c r="M149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150">
      <c r="A150" s="5" t="str">
        <f>IFERROR(__xludf.DUMMYFUNCTION("""COMPUTED_VALUE"""),"4690612035437")</f>
        <v>4690612035437</v>
      </c>
      <c r="B150" s="5" t="str">
        <f>IFERROR(__xludf.DUMMYFUNCTION("""COMPUTED_VALUE"""),"ELEGANT ARIS-B 120Вт 230В 3000-6500K 8400Лм 590х590х130мм c пультом ДУ черный IN HOME")</f>
        <v>ELEGANT ARIS-B 120Вт 230В 3000-6500K 8400Лм 590х590х130мм c пультом ДУ черный IN HOME</v>
      </c>
      <c r="C150" s="2">
        <f>IFERROR(__xludf.DUMMYFUNCTION("""COMPUTED_VALUE"""),2.8)</f>
        <v>2.8</v>
      </c>
      <c r="D150" s="2">
        <f>IFERROR(__xludf.DUMMYFUNCTION("""COMPUTED_VALUE"""),0.012)</f>
        <v>0.012</v>
      </c>
      <c r="E150" s="2">
        <f>IFERROR(__xludf.DUMMYFUNCTION("""COMPUTED_VALUE"""),3697.19)</f>
        <v>3697.19</v>
      </c>
      <c r="F150" s="2">
        <f>IFERROR(__xludf.DUMMYFUNCTION("""COMPUTED_VALUE"""),3005.0)</f>
        <v>3005</v>
      </c>
      <c r="G150" s="2">
        <f>IFERROR(__xludf.DUMMYFUNCTION("""COMPUTED_VALUE"""),3381.0)</f>
        <v>3381</v>
      </c>
      <c r="H150" s="2">
        <f>IFERROR(__xludf.DUMMYFUNCTION("""COMPUTED_VALUE"""),3922.0)</f>
        <v>3922</v>
      </c>
      <c r="I150" s="2">
        <f>IFERROR(__xludf.DUMMYFUNCTION("""COMPUTED_VALUE"""),4508.0)</f>
        <v>4508</v>
      </c>
      <c r="J150" s="2">
        <f>IFERROR(__xludf.DUMMYFUNCTION("""COMPUTED_VALUE"""),2254.0)</f>
        <v>2254</v>
      </c>
      <c r="K150" s="2">
        <f>IFERROR(__xludf.DUMMYFUNCTION("""COMPUTED_VALUE"""),2.0)</f>
        <v>2</v>
      </c>
      <c r="L150" s="2" t="str">
        <f>IFERROR(__xludf.DUMMYFUNCTION("""COMPUTED_VALUE"""),"Светильники светодиодные серии ELEGANT IN HOME")</f>
        <v>Светильники светодиодные серии ELEGANT IN HOME</v>
      </c>
      <c r="M150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151">
      <c r="A151" s="5" t="str">
        <f>IFERROR(__xludf.DUMMYFUNCTION("""COMPUTED_VALUE"""),"SV0111-0002")</f>
        <v>SV0111-0002</v>
      </c>
      <c r="B151" s="5" t="str">
        <f>IFERROR(__xludf.DUMMYFUNCTION("""COMPUTED_VALUE"""),"Светильник НББ 01-60-001")</f>
        <v>Светильник НББ 01-60-001</v>
      </c>
      <c r="C151" s="2">
        <f>IFERROR(__xludf.DUMMYFUNCTION("""COMPUTED_VALUE"""),0.0)</f>
        <v>0</v>
      </c>
      <c r="D151" s="2">
        <f>IFERROR(__xludf.DUMMYFUNCTION("""COMPUTED_VALUE"""),0.0)</f>
        <v>0</v>
      </c>
      <c r="E151" s="2">
        <f>IFERROR(__xludf.DUMMYFUNCTION("""COMPUTED_VALUE"""),343.15)</f>
        <v>343.15</v>
      </c>
      <c r="F151" s="2">
        <f>IFERROR(__xludf.DUMMYFUNCTION("""COMPUTED_VALUE"""),630.0)</f>
        <v>630</v>
      </c>
      <c r="G151" s="2">
        <f>IFERROR(__xludf.DUMMYFUNCTION("""COMPUTED_VALUE"""),672.0)</f>
        <v>672</v>
      </c>
      <c r="H151" s="2">
        <f>IFERROR(__xludf.DUMMYFUNCTION("""COMPUTED_VALUE"""),756.0)</f>
        <v>756</v>
      </c>
      <c r="I151" s="2">
        <f>IFERROR(__xludf.DUMMYFUNCTION("""COMPUTED_VALUE"""),840.0)</f>
        <v>840</v>
      </c>
      <c r="J151" s="2">
        <f>IFERROR(__xludf.DUMMYFUNCTION("""COMPUTED_VALUE"""),343.0)</f>
        <v>343</v>
      </c>
      <c r="K151" s="2">
        <f>IFERROR(__xludf.DUMMYFUNCTION("""COMPUTED_VALUE"""),99.0)</f>
        <v>99</v>
      </c>
      <c r="L151" s="2" t="str">
        <f>IFERROR(__xludf.DUMMYFUNCTION("""COMPUTED_VALUE"""),"BRAS2 (тендер)")</f>
        <v>BRAS2 (тендер)</v>
      </c>
      <c r="M151" s="2" t="str">
        <f>IFERROR(__xludf.DUMMYFUNCTION("""COMPUTED_VALUE"""),"LED Светильники")</f>
        <v>LED Светильники</v>
      </c>
    </row>
    <row r="152">
      <c r="A152" s="5" t="str">
        <f>IFERROR(__xludf.DUMMYFUNCTION("""COMPUTED_VALUE"""),"GL8243")</f>
        <v>GL8243</v>
      </c>
      <c r="B152" s="5" t="str">
        <f>IFERROR(__xludf.DUMMYFUNCTION("""COMPUTED_VALUE"""),"GLERIO Line Shell 24 Вт 4000К 92P-24D-4P-K")</f>
        <v>GLERIO Line Shell 24 Вт 4000К 92P-24D-4P-K</v>
      </c>
      <c r="C152" s="2">
        <f>IFERROR(__xludf.DUMMYFUNCTION("""COMPUTED_VALUE"""),1.575)</f>
        <v>1.575</v>
      </c>
      <c r="D152" s="2">
        <f>IFERROR(__xludf.DUMMYFUNCTION("""COMPUTED_VALUE"""),0.00495)</f>
        <v>0.00495</v>
      </c>
      <c r="E152" s="2">
        <f>IFERROR(__xludf.DUMMYFUNCTION("""COMPUTED_VALUE"""),1669.91)</f>
        <v>1669.91</v>
      </c>
      <c r="F152" s="2">
        <f>IFERROR(__xludf.DUMMYFUNCTION("""COMPUTED_VALUE"""),2150.0)</f>
        <v>2150</v>
      </c>
      <c r="G152" s="2">
        <f>IFERROR(__xludf.DUMMYFUNCTION("""COMPUTED_VALUE"""),2707.0)</f>
        <v>2707</v>
      </c>
      <c r="H152" s="2">
        <f>IFERROR(__xludf.DUMMYFUNCTION("""COMPUTED_VALUE"""),3040.0)</f>
        <v>3040</v>
      </c>
      <c r="I152" s="2">
        <f>IFERROR(__xludf.DUMMYFUNCTION("""COMPUTED_VALUE"""),3373.0)</f>
        <v>3373</v>
      </c>
      <c r="J152" s="2">
        <f>IFERROR(__xludf.DUMMYFUNCTION("""COMPUTED_VALUE"""),1687.0)</f>
        <v>1687</v>
      </c>
      <c r="K152" s="2">
        <f>IFERROR(__xludf.DUMMYFUNCTION("""COMPUTED_VALUE"""),1.0)</f>
        <v>1</v>
      </c>
      <c r="L152" s="2" t="str">
        <f>IFERROR(__xludf.DUMMYFUNCTION("""COMPUTED_VALUE"""),"Line Shell, Free (Retail) до 10.2025")</f>
        <v>Line Shell, Free (Retail) до 10.2025</v>
      </c>
      <c r="M152" s="2" t="str">
        <f>IFERROR(__xludf.DUMMYFUNCTION("""COMPUTED_VALUE"""),"Металлические (линейные), LED Светильники")</f>
        <v>Металлические (линейные), LED Светильники</v>
      </c>
    </row>
    <row r="153">
      <c r="A153" s="5" t="str">
        <f>IFERROR(__xludf.DUMMYFUNCTION("""COMPUTED_VALUE"""),"4690612008455")</f>
        <v>4690612008455</v>
      </c>
      <c r="B153" s="5" t="str">
        <f>IFERROR(__xludf.DUMMYFUNCTION("""COMPUTED_VALUE"""),"GX53R-mini RC ультратонкий металл под лампу GX53 230В хром IN HOME")</f>
        <v>GX53R-mini RC ультратонкий металл под лампу GX53 230В хром IN HOME</v>
      </c>
      <c r="C153" s="2">
        <f>IFERROR(__xludf.DUMMYFUNCTION("""COMPUTED_VALUE"""),0.05300000000000001)</f>
        <v>0.053</v>
      </c>
      <c r="D153" s="2">
        <f>IFERROR(__xludf.DUMMYFUNCTION("""COMPUTED_VALUE"""),2.5E-4)</f>
        <v>0.00025</v>
      </c>
      <c r="E153" s="2">
        <f>IFERROR(__xludf.DUMMYFUNCTION("""COMPUTED_VALUE"""),48.6)</f>
        <v>48.6</v>
      </c>
      <c r="F153" s="2">
        <f>IFERROR(__xludf.DUMMYFUNCTION("""COMPUTED_VALUE"""),58.0)</f>
        <v>58</v>
      </c>
      <c r="G153" s="2">
        <f>IFERROR(__xludf.DUMMYFUNCTION("""COMPUTED_VALUE"""),65.0)</f>
        <v>65</v>
      </c>
      <c r="H153" s="2">
        <f>IFERROR(__xludf.DUMMYFUNCTION("""COMPUTED_VALUE"""),76.0)</f>
        <v>76</v>
      </c>
      <c r="I153" s="2">
        <f>IFERROR(__xludf.DUMMYFUNCTION("""COMPUTED_VALUE"""),87.0)</f>
        <v>87</v>
      </c>
      <c r="J153" s="2">
        <f>IFERROR(__xludf.DUMMYFUNCTION("""COMPUTED_VALUE"""),44.0)</f>
        <v>44</v>
      </c>
      <c r="K153" s="2">
        <f>IFERROR(__xludf.DUMMYFUNCTION("""COMPUTED_VALUE"""),16.0)</f>
        <v>16</v>
      </c>
      <c r="L153" s="2" t="str">
        <f>IFERROR(__xludf.DUMMYFUNCTION("""COMPUTED_VALUE"""),"Под лампу GX53")</f>
        <v>Под лампу GX53</v>
      </c>
      <c r="M153" s="2" t="str">
        <f>IFERROR(__xludf.DUMMYFUNCTION("""COMPUTED_VALUE"""),"Точечные круглые Downlight, Ламповые светильники")</f>
        <v>Точечные круглые Downlight, Ламповые светильники</v>
      </c>
    </row>
    <row r="154">
      <c r="A154" s="5" t="str">
        <f>IFERROR(__xludf.DUMMYFUNCTION("""COMPUTED_VALUE"""),"4690626005488")</f>
        <v>4690626005488</v>
      </c>
      <c r="B154" s="5" t="str">
        <f>IFERROR(__xludf.DUMMYFUNCTION("""COMPUTED_VALUE"""),"SBF-CL1-PL")</f>
        <v>SBF-CL1-PL</v>
      </c>
      <c r="C154" s="2">
        <f>IFERROR(__xludf.DUMMYFUNCTION("""COMPUTED_VALUE"""),0.09450000000000001)</f>
        <v>0.0945</v>
      </c>
      <c r="D154" s="2">
        <f>IFERROR(__xludf.DUMMYFUNCTION("""COMPUTED_VALUE"""),0.0)</f>
        <v>0</v>
      </c>
      <c r="E154" s="2">
        <f>IFERROR(__xludf.DUMMYFUNCTION("""COMPUTED_VALUE"""),32.9)</f>
        <v>32.9</v>
      </c>
      <c r="F154" s="2">
        <f>IFERROR(__xludf.DUMMYFUNCTION("""COMPUTED_VALUE"""),0.0)</f>
        <v>0</v>
      </c>
      <c r="G154" s="2">
        <f>IFERROR(__xludf.DUMMYFUNCTION("""COMPUTED_VALUE"""),0.0)</f>
        <v>0</v>
      </c>
      <c r="H154" s="2">
        <f>IFERROR(__xludf.DUMMYFUNCTION("""COMPUTED_VALUE"""),0.0)</f>
        <v>0</v>
      </c>
      <c r="I154" s="2">
        <f>IFERROR(__xludf.DUMMYFUNCTION("""COMPUTED_VALUE"""),0.0)</f>
        <v>0</v>
      </c>
      <c r="J154" s="2">
        <f>IFERROR(__xludf.DUMMYFUNCTION("""COMPUTED_VALUE"""),0.0)</f>
        <v>0</v>
      </c>
      <c r="K154" s="2">
        <f>IFERROR(__xludf.DUMMYFUNCTION("""COMPUTED_VALUE"""),200.0)</f>
        <v>200</v>
      </c>
      <c r="L154" s="2" t="str">
        <f>IFERROR(__xludf.DUMMYFUNCTION("""COMPUTED_VALUE"""),"Smartbuy фонари")</f>
        <v>Smartbuy фонари</v>
      </c>
      <c r="M154" s="2" t="str">
        <f>IFERROR(__xludf.DUMMYFUNCTION("""COMPUTED_VALUE"""),"Для ЖКХ, дома, дачи, Декоративные, Прочие товары")</f>
        <v>Для ЖКХ, дома, дачи, Декоративные, Прочие товары</v>
      </c>
    </row>
    <row r="155">
      <c r="A155" s="5" t="str">
        <f>IFERROR(__xludf.DUMMYFUNCTION("""COMPUTED_VALUE"""),"4690612030036")</f>
        <v>4690612030036</v>
      </c>
      <c r="B155" s="5" t="str">
        <f>IFERROR(__xludf.DUMMYFUNCTION("""COMPUTED_VALUE"""),"СДО-8 30Вт 230В 6500К 2850Лм IP65 IN HOME")</f>
        <v>СДО-8 30Вт 230В 6500К 2850Лм IP65 IN HOME</v>
      </c>
      <c r="C155" s="2">
        <f>IFERROR(__xludf.DUMMYFUNCTION("""COMPUTED_VALUE"""),0.47)</f>
        <v>0.47</v>
      </c>
      <c r="D155" s="2">
        <f>IFERROR(__xludf.DUMMYFUNCTION("""COMPUTED_VALUE"""),0.0012)</f>
        <v>0.0012</v>
      </c>
      <c r="E155" s="2">
        <f>IFERROR(__xludf.DUMMYFUNCTION("""COMPUTED_VALUE"""),297.47)</f>
        <v>297.47</v>
      </c>
      <c r="F155" s="2">
        <f>IFERROR(__xludf.DUMMYFUNCTION("""COMPUTED_VALUE"""),290.0)</f>
        <v>290</v>
      </c>
      <c r="G155" s="2">
        <f>IFERROR(__xludf.DUMMYFUNCTION("""COMPUTED_VALUE"""),326.0)</f>
        <v>326</v>
      </c>
      <c r="H155" s="2">
        <f>IFERROR(__xludf.DUMMYFUNCTION("""COMPUTED_VALUE"""),378.0)</f>
        <v>378</v>
      </c>
      <c r="I155" s="2">
        <f>IFERROR(__xludf.DUMMYFUNCTION("""COMPUTED_VALUE"""),435.0)</f>
        <v>435</v>
      </c>
      <c r="J155" s="2">
        <f>IFERROR(__xludf.DUMMYFUNCTION("""COMPUTED_VALUE"""),218.0)</f>
        <v>218</v>
      </c>
      <c r="K155" s="2">
        <f>IFERROR(__xludf.DUMMYFUNCTION("""COMPUTED_VALUE"""),65.0)</f>
        <v>65</v>
      </c>
      <c r="L155" s="2" t="str">
        <f>IFERROR(__xludf.DUMMYFUNCTION("""COMPUTED_VALUE"""),"Прожекторы светодиодные СДО-8")</f>
        <v>Прожекторы светодиодные СДО-8</v>
      </c>
      <c r="M155" s="2" t="str">
        <f>IFERROR(__xludf.DUMMYFUNCTION("""COMPUTED_VALUE"""),"Бытовые (недорогие), Без датчиков, LED Светильники")</f>
        <v>Бытовые (недорогие), Без датчиков, LED Светильники</v>
      </c>
    </row>
    <row r="156">
      <c r="A156" s="5" t="str">
        <f>IFERROR(__xludf.DUMMYFUNCTION("""COMPUTED_VALUE"""),"01S-50D-4U")</f>
        <v>01S-50D-4U</v>
      </c>
      <c r="B156" s="5" t="str">
        <f>IFERROR(__xludf.DUMMYFUNCTION("""COMPUTED_VALUE"""),"GLERIO Universal 50 Вт 01S-50D-4U")</f>
        <v>GLERIO Universal 50 Вт 01S-50D-4U</v>
      </c>
      <c r="C156" s="2">
        <f>IFERROR(__xludf.DUMMYFUNCTION("""COMPUTED_VALUE"""),2.0)</f>
        <v>2</v>
      </c>
      <c r="D156" s="2">
        <f>IFERROR(__xludf.DUMMYFUNCTION("""COMPUTED_VALUE"""),0.007940000000000001)</f>
        <v>0.00794</v>
      </c>
      <c r="E156" s="2">
        <f>IFERROR(__xludf.DUMMYFUNCTION("""COMPUTED_VALUE"""),2493.9)</f>
        <v>2493.9</v>
      </c>
      <c r="F156" s="2">
        <f>IFERROR(__xludf.DUMMYFUNCTION("""COMPUTED_VALUE"""),3078.0)</f>
        <v>3078</v>
      </c>
      <c r="G156" s="2">
        <f>IFERROR(__xludf.DUMMYFUNCTION("""COMPUTED_VALUE"""),3875.0)</f>
        <v>3875</v>
      </c>
      <c r="H156" s="2">
        <f>IFERROR(__xludf.DUMMYFUNCTION("""COMPUTED_VALUE"""),4352.0)</f>
        <v>4352</v>
      </c>
      <c r="I156" s="2">
        <f>IFERROR(__xludf.DUMMYFUNCTION("""COMPUTED_VALUE"""),4829.0)</f>
        <v>4829</v>
      </c>
      <c r="J156" s="2">
        <f>IFERROR(__xludf.DUMMYFUNCTION("""COMPUTED_VALUE"""),2415.0)</f>
        <v>2415</v>
      </c>
      <c r="K156" s="2">
        <f>IFERROR(__xludf.DUMMYFUNCTION("""COMPUTED_VALUE"""),1.0)</f>
        <v>1</v>
      </c>
      <c r="L156" s="2" t="str">
        <f>IFERROR(__xludf.DUMMYFUNCTION("""COMPUTED_VALUE"""),"Уличные GLERIO (корпус сталь, !архив!)")</f>
        <v>Уличные GLERIO (корпус сталь, !архив!)</v>
      </c>
      <c r="M156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157">
      <c r="A157" s="5" t="str">
        <f>IFERROR(__xludf.DUMMYFUNCTION("""COMPUTED_VALUE"""),"4690612038162")</f>
        <v>4690612038162</v>
      </c>
      <c r="B157" s="5" t="str">
        <f>IFERROR(__xludf.DUMMYFUNCTION("""COMPUTED_VALUE"""),"ДВО-02 3640-ПРИЗМА 36Вт 230В 4000К 4020Лм 110Лм/Вт 595х595х19 NEOX")</f>
        <v>ДВО-02 3640-ПРИЗМА 36Вт 230В 4000К 4020Лм 110Лм/Вт 595х595х19 NEOX</v>
      </c>
      <c r="C157" s="2">
        <f>IFERROR(__xludf.DUMMYFUNCTION("""COMPUTED_VALUE"""),4.500010000000001)</f>
        <v>4.50001</v>
      </c>
      <c r="D157" s="2">
        <f>IFERROR(__xludf.DUMMYFUNCTION("""COMPUTED_VALUE"""),0.032)</f>
        <v>0.032</v>
      </c>
      <c r="E157" s="2">
        <f>IFERROR(__xludf.DUMMYFUNCTION("""COMPUTED_VALUE"""),441.0)</f>
        <v>441</v>
      </c>
      <c r="F157" s="2">
        <f>IFERROR(__xludf.DUMMYFUNCTION("""COMPUTED_VALUE"""),567.0)</f>
        <v>567</v>
      </c>
      <c r="G157" s="2">
        <f>IFERROR(__xludf.DUMMYFUNCTION("""COMPUTED_VALUE"""),638.0)</f>
        <v>638</v>
      </c>
      <c r="H157" s="2">
        <f>IFERROR(__xludf.DUMMYFUNCTION("""COMPUTED_VALUE"""),740.0)</f>
        <v>740</v>
      </c>
      <c r="I157" s="2">
        <f>IFERROR(__xludf.DUMMYFUNCTION("""COMPUTED_VALUE"""),850.0)</f>
        <v>850</v>
      </c>
      <c r="J157" s="2">
        <f>IFERROR(__xludf.DUMMYFUNCTION("""COMPUTED_VALUE"""),850.0)</f>
        <v>850</v>
      </c>
      <c r="K157" s="2">
        <f>IFERROR(__xludf.DUMMYFUNCTION("""COMPUTED_VALUE"""),153.0)</f>
        <v>153</v>
      </c>
      <c r="L157" s="2" t="str">
        <f>IFERROR(__xludf.DUMMYFUNCTION("""COMPUTED_VALUE"""),"NEOX Светильники LED ДВО")</f>
        <v>NEOX Светильники LED ДВО</v>
      </c>
      <c r="M157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158">
      <c r="A158" s="5" t="str">
        <f>IFERROR(__xludf.DUMMYFUNCTION("""COMPUTED_VALUE"""),"55084")</f>
        <v>55084</v>
      </c>
      <c r="B158" s="5" t="str">
        <f>IFERROR(__xludf.DUMMYFUNCTION("""COMPUTED_VALUE"""),"Цветочки 80 разноцветных LED ламп, контроллер 8 режимов, прозрачный провод, 10 м, 220 v /20")</f>
        <v>Цветочки 80 разноцветных LED ламп, контроллер 8 режимов, прозрачный провод, 10 м, 220 v /20</v>
      </c>
      <c r="C158" s="2">
        <f>IFERROR(__xludf.DUMMYFUNCTION("""COMPUTED_VALUE"""),0.0)</f>
        <v>0</v>
      </c>
      <c r="D158" s="2">
        <f>IFERROR(__xludf.DUMMYFUNCTION("""COMPUTED_VALUE"""),0.0)</f>
        <v>0</v>
      </c>
      <c r="E158" s="2">
        <f>IFERROR(__xludf.DUMMYFUNCTION("""COMPUTED_VALUE"""),842.8000000000001)</f>
        <v>842.8</v>
      </c>
      <c r="F158" s="2">
        <f>IFERROR(__xludf.DUMMYFUNCTION("""COMPUTED_VALUE"""),899.0)</f>
        <v>899</v>
      </c>
      <c r="G158" s="2">
        <f>IFERROR(__xludf.DUMMYFUNCTION("""COMPUTED_VALUE"""),981.0)</f>
        <v>981</v>
      </c>
      <c r="H158" s="2">
        <f>IFERROR(__xludf.DUMMYFUNCTION("""COMPUTED_VALUE"""),1062.0)</f>
        <v>1062</v>
      </c>
      <c r="I158" s="2">
        <f>IFERROR(__xludf.DUMMYFUNCTION("""COMPUTED_VALUE"""),1144.0)</f>
        <v>1144</v>
      </c>
      <c r="J158" s="2">
        <f>IFERROR(__xludf.DUMMYFUNCTION("""COMPUTED_VALUE"""),572.0)</f>
        <v>572</v>
      </c>
      <c r="K158" s="2">
        <f>IFERROR(__xludf.DUMMYFUNCTION("""COMPUTED_VALUE"""),27.0)</f>
        <v>27</v>
      </c>
      <c r="L158" s="2" t="str">
        <f>IFERROR(__xludf.DUMMYFUNCTION("""COMPUTED_VALUE"""),"Праздничная иллюминация")</f>
        <v>Праздничная иллюминация</v>
      </c>
      <c r="M158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159">
      <c r="A159" s="5" t="str">
        <f>IFERROR(__xludf.DUMMYFUNCTION("""COMPUTED_VALUE"""),"4690612035604-10")</f>
        <v>4690612035604-10</v>
      </c>
      <c r="B159" s="5" t="str">
        <f>IFERROR(__xludf.DUMMYFUNCTION("""COMPUTED_VALUE"""),"10 шт. Лампа LED-A60-deco 13Вт 230В Е27 4000К 1370Лм прозрачная IN HOME (Комплект 10 шт)")</f>
        <v>10 шт. Лампа LED-A60-deco 13Вт 230В Е27 4000К 1370Лм прозрачная IN HOME (Комплект 10 шт)</v>
      </c>
      <c r="C159" s="2">
        <f>IFERROR(__xludf.DUMMYFUNCTION("""COMPUTED_VALUE"""),0.04)</f>
        <v>0.04</v>
      </c>
      <c r="D159" s="2">
        <f>IFERROR(__xludf.DUMMYFUNCTION("""COMPUTED_VALUE"""),0.0028)</f>
        <v>0.0028</v>
      </c>
      <c r="E159" s="2">
        <f>IFERROR(__xludf.DUMMYFUNCTION("""COMPUTED_VALUE"""),950.6)</f>
        <v>950.6</v>
      </c>
      <c r="F159" s="2">
        <f>IFERROR(__xludf.DUMMYFUNCTION("""COMPUTED_VALUE"""),1043.0)</f>
        <v>1043</v>
      </c>
      <c r="G159" s="2">
        <f>IFERROR(__xludf.DUMMYFUNCTION("""COMPUTED_VALUE"""),1369.0)</f>
        <v>1369</v>
      </c>
      <c r="H159" s="2">
        <f>IFERROR(__xludf.DUMMYFUNCTION("""COMPUTED_VALUE"""),1540.0)</f>
        <v>1540</v>
      </c>
      <c r="I159" s="2">
        <f>IFERROR(__xludf.DUMMYFUNCTION("""COMPUTED_VALUE"""),1711.0)</f>
        <v>1711</v>
      </c>
      <c r="J159" s="2">
        <f>IFERROR(__xludf.DUMMYFUNCTION("""COMPUTED_VALUE"""),856.0)</f>
        <v>856</v>
      </c>
      <c r="K159" s="2">
        <f>IFERROR(__xludf.DUMMYFUNCTION("""COMPUTED_VALUE"""),3.0)</f>
        <v>3</v>
      </c>
      <c r="L159" s="2" t="str">
        <f>IFERROR(__xludf.DUMMYFUNCTION("""COMPUTED_VALUE"""),"Лампы производство, упаковка")</f>
        <v>Лампы производство, упаковка</v>
      </c>
      <c r="M159" s="2" t="str">
        <f>IFERROR(__xludf.DUMMYFUNCTION("""COMPUTED_VALUE"""),"Лампы")</f>
        <v>Лампы</v>
      </c>
    </row>
    <row r="160">
      <c r="A160" s="5" t="str">
        <f>IFERROR(__xludf.DUMMYFUNCTION("""COMPUTED_VALUE"""),"4690612007243")</f>
        <v>4690612007243</v>
      </c>
      <c r="B160" s="5" t="str">
        <f>IFERROR(__xludf.DUMMYFUNCTION("""COMPUTED_VALUE"""),"LED-СВЕЧА-ECO 5Вт 230В Е14 4000К 375Лм (5шт в упаковке) IN HOME")</f>
        <v>LED-СВЕЧА-ECO 5Вт 230В Е14 4000К 375Лм (5шт в упаковке) IN HOME</v>
      </c>
      <c r="C160" s="2">
        <f>IFERROR(__xludf.DUMMYFUNCTION("""COMPUTED_VALUE"""),0.22)</f>
        <v>0.22</v>
      </c>
      <c r="D160" s="2">
        <f>IFERROR(__xludf.DUMMYFUNCTION("""COMPUTED_VALUE"""),0.00115)</f>
        <v>0.00115</v>
      </c>
      <c r="E160" s="2">
        <f>IFERROR(__xludf.DUMMYFUNCTION("""COMPUTED_VALUE"""),191.16)</f>
        <v>191.16</v>
      </c>
      <c r="F160" s="2">
        <f>IFERROR(__xludf.DUMMYFUNCTION("""COMPUTED_VALUE"""),191.0)</f>
        <v>191</v>
      </c>
      <c r="G160" s="2">
        <f>IFERROR(__xludf.DUMMYFUNCTION("""COMPUTED_VALUE"""),215.0)</f>
        <v>215</v>
      </c>
      <c r="H160" s="2">
        <f>IFERROR(__xludf.DUMMYFUNCTION("""COMPUTED_VALUE"""),250.0)</f>
        <v>250</v>
      </c>
      <c r="I160" s="2">
        <f>IFERROR(__xludf.DUMMYFUNCTION("""COMPUTED_VALUE"""),287.5)</f>
        <v>287.5</v>
      </c>
      <c r="J160" s="2">
        <f>IFERROR(__xludf.DUMMYFUNCTION("""COMPUTED_VALUE"""),144.0)</f>
        <v>144</v>
      </c>
      <c r="K160" s="2">
        <f>IFERROR(__xludf.DUMMYFUNCTION("""COMPUTED_VALUE"""),3.0)</f>
        <v>3</v>
      </c>
      <c r="L160" s="2" t="str">
        <f>IFERROR(__xludf.DUMMYFUNCTION("""COMPUTED_VALUE"""),"Лампа светодиодная LED-СВЕЧА-standard")</f>
        <v>Лампа светодиодная LED-СВЕЧА-standard</v>
      </c>
      <c r="M160" s="2" t="str">
        <f>IFERROR(__xludf.DUMMYFUNCTION("""COMPUTED_VALUE"""),"Лампы")</f>
        <v>Лампы</v>
      </c>
    </row>
    <row r="161">
      <c r="A161" s="5" t="str">
        <f>IFERROR(__xludf.DUMMYFUNCTION("""COMPUTED_VALUE"""),"ves017")</f>
        <v>ves017</v>
      </c>
      <c r="B161" s="5" t="str">
        <f>IFERROR(__xludf.DUMMYFUNCTION("""COMPUTED_VALUE"""),"Фонарь светодиодный NPT-CP05-ACCU")</f>
        <v>Фонарь светодиодный NPT-CP05-ACCU</v>
      </c>
      <c r="C161" s="2">
        <f>IFERROR(__xludf.DUMMYFUNCTION("""COMPUTED_VALUE"""),0.0)</f>
        <v>0</v>
      </c>
      <c r="D161" s="2">
        <f>IFERROR(__xludf.DUMMYFUNCTION("""COMPUTED_VALUE"""),0.0)</f>
        <v>0</v>
      </c>
      <c r="E161" s="2">
        <f>IFERROR(__xludf.DUMMYFUNCTION("""COMPUTED_VALUE"""),355.98)</f>
        <v>355.98</v>
      </c>
      <c r="F161" s="2">
        <f>IFERROR(__xludf.DUMMYFUNCTION("""COMPUTED_VALUE"""),368.0)</f>
        <v>368</v>
      </c>
      <c r="G161" s="2">
        <f>IFERROR(__xludf.DUMMYFUNCTION("""COMPUTED_VALUE"""),392.0)</f>
        <v>392</v>
      </c>
      <c r="H161" s="2">
        <f>IFERROR(__xludf.DUMMYFUNCTION("""COMPUTED_VALUE"""),441.0)</f>
        <v>441</v>
      </c>
      <c r="I161" s="2">
        <f>IFERROR(__xludf.DUMMYFUNCTION("""COMPUTED_VALUE"""),490.0)</f>
        <v>490</v>
      </c>
      <c r="J161" s="2">
        <f>IFERROR(__xludf.DUMMYFUNCTION("""COMPUTED_VALUE"""),245.0)</f>
        <v>245</v>
      </c>
      <c r="K161" s="2">
        <f>IFERROR(__xludf.DUMMYFUNCTION("""COMPUTED_VALUE"""),10.0)</f>
        <v>10</v>
      </c>
      <c r="L161" s="2" t="str">
        <f>IFERROR(__xludf.DUMMYFUNCTION("""COMPUTED_VALUE"""),"ves")</f>
        <v>ves</v>
      </c>
      <c r="M161" s="2" t="str">
        <f>IFERROR(__xludf.DUMMYFUNCTION("""COMPUTED_VALUE"""),"LED Светильники")</f>
        <v>LED Светильники</v>
      </c>
    </row>
    <row r="162">
      <c r="A162" s="5" t="str">
        <f>IFERROR(__xludf.DUMMYFUNCTION("""COMPUTED_VALUE"""),"14690612038176")</f>
        <v>14690612038176</v>
      </c>
      <c r="B162" s="5" t="str">
        <f>IFERROR(__xludf.DUMMYFUNCTION("""COMPUTED_VALUE"""),"ДВО-02 3665-ПРИЗМА 36Вт 230В 6500К 4020Лм 110Лм/Вт 595х595х19 NEOX (4 шт в упак.)")</f>
        <v>ДВО-02 3665-ПРИЗМА 36Вт 230В 6500К 4020Лм 110Лм/Вт 595х595х19 NEOX (4 шт в упак.)</v>
      </c>
      <c r="C162" s="2">
        <f>IFERROR(__xludf.DUMMYFUNCTION("""COMPUTED_VALUE"""),1.075)</f>
        <v>1.075</v>
      </c>
      <c r="D162" s="2">
        <f>IFERROR(__xludf.DUMMYFUNCTION("""COMPUTED_VALUE"""),0.0)</f>
        <v>0</v>
      </c>
      <c r="E162" s="2">
        <f>IFERROR(__xludf.DUMMYFUNCTION("""COMPUTED_VALUE"""),2070.45)</f>
        <v>2070.45</v>
      </c>
      <c r="F162" s="2">
        <f>IFERROR(__xludf.DUMMYFUNCTION("""COMPUTED_VALUE"""),2272.0)</f>
        <v>2272</v>
      </c>
      <c r="G162" s="2">
        <f>IFERROR(__xludf.DUMMYFUNCTION("""COMPUTED_VALUE"""),2982.0)</f>
        <v>2982</v>
      </c>
      <c r="H162" s="2">
        <f>IFERROR(__xludf.DUMMYFUNCTION("""COMPUTED_VALUE"""),3354.0)</f>
        <v>3354</v>
      </c>
      <c r="I162" s="2">
        <f>IFERROR(__xludf.DUMMYFUNCTION("""COMPUTED_VALUE"""),3727.0)</f>
        <v>3727</v>
      </c>
      <c r="J162" s="2">
        <f>IFERROR(__xludf.DUMMYFUNCTION("""COMPUTED_VALUE"""),3727.0)</f>
        <v>3727</v>
      </c>
      <c r="K162" s="2">
        <f>IFERROR(__xludf.DUMMYFUNCTION("""COMPUTED_VALUE"""),3.0)</f>
        <v>3</v>
      </c>
      <c r="L162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162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163">
      <c r="A163" s="5" t="str">
        <f>IFERROR(__xludf.DUMMYFUNCTION("""COMPUTED_VALUE"""),"4690612004204-10")</f>
        <v>4690612004204-10</v>
      </c>
      <c r="B163" s="5" t="str">
        <f>IFERROR(__xludf.DUMMYFUNCTION("""COMPUTED_VALUE"""),"Лампа светодиодная LED-A60-standard 20Вт 230В Е27 4000К 1800Лм ASD (10 штук в упаковке)")</f>
        <v>Лампа светодиодная LED-A60-standard 20Вт 230В Е27 4000К 1800Лм ASD (10 штук в упаковке)</v>
      </c>
      <c r="C163" s="2">
        <f>IFERROR(__xludf.DUMMYFUNCTION("""COMPUTED_VALUE"""),0.0)</f>
        <v>0</v>
      </c>
      <c r="D163" s="2">
        <f>IFERROR(__xludf.DUMMYFUNCTION("""COMPUTED_VALUE"""),0.0)</f>
        <v>0</v>
      </c>
      <c r="E163" s="2">
        <f>IFERROR(__xludf.DUMMYFUNCTION("""COMPUTED_VALUE"""),698.2)</f>
        <v>698.2</v>
      </c>
      <c r="F163" s="2">
        <f>IFERROR(__xludf.DUMMYFUNCTION("""COMPUTED_VALUE"""),180.0)</f>
        <v>180</v>
      </c>
      <c r="G163" s="2">
        <f>IFERROR(__xludf.DUMMYFUNCTION("""COMPUTED_VALUE"""),202.0)</f>
        <v>202</v>
      </c>
      <c r="H163" s="2">
        <f>IFERROR(__xludf.DUMMYFUNCTION("""COMPUTED_VALUE"""),235.0)</f>
        <v>235</v>
      </c>
      <c r="I163" s="2">
        <f>IFERROR(__xludf.DUMMYFUNCTION("""COMPUTED_VALUE"""),270.3)</f>
        <v>270.3</v>
      </c>
      <c r="J163" s="2">
        <f>IFERROR(__xludf.DUMMYFUNCTION("""COMPUTED_VALUE"""),135.0)</f>
        <v>135</v>
      </c>
      <c r="K163" s="2">
        <f>IFERROR(__xludf.DUMMYFUNCTION("""COMPUTED_VALUE"""),1.0)</f>
        <v>1</v>
      </c>
      <c r="L163" s="2" t="str">
        <f>IFERROR(__xludf.DUMMYFUNCTION("""COMPUTED_VALUE"""),"Лампа светодиодная LED-A60-standard")</f>
        <v>Лампа светодиодная LED-A60-standard</v>
      </c>
      <c r="M163" s="2" t="str">
        <f>IFERROR(__xludf.DUMMYFUNCTION("""COMPUTED_VALUE"""),"Лампы")</f>
        <v>Лампы</v>
      </c>
    </row>
    <row r="164">
      <c r="A164" s="5" t="str">
        <f>IFERROR(__xludf.DUMMYFUNCTION("""COMPUTED_VALUE"""),"4680005959945")</f>
        <v>4680005959945</v>
      </c>
      <c r="B164" s="5" t="str">
        <f>IFERROR(__xludf.DUMMYFUNCTION("""COMPUTED_VALUE"""),"CLASSICO Рамка белая 2303H IN HOME")</f>
        <v>CLASSICO Рамка белая 2303H IN HOME</v>
      </c>
      <c r="C164" s="2">
        <f>IFERROR(__xludf.DUMMYFUNCTION("""COMPUTED_VALUE"""),0.035)</f>
        <v>0.035</v>
      </c>
      <c r="D164" s="2">
        <f>IFERROR(__xludf.DUMMYFUNCTION("""COMPUTED_VALUE"""),4.0E-4)</f>
        <v>0.0004</v>
      </c>
      <c r="E164" s="2">
        <f>IFERROR(__xludf.DUMMYFUNCTION("""COMPUTED_VALUE"""),37.51)</f>
        <v>37.51</v>
      </c>
      <c r="F164" s="2">
        <f>IFERROR(__xludf.DUMMYFUNCTION("""COMPUTED_VALUE"""),49.0)</f>
        <v>49</v>
      </c>
      <c r="G164" s="2">
        <f>IFERROR(__xludf.DUMMYFUNCTION("""COMPUTED_VALUE"""),55.0)</f>
        <v>55</v>
      </c>
      <c r="H164" s="2">
        <f>IFERROR(__xludf.DUMMYFUNCTION("""COMPUTED_VALUE"""),64.0)</f>
        <v>64</v>
      </c>
      <c r="I164" s="2">
        <f>IFERROR(__xludf.DUMMYFUNCTION("""COMPUTED_VALUE"""),74.0)</f>
        <v>74</v>
      </c>
      <c r="J164" s="2">
        <f>IFERROR(__xludf.DUMMYFUNCTION("""COMPUTED_VALUE"""),37.0)</f>
        <v>37</v>
      </c>
      <c r="K164" s="2">
        <f>IFERROR(__xludf.DUMMYFUNCTION("""COMPUTED_VALUE"""),14.0)</f>
        <v>14</v>
      </c>
      <c r="L164" s="2" t="str">
        <f>IFERROR(__xludf.DUMMYFUNCTION("""COMPUTED_VALUE"""),"Розетки, вилки и колодки")</f>
        <v>Розетки, вилки и колодки</v>
      </c>
      <c r="M164" s="2" t="str">
        <f>IFERROR(__xludf.DUMMYFUNCTION("""COMPUTED_VALUE"""),"Прочие товары")</f>
        <v>Прочие товары</v>
      </c>
    </row>
    <row r="165">
      <c r="A165" s="5" t="str">
        <f>IFERROR(__xludf.DUMMYFUNCTION("""COMPUTED_VALUE"""),"4690612064390")</f>
        <v>4690612064390</v>
      </c>
      <c r="B165" s="5" t="str">
        <f>IFERROR(__xludf.DUMMYFUNCTION("""COMPUTED_VALUE"""),"ДВО-PRO 7540-ОПАЛ 75Вт 4000К 100лм/Вт CRI80 IP40 595х595х30мм NEOX")</f>
        <v>ДВО-PRO 7540-ОПАЛ 75Вт 4000К 100лм/Вт CRI80 IP40 595х595х30мм NEOX</v>
      </c>
      <c r="C165" s="2">
        <f>IFERROR(__xludf.DUMMYFUNCTION("""COMPUTED_VALUE"""),1.125)</f>
        <v>1.125</v>
      </c>
      <c r="D165" s="2">
        <f>IFERROR(__xludf.DUMMYFUNCTION("""COMPUTED_VALUE"""),0.01725)</f>
        <v>0.01725</v>
      </c>
      <c r="E165" s="2">
        <f>IFERROR(__xludf.DUMMYFUNCTION("""COMPUTED_VALUE"""),1034.58)</f>
        <v>1034.58</v>
      </c>
      <c r="F165" s="2">
        <f>IFERROR(__xludf.DUMMYFUNCTION("""COMPUTED_VALUE"""),1451.0)</f>
        <v>1451</v>
      </c>
      <c r="G165" s="2">
        <f>IFERROR(__xludf.DUMMYFUNCTION("""COMPUTED_VALUE"""),1633.0)</f>
        <v>1633</v>
      </c>
      <c r="H165" s="2">
        <f>IFERROR(__xludf.DUMMYFUNCTION("""COMPUTED_VALUE"""),1894.0)</f>
        <v>1894</v>
      </c>
      <c r="I165" s="2">
        <f>IFERROR(__xludf.DUMMYFUNCTION("""COMPUTED_VALUE"""),2177.0)</f>
        <v>2177</v>
      </c>
      <c r="J165" s="2">
        <f>IFERROR(__xludf.DUMMYFUNCTION("""COMPUTED_VALUE"""),1089.0)</f>
        <v>1089</v>
      </c>
      <c r="K165" s="2">
        <f>IFERROR(__xludf.DUMMYFUNCTION("""COMPUTED_VALUE"""),26.0)</f>
        <v>26</v>
      </c>
      <c r="L165" s="2" t="str">
        <f>IFERROR(__xludf.DUMMYFUNCTION("""COMPUTED_VALUE"""),"NEOX Светильники LED ДВО")</f>
        <v>NEOX Светильники LED ДВО</v>
      </c>
      <c r="M165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166">
      <c r="A166" s="5" t="str">
        <f>IFERROR(__xludf.DUMMYFUNCTION("""COMPUTED_VALUE"""),"4690612051918")</f>
        <v>4690612051918</v>
      </c>
      <c r="B166" s="5" t="str">
        <f>IFERROR(__xludf.DUMMYFUNCTION("""COMPUTED_VALUE"""),"ДБУ BALL-1530BL 15Вт 3000К IP54 черный IN HOME")</f>
        <v>ДБУ BALL-1530BL 15Вт 3000К IP54 черный IN HOME</v>
      </c>
      <c r="C166" s="2">
        <f>IFERROR(__xludf.DUMMYFUNCTION("""COMPUTED_VALUE"""),0.355)</f>
        <v>0.355</v>
      </c>
      <c r="D166" s="2">
        <f>IFERROR(__xludf.DUMMYFUNCTION("""COMPUTED_VALUE"""),0.00114)</f>
        <v>0.00114</v>
      </c>
      <c r="E166" s="2">
        <f>IFERROR(__xludf.DUMMYFUNCTION("""COMPUTED_VALUE"""),577.8000000000001)</f>
        <v>577.8</v>
      </c>
      <c r="F166" s="2">
        <f>IFERROR(__xludf.DUMMYFUNCTION("""COMPUTED_VALUE"""),589.0)</f>
        <v>589</v>
      </c>
      <c r="G166" s="2">
        <f>IFERROR(__xludf.DUMMYFUNCTION("""COMPUTED_VALUE"""),663.0)</f>
        <v>663</v>
      </c>
      <c r="H166" s="2">
        <f>IFERROR(__xludf.DUMMYFUNCTION("""COMPUTED_VALUE"""),769.0)</f>
        <v>769</v>
      </c>
      <c r="I166" s="2">
        <f>IFERROR(__xludf.DUMMYFUNCTION("""COMPUTED_VALUE"""),884.0)</f>
        <v>884</v>
      </c>
      <c r="J166" s="2">
        <f>IFERROR(__xludf.DUMMYFUNCTION("""COMPUTED_VALUE"""),442.0)</f>
        <v>442</v>
      </c>
      <c r="K166" s="2">
        <f>IFERROR(__xludf.DUMMYFUNCTION("""COMPUTED_VALUE"""),8.0)</f>
        <v>8</v>
      </c>
      <c r="L166" s="2" t="str">
        <f>IFERROR(__xludf.DUMMYFUNCTION("""COMPUTED_VALUE"""),"Светильники светодиодные уличные ДБУ")</f>
        <v>Светильники светодиодные уличные ДБУ</v>
      </c>
      <c r="M166" s="2" t="str">
        <f>IFERROR(__xludf.DUMMYFUNCTION("""COMPUTED_VALUE"""),"Садово-парковые, ландшафтные, LED Светильники")</f>
        <v>Садово-парковые, ландшафтные, LED Светильники</v>
      </c>
    </row>
    <row r="167">
      <c r="A167" s="5" t="str">
        <f>IFERROR(__xludf.DUMMYFUNCTION("""COMPUTED_VALUE"""),"4690612004655")</f>
        <v>4690612004655</v>
      </c>
      <c r="B167" s="5" t="str">
        <f>IFERROR(__xludf.DUMMYFUNCTION("""COMPUTED_VALUE"""),"LED-JC-standard 5Вт 12В G4 3000К ASD")</f>
        <v>LED-JC-standard 5Вт 12В G4 3000К ASD</v>
      </c>
      <c r="C167" s="2">
        <f>IFERROR(__xludf.DUMMYFUNCTION("""COMPUTED_VALUE"""),0.011)</f>
        <v>0.011</v>
      </c>
      <c r="D167" s="2">
        <f>IFERROR(__xludf.DUMMYFUNCTION("""COMPUTED_VALUE"""),9.0E-5)</f>
        <v>0.00009</v>
      </c>
      <c r="E167" s="2">
        <f>IFERROR(__xludf.DUMMYFUNCTION("""COMPUTED_VALUE"""),90.41)</f>
        <v>90.41</v>
      </c>
      <c r="F167" s="2">
        <f>IFERROR(__xludf.DUMMYFUNCTION("""COMPUTED_VALUE"""),61.0)</f>
        <v>61</v>
      </c>
      <c r="G167" s="2">
        <f>IFERROR(__xludf.DUMMYFUNCTION("""COMPUTED_VALUE"""),69.0)</f>
        <v>69</v>
      </c>
      <c r="H167" s="2">
        <f>IFERROR(__xludf.DUMMYFUNCTION("""COMPUTED_VALUE"""),80.0)</f>
        <v>80</v>
      </c>
      <c r="I167" s="2">
        <f>IFERROR(__xludf.DUMMYFUNCTION("""COMPUTED_VALUE"""),92.5)</f>
        <v>92.5</v>
      </c>
      <c r="J167" s="2">
        <f>IFERROR(__xludf.DUMMYFUNCTION("""COMPUTED_VALUE"""),46.0)</f>
        <v>46</v>
      </c>
      <c r="K167" s="2">
        <f>IFERROR(__xludf.DUMMYFUNCTION("""COMPUTED_VALUE"""),20.0)</f>
        <v>20</v>
      </c>
      <c r="L167" s="2" t="str">
        <f>IFERROR(__xludf.DUMMYFUNCTION("""COMPUTED_VALUE"""),"Лампа светодиодная LED-JC-standard")</f>
        <v>Лампа светодиодная LED-JC-standard</v>
      </c>
      <c r="M167" s="2" t="str">
        <f>IFERROR(__xludf.DUMMYFUNCTION("""COMPUTED_VALUE"""),"Лампы")</f>
        <v>Лампы</v>
      </c>
    </row>
    <row r="168">
      <c r="A168" s="5" t="str">
        <f>IFERROR(__xludf.DUMMYFUNCTION("""COMPUTED_VALUE"""),"RSTR011")</f>
        <v>RSTR011</v>
      </c>
      <c r="B168" s="5" t="str">
        <f>IFERROR(__xludf.DUMMYFUNCTION("""COMPUTED_VALUE"""),"Лампа LED-HP-PRO 4690612031149")</f>
        <v>Лампа LED-HP-PRO 4690612031149</v>
      </c>
      <c r="C168" s="2">
        <f>IFERROR(__xludf.DUMMYFUNCTION("""COMPUTED_VALUE"""),0.0)</f>
        <v>0</v>
      </c>
      <c r="D168" s="2">
        <f>IFERROR(__xludf.DUMMYFUNCTION("""COMPUTED_VALUE"""),0.0)</f>
        <v>0</v>
      </c>
      <c r="E168" s="2">
        <f>IFERROR(__xludf.DUMMYFUNCTION("""COMPUTED_VALUE"""),280.52)</f>
        <v>280.52</v>
      </c>
      <c r="F168" s="2">
        <f>IFERROR(__xludf.DUMMYFUNCTION("""COMPUTED_VALUE"""),270.0)</f>
        <v>270</v>
      </c>
      <c r="G168" s="2">
        <f>IFERROR(__xludf.DUMMYFUNCTION("""COMPUTED_VALUE"""),288.0)</f>
        <v>288</v>
      </c>
      <c r="H168" s="2">
        <f>IFERROR(__xludf.DUMMYFUNCTION("""COMPUTED_VALUE"""),324.0)</f>
        <v>324</v>
      </c>
      <c r="I168" s="2">
        <f>IFERROR(__xludf.DUMMYFUNCTION("""COMPUTED_VALUE"""),359.5)</f>
        <v>359.5</v>
      </c>
      <c r="J168" s="2">
        <f>IFERROR(__xludf.DUMMYFUNCTION("""COMPUTED_VALUE"""),270.0)</f>
        <v>270</v>
      </c>
      <c r="K168" s="2">
        <f>IFERROR(__xludf.DUMMYFUNCTION("""COMPUTED_VALUE"""),2.0)</f>
        <v>2</v>
      </c>
      <c r="L168" s="2" t="str">
        <f>IFERROR(__xludf.DUMMYFUNCTION("""COMPUTED_VALUE"""),"RSTR (тендер)")</f>
        <v>RSTR (тендер)</v>
      </c>
      <c r="M168" s="2" t="str">
        <f>IFERROR(__xludf.DUMMYFUNCTION("""COMPUTED_VALUE"""),"LED Светильники")</f>
        <v>LED Светильники</v>
      </c>
    </row>
    <row r="169">
      <c r="A169" s="5" t="str">
        <f>IFERROR(__xludf.DUMMYFUNCTION("""COMPUTED_VALUE"""),"Fefco/0201-11")</f>
        <v>Fefco/0201-11</v>
      </c>
      <c r="B169" s="5" t="str">
        <f>IFERROR(__xludf.DUMMYFUNCTION("""COMPUTED_VALUE"""),"Короб 1550х330х180 (картон Т-24 ""В"" бурый)")</f>
        <v>Короб 1550х330х180 (картон Т-24 "В" бурый)</v>
      </c>
      <c r="C169" s="2">
        <f>IFERROR(__xludf.DUMMYFUNCTION("""COMPUTED_VALUE"""),0.0)</f>
        <v>0</v>
      </c>
      <c r="D169" s="2">
        <f>IFERROR(__xludf.DUMMYFUNCTION("""COMPUTED_VALUE"""),0.0)</f>
        <v>0</v>
      </c>
      <c r="E169" s="2">
        <f>IFERROR(__xludf.DUMMYFUNCTION("""COMPUTED_VALUE"""),175.0)</f>
        <v>175</v>
      </c>
      <c r="F169" s="2">
        <f>IFERROR(__xludf.DUMMYFUNCTION("""COMPUTED_VALUE"""),1.0)</f>
        <v>1</v>
      </c>
      <c r="G169" s="2">
        <f>IFERROR(__xludf.DUMMYFUNCTION("""COMPUTED_VALUE"""),1.0)</f>
        <v>1</v>
      </c>
      <c r="H169" s="2">
        <f>IFERROR(__xludf.DUMMYFUNCTION("""COMPUTED_VALUE"""),1.0)</f>
        <v>1</v>
      </c>
      <c r="I169" s="2">
        <f>IFERROR(__xludf.DUMMYFUNCTION("""COMPUTED_VALUE"""),1.5)</f>
        <v>1.5</v>
      </c>
      <c r="J169" s="2">
        <f>IFERROR(__xludf.DUMMYFUNCTION("""COMPUTED_VALUE"""),1.5)</f>
        <v>1.5</v>
      </c>
      <c r="K169" s="2">
        <f>IFERROR(__xludf.DUMMYFUNCTION("""COMPUTED_VALUE"""),100.0)</f>
        <v>100</v>
      </c>
      <c r="L169" s="2" t="str">
        <f>IFERROR(__xludf.DUMMYFUNCTION("""COMPUTED_VALUE"""),"Упаковка")</f>
        <v>Упаковка</v>
      </c>
      <c r="M169" s="2" t="str">
        <f>IFERROR(__xludf.DUMMYFUNCTION("""COMPUTED_VALUE"""),"Прочие товары")</f>
        <v>Прочие товары</v>
      </c>
    </row>
    <row r="170">
      <c r="A170" s="5" t="str">
        <f>IFERROR(__xludf.DUMMYFUNCTION("""COMPUTED_VALUE"""),"55054")</f>
        <v>55054</v>
      </c>
      <c r="B170" s="5" t="str">
        <f>IFERROR(__xludf.DUMMYFUNCTION("""COMPUTED_VALUE"""),"Снеговик светодиодная на присоске 10*12 см, меняет цвет, с батарейкой /48")</f>
        <v>Снеговик светодиодная на присоске 10*12 см, меняет цвет, с батарейкой /48</v>
      </c>
      <c r="C170" s="2">
        <f>IFERROR(__xludf.DUMMYFUNCTION("""COMPUTED_VALUE"""),0.0)</f>
        <v>0</v>
      </c>
      <c r="D170" s="2">
        <f>IFERROR(__xludf.DUMMYFUNCTION("""COMPUTED_VALUE"""),0.0)</f>
        <v>0</v>
      </c>
      <c r="E170" s="2">
        <f>IFERROR(__xludf.DUMMYFUNCTION("""COMPUTED_VALUE"""),180.27)</f>
        <v>180.27</v>
      </c>
      <c r="F170" s="2">
        <f>IFERROR(__xludf.DUMMYFUNCTION("""COMPUTED_VALUE"""),200.0)</f>
        <v>200</v>
      </c>
      <c r="G170" s="2">
        <f>IFERROR(__xludf.DUMMYFUNCTION("""COMPUTED_VALUE"""),218.0)</f>
        <v>218</v>
      </c>
      <c r="H170" s="2">
        <f>IFERROR(__xludf.DUMMYFUNCTION("""COMPUTED_VALUE"""),236.0)</f>
        <v>236</v>
      </c>
      <c r="I170" s="2">
        <f>IFERROR(__xludf.DUMMYFUNCTION("""COMPUTED_VALUE"""),255.0)</f>
        <v>255</v>
      </c>
      <c r="J170" s="2">
        <f>IFERROR(__xludf.DUMMYFUNCTION("""COMPUTED_VALUE"""),128.0)</f>
        <v>128</v>
      </c>
      <c r="K170" s="2">
        <f>IFERROR(__xludf.DUMMYFUNCTION("""COMPUTED_VALUE"""),5.0)</f>
        <v>5</v>
      </c>
      <c r="L170" s="2" t="str">
        <f>IFERROR(__xludf.DUMMYFUNCTION("""COMPUTED_VALUE"""),"Праздничная иллюминация")</f>
        <v>Праздничная иллюминация</v>
      </c>
      <c r="M170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171">
      <c r="A171" s="5" t="str">
        <f>IFERROR(__xludf.DUMMYFUNCTION("""COMPUTED_VALUE"""),"GL8272")</f>
        <v>GL8272</v>
      </c>
      <c r="B171" s="5" t="str">
        <f>IFERROR(__xludf.DUMMYFUNCTION("""COMPUTED_VALUE"""),"GLERIO Line Free 36 Вт 4000К 93P-36D-4P-MP")</f>
        <v>GLERIO Line Free 36 Вт 4000К 93P-36D-4P-MP</v>
      </c>
      <c r="C171" s="2">
        <f>IFERROR(__xludf.DUMMYFUNCTION("""COMPUTED_VALUE"""),0.5)</f>
        <v>0.5</v>
      </c>
      <c r="D171" s="2">
        <f>IFERROR(__xludf.DUMMYFUNCTION("""COMPUTED_VALUE"""),0.00396)</f>
        <v>0.00396</v>
      </c>
      <c r="E171" s="2">
        <f>IFERROR(__xludf.DUMMYFUNCTION("""COMPUTED_VALUE"""),1687.8)</f>
        <v>1687.8</v>
      </c>
      <c r="F171" s="2">
        <f>IFERROR(__xludf.DUMMYFUNCTION("""COMPUTED_VALUE"""),2150.0)</f>
        <v>2150</v>
      </c>
      <c r="G171" s="2">
        <f>IFERROR(__xludf.DUMMYFUNCTION("""COMPUTED_VALUE"""),2707.0)</f>
        <v>2707</v>
      </c>
      <c r="H171" s="2">
        <f>IFERROR(__xludf.DUMMYFUNCTION("""COMPUTED_VALUE"""),3040.0)</f>
        <v>3040</v>
      </c>
      <c r="I171" s="2">
        <f>IFERROR(__xludf.DUMMYFUNCTION("""COMPUTED_VALUE"""),3373.0)</f>
        <v>3373</v>
      </c>
      <c r="J171" s="2">
        <f>IFERROR(__xludf.DUMMYFUNCTION("""COMPUTED_VALUE"""),1687.0)</f>
        <v>1687</v>
      </c>
      <c r="K171" s="2">
        <f>IFERROR(__xludf.DUMMYFUNCTION("""COMPUTED_VALUE"""),4.0)</f>
        <v>4</v>
      </c>
      <c r="L171" s="2" t="str">
        <f>IFERROR(__xludf.DUMMYFUNCTION("""COMPUTED_VALUE"""),"Line Shell, Free (Retail) до 10.2025")</f>
        <v>Line Shell, Free (Retail) до 10.2025</v>
      </c>
      <c r="M171" s="2" t="str">
        <f>IFERROR(__xludf.DUMMYFUNCTION("""COMPUTED_VALUE"""),"Пластиковые (линейные), LED Светильники")</f>
        <v>Пластиковые (линейные), LED Светильники</v>
      </c>
    </row>
    <row r="172">
      <c r="A172" s="5" t="str">
        <f>IFERROR(__xludf.DUMMYFUNCTION("""COMPUTED_VALUE"""),"ves028")</f>
        <v>ves028</v>
      </c>
      <c r="B172" s="5" t="str">
        <f>IFERROR(__xludf.DUMMYFUNCTION("""COMPUTED_VALUE"""),"Светильник под лампу накаливания НСП 41-200-001")</f>
        <v>Светильник под лампу накаливания НСП 41-200-001</v>
      </c>
      <c r="C172" s="2">
        <f>IFERROR(__xludf.DUMMYFUNCTION("""COMPUTED_VALUE"""),0.0)</f>
        <v>0</v>
      </c>
      <c r="D172" s="2">
        <f>IFERROR(__xludf.DUMMYFUNCTION("""COMPUTED_VALUE"""),0.0)</f>
        <v>0</v>
      </c>
      <c r="E172" s="2">
        <f>IFERROR(__xludf.DUMMYFUNCTION("""COMPUTED_VALUE"""),335.04)</f>
        <v>335.04</v>
      </c>
      <c r="F172" s="2">
        <f>IFERROR(__xludf.DUMMYFUNCTION("""COMPUTED_VALUE"""),413.0)</f>
        <v>413</v>
      </c>
      <c r="G172" s="2">
        <f>IFERROR(__xludf.DUMMYFUNCTION("""COMPUTED_VALUE"""),440.0)</f>
        <v>440</v>
      </c>
      <c r="H172" s="2">
        <f>IFERROR(__xludf.DUMMYFUNCTION("""COMPUTED_VALUE"""),495.0)</f>
        <v>495</v>
      </c>
      <c r="I172" s="2">
        <f>IFERROR(__xludf.DUMMYFUNCTION("""COMPUTED_VALUE"""),550.0)</f>
        <v>550</v>
      </c>
      <c r="J172" s="2">
        <f>IFERROR(__xludf.DUMMYFUNCTION("""COMPUTED_VALUE"""),275.0)</f>
        <v>275</v>
      </c>
      <c r="K172" s="2">
        <f>IFERROR(__xludf.DUMMYFUNCTION("""COMPUTED_VALUE"""),20.0)</f>
        <v>20</v>
      </c>
      <c r="L172" s="2" t="str">
        <f>IFERROR(__xludf.DUMMYFUNCTION("""COMPUTED_VALUE"""),"ves")</f>
        <v>ves</v>
      </c>
      <c r="M172" s="2" t="str">
        <f>IFERROR(__xludf.DUMMYFUNCTION("""COMPUTED_VALUE"""),"LED Светильники")</f>
        <v>LED Светильники</v>
      </c>
    </row>
    <row r="173">
      <c r="A173" s="5" t="str">
        <f>IFERROR(__xludf.DUMMYFUNCTION("""COMPUTED_VALUE"""),"4690626071384")</f>
        <v>4690626071384</v>
      </c>
      <c r="B173" s="5" t="str">
        <f>IFERROR(__xludf.DUMMYFUNCTION("""COMPUTED_VALUE"""),"Подвес для фитосветильника (SBL-fixing-FITO)")</f>
        <v>Подвес для фитосветильника (SBL-fixing-FITO)</v>
      </c>
      <c r="C173" s="2">
        <f>IFERROR(__xludf.DUMMYFUNCTION("""COMPUTED_VALUE"""),0.0)</f>
        <v>0</v>
      </c>
      <c r="D173" s="2">
        <f>IFERROR(__xludf.DUMMYFUNCTION("""COMPUTED_VALUE"""),0.0)</f>
        <v>0</v>
      </c>
      <c r="E173" s="2">
        <f>IFERROR(__xludf.DUMMYFUNCTION("""COMPUTED_VALUE"""),96.95)</f>
        <v>96.95</v>
      </c>
      <c r="F173" s="2">
        <f>IFERROR(__xludf.DUMMYFUNCTION("""COMPUTED_VALUE"""),113.0)</f>
        <v>113</v>
      </c>
      <c r="G173" s="2">
        <f>IFERROR(__xludf.DUMMYFUNCTION("""COMPUTED_VALUE"""),124.0)</f>
        <v>124</v>
      </c>
      <c r="H173" s="2">
        <f>IFERROR(__xludf.DUMMYFUNCTION("""COMPUTED_VALUE"""),137.0)</f>
        <v>137</v>
      </c>
      <c r="I173" s="2">
        <f>IFERROR(__xludf.DUMMYFUNCTION("""COMPUTED_VALUE"""),151.0)</f>
        <v>151</v>
      </c>
      <c r="J173" s="2">
        <f>IFERROR(__xludf.DUMMYFUNCTION("""COMPUTED_VALUE"""),76.0)</f>
        <v>76</v>
      </c>
      <c r="K173" s="2">
        <f>IFERROR(__xludf.DUMMYFUNCTION("""COMPUTED_VALUE"""),15.0)</f>
        <v>15</v>
      </c>
      <c r="L173" s="2" t="str">
        <f>IFERROR(__xludf.DUMMYFUNCTION("""COMPUTED_VALUE"""),"Smartbuy")</f>
        <v>Smartbuy</v>
      </c>
      <c r="M173" s="2" t="str">
        <f>IFERROR(__xludf.DUMMYFUNCTION("""COMPUTED_VALUE"""),"Прочие товары")</f>
        <v>Прочие товары</v>
      </c>
    </row>
    <row r="174">
      <c r="A174" s="5" t="str">
        <f>IFERROR(__xludf.DUMMYFUNCTION("""COMPUTED_VALUE"""),"4690612004198")</f>
        <v>4690612004198</v>
      </c>
      <c r="B174" s="5" t="str">
        <f>IFERROR(__xludf.DUMMYFUNCTION("""COMPUTED_VALUE"""),"LED-A60-standard 20Вт 160-260В Е27 3000К ASD")</f>
        <v>LED-A60-standard 20Вт 160-260В Е27 3000К ASD</v>
      </c>
      <c r="C174" s="2">
        <f>IFERROR(__xludf.DUMMYFUNCTION("""COMPUTED_VALUE"""),0.06100000000000001)</f>
        <v>0.061</v>
      </c>
      <c r="D174" s="2">
        <f>IFERROR(__xludf.DUMMYFUNCTION("""COMPUTED_VALUE"""),5.0E-4)</f>
        <v>0.0005</v>
      </c>
      <c r="E174" s="2">
        <f>IFERROR(__xludf.DUMMYFUNCTION("""COMPUTED_VALUE"""),60.3)</f>
        <v>60.3</v>
      </c>
      <c r="F174" s="2">
        <f>IFERROR(__xludf.DUMMYFUNCTION("""COMPUTED_VALUE"""),45.0)</f>
        <v>45</v>
      </c>
      <c r="G174" s="2">
        <f>IFERROR(__xludf.DUMMYFUNCTION("""COMPUTED_VALUE"""),51.0)</f>
        <v>51</v>
      </c>
      <c r="H174" s="2">
        <f>IFERROR(__xludf.DUMMYFUNCTION("""COMPUTED_VALUE"""),59.0)</f>
        <v>59</v>
      </c>
      <c r="I174" s="2">
        <f>IFERROR(__xludf.DUMMYFUNCTION("""COMPUTED_VALUE"""),67.95)</f>
        <v>67.95</v>
      </c>
      <c r="J174" s="2">
        <f>IFERROR(__xludf.DUMMYFUNCTION("""COMPUTED_VALUE"""),51.0)</f>
        <v>51</v>
      </c>
      <c r="K174" s="2">
        <f>IFERROR(__xludf.DUMMYFUNCTION("""COMPUTED_VALUE"""),27.0)</f>
        <v>27</v>
      </c>
      <c r="L174" s="2" t="str">
        <f>IFERROR(__xludf.DUMMYFUNCTION("""COMPUTED_VALUE"""),"Лампа светодиодная LED-A60-standard")</f>
        <v>Лампа светодиодная LED-A60-standard</v>
      </c>
      <c r="M174" s="2" t="str">
        <f>IFERROR(__xludf.DUMMYFUNCTION("""COMPUTED_VALUE"""),"Лампы")</f>
        <v>Лампы</v>
      </c>
    </row>
    <row r="175">
      <c r="A175" s="5" t="str">
        <f>IFERROR(__xludf.DUMMYFUNCTION("""COMPUTED_VALUE"""),"4690612032375")</f>
        <v>4690612032375</v>
      </c>
      <c r="B175" s="5" t="str">
        <f>IFERROR(__xludf.DUMMYFUNCTION("""COMPUTED_VALUE"""),"ППК Е27/Е40 Патрон-переходник короткий IN HOME")</f>
        <v>ППК Е27/Е40 Патрон-переходник короткий IN HOME</v>
      </c>
      <c r="C175" s="2">
        <f>IFERROR(__xludf.DUMMYFUNCTION("""COMPUTED_VALUE"""),0.04)</f>
        <v>0.04</v>
      </c>
      <c r="D175" s="2">
        <f>IFERROR(__xludf.DUMMYFUNCTION("""COMPUTED_VALUE"""),1.5E-4)</f>
        <v>0.00015</v>
      </c>
      <c r="E175" s="2">
        <f>IFERROR(__xludf.DUMMYFUNCTION("""COMPUTED_VALUE"""),73.2)</f>
        <v>73.2</v>
      </c>
      <c r="F175" s="2">
        <f>IFERROR(__xludf.DUMMYFUNCTION("""COMPUTED_VALUE"""),93.0)</f>
        <v>93</v>
      </c>
      <c r="G175" s="2">
        <f>IFERROR(__xludf.DUMMYFUNCTION("""COMPUTED_VALUE"""),105.0)</f>
        <v>105</v>
      </c>
      <c r="H175" s="2">
        <f>IFERROR(__xludf.DUMMYFUNCTION("""COMPUTED_VALUE"""),122.0)</f>
        <v>122</v>
      </c>
      <c r="I175" s="2">
        <f>IFERROR(__xludf.DUMMYFUNCTION("""COMPUTED_VALUE"""),140.0)</f>
        <v>140</v>
      </c>
      <c r="J175" s="2">
        <f>IFERROR(__xludf.DUMMYFUNCTION("""COMPUTED_VALUE"""),70.0)</f>
        <v>70</v>
      </c>
      <c r="K175" s="2">
        <f>IFERROR(__xludf.DUMMYFUNCTION("""COMPUTED_VALUE"""),4.0)</f>
        <v>4</v>
      </c>
      <c r="L175" s="2" t="str">
        <f>IFERROR(__xludf.DUMMYFUNCTION("""COMPUTED_VALUE"""),"ASD электромонтажные изделия")</f>
        <v>ASD электромонтажные изделия</v>
      </c>
      <c r="M175" s="2" t="str">
        <f>IFERROR(__xludf.DUMMYFUNCTION("""COMPUTED_VALUE"""),"Прочие товары")</f>
        <v>Прочие товары</v>
      </c>
    </row>
    <row r="176">
      <c r="A176" s="5" t="str">
        <f>IFERROR(__xludf.DUMMYFUNCTION("""COMPUTED_VALUE"""),"4690612037929")</f>
        <v>4690612037929</v>
      </c>
      <c r="B176" s="5" t="str">
        <f>IFERROR(__xludf.DUMMYFUNCTION("""COMPUTED_VALUE"""),"НБУ LINE-1хA60-GR алюминиевый под 1хA60 E27 серый IP65 IN HOME")</f>
        <v>НБУ LINE-1хA60-GR алюминиевый под 1хA60 E27 серый IP65 IN HOME</v>
      </c>
      <c r="C176" s="2">
        <f>IFERROR(__xludf.DUMMYFUNCTION("""COMPUTED_VALUE"""),0.5900000000000001)</f>
        <v>0.59</v>
      </c>
      <c r="D176" s="2">
        <f>IFERROR(__xludf.DUMMYFUNCTION("""COMPUTED_VALUE"""),0.00233)</f>
        <v>0.00233</v>
      </c>
      <c r="E176" s="2">
        <f>IFERROR(__xludf.DUMMYFUNCTION("""COMPUTED_VALUE"""),572.4)</f>
        <v>572.4</v>
      </c>
      <c r="F176" s="2">
        <f>IFERROR(__xludf.DUMMYFUNCTION("""COMPUTED_VALUE"""),585.0)</f>
        <v>585</v>
      </c>
      <c r="G176" s="2">
        <f>IFERROR(__xludf.DUMMYFUNCTION("""COMPUTED_VALUE"""),658.0)</f>
        <v>658</v>
      </c>
      <c r="H176" s="2">
        <f>IFERROR(__xludf.DUMMYFUNCTION("""COMPUTED_VALUE"""),763.0)</f>
        <v>763</v>
      </c>
      <c r="I176" s="2">
        <f>IFERROR(__xludf.DUMMYFUNCTION("""COMPUTED_VALUE"""),877.0)</f>
        <v>877</v>
      </c>
      <c r="J176" s="2">
        <f>IFERROR(__xludf.DUMMYFUNCTION("""COMPUTED_VALUE"""),439.0)</f>
        <v>439</v>
      </c>
      <c r="K176" s="2">
        <f>IFERROR(__xludf.DUMMYFUNCTION("""COMPUTED_VALUE"""),1.0)</f>
        <v>1</v>
      </c>
      <c r="L176" s="2" t="str">
        <f>IFERROR(__xludf.DUMMYFUNCTION("""COMPUTED_VALUE"""),"НБУ, НПБ под лампу")</f>
        <v>НБУ, НПБ под лампу</v>
      </c>
      <c r="M176" s="2" t="str">
        <f>IFERROR(__xludf.DUMMYFUNCTION("""COMPUTED_VALUE"""),"Садово-парковые, ландшафтные, Ламповые светильники")</f>
        <v>Садово-парковые, ландшафтные, Ламповые светильники</v>
      </c>
    </row>
    <row r="177">
      <c r="A177" s="5" t="str">
        <f>IFERROR(__xludf.DUMMYFUNCTION("""COMPUTED_VALUE"""),"sra057")</f>
        <v>sra057</v>
      </c>
      <c r="B177" s="5" t="str">
        <f>IFERROR(__xludf.DUMMYFUNCTION("""COMPUTED_VALUE"""),"Лампасветодиодная ЛСО")</f>
        <v>Лампасветодиодная ЛСО</v>
      </c>
      <c r="C177" s="2">
        <f>IFERROR(__xludf.DUMMYFUNCTION("""COMPUTED_VALUE"""),0.0)</f>
        <v>0</v>
      </c>
      <c r="D177" s="2">
        <f>IFERROR(__xludf.DUMMYFUNCTION("""COMPUTED_VALUE"""),0.0)</f>
        <v>0</v>
      </c>
      <c r="E177" s="2">
        <f>IFERROR(__xludf.DUMMYFUNCTION("""COMPUTED_VALUE"""),293.71)</f>
        <v>293.71</v>
      </c>
      <c r="F177" s="2">
        <f>IFERROR(__xludf.DUMMYFUNCTION("""COMPUTED_VALUE"""),91.0)</f>
        <v>91</v>
      </c>
      <c r="G177" s="2">
        <f>IFERROR(__xludf.DUMMYFUNCTION("""COMPUTED_VALUE"""),97.0)</f>
        <v>97</v>
      </c>
      <c r="H177" s="2">
        <f>IFERROR(__xludf.DUMMYFUNCTION("""COMPUTED_VALUE"""),109.0)</f>
        <v>109</v>
      </c>
      <c r="I177" s="2">
        <f>IFERROR(__xludf.DUMMYFUNCTION("""COMPUTED_VALUE"""),121.2)</f>
        <v>121.2</v>
      </c>
      <c r="J177" s="2">
        <f>IFERROR(__xludf.DUMMYFUNCTION("""COMPUTED_VALUE"""),61.0)</f>
        <v>61</v>
      </c>
      <c r="K177" s="2">
        <f>IFERROR(__xludf.DUMMYFUNCTION("""COMPUTED_VALUE"""),40.0)</f>
        <v>40</v>
      </c>
      <c r="L177" s="2" t="str">
        <f>IFERROR(__xludf.DUMMYFUNCTION("""COMPUTED_VALUE"""),"SRA")</f>
        <v>SRA</v>
      </c>
      <c r="M177" s="2" t="str">
        <f>IFERROR(__xludf.DUMMYFUNCTION("""COMPUTED_VALUE"""),"LED Светильники")</f>
        <v>LED Светильники</v>
      </c>
    </row>
    <row r="178">
      <c r="A178" s="5" t="str">
        <f>IFERROR(__xludf.DUMMYFUNCTION("""COMPUTED_VALUE"""),"12-0144")</f>
        <v>12-0144</v>
      </c>
      <c r="B178" s="5" t="str">
        <f>IFERROR(__xludf.DUMMYFUNCTION("""COMPUTED_VALUE"""),"Цифровая термовоздушная паяльная станция 220 V/160-480 град. REXANT")</f>
        <v>Цифровая термовоздушная паяльная станция 220 V/160-480 град. REXANT</v>
      </c>
      <c r="C178" s="2">
        <f>IFERROR(__xludf.DUMMYFUNCTION("""COMPUTED_VALUE"""),0.0)</f>
        <v>0</v>
      </c>
      <c r="D178" s="2">
        <f>IFERROR(__xludf.DUMMYFUNCTION("""COMPUTED_VALUE"""),0.0)</f>
        <v>0</v>
      </c>
      <c r="E178" s="2">
        <f>IFERROR(__xludf.DUMMYFUNCTION("""COMPUTED_VALUE"""),1.0)</f>
        <v>1</v>
      </c>
      <c r="F178" s="2">
        <f>IFERROR(__xludf.DUMMYFUNCTION("""COMPUTED_VALUE"""),11306.0)</f>
        <v>11306</v>
      </c>
      <c r="G178" s="2">
        <f>IFERROR(__xludf.DUMMYFUNCTION("""COMPUTED_VALUE"""),12060.0)</f>
        <v>12060</v>
      </c>
      <c r="H178" s="2">
        <f>IFERROR(__xludf.DUMMYFUNCTION("""COMPUTED_VALUE"""),13568.0)</f>
        <v>13568</v>
      </c>
      <c r="I178" s="2">
        <f>IFERROR(__xludf.DUMMYFUNCTION("""COMPUTED_VALUE"""),15075.29)</f>
        <v>15075.29</v>
      </c>
      <c r="J178" s="2">
        <f>IFERROR(__xludf.DUMMYFUNCTION("""COMPUTED_VALUE"""),7538.0)</f>
        <v>7538</v>
      </c>
      <c r="K178" s="2">
        <f>IFERROR(__xludf.DUMMYFUNCTION("""COMPUTED_VALUE"""),2.0)</f>
        <v>2</v>
      </c>
      <c r="L178" s="2" t="str">
        <f>IFERROR(__xludf.DUMMYFUNCTION("""COMPUTED_VALUE"""),"Rexant")</f>
        <v>Rexant</v>
      </c>
      <c r="M178" s="2" t="str">
        <f>IFERROR(__xludf.DUMMYFUNCTION("""COMPUTED_VALUE"""),"Прочие товары")</f>
        <v>Прочие товары</v>
      </c>
    </row>
    <row r="179">
      <c r="A179" s="5" t="str">
        <f>IFERROR(__xludf.DUMMYFUNCTION("""COMPUTED_VALUE"""),"4690612034485")</f>
        <v>4690612034485</v>
      </c>
      <c r="B179" s="5" t="str">
        <f>IFERROR(__xludf.DUMMYFUNCTION("""COMPUTED_VALUE"""),"БС M1W с аккумулятором USB белый IN HOME")</f>
        <v>БС M1W с аккумулятором USB белый IN HOME</v>
      </c>
      <c r="C179" s="2">
        <f>IFERROR(__xludf.DUMMYFUNCTION("""COMPUTED_VALUE"""),0.08)</f>
        <v>0.08</v>
      </c>
      <c r="D179" s="2">
        <f>IFERROR(__xludf.DUMMYFUNCTION("""COMPUTED_VALUE"""),2.0E-4)</f>
        <v>0.0002</v>
      </c>
      <c r="E179" s="2">
        <f>IFERROR(__xludf.DUMMYFUNCTION("""COMPUTED_VALUE"""),1092.1)</f>
        <v>1092.1</v>
      </c>
      <c r="F179" s="2">
        <f>IFERROR(__xludf.DUMMYFUNCTION("""COMPUTED_VALUE"""),880.0)</f>
        <v>880</v>
      </c>
      <c r="G179" s="2">
        <f>IFERROR(__xludf.DUMMYFUNCTION("""COMPUTED_VALUE"""),990.0)</f>
        <v>990</v>
      </c>
      <c r="H179" s="2">
        <f>IFERROR(__xludf.DUMMYFUNCTION("""COMPUTED_VALUE"""),1148.0)</f>
        <v>1148</v>
      </c>
      <c r="I179" s="2">
        <f>IFERROR(__xludf.DUMMYFUNCTION("""COMPUTED_VALUE"""),1320.0)</f>
        <v>1320</v>
      </c>
      <c r="J179" s="2">
        <f>IFERROR(__xludf.DUMMYFUNCTION("""COMPUTED_VALUE"""),660.0)</f>
        <v>660</v>
      </c>
      <c r="K179" s="2">
        <f>IFERROR(__xludf.DUMMYFUNCTION("""COMPUTED_VALUE"""),8.0)</f>
        <v>8</v>
      </c>
      <c r="L179" s="2" t="str">
        <f>IFERROR(__xludf.DUMMYFUNCTION("""COMPUTED_VALUE"""),"Светильники светодиодные бактерицидные ультрафиолетовые")</f>
        <v>Светильники светодиодные бактерицидные ультрафиолетовые</v>
      </c>
      <c r="M179" s="2" t="str">
        <f>IFERROR(__xludf.DUMMYFUNCTION("""COMPUTED_VALUE"""),"Бактерицидные ультрафиолетовые  светильники (LED), LED Светильники")</f>
        <v>Бактерицидные ультрафиолетовые  светильники (LED), LED Светильники</v>
      </c>
    </row>
    <row r="180">
      <c r="A180" s="5" t="str">
        <f>IFERROR(__xludf.DUMMYFUNCTION("""COMPUTED_VALUE"""),"4690612020341")</f>
        <v>4690612020341</v>
      </c>
      <c r="B180" s="5" t="str">
        <f>IFERROR(__xludf.DUMMYFUNCTION("""COMPUTED_VALUE"""),"LED-JCDR-VC 11Вт 230В GU5.3 3000К 990Лм IN HOME")</f>
        <v>LED-JCDR-VC 11Вт 230В GU5.3 3000К 990Лм IN HOME</v>
      </c>
      <c r="C180" s="2">
        <f>IFERROR(__xludf.DUMMYFUNCTION("""COMPUTED_VALUE"""),0.03700000000000001)</f>
        <v>0.037</v>
      </c>
      <c r="D180" s="2">
        <f>IFERROR(__xludf.DUMMYFUNCTION("""COMPUTED_VALUE"""),2.1E-4)</f>
        <v>0.00021</v>
      </c>
      <c r="E180" s="2">
        <f>IFERROR(__xludf.DUMMYFUNCTION("""COMPUTED_VALUE"""),43.2)</f>
        <v>43.2</v>
      </c>
      <c r="F180" s="2">
        <f>IFERROR(__xludf.DUMMYFUNCTION("""COMPUTED_VALUE"""),48.0)</f>
        <v>48</v>
      </c>
      <c r="G180" s="2">
        <f>IFERROR(__xludf.DUMMYFUNCTION("""COMPUTED_VALUE"""),54.0)</f>
        <v>54</v>
      </c>
      <c r="H180" s="2">
        <f>IFERROR(__xludf.DUMMYFUNCTION("""COMPUTED_VALUE"""),63.0)</f>
        <v>63</v>
      </c>
      <c r="I180" s="2">
        <f>IFERROR(__xludf.DUMMYFUNCTION("""COMPUTED_VALUE"""),73.10000000000001)</f>
        <v>73.1</v>
      </c>
      <c r="J180" s="2">
        <f>IFERROR(__xludf.DUMMYFUNCTION("""COMPUTED_VALUE"""),37.0)</f>
        <v>37</v>
      </c>
      <c r="K180" s="2">
        <f>IFERROR(__xludf.DUMMYFUNCTION("""COMPUTED_VALUE"""),4.0)</f>
        <v>4</v>
      </c>
      <c r="L180" s="2" t="str">
        <f>IFERROR(__xludf.DUMMYFUNCTION("""COMPUTED_VALUE"""),"Лампа светодиодная LED-JCDR-standard")</f>
        <v>Лампа светодиодная LED-JCDR-standard</v>
      </c>
      <c r="M180" s="2" t="str">
        <f>IFERROR(__xludf.DUMMYFUNCTION("""COMPUTED_VALUE"""),"Лампы")</f>
        <v>Лампы</v>
      </c>
    </row>
    <row r="181">
      <c r="A181" s="5" t="str">
        <f>IFERROR(__xludf.DUMMYFUNCTION("""COMPUTED_VALUE"""),"4690612042596")</f>
        <v>4690612042596</v>
      </c>
      <c r="B181" s="5" t="str">
        <f>IFERROR(__xludf.DUMMYFUNCTION("""COMPUTED_VALUE"""),"ДСП-153Н 36Вт 230В 6500К 4500Лм 125лм/Вт 1200мм IP65 NEOX")</f>
        <v>ДСП-153Н 36Вт 230В 6500К 4500Лм 125лм/Вт 1200мм IP65 NEOX</v>
      </c>
      <c r="C181" s="2">
        <f>IFERROR(__xludf.DUMMYFUNCTION("""COMPUTED_VALUE"""),0.26)</f>
        <v>0.26</v>
      </c>
      <c r="D181" s="2">
        <f>IFERROR(__xludf.DUMMYFUNCTION("""COMPUTED_VALUE"""),0.0027)</f>
        <v>0.0027</v>
      </c>
      <c r="E181" s="2">
        <f>IFERROR(__xludf.DUMMYFUNCTION("""COMPUTED_VALUE"""),561.0)</f>
        <v>561</v>
      </c>
      <c r="F181" s="2">
        <f>IFERROR(__xludf.DUMMYFUNCTION("""COMPUTED_VALUE"""),463.0)</f>
        <v>463</v>
      </c>
      <c r="G181" s="2">
        <f>IFERROR(__xludf.DUMMYFUNCTION("""COMPUTED_VALUE"""),521.0)</f>
        <v>521</v>
      </c>
      <c r="H181" s="2">
        <f>IFERROR(__xludf.DUMMYFUNCTION("""COMPUTED_VALUE"""),605.0)</f>
        <v>605</v>
      </c>
      <c r="I181" s="2">
        <f>IFERROR(__xludf.DUMMYFUNCTION("""COMPUTED_VALUE"""),695.0)</f>
        <v>695</v>
      </c>
      <c r="J181" s="2">
        <f>IFERROR(__xludf.DUMMYFUNCTION("""COMPUTED_VALUE"""),348.0)</f>
        <v>348</v>
      </c>
      <c r="K181" s="2">
        <f>IFERROR(__xludf.DUMMYFUNCTION("""COMPUTED_VALUE"""),2.0)</f>
        <v>2</v>
      </c>
      <c r="L181" s="2" t="str">
        <f>IFERROR(__xludf.DUMMYFUNCTION("""COMPUTED_VALUE"""),"NEOX Светильники LED ДСП")</f>
        <v>NEOX Светильники LED ДСП</v>
      </c>
      <c r="M181" s="2" t="str">
        <f>IFERROR(__xludf.DUMMYFUNCTION("""COMPUTED_VALUE"""),"Пластиковые (линейные), LED Светильники")</f>
        <v>Пластиковые (линейные), LED Светильники</v>
      </c>
    </row>
    <row r="182">
      <c r="A182" s="5" t="str">
        <f>IFERROR(__xludf.DUMMYFUNCTION("""COMPUTED_VALUE"""),"4690612035161")</f>
        <v>4690612035161</v>
      </c>
      <c r="B182" s="5" t="str">
        <f>IFERROR(__xludf.DUMMYFUNCTION("""COMPUTED_VALUE"""),"COMFORT SIESTA 75Вт 230В 3000-6500K 6000Лм 525x90мм с пультом ДУ IN HOME")</f>
        <v>COMFORT SIESTA 75Вт 230В 3000-6500K 6000Лм 525x90мм с пультом ДУ IN HOME</v>
      </c>
      <c r="C182" s="2">
        <f>IFERROR(__xludf.DUMMYFUNCTION("""COMPUTED_VALUE"""),1.98)</f>
        <v>1.98</v>
      </c>
      <c r="D182" s="2">
        <f>IFERROR(__xludf.DUMMYFUNCTION("""COMPUTED_VALUE"""),0.028)</f>
        <v>0.028</v>
      </c>
      <c r="E182" s="2">
        <f>IFERROR(__xludf.DUMMYFUNCTION("""COMPUTED_VALUE"""),1970.23)</f>
        <v>1970.23</v>
      </c>
      <c r="F182" s="2">
        <f>IFERROR(__xludf.DUMMYFUNCTION("""COMPUTED_VALUE"""),1815.0)</f>
        <v>1815</v>
      </c>
      <c r="G182" s="2">
        <f>IFERROR(__xludf.DUMMYFUNCTION("""COMPUTED_VALUE"""),2042.0)</f>
        <v>2042</v>
      </c>
      <c r="H182" s="2">
        <f>IFERROR(__xludf.DUMMYFUNCTION("""COMPUTED_VALUE"""),2369.0)</f>
        <v>2369</v>
      </c>
      <c r="I182" s="2">
        <f>IFERROR(__xludf.DUMMYFUNCTION("""COMPUTED_VALUE"""),2723.0)</f>
        <v>2723</v>
      </c>
      <c r="J182" s="2">
        <f>IFERROR(__xludf.DUMMYFUNCTION("""COMPUTED_VALUE"""),1362.0)</f>
        <v>1362</v>
      </c>
      <c r="K182" s="2">
        <f>IFERROR(__xludf.DUMMYFUNCTION("""COMPUTED_VALUE"""),2.0)</f>
        <v>2</v>
      </c>
      <c r="L182" s="2" t="str">
        <f>IFERROR(__xludf.DUMMYFUNCTION("""COMPUTED_VALUE"""),"Светильники светодиодные COMFORT")</f>
        <v>Светильники светодиодные COMFORT</v>
      </c>
      <c r="M182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183">
      <c r="A183" s="5" t="str">
        <f>IFERROR(__xludf.DUMMYFUNCTION("""COMPUTED_VALUE"""),"R100627-2")</f>
        <v>R100627-2</v>
      </c>
      <c r="B183" s="5" t="str">
        <f>IFERROR(__xludf.DUMMYFUNCTION("""COMPUTED_VALUE"""),"RSV-SPO-02-56W-6500K PRI (2 штуки в упаковке)")</f>
        <v>RSV-SPO-02-56W-6500K PRI (2 штуки в упаковке)</v>
      </c>
      <c r="C183" s="2">
        <f>IFERROR(__xludf.DUMMYFUNCTION("""COMPUTED_VALUE"""),0.46)</f>
        <v>0.46</v>
      </c>
      <c r="D183" s="2">
        <f>IFERROR(__xludf.DUMMYFUNCTION("""COMPUTED_VALUE"""),0.0)</f>
        <v>0</v>
      </c>
      <c r="E183" s="2">
        <f>IFERROR(__xludf.DUMMYFUNCTION("""COMPUTED_VALUE"""),823.6)</f>
        <v>823.6</v>
      </c>
      <c r="F183" s="2">
        <f>IFERROR(__xludf.DUMMYFUNCTION("""COMPUTED_VALUE"""),1112.0)</f>
        <v>1112</v>
      </c>
      <c r="G183" s="2">
        <f>IFERROR(__xludf.DUMMYFUNCTION("""COMPUTED_VALUE"""),1186.0)</f>
        <v>1186</v>
      </c>
      <c r="H183" s="2">
        <f>IFERROR(__xludf.DUMMYFUNCTION("""COMPUTED_VALUE"""),1334.0)</f>
        <v>1334</v>
      </c>
      <c r="I183" s="2">
        <f>IFERROR(__xludf.DUMMYFUNCTION("""COMPUTED_VALUE"""),1482.0)</f>
        <v>1482</v>
      </c>
      <c r="J183" s="2">
        <f>IFERROR(__xludf.DUMMYFUNCTION("""COMPUTED_VALUE"""),741.0)</f>
        <v>741</v>
      </c>
      <c r="K183" s="2">
        <f>IFERROR(__xludf.DUMMYFUNCTION("""COMPUTED_VALUE"""),3.0)</f>
        <v>3</v>
      </c>
      <c r="L183" s="2" t="str">
        <f>IFERROR(__xludf.DUMMYFUNCTION("""COMPUTED_VALUE"""),"RSV-SPO Светильники Производство, упаковка (2 и 3 штуки)")</f>
        <v>RSV-SPO Светильники Производство, упаковка (2 и 3 штуки)</v>
      </c>
      <c r="M183" s="2" t="str">
        <f>IFERROR(__xludf.DUMMYFUNCTION("""COMPUTED_VALUE"""),"Пластиковые (линейные), Светильники общего назначения (LED), Накладные, Линейные (проходные), LED Светильники")</f>
        <v>Пластиковые (линейные), Светильники общего назначения (LED), Накладные, Линейные (проходные), LED Светильники</v>
      </c>
    </row>
    <row r="184">
      <c r="A184" s="5" t="str">
        <f>IFERROR(__xludf.DUMMYFUNCTION("""COMPUTED_VALUE"""),"4690612013503")</f>
        <v>4690612013503</v>
      </c>
      <c r="B184" s="5" t="str">
        <f>IFERROR(__xludf.DUMMYFUNCTION("""COMPUTED_VALUE"""),"ССО-03Ч 9Вт сенсор-диммер ночник адаптер ЧЕРНЫЙ IN HOME")</f>
        <v>ССО-03Ч 9Вт сенсор-диммер ночник адаптер ЧЕРНЫЙ IN HOME</v>
      </c>
      <c r="C184" s="2">
        <f>IFERROR(__xludf.DUMMYFUNCTION("""COMPUTED_VALUE"""),0.62)</f>
        <v>0.62</v>
      </c>
      <c r="D184" s="2">
        <f>IFERROR(__xludf.DUMMYFUNCTION("""COMPUTED_VALUE"""),0.004500000000000001)</f>
        <v>0.0045</v>
      </c>
      <c r="E184" s="2">
        <f>IFERROR(__xludf.DUMMYFUNCTION("""COMPUTED_VALUE"""),1023.38)</f>
        <v>1023.38</v>
      </c>
      <c r="F184" s="2">
        <f>IFERROR(__xludf.DUMMYFUNCTION("""COMPUTED_VALUE"""),813.0)</f>
        <v>813</v>
      </c>
      <c r="G184" s="2">
        <f>IFERROR(__xludf.DUMMYFUNCTION("""COMPUTED_VALUE"""),915.0)</f>
        <v>915</v>
      </c>
      <c r="H184" s="2">
        <f>IFERROR(__xludf.DUMMYFUNCTION("""COMPUTED_VALUE"""),1061.0)</f>
        <v>1061</v>
      </c>
      <c r="I184" s="2">
        <f>IFERROR(__xludf.DUMMYFUNCTION("""COMPUTED_VALUE"""),1220.0)</f>
        <v>1220</v>
      </c>
      <c r="J184" s="2">
        <f>IFERROR(__xludf.DUMMYFUNCTION("""COMPUTED_VALUE"""),610.0)</f>
        <v>610</v>
      </c>
      <c r="K184" s="2">
        <f>IFERROR(__xludf.DUMMYFUNCTION("""COMPUTED_VALUE"""),7.0)</f>
        <v>7</v>
      </c>
      <c r="L184" s="2" t="str">
        <f>IFERROR(__xludf.DUMMYFUNCTION("""COMPUTED_VALUE"""),"Светильники настольные светодиодные")</f>
        <v>Светильники настольные светодиодные</v>
      </c>
      <c r="M184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185">
      <c r="A185" s="5" t="str">
        <f>IFERROR(__xludf.DUMMYFUNCTION("""COMPUTED_VALUE"""),"GL8241")</f>
        <v>GL8241</v>
      </c>
      <c r="B185" s="5" t="str">
        <f>IFERROR(__xludf.DUMMYFUNCTION("""COMPUTED_VALUE"""),"GLERIO Line Shell 24 Вт 4000К 92P-24D-4P-P")</f>
        <v>GLERIO Line Shell 24 Вт 4000К 92P-24D-4P-P</v>
      </c>
      <c r="C185" s="2">
        <f>IFERROR(__xludf.DUMMYFUNCTION("""COMPUTED_VALUE"""),1.575)</f>
        <v>1.575</v>
      </c>
      <c r="D185" s="2">
        <f>IFERROR(__xludf.DUMMYFUNCTION("""COMPUTED_VALUE"""),0.00495)</f>
        <v>0.00495</v>
      </c>
      <c r="E185" s="2">
        <f>IFERROR(__xludf.DUMMYFUNCTION("""COMPUTED_VALUE"""),1855.42)</f>
        <v>1855.42</v>
      </c>
      <c r="F185" s="2">
        <f>IFERROR(__xludf.DUMMYFUNCTION("""COMPUTED_VALUE"""),2150.0)</f>
        <v>2150</v>
      </c>
      <c r="G185" s="2">
        <f>IFERROR(__xludf.DUMMYFUNCTION("""COMPUTED_VALUE"""),2707.0)</f>
        <v>2707</v>
      </c>
      <c r="H185" s="2">
        <f>IFERROR(__xludf.DUMMYFUNCTION("""COMPUTED_VALUE"""),3040.0)</f>
        <v>3040</v>
      </c>
      <c r="I185" s="2">
        <f>IFERROR(__xludf.DUMMYFUNCTION("""COMPUTED_VALUE"""),3373.0)</f>
        <v>3373</v>
      </c>
      <c r="J185" s="2">
        <f>IFERROR(__xludf.DUMMYFUNCTION("""COMPUTED_VALUE"""),1687.0)</f>
        <v>1687</v>
      </c>
      <c r="K185" s="2">
        <f>IFERROR(__xludf.DUMMYFUNCTION("""COMPUTED_VALUE"""),1.0)</f>
        <v>1</v>
      </c>
      <c r="L185" s="2" t="str">
        <f>IFERROR(__xludf.DUMMYFUNCTION("""COMPUTED_VALUE"""),"Line Shell, Free (Retail) до 10.2025")</f>
        <v>Line Shell, Free (Retail) до 10.2025</v>
      </c>
      <c r="M185" s="2" t="str">
        <f>IFERROR(__xludf.DUMMYFUNCTION("""COMPUTED_VALUE"""),"Металлические (линейные), LED Светильники")</f>
        <v>Металлические (линейные), LED Светильники</v>
      </c>
    </row>
    <row r="186">
      <c r="A186" s="5" t="str">
        <f>IFERROR(__xludf.DUMMYFUNCTION("""COMPUTED_VALUE"""),"ves2017")</f>
        <v>ves2017</v>
      </c>
      <c r="B186" s="5" t="str">
        <f>IFERROR(__xludf.DUMMYFUNCTION("""COMPUTED_VALUE"""),"Вилка переносная 025 3Р+РЕ+N 32А 380В IP44")</f>
        <v>Вилка переносная 025 3Р+РЕ+N 32А 380В IP44</v>
      </c>
      <c r="C186" s="2">
        <f>IFERROR(__xludf.DUMMYFUNCTION("""COMPUTED_VALUE"""),0.0)</f>
        <v>0</v>
      </c>
      <c r="D186" s="2">
        <f>IFERROR(__xludf.DUMMYFUNCTION("""COMPUTED_VALUE"""),0.0)</f>
        <v>0</v>
      </c>
      <c r="E186" s="2">
        <f>IFERROR(__xludf.DUMMYFUNCTION("""COMPUTED_VALUE"""),225.18)</f>
        <v>225.18</v>
      </c>
      <c r="F186" s="2">
        <f>IFERROR(__xludf.DUMMYFUNCTION("""COMPUTED_VALUE"""),286.0)</f>
        <v>286</v>
      </c>
      <c r="G186" s="2">
        <f>IFERROR(__xludf.DUMMYFUNCTION("""COMPUTED_VALUE"""),305.0)</f>
        <v>305</v>
      </c>
      <c r="H186" s="2">
        <f>IFERROR(__xludf.DUMMYFUNCTION("""COMPUTED_VALUE"""),343.0)</f>
        <v>343</v>
      </c>
      <c r="I186" s="2">
        <f>IFERROR(__xludf.DUMMYFUNCTION("""COMPUTED_VALUE"""),381.41)</f>
        <v>381.41</v>
      </c>
      <c r="J186" s="2">
        <f>IFERROR(__xludf.DUMMYFUNCTION("""COMPUTED_VALUE"""),191.0)</f>
        <v>191</v>
      </c>
      <c r="K186" s="2">
        <f>IFERROR(__xludf.DUMMYFUNCTION("""COMPUTED_VALUE"""),3.0)</f>
        <v>3</v>
      </c>
      <c r="L186" s="2" t="str">
        <f>IFERROR(__xludf.DUMMYFUNCTION("""COMPUTED_VALUE"""),"ves2 (тендер)")</f>
        <v>ves2 (тендер)</v>
      </c>
      <c r="M186" s="2" t="str">
        <f>IFERROR(__xludf.DUMMYFUNCTION("""COMPUTED_VALUE"""),"Прочие товары")</f>
        <v>Прочие товары</v>
      </c>
    </row>
    <row r="187">
      <c r="A187" s="5" t="str">
        <f>IFERROR(__xludf.DUMMYFUNCTION("""COMPUTED_VALUE"""),"R102811")</f>
        <v>R102811</v>
      </c>
      <c r="B187" s="5" t="str">
        <f>IFERROR(__xludf.DUMMYFUNCTION("""COMPUTED_VALUE"""),"RSV-SFL-3-70W-6500K-IP65")</f>
        <v>RSV-SFL-3-70W-6500K-IP65</v>
      </c>
      <c r="C187" s="2">
        <f>IFERROR(__xludf.DUMMYFUNCTION("""COMPUTED_VALUE"""),0.645)</f>
        <v>0.645</v>
      </c>
      <c r="D187" s="2">
        <f>IFERROR(__xludf.DUMMYFUNCTION("""COMPUTED_VALUE"""),0.00145)</f>
        <v>0.00145</v>
      </c>
      <c r="E187" s="2">
        <f>IFERROR(__xludf.DUMMYFUNCTION("""COMPUTED_VALUE"""),585.52)</f>
        <v>585.52</v>
      </c>
      <c r="F187" s="2">
        <f>IFERROR(__xludf.DUMMYFUNCTION("""COMPUTED_VALUE"""),840.0)</f>
        <v>840</v>
      </c>
      <c r="G187" s="2">
        <f>IFERROR(__xludf.DUMMYFUNCTION("""COMPUTED_VALUE"""),988.0)</f>
        <v>988</v>
      </c>
      <c r="H187" s="2">
        <f>IFERROR(__xludf.DUMMYFUNCTION("""COMPUTED_VALUE"""),1018.0)</f>
        <v>1018</v>
      </c>
      <c r="I187" s="2">
        <f>IFERROR(__xludf.DUMMYFUNCTION("""COMPUTED_VALUE"""),1170.0)</f>
        <v>1170</v>
      </c>
      <c r="J187" s="2">
        <f>IFERROR(__xludf.DUMMYFUNCTION("""COMPUTED_VALUE"""),988.0)</f>
        <v>988</v>
      </c>
      <c r="K187" s="2">
        <f>IFERROR(__xludf.DUMMYFUNCTION("""COMPUTED_VALUE"""),7.0)</f>
        <v>7</v>
      </c>
      <c r="L187" s="2" t="str">
        <f>IFERROR(__xludf.DUMMYFUNCTION("""COMPUTED_VALUE"""),"Прожекторы RSV-SFL-3")</f>
        <v>Прожекторы RSV-SFL-3</v>
      </c>
      <c r="M187" s="2" t="str">
        <f>IFERROR(__xludf.DUMMYFUNCTION("""COMPUTED_VALUE"""),"Без датчиков, LED Светильники")</f>
        <v>Без датчиков, LED Светильники</v>
      </c>
    </row>
    <row r="188">
      <c r="A188" s="5" t="str">
        <f>IFERROR(__xludf.DUMMYFUNCTION("""COMPUTED_VALUE"""),"4690612035512")</f>
        <v>4690612035512</v>
      </c>
      <c r="B188" s="5" t="str">
        <f>IFERROR(__xludf.DUMMYFUNCTION("""COMPUTED_VALUE"""),"TR-07-TL 15Вт 4000К 1500Лм IP40 24 градуса черный серии TOP-LINE IN HOME")</f>
        <v>TR-07-TL 15Вт 4000К 1500Лм IP40 24 градуса черный серии TOP-LINE IN HOME</v>
      </c>
      <c r="C188" s="2">
        <f>IFERROR(__xludf.DUMMYFUNCTION("""COMPUTED_VALUE"""),0.22)</f>
        <v>0.22</v>
      </c>
      <c r="D188" s="2">
        <f>IFERROR(__xludf.DUMMYFUNCTION("""COMPUTED_VALUE"""),0.001)</f>
        <v>0.001</v>
      </c>
      <c r="E188" s="2">
        <f>IFERROR(__xludf.DUMMYFUNCTION("""COMPUTED_VALUE"""),432.0)</f>
        <v>432</v>
      </c>
      <c r="F188" s="2">
        <f>IFERROR(__xludf.DUMMYFUNCTION("""COMPUTED_VALUE"""),489.0)</f>
        <v>489</v>
      </c>
      <c r="G188" s="2">
        <f>IFERROR(__xludf.DUMMYFUNCTION("""COMPUTED_VALUE"""),551.0)</f>
        <v>551</v>
      </c>
      <c r="H188" s="2">
        <f>IFERROR(__xludf.DUMMYFUNCTION("""COMPUTED_VALUE"""),639.0)</f>
        <v>639</v>
      </c>
      <c r="I188" s="2">
        <f>IFERROR(__xludf.DUMMYFUNCTION("""COMPUTED_VALUE"""),734.0)</f>
        <v>734</v>
      </c>
      <c r="J188" s="2">
        <f>IFERROR(__xludf.DUMMYFUNCTION("""COMPUTED_VALUE"""),367.0)</f>
        <v>367</v>
      </c>
      <c r="K188" s="2">
        <f>IFERROR(__xludf.DUMMYFUNCTION("""COMPUTED_VALUE"""),10.0)</f>
        <v>10</v>
      </c>
      <c r="L188" s="2" t="str">
        <f>IFERROR(__xludf.DUMMYFUNCTION("""COMPUTED_VALUE"""),"Светильники светодиодные трековые TR-01, 02, 03, 04, 05, 06, 07, 08")</f>
        <v>Светильники светодиодные трековые TR-01, 02, 03, 04, 05, 06, 07, 08</v>
      </c>
      <c r="M188" s="2" t="str">
        <f>IFERROR(__xludf.DUMMYFUNCTION("""COMPUTED_VALUE"""),"Трековые, LED Светильники")</f>
        <v>Трековые, LED Светильники</v>
      </c>
    </row>
    <row r="189">
      <c r="A189" s="5" t="str">
        <f>IFERROR(__xludf.DUMMYFUNCTION("""COMPUTED_VALUE"""),"R100628")</f>
        <v>R100628</v>
      </c>
      <c r="B189" s="5" t="str">
        <f>IFERROR(__xludf.DUMMYFUNCTION("""COMPUTED_VALUE"""),"RSV-SPO-02-56W-6500К TPR")</f>
        <v>RSV-SPO-02-56W-6500К TPR</v>
      </c>
      <c r="C189" s="2">
        <f>IFERROR(__xludf.DUMMYFUNCTION("""COMPUTED_VALUE"""),0.41667)</f>
        <v>0.41667</v>
      </c>
      <c r="D189" s="2">
        <f>IFERROR(__xludf.DUMMYFUNCTION("""COMPUTED_VALUE"""),0.00287)</f>
        <v>0.00287</v>
      </c>
      <c r="E189" s="2">
        <f>IFERROR(__xludf.DUMMYFUNCTION("""COMPUTED_VALUE"""),371.58)</f>
        <v>371.58</v>
      </c>
      <c r="F189" s="2">
        <f>IFERROR(__xludf.DUMMYFUNCTION("""COMPUTED_VALUE"""),272.0)</f>
        <v>272</v>
      </c>
      <c r="G189" s="2">
        <f>IFERROR(__xludf.DUMMYFUNCTION("""COMPUTED_VALUE"""),320.0)</f>
        <v>320</v>
      </c>
      <c r="H189" s="2">
        <f>IFERROR(__xludf.DUMMYFUNCTION("""COMPUTED_VALUE"""),330.0)</f>
        <v>330</v>
      </c>
      <c r="I189" s="2">
        <f>IFERROR(__xludf.DUMMYFUNCTION("""COMPUTED_VALUE"""),380.0)</f>
        <v>380</v>
      </c>
      <c r="J189" s="2">
        <f>IFERROR(__xludf.DUMMYFUNCTION("""COMPUTED_VALUE"""),380.0)</f>
        <v>380</v>
      </c>
      <c r="K189" s="2">
        <f>IFERROR(__xludf.DUMMYFUNCTION("""COMPUTED_VALUE"""),0.0)</f>
        <v>0</v>
      </c>
      <c r="L189" s="2" t="str">
        <f>IFERROR(__xludf.DUMMYFUNCTION("""COMPUTED_VALUE"""),"Офисный светильник RSV-SPO-02, SPO-03 (Сталь)")</f>
        <v>Офисный светильник RSV-SPO-02, SPO-03 (Сталь)</v>
      </c>
      <c r="M189" s="2" t="str">
        <f>IFERROR(__xludf.DUMMYFUNCTION("""COMPUTED_VALUE"""),"Накладные, Без датчиков, LED Светильники")</f>
        <v>Накладные, Без датчиков, LED Светильники</v>
      </c>
    </row>
    <row r="190">
      <c r="A190" s="5" t="str">
        <f>IFERROR(__xludf.DUMMYFUNCTION("""COMPUTED_VALUE"""),"12-0164")</f>
        <v>12-0164</v>
      </c>
      <c r="B190" s="5" t="str">
        <f>IFERROR(__xludf.DUMMYFUNCTION("""COMPUTED_VALUE"""),"Набор для пайки (паяльник импульсный 30/70 Вт, оловоотсос, подставка, припой) REXANT")</f>
        <v>Набор для пайки (паяльник импульсный 30/70 Вт, оловоотсос, подставка, припой) REXANT</v>
      </c>
      <c r="C190" s="2">
        <f>IFERROR(__xludf.DUMMYFUNCTION("""COMPUTED_VALUE"""),0.0)</f>
        <v>0</v>
      </c>
      <c r="D190" s="2">
        <f>IFERROR(__xludf.DUMMYFUNCTION("""COMPUTED_VALUE"""),0.0)</f>
        <v>0</v>
      </c>
      <c r="E190" s="2">
        <f>IFERROR(__xludf.DUMMYFUNCTION("""COMPUTED_VALUE"""),1.0)</f>
        <v>1</v>
      </c>
      <c r="F190" s="2">
        <f>IFERROR(__xludf.DUMMYFUNCTION("""COMPUTED_VALUE"""),1275.0)</f>
        <v>1275</v>
      </c>
      <c r="G190" s="2">
        <f>IFERROR(__xludf.DUMMYFUNCTION("""COMPUTED_VALUE"""),1360.0)</f>
        <v>1360</v>
      </c>
      <c r="H190" s="2">
        <f>IFERROR(__xludf.DUMMYFUNCTION("""COMPUTED_VALUE"""),1530.0)</f>
        <v>1530</v>
      </c>
      <c r="I190" s="2">
        <f>IFERROR(__xludf.DUMMYFUNCTION("""COMPUTED_VALUE"""),1699.5)</f>
        <v>1699.5</v>
      </c>
      <c r="J190" s="2">
        <f>IFERROR(__xludf.DUMMYFUNCTION("""COMPUTED_VALUE"""),850.0)</f>
        <v>850</v>
      </c>
      <c r="K190" s="2">
        <f>IFERROR(__xludf.DUMMYFUNCTION("""COMPUTED_VALUE"""),1.0)</f>
        <v>1</v>
      </c>
      <c r="L190" s="2" t="str">
        <f>IFERROR(__xludf.DUMMYFUNCTION("""COMPUTED_VALUE"""),"Rexant")</f>
        <v>Rexant</v>
      </c>
      <c r="M190" s="2" t="str">
        <f>IFERROR(__xludf.DUMMYFUNCTION("""COMPUTED_VALUE"""),"Прочие товары")</f>
        <v>Прочие товары</v>
      </c>
    </row>
    <row r="191">
      <c r="A191" s="5" t="str">
        <f>IFERROR(__xludf.DUMMYFUNCTION("""COMPUTED_VALUE"""),"13-0034")</f>
        <v>13-0034</v>
      </c>
      <c r="B191" s="5" t="str">
        <f>IFERROR(__xludf.DUMMYFUNCTION("""COMPUTED_VALUE"""),"Щупы тестера UNI-T UT-L27")</f>
        <v>Щупы тестера UNI-T UT-L27</v>
      </c>
      <c r="C191" s="2">
        <f>IFERROR(__xludf.DUMMYFUNCTION("""COMPUTED_VALUE"""),0.0)</f>
        <v>0</v>
      </c>
      <c r="D191" s="2">
        <f>IFERROR(__xludf.DUMMYFUNCTION("""COMPUTED_VALUE"""),0.0)</f>
        <v>0</v>
      </c>
      <c r="E191" s="2">
        <f>IFERROR(__xludf.DUMMYFUNCTION("""COMPUTED_VALUE"""),1.0)</f>
        <v>1</v>
      </c>
      <c r="F191" s="2">
        <f>IFERROR(__xludf.DUMMYFUNCTION("""COMPUTED_VALUE"""),713.0)</f>
        <v>713</v>
      </c>
      <c r="G191" s="2">
        <f>IFERROR(__xludf.DUMMYFUNCTION("""COMPUTED_VALUE"""),760.0)</f>
        <v>760</v>
      </c>
      <c r="H191" s="2">
        <f>IFERROR(__xludf.DUMMYFUNCTION("""COMPUTED_VALUE"""),855.0)</f>
        <v>855</v>
      </c>
      <c r="I191" s="2">
        <f>IFERROR(__xludf.DUMMYFUNCTION("""COMPUTED_VALUE"""),950.5)</f>
        <v>950.5</v>
      </c>
      <c r="J191" s="2">
        <f>IFERROR(__xludf.DUMMYFUNCTION("""COMPUTED_VALUE"""),475.0)</f>
        <v>475</v>
      </c>
      <c r="K191" s="2">
        <f>IFERROR(__xludf.DUMMYFUNCTION("""COMPUTED_VALUE"""),3.0)</f>
        <v>3</v>
      </c>
      <c r="L191" s="2" t="str">
        <f>IFERROR(__xludf.DUMMYFUNCTION("""COMPUTED_VALUE"""),"Rexant")</f>
        <v>Rexant</v>
      </c>
      <c r="M191" s="2" t="str">
        <f>IFERROR(__xludf.DUMMYFUNCTION("""COMPUTED_VALUE"""),"Прочие товары")</f>
        <v>Прочие товары</v>
      </c>
    </row>
    <row r="192">
      <c r="A192" s="5" t="str">
        <f>IFERROR(__xludf.DUMMYFUNCTION("""COMPUTED_VALUE"""),"14690612053858")</f>
        <v>14690612053858</v>
      </c>
      <c r="B192" s="5" t="str">
        <f>IFERROR(__xludf.DUMMYFUNCTION("""COMPUTED_VALUE"""),"ДВО-02 4565-ПРИЗМА 45Вт 230В 6500К 4500Лм 100Лм/Вт 595х595х19 NEOX (4 шт в упак.)")</f>
        <v>ДВО-02 4565-ПРИЗМА 45Вт 230В 6500К 4500Лм 100Лм/Вт 595х595х19 NEOX (4 шт в упак.)</v>
      </c>
      <c r="C192" s="2">
        <f>IFERROR(__xludf.DUMMYFUNCTION("""COMPUTED_VALUE"""),1.075)</f>
        <v>1.075</v>
      </c>
      <c r="D192" s="2">
        <f>IFERROR(__xludf.DUMMYFUNCTION("""COMPUTED_VALUE"""),0.0)</f>
        <v>0</v>
      </c>
      <c r="E192" s="2">
        <f>IFERROR(__xludf.DUMMYFUNCTION("""COMPUTED_VALUE"""),2259.34)</f>
        <v>2259.34</v>
      </c>
      <c r="F192" s="2">
        <f>IFERROR(__xludf.DUMMYFUNCTION("""COMPUTED_VALUE"""),2479.0)</f>
        <v>2479</v>
      </c>
      <c r="G192" s="2">
        <f>IFERROR(__xludf.DUMMYFUNCTION("""COMPUTED_VALUE"""),3254.0)</f>
        <v>3254</v>
      </c>
      <c r="H192" s="2">
        <f>IFERROR(__xludf.DUMMYFUNCTION("""COMPUTED_VALUE"""),3660.0)</f>
        <v>3660</v>
      </c>
      <c r="I192" s="2">
        <f>IFERROR(__xludf.DUMMYFUNCTION("""COMPUTED_VALUE"""),4067.0)</f>
        <v>4067</v>
      </c>
      <c r="J192" s="2">
        <f>IFERROR(__xludf.DUMMYFUNCTION("""COMPUTED_VALUE"""),4067.0)</f>
        <v>4067</v>
      </c>
      <c r="K192" s="2">
        <f>IFERROR(__xludf.DUMMYFUNCTION("""COMPUTED_VALUE"""),0.0)</f>
        <v>0</v>
      </c>
      <c r="L192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192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193">
      <c r="A193" s="5" t="str">
        <f>IFERROR(__xludf.DUMMYFUNCTION("""COMPUTED_VALUE"""),"V9013")</f>
        <v>V9013</v>
      </c>
      <c r="B193" s="5" t="str">
        <f>IFERROR(__xludf.DUMMYFUNCTION("""COMPUTED_VALUE"""),"VRN-UNE-62-G40K67-U, 62Вт, Универсальный")</f>
        <v>VRN-UNE-62-G40K67-U, 62Вт, Универсальный</v>
      </c>
      <c r="C193" s="2">
        <f>IFERROR(__xludf.DUMMYFUNCTION("""COMPUTED_VALUE"""),1.4)</f>
        <v>1.4</v>
      </c>
      <c r="D193" s="2">
        <f>IFERROR(__xludf.DUMMYFUNCTION("""COMPUTED_VALUE"""),0.00564)</f>
        <v>0.00564</v>
      </c>
      <c r="E193" s="2">
        <f>IFERROR(__xludf.DUMMYFUNCTION("""COMPUTED_VALUE"""),2281.42)</f>
        <v>2281.42</v>
      </c>
      <c r="F193" s="2">
        <f>IFERROR(__xludf.DUMMYFUNCTION("""COMPUTED_VALUE"""),2605.0)</f>
        <v>2605</v>
      </c>
      <c r="G193" s="2">
        <f>IFERROR(__xludf.DUMMYFUNCTION("""COMPUTED_VALUE"""),3387.0)</f>
        <v>3387</v>
      </c>
      <c r="H193" s="2">
        <f>IFERROR(__xludf.DUMMYFUNCTION("""COMPUTED_VALUE"""),3556.0)</f>
        <v>3556</v>
      </c>
      <c r="I193" s="2">
        <f>IFERROR(__xludf.DUMMYFUNCTION("""COMPUTED_VALUE"""),3725.0)</f>
        <v>3725</v>
      </c>
      <c r="J193" s="2">
        <f>IFERROR(__xludf.DUMMYFUNCTION("""COMPUTED_VALUE"""),3725.0)</f>
        <v>3725</v>
      </c>
      <c r="K193" s="2">
        <f>IFERROR(__xludf.DUMMYFUNCTION("""COMPUTED_VALUE"""),55.0)</f>
        <v>55</v>
      </c>
      <c r="L193" s="2" t="str">
        <f>IFERROR(__xludf.DUMMYFUNCTION("""COMPUTED_VALUE"""),"Универсал Эконом")</f>
        <v>Универсал Эконом</v>
      </c>
      <c r="M193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194">
      <c r="A194" s="5" t="str">
        <f>IFERROR(__xludf.DUMMYFUNCTION("""COMPUTED_VALUE"""),"4260693449883")</f>
        <v>4260693449883</v>
      </c>
      <c r="B194" s="5" t="str">
        <f>IFERROR(__xludf.DUMMYFUNCTION("""COMPUTED_VALUE"""),"WML-PL/02B")</f>
        <v>WML-PL/02B</v>
      </c>
      <c r="C194" s="2">
        <f>IFERROR(__xludf.DUMMYFUNCTION("""COMPUTED_VALUE"""),0.07500000000000001)</f>
        <v>0.075</v>
      </c>
      <c r="D194" s="2">
        <f>IFERROR(__xludf.DUMMYFUNCTION("""COMPUTED_VALUE"""),0.0246)</f>
        <v>0.0246</v>
      </c>
      <c r="E194" s="2">
        <f>IFERROR(__xludf.DUMMYFUNCTION("""COMPUTED_VALUE"""),509.6)</f>
        <v>509.6</v>
      </c>
      <c r="F194" s="2">
        <f>IFERROR(__xludf.DUMMYFUNCTION("""COMPUTED_VALUE"""),467.0)</f>
        <v>467</v>
      </c>
      <c r="G194" s="2">
        <f>IFERROR(__xludf.DUMMYFUNCTION("""COMPUTED_VALUE"""),483.0)</f>
        <v>483</v>
      </c>
      <c r="H194" s="2">
        <f>IFERROR(__xludf.DUMMYFUNCTION("""COMPUTED_VALUE"""),634.0)</f>
        <v>634</v>
      </c>
      <c r="I194" s="2">
        <f>IFERROR(__xludf.DUMMYFUNCTION("""COMPUTED_VALUE"""),792.0)</f>
        <v>792</v>
      </c>
      <c r="J194" s="2">
        <f>IFERROR(__xludf.DUMMYFUNCTION("""COMPUTED_VALUE"""),396.0)</f>
        <v>396</v>
      </c>
      <c r="K194" s="2">
        <f>IFERROR(__xludf.DUMMYFUNCTION("""COMPUTED_VALUE"""),1.0)</f>
        <v>1</v>
      </c>
      <c r="L194" s="2" t="str">
        <f>IFERROR(__xludf.DUMMYFUNCTION("""COMPUTED_VALUE"""),"Wolta трековые")</f>
        <v>Wolta трековые</v>
      </c>
      <c r="M194" s="2" t="str">
        <f>IFERROR(__xludf.DUMMYFUNCTION("""COMPUTED_VALUE"""),"Трековые, LED Светильники")</f>
        <v>Трековые, LED Светильники</v>
      </c>
    </row>
    <row r="195">
      <c r="A195" s="5" t="str">
        <f>IFERROR(__xludf.DUMMYFUNCTION("""COMPUTED_VALUE"""),"4690612052991-1")</f>
        <v>4690612052991-1</v>
      </c>
      <c r="B195" s="5" t="str">
        <f>IFERROR(__xludf.DUMMYFUNCTION("""COMPUTED_VALUE"""),"ДВО-01 4565-ПРИЗМА 45Вт 6500К 180х1195х19 NEOX (в индивидуальной упаковке)")</f>
        <v>ДВО-01 4565-ПРИЗМА 45Вт 6500К 180х1195х19 NEOX (в индивидуальной упаковке)</v>
      </c>
      <c r="C195" s="2">
        <f>IFERROR(__xludf.DUMMYFUNCTION("""COMPUTED_VALUE"""),0.0)</f>
        <v>0</v>
      </c>
      <c r="D195" s="2">
        <f>IFERROR(__xludf.DUMMYFUNCTION("""COMPUTED_VALUE"""),0.0)</f>
        <v>0</v>
      </c>
      <c r="E195" s="2">
        <f>IFERROR(__xludf.DUMMYFUNCTION("""COMPUTED_VALUE"""),698.0500000000001)</f>
        <v>698.05</v>
      </c>
      <c r="F195" s="2">
        <f>IFERROR(__xludf.DUMMYFUNCTION("""COMPUTED_VALUE"""),766.0)</f>
        <v>766</v>
      </c>
      <c r="G195" s="2">
        <f>IFERROR(__xludf.DUMMYFUNCTION("""COMPUTED_VALUE"""),1005.0)</f>
        <v>1005</v>
      </c>
      <c r="H195" s="2">
        <f>IFERROR(__xludf.DUMMYFUNCTION("""COMPUTED_VALUE"""),1130.0)</f>
        <v>1130</v>
      </c>
      <c r="I195" s="2">
        <f>IFERROR(__xludf.DUMMYFUNCTION("""COMPUTED_VALUE"""),1256.0)</f>
        <v>1256</v>
      </c>
      <c r="J195" s="2">
        <f>IFERROR(__xludf.DUMMYFUNCTION("""COMPUTED_VALUE"""),628.0)</f>
        <v>628</v>
      </c>
      <c r="K195" s="2">
        <f>IFERROR(__xludf.DUMMYFUNCTION("""COMPUTED_VALUE"""),23.0)</f>
        <v>23</v>
      </c>
      <c r="L195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195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196">
      <c r="A196" s="5" t="str">
        <f>IFERROR(__xludf.DUMMYFUNCTION("""COMPUTED_VALUE"""),"4690612051949")</f>
        <v>4690612051949</v>
      </c>
      <c r="B196" s="5" t="str">
        <f>IFERROR(__xludf.DUMMYFUNCTION("""COMPUTED_VALUE"""),"ДБУ BARREL-1530BL 15Вт 3000К IP54 черный IN HOME")</f>
        <v>ДБУ BARREL-1530BL 15Вт 3000К IP54 черный IN HOME</v>
      </c>
      <c r="C196" s="2">
        <f>IFERROR(__xludf.DUMMYFUNCTION("""COMPUTED_VALUE"""),0.417)</f>
        <v>0.417</v>
      </c>
      <c r="D196" s="2">
        <f>IFERROR(__xludf.DUMMYFUNCTION("""COMPUTED_VALUE"""),0.002)</f>
        <v>0.002</v>
      </c>
      <c r="E196" s="2">
        <f>IFERROR(__xludf.DUMMYFUNCTION("""COMPUTED_VALUE"""),599.4)</f>
        <v>599.4</v>
      </c>
      <c r="F196" s="2">
        <f>IFERROR(__xludf.DUMMYFUNCTION("""COMPUTED_VALUE"""),611.0)</f>
        <v>611</v>
      </c>
      <c r="G196" s="2">
        <f>IFERROR(__xludf.DUMMYFUNCTION("""COMPUTED_VALUE"""),688.0)</f>
        <v>688</v>
      </c>
      <c r="H196" s="2">
        <f>IFERROR(__xludf.DUMMYFUNCTION("""COMPUTED_VALUE"""),798.0)</f>
        <v>798</v>
      </c>
      <c r="I196" s="2">
        <f>IFERROR(__xludf.DUMMYFUNCTION("""COMPUTED_VALUE"""),917.0)</f>
        <v>917</v>
      </c>
      <c r="J196" s="2">
        <f>IFERROR(__xludf.DUMMYFUNCTION("""COMPUTED_VALUE"""),459.0)</f>
        <v>459</v>
      </c>
      <c r="K196" s="2">
        <f>IFERROR(__xludf.DUMMYFUNCTION("""COMPUTED_VALUE"""),8.0)</f>
        <v>8</v>
      </c>
      <c r="L196" s="2" t="str">
        <f>IFERROR(__xludf.DUMMYFUNCTION("""COMPUTED_VALUE"""),"Светильники светодиодные уличные ДБУ")</f>
        <v>Светильники светодиодные уличные ДБУ</v>
      </c>
      <c r="M196" s="2" t="str">
        <f>IFERROR(__xludf.DUMMYFUNCTION("""COMPUTED_VALUE"""),"Садово-парковые, ландшафтные, LED Светильники")</f>
        <v>Садово-парковые, ландшафтные, LED Светильники</v>
      </c>
    </row>
    <row r="197">
      <c r="A197" s="5" t="str">
        <f>IFERROR(__xludf.DUMMYFUNCTION("""COMPUTED_VALUE"""),"4690612036564")</f>
        <v>4690612036564</v>
      </c>
      <c r="B197" s="5" t="str">
        <f>IFERROR(__xludf.DUMMYFUNCTION("""COMPUTED_VALUE"""),"ССО 08Ч 12Вт 3000-6500К 600Лм сенсор-диммер, с адаптером ЧЕРНЫЙ IN HOME")</f>
        <v>ССО 08Ч 12Вт 3000-6500К 600Лм сенсор-диммер, с адаптером ЧЕРНЫЙ IN HOME</v>
      </c>
      <c r="C197" s="2">
        <f>IFERROR(__xludf.DUMMYFUNCTION("""COMPUTED_VALUE"""),0.81)</f>
        <v>0.81</v>
      </c>
      <c r="D197" s="2">
        <f>IFERROR(__xludf.DUMMYFUNCTION("""COMPUTED_VALUE"""),0.004330000000000001)</f>
        <v>0.00433</v>
      </c>
      <c r="E197" s="2">
        <f>IFERROR(__xludf.DUMMYFUNCTION("""COMPUTED_VALUE"""),670.94)</f>
        <v>670.94</v>
      </c>
      <c r="F197" s="2">
        <f>IFERROR(__xludf.DUMMYFUNCTION("""COMPUTED_VALUE"""),1051.0)</f>
        <v>1051</v>
      </c>
      <c r="G197" s="2">
        <f>IFERROR(__xludf.DUMMYFUNCTION("""COMPUTED_VALUE"""),1182.0)</f>
        <v>1182</v>
      </c>
      <c r="H197" s="2">
        <f>IFERROR(__xludf.DUMMYFUNCTION("""COMPUTED_VALUE"""),1371.0)</f>
        <v>1371</v>
      </c>
      <c r="I197" s="2">
        <f>IFERROR(__xludf.DUMMYFUNCTION("""COMPUTED_VALUE"""),1576.0)</f>
        <v>1576</v>
      </c>
      <c r="J197" s="2">
        <f>IFERROR(__xludf.DUMMYFUNCTION("""COMPUTED_VALUE"""),788.0)</f>
        <v>788</v>
      </c>
      <c r="K197" s="2">
        <f>IFERROR(__xludf.DUMMYFUNCTION("""COMPUTED_VALUE"""),4.0)</f>
        <v>4</v>
      </c>
      <c r="L197" s="2" t="str">
        <f>IFERROR(__xludf.DUMMYFUNCTION("""COMPUTED_VALUE"""),"Светильники настольные светодиодные")</f>
        <v>Светильники настольные светодиодные</v>
      </c>
      <c r="M197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198">
      <c r="A198" s="5" t="str">
        <f>IFERROR(__xludf.DUMMYFUNCTION("""COMPUTED_VALUE"""),"4690612033716")</f>
        <v>4690612033716</v>
      </c>
      <c r="B198" s="5" t="str">
        <f>IFERROR(__xludf.DUMMYFUNCTION("""COMPUTED_VALUE"""),"DECO ДАЙМОНД 36Вт 230В 4000К 3240Лм 380х55мм IN HOME")</f>
        <v>DECO ДАЙМОНД 36Вт 230В 4000К 3240Лм 380х55мм IN HOME</v>
      </c>
      <c r="C198" s="2">
        <f>IFERROR(__xludf.DUMMYFUNCTION("""COMPUTED_VALUE"""),0.5800000000000001)</f>
        <v>0.58</v>
      </c>
      <c r="D198" s="2">
        <f>IFERROR(__xludf.DUMMYFUNCTION("""COMPUTED_VALUE"""),0.009500000000000001)</f>
        <v>0.0095</v>
      </c>
      <c r="E198" s="2">
        <f>IFERROR(__xludf.DUMMYFUNCTION("""COMPUTED_VALUE"""),499.8)</f>
        <v>499.8</v>
      </c>
      <c r="F198" s="2">
        <f>IFERROR(__xludf.DUMMYFUNCTION("""COMPUTED_VALUE"""),600.0)</f>
        <v>600</v>
      </c>
      <c r="G198" s="2">
        <f>IFERROR(__xludf.DUMMYFUNCTION("""COMPUTED_VALUE"""),675.0)</f>
        <v>675</v>
      </c>
      <c r="H198" s="2">
        <f>IFERROR(__xludf.DUMMYFUNCTION("""COMPUTED_VALUE"""),783.0)</f>
        <v>783</v>
      </c>
      <c r="I198" s="2">
        <f>IFERROR(__xludf.DUMMYFUNCTION("""COMPUTED_VALUE"""),900.0)</f>
        <v>900</v>
      </c>
      <c r="J198" s="2">
        <f>IFERROR(__xludf.DUMMYFUNCTION("""COMPUTED_VALUE"""),450.0)</f>
        <v>450</v>
      </c>
      <c r="K198" s="2">
        <f>IFERROR(__xludf.DUMMYFUNCTION("""COMPUTED_VALUE"""),4.0)</f>
        <v>4</v>
      </c>
      <c r="L198" s="2" t="str">
        <f>IFERROR(__xludf.DUMMYFUNCTION("""COMPUTED_VALUE"""),"Светильник светодиодный серии DECO")</f>
        <v>Светильник светодиодный серии DECO</v>
      </c>
      <c r="M198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199">
      <c r="A199" s="5" t="str">
        <f>IFERROR(__xludf.DUMMYFUNCTION("""COMPUTED_VALUE"""),"R100295")</f>
        <v>R100295</v>
      </c>
      <c r="B199" s="5" t="str">
        <f>IFERROR(__xludf.DUMMYFUNCTION("""COMPUTED_VALUE"""),"RSV-SPP-02-12W-6500K-IP65/40 A")</f>
        <v>RSV-SPP-02-12W-6500K-IP65/40 A</v>
      </c>
      <c r="C199" s="2">
        <f>IFERROR(__xludf.DUMMYFUNCTION("""COMPUTED_VALUE"""),0.175)</f>
        <v>0.175</v>
      </c>
      <c r="D199" s="2">
        <f>IFERROR(__xludf.DUMMYFUNCTION("""COMPUTED_VALUE"""),0.0011)</f>
        <v>0.0011</v>
      </c>
      <c r="E199" s="2">
        <f>IFERROR(__xludf.DUMMYFUNCTION("""COMPUTED_VALUE"""),401.51)</f>
        <v>401.51</v>
      </c>
      <c r="F199" s="2">
        <f>IFERROR(__xludf.DUMMYFUNCTION("""COMPUTED_VALUE"""),334.0)</f>
        <v>334</v>
      </c>
      <c r="G199" s="2">
        <f>IFERROR(__xludf.DUMMYFUNCTION("""COMPUTED_VALUE"""),393.0)</f>
        <v>393</v>
      </c>
      <c r="H199" s="2">
        <f>IFERROR(__xludf.DUMMYFUNCTION("""COMPUTED_VALUE"""),405.0)</f>
        <v>405</v>
      </c>
      <c r="I199" s="2">
        <f>IFERROR(__xludf.DUMMYFUNCTION("""COMPUTED_VALUE"""),466.0)</f>
        <v>466</v>
      </c>
      <c r="J199" s="2">
        <f>IFERROR(__xludf.DUMMYFUNCTION("""COMPUTED_VALUE"""),233.0)</f>
        <v>233</v>
      </c>
      <c r="K199" s="2">
        <f>IFERROR(__xludf.DUMMYFUNCTION("""COMPUTED_VALUE"""),60.0)</f>
        <v>60</v>
      </c>
      <c r="L199" s="2" t="str">
        <f>IFERROR(__xludf.DUMMYFUNCTION("""COMPUTED_VALUE"""),"ЖКХ светильники RSV")</f>
        <v>ЖКХ светильники RSV</v>
      </c>
      <c r="M199" s="2" t="str">
        <f>IFERROR(__xludf.DUMMYFUNCTION("""COMPUTED_VALUE"""),"Без датчиков, LED Светильники")</f>
        <v>Без датчиков, LED Светильники</v>
      </c>
    </row>
    <row r="200">
      <c r="A200" s="5" t="str">
        <f>IFERROR(__xludf.DUMMYFUNCTION("""COMPUTED_VALUE"""),"4690612033679")</f>
        <v>4690612033679</v>
      </c>
      <c r="B200" s="5" t="str">
        <f>IFERROR(__xludf.DUMMYFUNCTION("""COMPUTED_VALUE"""),"DECO ДАЙМОНД 24Вт 230В 4000К 2160Лм 330х55мм IN HOME")</f>
        <v>DECO ДАЙМОНД 24Вт 230В 4000К 2160Лм 330х55мм IN HOME</v>
      </c>
      <c r="C200" s="2">
        <f>IFERROR(__xludf.DUMMYFUNCTION("""COMPUTED_VALUE"""),0.4400000000000001)</f>
        <v>0.44</v>
      </c>
      <c r="D200" s="2">
        <f>IFERROR(__xludf.DUMMYFUNCTION("""COMPUTED_VALUE"""),0.00725)</f>
        <v>0.00725</v>
      </c>
      <c r="E200" s="2">
        <f>IFERROR(__xludf.DUMMYFUNCTION("""COMPUTED_VALUE"""),381.79)</f>
        <v>381.79</v>
      </c>
      <c r="F200" s="2">
        <f>IFERROR(__xludf.DUMMYFUNCTION("""COMPUTED_VALUE"""),473.0)</f>
        <v>473</v>
      </c>
      <c r="G200" s="2">
        <f>IFERROR(__xludf.DUMMYFUNCTION("""COMPUTED_VALUE"""),533.0)</f>
        <v>533</v>
      </c>
      <c r="H200" s="2">
        <f>IFERROR(__xludf.DUMMYFUNCTION("""COMPUTED_VALUE"""),618.0)</f>
        <v>618</v>
      </c>
      <c r="I200" s="2">
        <f>IFERROR(__xludf.DUMMYFUNCTION("""COMPUTED_VALUE"""),710.0)</f>
        <v>710</v>
      </c>
      <c r="J200" s="2">
        <f>IFERROR(__xludf.DUMMYFUNCTION("""COMPUTED_VALUE"""),355.0)</f>
        <v>355</v>
      </c>
      <c r="K200" s="2">
        <f>IFERROR(__xludf.DUMMYFUNCTION("""COMPUTED_VALUE"""),38.0)</f>
        <v>38</v>
      </c>
      <c r="L200" s="2" t="str">
        <f>IFERROR(__xludf.DUMMYFUNCTION("""COMPUTED_VALUE"""),"Светильник светодиодный серии DECO")</f>
        <v>Светильник светодиодный серии DECO</v>
      </c>
      <c r="M200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201">
      <c r="A201" s="5" t="str">
        <f>IFERROR(__xludf.DUMMYFUNCTION("""COMPUTED_VALUE"""),"ves2012")</f>
        <v>ves2012</v>
      </c>
      <c r="B201" s="5" t="str">
        <f>IFERROR(__xludf.DUMMYFUNCTION("""COMPUTED_VALUE"""),"Вилка переносная 014 3Р+РЕ 16А 380В IP44")</f>
        <v>Вилка переносная 014 3Р+РЕ 16А 380В IP44</v>
      </c>
      <c r="C201" s="2">
        <f>IFERROR(__xludf.DUMMYFUNCTION("""COMPUTED_VALUE"""),0.0)</f>
        <v>0</v>
      </c>
      <c r="D201" s="2">
        <f>IFERROR(__xludf.DUMMYFUNCTION("""COMPUTED_VALUE"""),0.0)</f>
        <v>0</v>
      </c>
      <c r="E201" s="2">
        <f>IFERROR(__xludf.DUMMYFUNCTION("""COMPUTED_VALUE"""),136.19)</f>
        <v>136.19</v>
      </c>
      <c r="F201" s="2">
        <f>IFERROR(__xludf.DUMMYFUNCTION("""COMPUTED_VALUE"""),191.0)</f>
        <v>191</v>
      </c>
      <c r="G201" s="2">
        <f>IFERROR(__xludf.DUMMYFUNCTION("""COMPUTED_VALUE"""),203.0)</f>
        <v>203</v>
      </c>
      <c r="H201" s="2">
        <f>IFERROR(__xludf.DUMMYFUNCTION("""COMPUTED_VALUE"""),229.0)</f>
        <v>229</v>
      </c>
      <c r="I201" s="2">
        <f>IFERROR(__xludf.DUMMYFUNCTION("""COMPUTED_VALUE"""),254.37)</f>
        <v>254.37</v>
      </c>
      <c r="J201" s="2">
        <f>IFERROR(__xludf.DUMMYFUNCTION("""COMPUTED_VALUE"""),127.0)</f>
        <v>127</v>
      </c>
      <c r="K201" s="2">
        <f>IFERROR(__xludf.DUMMYFUNCTION("""COMPUTED_VALUE"""),9.0)</f>
        <v>9</v>
      </c>
      <c r="L201" s="2" t="str">
        <f>IFERROR(__xludf.DUMMYFUNCTION("""COMPUTED_VALUE"""),"ves2 (тендер)")</f>
        <v>ves2 (тендер)</v>
      </c>
      <c r="M201" s="2" t="str">
        <f>IFERROR(__xludf.DUMMYFUNCTION("""COMPUTED_VALUE"""),"Прочие товары")</f>
        <v>Прочие товары</v>
      </c>
    </row>
    <row r="202">
      <c r="A202" s="5" t="str">
        <f>IFERROR(__xludf.DUMMYFUNCTION("""COMPUTED_VALUE"""),"4603768610045")</f>
        <v>4603768610045</v>
      </c>
      <c r="B202" s="5" t="str">
        <f>IFERROR(__xludf.DUMMYFUNCTION("""COMPUTED_VALUE"""),"ЛТ 36W/640 G13 d26x1200mm 2850lm 4000K - лампа (Смоленск-ФормулаСвета)")</f>
        <v>ЛТ 36W/640 G13 d26x1200mm 2850lm 4000K - лампа (Смоленск-ФормулаСвета)</v>
      </c>
      <c r="C202" s="2">
        <f>IFERROR(__xludf.DUMMYFUNCTION("""COMPUTED_VALUE"""),0.0)</f>
        <v>0</v>
      </c>
      <c r="D202" s="2">
        <f>IFERROR(__xludf.DUMMYFUNCTION("""COMPUTED_VALUE"""),0.0)</f>
        <v>0</v>
      </c>
      <c r="E202" s="2">
        <f>IFERROR(__xludf.DUMMYFUNCTION("""COMPUTED_VALUE"""),73.42)</f>
        <v>73.42</v>
      </c>
      <c r="F202" s="2">
        <f>IFERROR(__xludf.DUMMYFUNCTION("""COMPUTED_VALUE"""),0.0)</f>
        <v>0</v>
      </c>
      <c r="G202" s="2">
        <f>IFERROR(__xludf.DUMMYFUNCTION("""COMPUTED_VALUE"""),0.0)</f>
        <v>0</v>
      </c>
      <c r="H202" s="2">
        <f>IFERROR(__xludf.DUMMYFUNCTION("""COMPUTED_VALUE"""),0.0)</f>
        <v>0</v>
      </c>
      <c r="I202" s="2">
        <f>IFERROR(__xludf.DUMMYFUNCTION("""COMPUTED_VALUE"""),0.5)</f>
        <v>0.5</v>
      </c>
      <c r="J202" s="2">
        <f>IFERROR(__xludf.DUMMYFUNCTION("""COMPUTED_VALUE"""),0.5)</f>
        <v>0.5</v>
      </c>
      <c r="K202" s="2">
        <f>IFERROR(__xludf.DUMMYFUNCTION("""COMPUTED_VALUE"""),75.0)</f>
        <v>75</v>
      </c>
      <c r="L202" s="2" t="str">
        <f>IFERROR(__xludf.DUMMYFUNCTION("""COMPUTED_VALUE"""),"Формула Света")</f>
        <v>Формула Света</v>
      </c>
      <c r="M202" s="2" t="str">
        <f>IFERROR(__xludf.DUMMYFUNCTION("""COMPUTED_VALUE"""),"Лампы")</f>
        <v>Лампы</v>
      </c>
    </row>
    <row r="203">
      <c r="A203" s="5" t="str">
        <f>IFERROR(__xludf.DUMMYFUNCTION("""COMPUTED_VALUE"""),"4690612038803")</f>
        <v>4690612038803</v>
      </c>
      <c r="B203" s="5" t="str">
        <f>IFERROR(__xludf.DUMMYFUNCTION("""COMPUTED_VALUE"""),"ДВО-02 4040-ОПАЛ 40Вт 230В 4000К 3600Лм 595х595х25 NEOX")</f>
        <v>ДВО-02 4040-ОПАЛ 40Вт 230В 4000К 3600Лм 595х595х25 NEOX</v>
      </c>
      <c r="C203" s="2">
        <f>IFERROR(__xludf.DUMMYFUNCTION("""COMPUTED_VALUE"""),1.2)</f>
        <v>1.2</v>
      </c>
      <c r="D203" s="2">
        <f>IFERROR(__xludf.DUMMYFUNCTION("""COMPUTED_VALUE"""),0.009000000000000001)</f>
        <v>0.009</v>
      </c>
      <c r="E203" s="2">
        <f>IFERROR(__xludf.DUMMYFUNCTION("""COMPUTED_VALUE"""),724.14)</f>
        <v>724.14</v>
      </c>
      <c r="F203" s="2">
        <f>IFERROR(__xludf.DUMMYFUNCTION("""COMPUTED_VALUE"""),799.0)</f>
        <v>799</v>
      </c>
      <c r="G203" s="2">
        <f>IFERROR(__xludf.DUMMYFUNCTION("""COMPUTED_VALUE"""),899.0)</f>
        <v>899</v>
      </c>
      <c r="H203" s="2">
        <f>IFERROR(__xludf.DUMMYFUNCTION("""COMPUTED_VALUE"""),1042.0)</f>
        <v>1042</v>
      </c>
      <c r="I203" s="2">
        <f>IFERROR(__xludf.DUMMYFUNCTION("""COMPUTED_VALUE"""),1198.0)</f>
        <v>1198</v>
      </c>
      <c r="J203" s="2">
        <f>IFERROR(__xludf.DUMMYFUNCTION("""COMPUTED_VALUE"""),1198.0)</f>
        <v>1198</v>
      </c>
      <c r="K203" s="2">
        <f>IFERROR(__xludf.DUMMYFUNCTION("""COMPUTED_VALUE"""),40.0)</f>
        <v>40</v>
      </c>
      <c r="L203" s="2" t="str">
        <f>IFERROR(__xludf.DUMMYFUNCTION("""COMPUTED_VALUE"""),"NEOX Светильники LED ДВО")</f>
        <v>NEOX Светильники LED ДВО</v>
      </c>
      <c r="M203" s="2" t="str">
        <f>IFERROR(__xludf.DUMMYFUNCTION("""COMPUTED_VALUE"""),"С равномерной засветкой, С равномерной засветкой, LED Светильники")</f>
        <v>С равномерной засветкой, С равномерной засветкой, LED Светильники</v>
      </c>
    </row>
    <row r="204">
      <c r="A204" s="5" t="str">
        <f>IFERROR(__xludf.DUMMYFUNCTION("""COMPUTED_VALUE"""),"4630015264799")</f>
        <v>4630015264799</v>
      </c>
      <c r="B204" s="5" t="str">
        <f>IFERROR(__xludf.DUMMYFUNCTION("""COMPUTED_VALUE"""),"ALUM05GD-DL50GU5.3")</f>
        <v>ALUM05GD-DL50GU5.3</v>
      </c>
      <c r="C204" s="2">
        <f>IFERROR(__xludf.DUMMYFUNCTION("""COMPUTED_VALUE"""),0.0)</f>
        <v>0</v>
      </c>
      <c r="D204" s="2">
        <f>IFERROR(__xludf.DUMMYFUNCTION("""COMPUTED_VALUE"""),0.0)</f>
        <v>0</v>
      </c>
      <c r="E204" s="2">
        <f>IFERROR(__xludf.DUMMYFUNCTION("""COMPUTED_VALUE"""),27.54)</f>
        <v>27.54</v>
      </c>
      <c r="F204" s="2">
        <f>IFERROR(__xludf.DUMMYFUNCTION("""COMPUTED_VALUE"""),148.0)</f>
        <v>148</v>
      </c>
      <c r="G204" s="2">
        <f>IFERROR(__xludf.DUMMYFUNCTION("""COMPUTED_VALUE"""),153.0)</f>
        <v>153</v>
      </c>
      <c r="H204" s="2">
        <f>IFERROR(__xludf.DUMMYFUNCTION("""COMPUTED_VALUE"""),200.0)</f>
        <v>200</v>
      </c>
      <c r="I204" s="2">
        <f>IFERROR(__xludf.DUMMYFUNCTION("""COMPUTED_VALUE"""),250.0)</f>
        <v>250</v>
      </c>
      <c r="J204" s="2">
        <f>IFERROR(__xludf.DUMMYFUNCTION("""COMPUTED_VALUE"""),125.0)</f>
        <v>125</v>
      </c>
      <c r="K204" s="2">
        <f>IFERROR(__xludf.DUMMYFUNCTION("""COMPUTED_VALUE"""),28.0)</f>
        <v>28</v>
      </c>
      <c r="L204" s="2" t="str">
        <f>IFERROR(__xludf.DUMMYFUNCTION("""COMPUTED_VALUE"""),"Wolta декоративные")</f>
        <v>Wolta декоративные</v>
      </c>
      <c r="M204" s="2" t="str">
        <f>IFERROR(__xludf.DUMMYFUNCTION("""COMPUTED_VALUE"""),"Встраиваемые, Декоративные, LED Светильники")</f>
        <v>Встраиваемые, Декоративные, LED Светильники</v>
      </c>
    </row>
    <row r="205">
      <c r="A205" s="5" t="str">
        <f>IFERROR(__xludf.DUMMYFUNCTION("""COMPUTED_VALUE"""),"55105")</f>
        <v>55105</v>
      </c>
      <c r="B205" s="5" t="str">
        <f>IFERROR(__xludf.DUMMYFUNCTION("""COMPUTED_VALUE"""),"Нить VEGAS 20 холодных LED ламп РОСА, серебристый провод, 2 м, на батарейках (не в комплекте), с пультом")</f>
        <v>Нить VEGAS 20 холодных LED ламп РОСА, серебристый провод, 2 м, на батарейках (не в комплекте), с пультом</v>
      </c>
      <c r="C205" s="2">
        <f>IFERROR(__xludf.DUMMYFUNCTION("""COMPUTED_VALUE"""),0.0)</f>
        <v>0</v>
      </c>
      <c r="D205" s="2">
        <f>IFERROR(__xludf.DUMMYFUNCTION("""COMPUTED_VALUE"""),0.0)</f>
        <v>0</v>
      </c>
      <c r="E205" s="2">
        <f>IFERROR(__xludf.DUMMYFUNCTION("""COMPUTED_VALUE"""),271.94)</f>
        <v>271.94</v>
      </c>
      <c r="F205" s="2">
        <f>IFERROR(__xludf.DUMMYFUNCTION("""COMPUTED_VALUE"""),225.0)</f>
        <v>225</v>
      </c>
      <c r="G205" s="2">
        <f>IFERROR(__xludf.DUMMYFUNCTION("""COMPUTED_VALUE"""),246.0)</f>
        <v>246</v>
      </c>
      <c r="H205" s="2">
        <f>IFERROR(__xludf.DUMMYFUNCTION("""COMPUTED_VALUE"""),266.0)</f>
        <v>266</v>
      </c>
      <c r="I205" s="2">
        <f>IFERROR(__xludf.DUMMYFUNCTION("""COMPUTED_VALUE"""),287.0)</f>
        <v>287</v>
      </c>
      <c r="J205" s="2">
        <f>IFERROR(__xludf.DUMMYFUNCTION("""COMPUTED_VALUE"""),144.0)</f>
        <v>144</v>
      </c>
      <c r="K205" s="2">
        <f>IFERROR(__xludf.DUMMYFUNCTION("""COMPUTED_VALUE"""),42.0)</f>
        <v>42</v>
      </c>
      <c r="L205" s="2" t="str">
        <f>IFERROR(__xludf.DUMMYFUNCTION("""COMPUTED_VALUE"""),"Праздничная иллюминация")</f>
        <v>Праздничная иллюминация</v>
      </c>
      <c r="M205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206">
      <c r="A206" s="5" t="str">
        <f>IFERROR(__xludf.DUMMYFUNCTION("""COMPUTED_VALUE"""),"4690612035390")</f>
        <v>4690612035390</v>
      </c>
      <c r="B206" s="5" t="str">
        <f>IFERROR(__xludf.DUMMYFUNCTION("""COMPUTED_VALUE"""),"ELEGANT SANSA-B 120Вт 230В 3000-6500K 8400Лм 650х650х130мм c пультом ДУ черный IN HOME")</f>
        <v>ELEGANT SANSA-B 120Вт 230В 3000-6500K 8400Лм 650х650х130мм c пультом ДУ черный IN HOME</v>
      </c>
      <c r="C206" s="2">
        <f>IFERROR(__xludf.DUMMYFUNCTION("""COMPUTED_VALUE"""),2.4)</f>
        <v>2.4</v>
      </c>
      <c r="D206" s="2">
        <f>IFERROR(__xludf.DUMMYFUNCTION("""COMPUTED_VALUE"""),0.018)</f>
        <v>0.018</v>
      </c>
      <c r="E206" s="2">
        <f>IFERROR(__xludf.DUMMYFUNCTION("""COMPUTED_VALUE"""),5048.150000000001)</f>
        <v>5048.15</v>
      </c>
      <c r="F206" s="2">
        <f>IFERROR(__xludf.DUMMYFUNCTION("""COMPUTED_VALUE"""),2900.0)</f>
        <v>2900</v>
      </c>
      <c r="G206" s="2">
        <f>IFERROR(__xludf.DUMMYFUNCTION("""COMPUTED_VALUE"""),3263.0)</f>
        <v>3263</v>
      </c>
      <c r="H206" s="2">
        <f>IFERROR(__xludf.DUMMYFUNCTION("""COMPUTED_VALUE"""),3785.0)</f>
        <v>3785</v>
      </c>
      <c r="I206" s="2">
        <f>IFERROR(__xludf.DUMMYFUNCTION("""COMPUTED_VALUE"""),4350.0)</f>
        <v>4350</v>
      </c>
      <c r="J206" s="2">
        <f>IFERROR(__xludf.DUMMYFUNCTION("""COMPUTED_VALUE"""),2175.0)</f>
        <v>2175</v>
      </c>
      <c r="K206" s="2">
        <f>IFERROR(__xludf.DUMMYFUNCTION("""COMPUTED_VALUE"""),2.0)</f>
        <v>2</v>
      </c>
      <c r="L206" s="2" t="str">
        <f>IFERROR(__xludf.DUMMYFUNCTION("""COMPUTED_VALUE"""),"Светильники светодиодные серии ELEGANT IN HOME")</f>
        <v>Светильники светодиодные серии ELEGANT IN HOME</v>
      </c>
      <c r="M206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207">
      <c r="A207" s="5" t="str">
        <f>IFERROR(__xludf.DUMMYFUNCTION("""COMPUTED_VALUE"""),"4690612037653")</f>
        <v>4690612037653</v>
      </c>
      <c r="B207" s="5" t="str">
        <f>IFERROR(__xludf.DUMMYFUNCTION("""COMPUTED_VALUE"""),"ДВО-02 4565-ПРИЗМА 45Вт 230В 6500К 4500Лм 100Лм/Вт 595х595х19 NEOX")</f>
        <v>ДВО-02 4565-ПРИЗМА 45Вт 230В 6500К 4500Лм 100Лм/Вт 595х595х19 NEOX</v>
      </c>
      <c r="C207" s="2">
        <f>IFERROR(__xludf.DUMMYFUNCTION("""COMPUTED_VALUE"""),4.30001)</f>
        <v>4.30001</v>
      </c>
      <c r="D207" s="2">
        <f>IFERROR(__xludf.DUMMYFUNCTION("""COMPUTED_VALUE"""),0.032)</f>
        <v>0.032</v>
      </c>
      <c r="E207" s="2">
        <f>IFERROR(__xludf.DUMMYFUNCTION("""COMPUTED_VALUE"""),519.71)</f>
        <v>519.71</v>
      </c>
      <c r="F207" s="2">
        <f>IFERROR(__xludf.DUMMYFUNCTION("""COMPUTED_VALUE"""),653.0)</f>
        <v>653</v>
      </c>
      <c r="G207" s="2">
        <f>IFERROR(__xludf.DUMMYFUNCTION("""COMPUTED_VALUE"""),735.0)</f>
        <v>735</v>
      </c>
      <c r="H207" s="2">
        <f>IFERROR(__xludf.DUMMYFUNCTION("""COMPUTED_VALUE"""),853.0)</f>
        <v>853</v>
      </c>
      <c r="I207" s="2">
        <f>IFERROR(__xludf.DUMMYFUNCTION("""COMPUTED_VALUE"""),980.0)</f>
        <v>980</v>
      </c>
      <c r="J207" s="2">
        <f>IFERROR(__xludf.DUMMYFUNCTION("""COMPUTED_VALUE"""),490.0)</f>
        <v>490</v>
      </c>
      <c r="K207" s="2">
        <f>IFERROR(__xludf.DUMMYFUNCTION("""COMPUTED_VALUE"""),5.0)</f>
        <v>5</v>
      </c>
      <c r="L207" s="2" t="str">
        <f>IFERROR(__xludf.DUMMYFUNCTION("""COMPUTED_VALUE"""),"NEOX Светильники LED ДВО")</f>
        <v>NEOX Светильники LED ДВО</v>
      </c>
      <c r="M207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208">
      <c r="A208" s="5" t="str">
        <f>IFERROR(__xludf.DUMMYFUNCTION("""COMPUTED_VALUE"""),"4690612023366")</f>
        <v>4690612023366</v>
      </c>
      <c r="B208" s="5" t="str">
        <f>IFERROR(__xludf.DUMMYFUNCTION("""COMPUTED_VALUE"""),"RLP-VC 12Вт 230В 4000К 960Лм 145мм белая IP40 IN HOME")</f>
        <v>RLP-VC 12Вт 230В 4000К 960Лм 145мм белая IP40 IN HOME</v>
      </c>
      <c r="C208" s="2">
        <f>IFERROR(__xludf.DUMMYFUNCTION("""COMPUTED_VALUE"""),0.15)</f>
        <v>0.15</v>
      </c>
      <c r="D208" s="2">
        <f>IFERROR(__xludf.DUMMYFUNCTION("""COMPUTED_VALUE"""),8.300000000000001E-4)</f>
        <v>0.00083</v>
      </c>
      <c r="E208" s="2">
        <f>IFERROR(__xludf.DUMMYFUNCTION("""COMPUTED_VALUE"""),632.4300000000001)</f>
        <v>632.43</v>
      </c>
      <c r="F208" s="2">
        <f>IFERROR(__xludf.DUMMYFUNCTION("""COMPUTED_VALUE"""),130.0)</f>
        <v>130</v>
      </c>
      <c r="G208" s="2">
        <f>IFERROR(__xludf.DUMMYFUNCTION("""COMPUTED_VALUE"""),146.0)</f>
        <v>146</v>
      </c>
      <c r="H208" s="2">
        <f>IFERROR(__xludf.DUMMYFUNCTION("""COMPUTED_VALUE"""),170.0)</f>
        <v>170</v>
      </c>
      <c r="I208" s="2">
        <f>IFERROR(__xludf.DUMMYFUNCTION("""COMPUTED_VALUE"""),195.0)</f>
        <v>195</v>
      </c>
      <c r="J208" s="2">
        <f>IFERROR(__xludf.DUMMYFUNCTION("""COMPUTED_VALUE"""),98.0)</f>
        <v>98</v>
      </c>
      <c r="K208" s="2">
        <f>IFERROR(__xludf.DUMMYFUNCTION("""COMPUTED_VALUE"""),2.0)</f>
        <v>2</v>
      </c>
      <c r="L208" s="2" t="str">
        <f>IFERROR(__xludf.DUMMYFUNCTION("""COMPUTED_VALUE"""),"Панели светодиодные круглые встраиваемые RLP")</f>
        <v>Панели светодиодные круглые встраиваемые RLP</v>
      </c>
      <c r="M208" s="2" t="str">
        <f>IFERROR(__xludf.DUMMYFUNCTION("""COMPUTED_VALUE"""),"Точечные круглые Downlight, LED Светильники")</f>
        <v>Точечные круглые Downlight, LED Светильники</v>
      </c>
    </row>
    <row r="209">
      <c r="A209" s="5" t="str">
        <f>IFERROR(__xludf.DUMMYFUNCTION("""COMPUTED_VALUE"""),"4690626108639")</f>
        <v>4690626108639</v>
      </c>
      <c r="B209" s="5" t="str">
        <f>IFERROR(__xludf.DUMMYFUNCTION("""COMPUTED_VALUE"""),"Уличный консольный (LED) светильник SL4 Smartbuy-70w/6500K/IP65 (SBL-SL4-70-65)")</f>
        <v>Уличный консольный (LED) светильник SL4 Smartbuy-70w/6500K/IP65 (SBL-SL4-70-65)</v>
      </c>
      <c r="C209" s="2">
        <f>IFERROR(__xludf.DUMMYFUNCTION("""COMPUTED_VALUE"""),0.77)</f>
        <v>0.77</v>
      </c>
      <c r="D209" s="2">
        <f>IFERROR(__xludf.DUMMYFUNCTION("""COMPUTED_VALUE"""),0.0028)</f>
        <v>0.0028</v>
      </c>
      <c r="E209" s="2">
        <f>IFERROR(__xludf.DUMMYFUNCTION("""COMPUTED_VALUE"""),1065.89)</f>
        <v>1065.89</v>
      </c>
      <c r="F209" s="2">
        <f>IFERROR(__xludf.DUMMYFUNCTION("""COMPUTED_VALUE"""),1107.0)</f>
        <v>1107</v>
      </c>
      <c r="G209" s="2">
        <f>IFERROR(__xludf.DUMMYFUNCTION("""COMPUTED_VALUE"""),1215.0)</f>
        <v>1215</v>
      </c>
      <c r="H209" s="2">
        <f>IFERROR(__xludf.DUMMYFUNCTION("""COMPUTED_VALUE"""),1350.0)</f>
        <v>1350</v>
      </c>
      <c r="I209" s="2">
        <f>IFERROR(__xludf.DUMMYFUNCTION("""COMPUTED_VALUE"""),1485.0)</f>
        <v>1485</v>
      </c>
      <c r="J209" s="2">
        <f>IFERROR(__xludf.DUMMYFUNCTION("""COMPUTED_VALUE"""),743.0)</f>
        <v>743</v>
      </c>
      <c r="K209" s="2">
        <f>IFERROR(__xludf.DUMMYFUNCTION("""COMPUTED_VALUE"""),2.0)</f>
        <v>2</v>
      </c>
      <c r="L209" s="2" t="str">
        <f>IFERROR(__xludf.DUMMYFUNCTION("""COMPUTED_VALUE"""),"Smartbuy LED светильники")</f>
        <v>Smartbuy LED светильники</v>
      </c>
      <c r="M209" s="2" t="str">
        <f>IFERROR(__xludf.DUMMYFUNCTION("""COMPUTED_VALUE"""),"Для обычных дорог, Для автомагистралей, LED Светильники")</f>
        <v>Для обычных дорог, Для автомагистралей, LED Светильники</v>
      </c>
    </row>
    <row r="210">
      <c r="A210" s="5" t="str">
        <f>IFERROR(__xludf.DUMMYFUNCTION("""COMPUTED_VALUE"""),"4690612039190")</f>
        <v>4690612039190</v>
      </c>
      <c r="B210" s="5" t="str">
        <f>IFERROR(__xludf.DUMMYFUNCTION("""COMPUTED_VALUE"""),"ДПО-108 36Вт 230В 6500К 3420Лм 1200мм IP40 NEOX")</f>
        <v>ДПО-108 36Вт 230В 6500К 3420Лм 1200мм IP40 NEOX</v>
      </c>
      <c r="C210" s="2">
        <f>IFERROR(__xludf.DUMMYFUNCTION("""COMPUTED_VALUE"""),0.335)</f>
        <v>0.335</v>
      </c>
      <c r="D210" s="2">
        <f>IFERROR(__xludf.DUMMYFUNCTION("""COMPUTED_VALUE"""),0.00252)</f>
        <v>0.00252</v>
      </c>
      <c r="E210" s="2">
        <f>IFERROR(__xludf.DUMMYFUNCTION("""COMPUTED_VALUE"""),379.18)</f>
        <v>379.18</v>
      </c>
      <c r="F210" s="2">
        <f>IFERROR(__xludf.DUMMYFUNCTION("""COMPUTED_VALUE"""),353.0)</f>
        <v>353</v>
      </c>
      <c r="G210" s="2">
        <f>IFERROR(__xludf.DUMMYFUNCTION("""COMPUTED_VALUE"""),398.0)</f>
        <v>398</v>
      </c>
      <c r="H210" s="2">
        <f>IFERROR(__xludf.DUMMYFUNCTION("""COMPUTED_VALUE"""),461.0)</f>
        <v>461</v>
      </c>
      <c r="I210" s="2">
        <f>IFERROR(__xludf.DUMMYFUNCTION("""COMPUTED_VALUE"""),530.0)</f>
        <v>530</v>
      </c>
      <c r="J210" s="2">
        <f>IFERROR(__xludf.DUMMYFUNCTION("""COMPUTED_VALUE"""),265.0)</f>
        <v>265</v>
      </c>
      <c r="K210" s="2">
        <f>IFERROR(__xludf.DUMMYFUNCTION("""COMPUTED_VALUE"""),21.0)</f>
        <v>21</v>
      </c>
      <c r="L210" s="2" t="str">
        <f>IFERROR(__xludf.DUMMYFUNCTION("""COMPUTED_VALUE"""),"NEOX Светильники LED ДПО")</f>
        <v>NEOX Светильники LED ДПО</v>
      </c>
      <c r="M210" s="2" t="str">
        <f>IFERROR(__xludf.DUMMYFUNCTION("""COMPUTED_VALUE"""),"Накладные, LED Светильники")</f>
        <v>Накладные, LED Светильники</v>
      </c>
    </row>
    <row r="211">
      <c r="A211" s="5" t="str">
        <f>IFERROR(__xludf.DUMMYFUNCTION("""COMPUTED_VALUE"""),"GL8412")</f>
        <v>GL8412</v>
      </c>
      <c r="B211" s="5" t="str">
        <f>IFERROR(__xludf.DUMMYFUNCTION("""COMPUTED_VALUE"""),"GLERIO Indoor 8 Вт 4000К 10P-8D-4N-MP")</f>
        <v>GLERIO Indoor 8 Вт 4000К 10P-8D-4N-MP</v>
      </c>
      <c r="C211" s="2">
        <f>IFERROR(__xludf.DUMMYFUNCTION("""COMPUTED_VALUE"""),0.15)</f>
        <v>0.15</v>
      </c>
      <c r="D211" s="2">
        <f>IFERROR(__xludf.DUMMYFUNCTION("""COMPUTED_VALUE"""),6.600000000000001E-4)</f>
        <v>0.00066</v>
      </c>
      <c r="E211" s="2">
        <f>IFERROR(__xludf.DUMMYFUNCTION("""COMPUTED_VALUE"""),276.69)</f>
        <v>276.69</v>
      </c>
      <c r="F211" s="2">
        <f>IFERROR(__xludf.DUMMYFUNCTION("""COMPUTED_VALUE"""),410.0)</f>
        <v>410</v>
      </c>
      <c r="G211" s="2">
        <f>IFERROR(__xludf.DUMMYFUNCTION("""COMPUTED_VALUE"""),516.0)</f>
        <v>516</v>
      </c>
      <c r="H211" s="2">
        <f>IFERROR(__xludf.DUMMYFUNCTION("""COMPUTED_VALUE"""),580.0)</f>
        <v>580</v>
      </c>
      <c r="I211" s="2">
        <f>IFERROR(__xludf.DUMMYFUNCTION("""COMPUTED_VALUE"""),643.0)</f>
        <v>643</v>
      </c>
      <c r="J211" s="2">
        <f>IFERROR(__xludf.DUMMYFUNCTION("""COMPUTED_VALUE"""),322.0)</f>
        <v>322</v>
      </c>
      <c r="K211" s="2">
        <f>IFERROR(__xludf.DUMMYFUNCTION("""COMPUTED_VALUE"""),59.0)</f>
        <v>59</v>
      </c>
      <c r="L211" s="2" t="str">
        <f>IFERROR(__xludf.DUMMYFUNCTION("""COMPUTED_VALUE"""),"Indoor GLERIO (ЖКХ) до 10.2025")</f>
        <v>Indoor GLERIO (ЖКХ) до 10.2025</v>
      </c>
      <c r="M211" s="2" t="str">
        <f>IFERROR(__xludf.DUMMYFUNCTION("""COMPUTED_VALUE"""),"Без датчиков, LED Светильники")</f>
        <v>Без датчиков, LED Светильники</v>
      </c>
    </row>
    <row r="212">
      <c r="A212" s="5" t="str">
        <f>IFERROR(__xludf.DUMMYFUNCTION("""COMPUTED_VALUE"""),"4260652195066")</f>
        <v>4260652195066</v>
      </c>
      <c r="B212" s="5" t="str">
        <f>IFERROR(__xludf.DUMMYFUNCTION("""COMPUTED_VALUE"""),"LFL-50W/05")</f>
        <v>LFL-50W/05</v>
      </c>
      <c r="C212" s="2">
        <f>IFERROR(__xludf.DUMMYFUNCTION("""COMPUTED_VALUE"""),0.383)</f>
        <v>0.383</v>
      </c>
      <c r="D212" s="2">
        <f>IFERROR(__xludf.DUMMYFUNCTION("""COMPUTED_VALUE"""),0.009600000000000001)</f>
        <v>0.0096</v>
      </c>
      <c r="E212" s="2">
        <f>IFERROR(__xludf.DUMMYFUNCTION("""COMPUTED_VALUE"""),429.99)</f>
        <v>429.99</v>
      </c>
      <c r="F212" s="2">
        <f>IFERROR(__xludf.DUMMYFUNCTION("""COMPUTED_VALUE"""),269.0)</f>
        <v>269</v>
      </c>
      <c r="G212" s="2">
        <f>IFERROR(__xludf.DUMMYFUNCTION("""COMPUTED_VALUE"""),278.0)</f>
        <v>278</v>
      </c>
      <c r="H212" s="2">
        <f>IFERROR(__xludf.DUMMYFUNCTION("""COMPUTED_VALUE"""),364.0)</f>
        <v>364</v>
      </c>
      <c r="I212" s="2">
        <f>IFERROR(__xludf.DUMMYFUNCTION("""COMPUTED_VALUE"""),455.0)</f>
        <v>455</v>
      </c>
      <c r="J212" s="2">
        <f>IFERROR(__xludf.DUMMYFUNCTION("""COMPUTED_VALUE"""),278.0)</f>
        <v>278</v>
      </c>
      <c r="K212" s="2">
        <f>IFERROR(__xludf.DUMMYFUNCTION("""COMPUTED_VALUE"""),58.0)</f>
        <v>58</v>
      </c>
      <c r="L212" s="2" t="str">
        <f>IFERROR(__xludf.DUMMYFUNCTION("""COMPUTED_VALUE"""),"Wolta прожекторы")</f>
        <v>Wolta прожекторы</v>
      </c>
      <c r="M212" s="2" t="str">
        <f>IFERROR(__xludf.DUMMYFUNCTION("""COMPUTED_VALUE"""),"Без датчиков, LED Светильники")</f>
        <v>Без датчиков, LED Светильники</v>
      </c>
    </row>
    <row r="213">
      <c r="A213" s="5" t="str">
        <f>IFERROR(__xludf.DUMMYFUNCTION("""COMPUTED_VALUE"""),"14690612042715")</f>
        <v>14690612042715</v>
      </c>
      <c r="B213" s="5" t="str">
        <f>IFERROR(__xludf.DUMMYFUNCTION("""COMPUTED_VALUE"""),"ДВО-01 4040-ОПАЛ 40Вт 230В 4000К 3600Лм 180х1195х25мм NEOX (4 шт в упак.)")</f>
        <v>ДВО-01 4040-ОПАЛ 40Вт 230В 4000К 3600Лм 180х1195х25мм NEOX (4 шт в упак.)</v>
      </c>
      <c r="C213" s="2">
        <f>IFERROR(__xludf.DUMMYFUNCTION("""COMPUTED_VALUE"""),1.45)</f>
        <v>1.45</v>
      </c>
      <c r="D213" s="2">
        <f>IFERROR(__xludf.DUMMYFUNCTION("""COMPUTED_VALUE"""),0.0)</f>
        <v>0</v>
      </c>
      <c r="E213" s="2">
        <f>IFERROR(__xludf.DUMMYFUNCTION("""COMPUTED_VALUE"""),3005.52)</f>
        <v>3005.52</v>
      </c>
      <c r="F213" s="2">
        <f>IFERROR(__xludf.DUMMYFUNCTION("""COMPUTED_VALUE"""),3298.0)</f>
        <v>3298</v>
      </c>
      <c r="G213" s="2">
        <f>IFERROR(__xludf.DUMMYFUNCTION("""COMPUTED_VALUE"""),4328.0)</f>
        <v>4328</v>
      </c>
      <c r="H213" s="2">
        <f>IFERROR(__xludf.DUMMYFUNCTION("""COMPUTED_VALUE"""),4869.0)</f>
        <v>4869</v>
      </c>
      <c r="I213" s="2">
        <f>IFERROR(__xludf.DUMMYFUNCTION("""COMPUTED_VALUE"""),5410.0)</f>
        <v>5410</v>
      </c>
      <c r="J213" s="2">
        <f>IFERROR(__xludf.DUMMYFUNCTION("""COMPUTED_VALUE"""),2705.0)</f>
        <v>2705</v>
      </c>
      <c r="K213" s="2">
        <f>IFERROR(__xludf.DUMMYFUNCTION("""COMPUTED_VALUE"""),4.0)</f>
        <v>4</v>
      </c>
      <c r="L213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213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214">
      <c r="A214" s="5" t="str">
        <f>IFERROR(__xludf.DUMMYFUNCTION("""COMPUTED_VALUE"""),"R300055")</f>
        <v>R300055</v>
      </c>
      <c r="B214" s="5" t="str">
        <f>IFERROR(__xludf.DUMMYFUNCTION("""COMPUTED_VALUE"""),"Труба жестк. гладкая ПВХ 92 L1250 (шт.)")</f>
        <v>Труба жестк. гладкая ПВХ 92 L1250 (шт.)</v>
      </c>
      <c r="C214" s="2">
        <f>IFERROR(__xludf.DUMMYFUNCTION("""COMPUTED_VALUE"""),0.5)</f>
        <v>0.5</v>
      </c>
      <c r="D214" s="2">
        <f>IFERROR(__xludf.DUMMYFUNCTION("""COMPUTED_VALUE"""),0.115)</f>
        <v>0.115</v>
      </c>
      <c r="E214" s="2">
        <f>IFERROR(__xludf.DUMMYFUNCTION("""COMPUTED_VALUE"""),106.51)</f>
        <v>106.51</v>
      </c>
      <c r="F214" s="2">
        <f>IFERROR(__xludf.DUMMYFUNCTION("""COMPUTED_VALUE"""),144.0)</f>
        <v>144</v>
      </c>
      <c r="G214" s="2">
        <f>IFERROR(__xludf.DUMMYFUNCTION("""COMPUTED_VALUE"""),154.0)</f>
        <v>154</v>
      </c>
      <c r="H214" s="2">
        <f>IFERROR(__xludf.DUMMYFUNCTION("""COMPUTED_VALUE"""),173.0)</f>
        <v>173</v>
      </c>
      <c r="I214" s="2">
        <f>IFERROR(__xludf.DUMMYFUNCTION("""COMPUTED_VALUE"""),192.0)</f>
        <v>192</v>
      </c>
      <c r="J214" s="2">
        <f>IFERROR(__xludf.DUMMYFUNCTION("""COMPUTED_VALUE"""),96.0)</f>
        <v>96</v>
      </c>
      <c r="K214" s="2">
        <f>IFERROR(__xludf.DUMMYFUNCTION("""COMPUTED_VALUE"""),2.0)</f>
        <v>2</v>
      </c>
      <c r="L214" s="2" t="str">
        <f>IFERROR(__xludf.DUMMYFUNCTION("""COMPUTED_VALUE"""),"RSV-SPO Светильники Производство, упаковка тубус ПВХ")</f>
        <v>RSV-SPO Светильники Производство, упаковка тубус ПВХ</v>
      </c>
      <c r="M214" s="2" t="str">
        <f>IFERROR(__xludf.DUMMYFUNCTION("""COMPUTED_VALUE"""),"Пластиковые (линейные), Светильники общего назначения (LED), Накладные, Линейные (проходные), LED Светильники")</f>
        <v>Пластиковые (линейные), Светильники общего назначения (LED), Накладные, Линейные (проходные), LED Светильники</v>
      </c>
    </row>
    <row r="215">
      <c r="A215" s="5" t="str">
        <f>IFERROR(__xludf.DUMMYFUNCTION("""COMPUTED_VALUE"""),"4690612020617")</f>
        <v>4690612020617</v>
      </c>
      <c r="B215" s="5" t="str">
        <f>IFERROR(__xludf.DUMMYFUNCTION("""COMPUTED_VALUE"""),"LED-ШАР-VC 11Вт 230В Е27 4000К 1050Лм IN HOME")</f>
        <v>LED-ШАР-VC 11Вт 230В Е27 4000К 1050Лм IN HOME</v>
      </c>
      <c r="C215" s="2">
        <f>IFERROR(__xludf.DUMMYFUNCTION("""COMPUTED_VALUE"""),0.036)</f>
        <v>0.036</v>
      </c>
      <c r="D215" s="2">
        <f>IFERROR(__xludf.DUMMYFUNCTION("""COMPUTED_VALUE"""),2.4E-4)</f>
        <v>0.00024</v>
      </c>
      <c r="E215" s="2">
        <f>IFERROR(__xludf.DUMMYFUNCTION("""COMPUTED_VALUE"""),41.18)</f>
        <v>41.18</v>
      </c>
      <c r="F215" s="2">
        <f>IFERROR(__xludf.DUMMYFUNCTION("""COMPUTED_VALUE"""),46.0)</f>
        <v>46</v>
      </c>
      <c r="G215" s="2">
        <f>IFERROR(__xludf.DUMMYFUNCTION("""COMPUTED_VALUE"""),52.0)</f>
        <v>52</v>
      </c>
      <c r="H215" s="2">
        <f>IFERROR(__xludf.DUMMYFUNCTION("""COMPUTED_VALUE"""),60.0)</f>
        <v>60</v>
      </c>
      <c r="I215" s="2">
        <f>IFERROR(__xludf.DUMMYFUNCTION("""COMPUTED_VALUE"""),69.8)</f>
        <v>69.8</v>
      </c>
      <c r="J215" s="2">
        <f>IFERROR(__xludf.DUMMYFUNCTION("""COMPUTED_VALUE"""),35.0)</f>
        <v>35</v>
      </c>
      <c r="K215" s="2">
        <f>IFERROR(__xludf.DUMMYFUNCTION("""COMPUTED_VALUE"""),21.0)</f>
        <v>21</v>
      </c>
      <c r="L215" s="2" t="str">
        <f>IFERROR(__xludf.DUMMYFUNCTION("""COMPUTED_VALUE"""),"Лампа светодиодная LED-ШАР-standard")</f>
        <v>Лампа светодиодная LED-ШАР-standard</v>
      </c>
      <c r="M215" s="2" t="str">
        <f>IFERROR(__xludf.DUMMYFUNCTION("""COMPUTED_VALUE"""),"Лампы")</f>
        <v>Лампы</v>
      </c>
    </row>
    <row r="216">
      <c r="A216" s="5" t="str">
        <f>IFERROR(__xludf.DUMMYFUNCTION("""COMPUTED_VALUE"""),"13-2010")</f>
        <v>13-2010</v>
      </c>
      <c r="B216" s="5" t="str">
        <f>IFERROR(__xludf.DUMMYFUNCTION("""COMPUTED_VALUE"""),"Портативный мультиметр MAS830B MASTECH")</f>
        <v>Портативный мультиметр MAS830B MASTECH</v>
      </c>
      <c r="C216" s="2">
        <f>IFERROR(__xludf.DUMMYFUNCTION("""COMPUTED_VALUE"""),0.0)</f>
        <v>0</v>
      </c>
      <c r="D216" s="2">
        <f>IFERROR(__xludf.DUMMYFUNCTION("""COMPUTED_VALUE"""),0.0)</f>
        <v>0</v>
      </c>
      <c r="E216" s="2">
        <f>IFERROR(__xludf.DUMMYFUNCTION("""COMPUTED_VALUE"""),1.0)</f>
        <v>1</v>
      </c>
      <c r="F216" s="2">
        <f>IFERROR(__xludf.DUMMYFUNCTION("""COMPUTED_VALUE"""),1665.0)</f>
        <v>1665</v>
      </c>
      <c r="G216" s="2">
        <f>IFERROR(__xludf.DUMMYFUNCTION("""COMPUTED_VALUE"""),1776.0)</f>
        <v>1776</v>
      </c>
      <c r="H216" s="2">
        <f>IFERROR(__xludf.DUMMYFUNCTION("""COMPUTED_VALUE"""),1998.0)</f>
        <v>1998</v>
      </c>
      <c r="I216" s="2">
        <f>IFERROR(__xludf.DUMMYFUNCTION("""COMPUTED_VALUE"""),2220.5)</f>
        <v>2220.5</v>
      </c>
      <c r="J216" s="2">
        <f>IFERROR(__xludf.DUMMYFUNCTION("""COMPUTED_VALUE"""),1110.0)</f>
        <v>1110</v>
      </c>
      <c r="K216" s="2">
        <f>IFERROR(__xludf.DUMMYFUNCTION("""COMPUTED_VALUE"""),0.0)</f>
        <v>0</v>
      </c>
      <c r="L216" s="2" t="str">
        <f>IFERROR(__xludf.DUMMYFUNCTION("""COMPUTED_VALUE"""),"Rexant")</f>
        <v>Rexant</v>
      </c>
      <c r="M216" s="2" t="str">
        <f>IFERROR(__xludf.DUMMYFUNCTION("""COMPUTED_VALUE"""),"Прочие товары")</f>
        <v>Прочие товары</v>
      </c>
    </row>
    <row r="217">
      <c r="A217" s="5" t="str">
        <f>IFERROR(__xludf.DUMMYFUNCTION("""COMPUTED_VALUE"""),"4690626059245")</f>
        <v>4690626059245</v>
      </c>
      <c r="B217" s="5" t="str">
        <f>IFERROR(__xludf.DUMMYFUNCTION("""COMPUTED_VALUE"""),"Переходник E40-E27, белый (SBE-A-E40-27)")</f>
        <v>Переходник E40-E27, белый (SBE-A-E40-27)</v>
      </c>
      <c r="C217" s="2">
        <f>IFERROR(__xludf.DUMMYFUNCTION("""COMPUTED_VALUE"""),0.0)</f>
        <v>0</v>
      </c>
      <c r="D217" s="2">
        <f>IFERROR(__xludf.DUMMYFUNCTION("""COMPUTED_VALUE"""),0.0)</f>
        <v>0</v>
      </c>
      <c r="E217" s="2">
        <f>IFERROR(__xludf.DUMMYFUNCTION("""COMPUTED_VALUE"""),54.56)</f>
        <v>54.56</v>
      </c>
      <c r="F217" s="2">
        <f>IFERROR(__xludf.DUMMYFUNCTION("""COMPUTED_VALUE"""),67.0)</f>
        <v>67</v>
      </c>
      <c r="G217" s="2">
        <f>IFERROR(__xludf.DUMMYFUNCTION("""COMPUTED_VALUE"""),74.0)</f>
        <v>74</v>
      </c>
      <c r="H217" s="2">
        <f>IFERROR(__xludf.DUMMYFUNCTION("""COMPUTED_VALUE"""),82.0)</f>
        <v>82</v>
      </c>
      <c r="I217" s="2">
        <f>IFERROR(__xludf.DUMMYFUNCTION("""COMPUTED_VALUE"""),90.0)</f>
        <v>90</v>
      </c>
      <c r="J217" s="2">
        <f>IFERROR(__xludf.DUMMYFUNCTION("""COMPUTED_VALUE"""),45.0)</f>
        <v>45</v>
      </c>
      <c r="K217" s="2">
        <f>IFERROR(__xludf.DUMMYFUNCTION("""COMPUTED_VALUE"""),250.0)</f>
        <v>250</v>
      </c>
      <c r="L217" s="2" t="str">
        <f>IFERROR(__xludf.DUMMYFUNCTION("""COMPUTED_VALUE"""),"Smartbuy")</f>
        <v>Smartbuy</v>
      </c>
      <c r="M217" s="2" t="str">
        <f>IFERROR(__xludf.DUMMYFUNCTION("""COMPUTED_VALUE"""),"Прочие товары")</f>
        <v>Прочие товары</v>
      </c>
    </row>
    <row r="218">
      <c r="A218" s="5" t="str">
        <f>IFERROR(__xludf.DUMMYFUNCTION("""COMPUTED_VALUE"""),"4690612035376")</f>
        <v>4690612035376</v>
      </c>
      <c r="B218" s="5" t="str">
        <f>IFERROR(__xludf.DUMMYFUNCTION("""COMPUTED_VALUE"""),"ELEGANT SANSA-B 90Вт 230В 3000-6500K 7000Лм 650х650х130мм c пультом ДУ черный IN HOME")</f>
        <v>ELEGANT SANSA-B 90Вт 230В 3000-6500K 7000Лм 650х650х130мм c пультом ДУ черный IN HOME</v>
      </c>
      <c r="C218" s="2">
        <f>IFERROR(__xludf.DUMMYFUNCTION("""COMPUTED_VALUE"""),2.0)</f>
        <v>2</v>
      </c>
      <c r="D218" s="2">
        <f>IFERROR(__xludf.DUMMYFUNCTION("""COMPUTED_VALUE"""),0.016)</f>
        <v>0.016</v>
      </c>
      <c r="E218" s="2">
        <f>IFERROR(__xludf.DUMMYFUNCTION("""COMPUTED_VALUE"""),4391.11)</f>
        <v>4391.11</v>
      </c>
      <c r="F218" s="2">
        <f>IFERROR(__xludf.DUMMYFUNCTION("""COMPUTED_VALUE"""),2421.0)</f>
        <v>2421</v>
      </c>
      <c r="G218" s="2">
        <f>IFERROR(__xludf.DUMMYFUNCTION("""COMPUTED_VALUE"""),2723.0)</f>
        <v>2723</v>
      </c>
      <c r="H218" s="2">
        <f>IFERROR(__xludf.DUMMYFUNCTION("""COMPUTED_VALUE"""),3159.0)</f>
        <v>3159</v>
      </c>
      <c r="I218" s="2">
        <f>IFERROR(__xludf.DUMMYFUNCTION("""COMPUTED_VALUE"""),3631.0)</f>
        <v>3631</v>
      </c>
      <c r="J218" s="2">
        <f>IFERROR(__xludf.DUMMYFUNCTION("""COMPUTED_VALUE"""),1816.0)</f>
        <v>1816</v>
      </c>
      <c r="K218" s="2">
        <f>IFERROR(__xludf.DUMMYFUNCTION("""COMPUTED_VALUE"""),3.0)</f>
        <v>3</v>
      </c>
      <c r="L218" s="2" t="str">
        <f>IFERROR(__xludf.DUMMYFUNCTION("""COMPUTED_VALUE"""),"Светильники светодиодные серии ELEGANT IN HOME")</f>
        <v>Светильники светодиодные серии ELEGANT IN HOME</v>
      </c>
      <c r="M218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219">
      <c r="A219" s="5" t="str">
        <f>IFERROR(__xludf.DUMMYFUNCTION("""COMPUTED_VALUE"""),"4690626040786")</f>
        <v>4690626040786</v>
      </c>
      <c r="B219" s="5" t="str">
        <f>IFERROR(__xludf.DUMMYFUNCTION("""COMPUTED_VALUE"""),"SBL-FLSMD-30-41K")</f>
        <v>SBL-FLSMD-30-41K</v>
      </c>
      <c r="C219" s="2">
        <f>IFERROR(__xludf.DUMMYFUNCTION("""COMPUTED_VALUE"""),0.33)</f>
        <v>0.33</v>
      </c>
      <c r="D219" s="2">
        <f>IFERROR(__xludf.DUMMYFUNCTION("""COMPUTED_VALUE"""),7.1E-4)</f>
        <v>0.00071</v>
      </c>
      <c r="E219" s="2">
        <f>IFERROR(__xludf.DUMMYFUNCTION("""COMPUTED_VALUE"""),265.78)</f>
        <v>265.78</v>
      </c>
      <c r="F219" s="2">
        <f>IFERROR(__xludf.DUMMYFUNCTION("""COMPUTED_VALUE"""),303.0)</f>
        <v>303</v>
      </c>
      <c r="G219" s="2">
        <f>IFERROR(__xludf.DUMMYFUNCTION("""COMPUTED_VALUE"""),333.0)</f>
        <v>333</v>
      </c>
      <c r="H219" s="2">
        <f>IFERROR(__xludf.DUMMYFUNCTION("""COMPUTED_VALUE"""),370.0)</f>
        <v>370</v>
      </c>
      <c r="I219" s="2">
        <f>IFERROR(__xludf.DUMMYFUNCTION("""COMPUTED_VALUE"""),407.0)</f>
        <v>407</v>
      </c>
      <c r="J219" s="2">
        <f>IFERROR(__xludf.DUMMYFUNCTION("""COMPUTED_VALUE"""),204.0)</f>
        <v>204</v>
      </c>
      <c r="K219" s="2">
        <f>IFERROR(__xludf.DUMMYFUNCTION("""COMPUTED_VALUE"""),4.0)</f>
        <v>4</v>
      </c>
      <c r="L219" s="2" t="str">
        <f>IFERROR(__xludf.DUMMYFUNCTION("""COMPUTED_VALUE"""),"Smartbuy LED светильники")</f>
        <v>Smartbuy LED светильники</v>
      </c>
      <c r="M219" s="2" t="str">
        <f>IFERROR(__xludf.DUMMYFUNCTION("""COMPUTED_VALUE"""),"Без датчиков, LED Светильники")</f>
        <v>Без датчиков, LED Светильники</v>
      </c>
    </row>
    <row r="220">
      <c r="A220" s="5" t="str">
        <f>IFERROR(__xludf.DUMMYFUNCTION("""COMPUTED_VALUE"""),"ves2087")</f>
        <v>ves2087</v>
      </c>
      <c r="B220" s="5" t="str">
        <f>IFERROR(__xludf.DUMMYFUNCTION("""COMPUTED_VALUE"""),"Лампа светодиодная 18W G13 6500K")</f>
        <v>Лампа светодиодная 18W G13 6500K</v>
      </c>
      <c r="C220" s="2">
        <f>IFERROR(__xludf.DUMMYFUNCTION("""COMPUTED_VALUE"""),0.0)</f>
        <v>0</v>
      </c>
      <c r="D220" s="2">
        <f>IFERROR(__xludf.DUMMYFUNCTION("""COMPUTED_VALUE"""),0.0)</f>
        <v>0</v>
      </c>
      <c r="E220" s="2">
        <f>IFERROR(__xludf.DUMMYFUNCTION("""COMPUTED_VALUE"""),77.4)</f>
        <v>77.4</v>
      </c>
      <c r="F220" s="2">
        <f>IFERROR(__xludf.DUMMYFUNCTION("""COMPUTED_VALUE"""),88.0)</f>
        <v>88</v>
      </c>
      <c r="G220" s="2">
        <f>IFERROR(__xludf.DUMMYFUNCTION("""COMPUTED_VALUE"""),94.0)</f>
        <v>94</v>
      </c>
      <c r="H220" s="2">
        <f>IFERROR(__xludf.DUMMYFUNCTION("""COMPUTED_VALUE"""),106.0)</f>
        <v>106</v>
      </c>
      <c r="I220" s="2">
        <f>IFERROR(__xludf.DUMMYFUNCTION("""COMPUTED_VALUE"""),117.43)</f>
        <v>117.43</v>
      </c>
      <c r="J220" s="2">
        <f>IFERROR(__xludf.DUMMYFUNCTION("""COMPUTED_VALUE"""),59.0)</f>
        <v>59</v>
      </c>
      <c r="K220" s="2">
        <f>IFERROR(__xludf.DUMMYFUNCTION("""COMPUTED_VALUE"""),5.0)</f>
        <v>5</v>
      </c>
      <c r="L220" s="2" t="str">
        <f>IFERROR(__xludf.DUMMYFUNCTION("""COMPUTED_VALUE"""),"ves2 (тендер)")</f>
        <v>ves2 (тендер)</v>
      </c>
      <c r="M220" s="2" t="str">
        <f>IFERROR(__xludf.DUMMYFUNCTION("""COMPUTED_VALUE"""),"Прочие товары")</f>
        <v>Прочие товары</v>
      </c>
    </row>
    <row r="221">
      <c r="A221" s="5" t="str">
        <f>IFERROR(__xludf.DUMMYFUNCTION("""COMPUTED_VALUE"""),"13936")</f>
        <v>13936</v>
      </c>
      <c r="B221" s="5" t="str">
        <f>IFERROR(__xludf.DUMMYFUNCTION("""COMPUTED_VALUE"""),"TLK01 OL 13Вт 1550лм")</f>
        <v>TLK01 OL 13Вт 1550лм</v>
      </c>
      <c r="C221" s="2">
        <f>IFERROR(__xludf.DUMMYFUNCTION("""COMPUTED_VALUE"""),0.9)</f>
        <v>0.9</v>
      </c>
      <c r="D221" s="2">
        <f>IFERROR(__xludf.DUMMYFUNCTION("""COMPUTED_VALUE"""),0.00958)</f>
        <v>0.00958</v>
      </c>
      <c r="E221" s="2">
        <f>IFERROR(__xludf.DUMMYFUNCTION("""COMPUTED_VALUE"""),2485.04)</f>
        <v>2485.04</v>
      </c>
      <c r="F221" s="2">
        <f>IFERROR(__xludf.DUMMYFUNCTION("""COMPUTED_VALUE"""),2155.0)</f>
        <v>2155</v>
      </c>
      <c r="G221" s="2">
        <f>IFERROR(__xludf.DUMMYFUNCTION("""COMPUTED_VALUE"""),2433.0)</f>
        <v>2433</v>
      </c>
      <c r="H221" s="2">
        <f>IFERROR(__xludf.DUMMYFUNCTION("""COMPUTED_VALUE"""),2489.0)</f>
        <v>2489</v>
      </c>
      <c r="I221" s="2">
        <f>IFERROR(__xludf.DUMMYFUNCTION("""COMPUTED_VALUE"""),3035.0)</f>
        <v>3035</v>
      </c>
      <c r="J221" s="2">
        <f>IFERROR(__xludf.DUMMYFUNCTION("""COMPUTED_VALUE"""),1518.0)</f>
        <v>1518</v>
      </c>
      <c r="K221" s="2">
        <f>IFERROR(__xludf.DUMMYFUNCTION("""COMPUTED_VALUE"""),1.0)</f>
        <v>1</v>
      </c>
      <c r="L221" s="2" t="str">
        <f>IFERROR(__xludf.DUMMYFUNCTION("""COMPUTED_VALUE"""),"Технолюкс Светильники LED TLK")</f>
        <v>Технолюкс Светильники LED TLK</v>
      </c>
      <c r="M221" s="2" t="str">
        <f>IFERROR(__xludf.DUMMYFUNCTION("""COMPUTED_VALUE"""),"Для ЖКХ, дома, дачи, LED Светильники")</f>
        <v>Для ЖКХ, дома, дачи, LED Светильники</v>
      </c>
    </row>
    <row r="222">
      <c r="A222" s="5" t="str">
        <f>IFERROR(__xludf.DUMMYFUNCTION("""COMPUTED_VALUE"""),"4680005959044")</f>
        <v>4680005959044</v>
      </c>
      <c r="B222" s="5" t="str">
        <f>IFERROR(__xludf.DUMMYFUNCTION("""COMPUTED_VALUE"""),"Соединитель LS35-CC 20см со шнуром LLT")</f>
        <v>Соединитель LS35-CC 20см со шнуром LLT</v>
      </c>
      <c r="C222" s="2">
        <f>IFERROR(__xludf.DUMMYFUNCTION("""COMPUTED_VALUE"""),1.0E-5)</f>
        <v>0.00001</v>
      </c>
      <c r="D222" s="2">
        <f>IFERROR(__xludf.DUMMYFUNCTION("""COMPUTED_VALUE"""),0.001)</f>
        <v>0.001</v>
      </c>
      <c r="E222" s="2">
        <f>IFERROR(__xludf.DUMMYFUNCTION("""COMPUTED_VALUE"""),20.37)</f>
        <v>20.37</v>
      </c>
      <c r="F222" s="2">
        <f>IFERROR(__xludf.DUMMYFUNCTION("""COMPUTED_VALUE"""),27.0)</f>
        <v>27</v>
      </c>
      <c r="G222" s="2">
        <f>IFERROR(__xludf.DUMMYFUNCTION("""COMPUTED_VALUE"""),28.0)</f>
        <v>28</v>
      </c>
      <c r="H222" s="2">
        <f>IFERROR(__xludf.DUMMYFUNCTION("""COMPUTED_VALUE"""),32.0)</f>
        <v>32</v>
      </c>
      <c r="I222" s="2">
        <f>IFERROR(__xludf.DUMMYFUNCTION("""COMPUTED_VALUE"""),35.5)</f>
        <v>35.5</v>
      </c>
      <c r="J222" s="2">
        <f>IFERROR(__xludf.DUMMYFUNCTION("""COMPUTED_VALUE"""),18.0)</f>
        <v>18</v>
      </c>
      <c r="K222" s="2">
        <f>IFERROR(__xludf.DUMMYFUNCTION("""COMPUTED_VALUE"""),26.0)</f>
        <v>26</v>
      </c>
      <c r="L222" s="2" t="str">
        <f>IFERROR(__xludf.DUMMYFUNCTION("""COMPUTED_VALUE"""),"Другие")</f>
        <v>Другие</v>
      </c>
      <c r="M222" s="2" t="str">
        <f>IFERROR(__xludf.DUMMYFUNCTION("""COMPUTED_VALUE"""),"Прочие товары")</f>
        <v>Прочие товары</v>
      </c>
    </row>
    <row r="223">
      <c r="A223" s="5" t="str">
        <f>IFERROR(__xludf.DUMMYFUNCTION("""COMPUTED_VALUE"""),"4690612031026")</f>
        <v>4690612031026</v>
      </c>
      <c r="B223" s="5" t="str">
        <f>IFERROR(__xludf.DUMMYFUNCTION("""COMPUTED_VALUE"""),"LED-T8-М-PRO 30Вт 230В G13 6500К 3000Лм 1200мм матовая IN HOME")</f>
        <v>LED-T8-М-PRO 30Вт 230В G13 6500К 3000Лм 1200мм матовая IN HOME</v>
      </c>
      <c r="C223" s="2">
        <f>IFERROR(__xludf.DUMMYFUNCTION("""COMPUTED_VALUE"""),0.2)</f>
        <v>0.2</v>
      </c>
      <c r="D223" s="2">
        <f>IFERROR(__xludf.DUMMYFUNCTION("""COMPUTED_VALUE"""),0.00144)</f>
        <v>0.00144</v>
      </c>
      <c r="E223" s="2">
        <f>IFERROR(__xludf.DUMMYFUNCTION("""COMPUTED_VALUE"""),104.06)</f>
        <v>104.06</v>
      </c>
      <c r="F223" s="2">
        <f>IFERROR(__xludf.DUMMYFUNCTION("""COMPUTED_VALUE"""),132.0)</f>
        <v>132</v>
      </c>
      <c r="G223" s="2">
        <f>IFERROR(__xludf.DUMMYFUNCTION("""COMPUTED_VALUE"""),149.0)</f>
        <v>149</v>
      </c>
      <c r="H223" s="2">
        <f>IFERROR(__xludf.DUMMYFUNCTION("""COMPUTED_VALUE"""),172.0)</f>
        <v>172</v>
      </c>
      <c r="I223" s="2">
        <f>IFERROR(__xludf.DUMMYFUNCTION("""COMPUTED_VALUE"""),198.5)</f>
        <v>198.5</v>
      </c>
      <c r="J223" s="2">
        <f>IFERROR(__xludf.DUMMYFUNCTION("""COMPUTED_VALUE"""),99.0)</f>
        <v>99</v>
      </c>
      <c r="K223" s="2">
        <f>IFERROR(__xludf.DUMMYFUNCTION("""COMPUTED_VALUE"""),13.0)</f>
        <v>13</v>
      </c>
      <c r="L223" s="2" t="str">
        <f>IFERROR(__xludf.DUMMYFUNCTION("""COMPUTED_VALUE"""),"Лампа светодиодная LED-T8")</f>
        <v>Лампа светодиодная LED-T8</v>
      </c>
      <c r="M223" s="2" t="str">
        <f>IFERROR(__xludf.DUMMYFUNCTION("""COMPUTED_VALUE"""),"Лампы")</f>
        <v>Лампы</v>
      </c>
    </row>
    <row r="224">
      <c r="A224" s="5" t="str">
        <f>IFERROR(__xludf.DUMMYFUNCTION("""COMPUTED_VALUE"""),"R100153")</f>
        <v>R100153</v>
      </c>
      <c r="B224" s="5" t="str">
        <f>IFERROR(__xludf.DUMMYFUNCTION("""COMPUTED_VALUE"""),"RSV-SFL-3-20W-6K-IP65-SENS, 6500K с датчиком движения")</f>
        <v>RSV-SFL-3-20W-6K-IP65-SENS, 6500K с датчиком движения</v>
      </c>
      <c r="C224" s="2">
        <f>IFERROR(__xludf.DUMMYFUNCTION("""COMPUTED_VALUE"""),0.0)</f>
        <v>0</v>
      </c>
      <c r="D224" s="2">
        <f>IFERROR(__xludf.DUMMYFUNCTION("""COMPUTED_VALUE"""),0.0)</f>
        <v>0</v>
      </c>
      <c r="E224" s="2">
        <f>IFERROR(__xludf.DUMMYFUNCTION("""COMPUTED_VALUE"""),781.33)</f>
        <v>781.33</v>
      </c>
      <c r="F224" s="2">
        <f>IFERROR(__xludf.DUMMYFUNCTION("""COMPUTED_VALUE"""),818.0)</f>
        <v>818</v>
      </c>
      <c r="G224" s="2">
        <f>IFERROR(__xludf.DUMMYFUNCTION("""COMPUTED_VALUE"""),963.0)</f>
        <v>963</v>
      </c>
      <c r="H224" s="2">
        <f>IFERROR(__xludf.DUMMYFUNCTION("""COMPUTED_VALUE"""),992.0)</f>
        <v>992</v>
      </c>
      <c r="I224" s="2">
        <f>IFERROR(__xludf.DUMMYFUNCTION("""COMPUTED_VALUE"""),1140.0)</f>
        <v>1140</v>
      </c>
      <c r="J224" s="2">
        <f>IFERROR(__xludf.DUMMYFUNCTION("""COMPUTED_VALUE"""),570.0)</f>
        <v>570</v>
      </c>
      <c r="K224" s="2">
        <f>IFERROR(__xludf.DUMMYFUNCTION("""COMPUTED_VALUE"""),21.0)</f>
        <v>21</v>
      </c>
      <c r="L224" s="2" t="str">
        <f>IFERROR(__xludf.DUMMYFUNCTION("""COMPUTED_VALUE"""),"Прожекторы RSV-SFL-3")</f>
        <v>Прожекторы RSV-SFL-3</v>
      </c>
      <c r="M224" s="2" t="str">
        <f>IFERROR(__xludf.DUMMYFUNCTION("""COMPUTED_VALUE"""),"Прожекторы (LED), Бытовые (недорогие), С датчиками, LED Светильники")</f>
        <v>Прожекторы (LED), Бытовые (недорогие), С датчиками, LED Светильники</v>
      </c>
    </row>
    <row r="225">
      <c r="A225" s="5" t="str">
        <f>IFERROR(__xludf.DUMMYFUNCTION("""COMPUTED_VALUE"""),"4690612057309-2")</f>
        <v>4690612057309-2</v>
      </c>
      <c r="B225" s="5" t="str">
        <f>IFERROR(__xludf.DUMMYFUNCTION("""COMPUTED_VALUE"""),"ДВО-PRO 5065-ОПАЛ 50Вт 6500К 120лм/Вт CRI80 IP40 595х595х30мм NEOX (2 шт в упак.)")</f>
        <v>ДВО-PRO 5065-ОПАЛ 50Вт 6500К 120лм/Вт CRI80 IP40 595х595х30мм NEOX (2 шт в упак.)</v>
      </c>
      <c r="C225" s="2">
        <f>IFERROR(__xludf.DUMMYFUNCTION("""COMPUTED_VALUE"""),0.0)</f>
        <v>0</v>
      </c>
      <c r="D225" s="2">
        <f>IFERROR(__xludf.DUMMYFUNCTION("""COMPUTED_VALUE"""),0.0)</f>
        <v>0</v>
      </c>
      <c r="E225" s="2">
        <f>IFERROR(__xludf.DUMMYFUNCTION("""COMPUTED_VALUE"""),2013.36)</f>
        <v>2013.36</v>
      </c>
      <c r="F225" s="2">
        <f>IFERROR(__xludf.DUMMYFUNCTION("""COMPUTED_VALUE"""),2209.0)</f>
        <v>2209</v>
      </c>
      <c r="G225" s="2">
        <f>IFERROR(__xludf.DUMMYFUNCTION("""COMPUTED_VALUE"""),2899.0)</f>
        <v>2899</v>
      </c>
      <c r="H225" s="2">
        <f>IFERROR(__xludf.DUMMYFUNCTION("""COMPUTED_VALUE"""),3262.0)</f>
        <v>3262</v>
      </c>
      <c r="I225" s="2">
        <f>IFERROR(__xludf.DUMMYFUNCTION("""COMPUTED_VALUE"""),3624.0)</f>
        <v>3624</v>
      </c>
      <c r="J225" s="2">
        <f>IFERROR(__xludf.DUMMYFUNCTION("""COMPUTED_VALUE"""),1812.0)</f>
        <v>1812</v>
      </c>
      <c r="K225" s="2">
        <f>IFERROR(__xludf.DUMMYFUNCTION("""COMPUTED_VALUE"""),5.0)</f>
        <v>5</v>
      </c>
      <c r="L225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225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226">
      <c r="A226" s="5" t="str">
        <f>IFERROR(__xludf.DUMMYFUNCTION("""COMPUTED_VALUE"""),"GL81311")</f>
        <v>GL81311</v>
      </c>
      <c r="B226" s="5" t="str">
        <f>IFERROR(__xludf.DUMMYFUNCTION("""COMPUTED_VALUE"""),"GLERIO Office Casual 40 Вт 4000K 81P-40D-4V-P")</f>
        <v>GLERIO Office Casual 40 Вт 4000K 81P-40D-4V-P</v>
      </c>
      <c r="C226" s="2">
        <f>IFERROR(__xludf.DUMMYFUNCTION("""COMPUTED_VALUE"""),1.14)</f>
        <v>1.14</v>
      </c>
      <c r="D226" s="2">
        <f>IFERROR(__xludf.DUMMYFUNCTION("""COMPUTED_VALUE"""),0.008190000000000001)</f>
        <v>0.00819</v>
      </c>
      <c r="E226" s="2">
        <f>IFERROR(__xludf.DUMMYFUNCTION("""COMPUTED_VALUE"""),2261.0)</f>
        <v>2261</v>
      </c>
      <c r="F226" s="2">
        <f>IFERROR(__xludf.DUMMYFUNCTION("""COMPUTED_VALUE"""),2660.0)</f>
        <v>2660</v>
      </c>
      <c r="G226" s="2">
        <f>IFERROR(__xludf.DUMMYFUNCTION("""COMPUTED_VALUE"""),3349.0)</f>
        <v>3349</v>
      </c>
      <c r="H226" s="2">
        <f>IFERROR(__xludf.DUMMYFUNCTION("""COMPUTED_VALUE"""),3761.0)</f>
        <v>3761</v>
      </c>
      <c r="I226" s="2">
        <f>IFERROR(__xludf.DUMMYFUNCTION("""COMPUTED_VALUE"""),4173.0)</f>
        <v>4173</v>
      </c>
      <c r="J226" s="2">
        <f>IFERROR(__xludf.DUMMYFUNCTION("""COMPUTED_VALUE"""),2087.0)</f>
        <v>2087</v>
      </c>
      <c r="K226" s="2">
        <f>IFERROR(__xludf.DUMMYFUNCTION("""COMPUTED_VALUE"""),15.0)</f>
        <v>15</v>
      </c>
      <c r="L226" s="2" t="str">
        <f>IFERROR(__xludf.DUMMYFUNCTION("""COMPUTED_VALUE"""),"Office Casual+ GLERIO (Офис)")</f>
        <v>Office Casual+ GLERIO (Офис)</v>
      </c>
      <c r="M226" s="2" t="str">
        <f>IFERROR(__xludf.DUMMYFUNCTION("""COMPUTED_VALUE"""),"С равномерной засветкой, LED Светильники")</f>
        <v>С равномерной засветкой, LED Светильники</v>
      </c>
    </row>
    <row r="227">
      <c r="A227" s="5" t="str">
        <f>IFERROR(__xludf.DUMMYFUNCTION("""COMPUTED_VALUE"""),"4690612008059")</f>
        <v>4690612008059</v>
      </c>
      <c r="B227" s="5" t="str">
        <f>IFERROR(__xludf.DUMMYFUNCTION("""COMPUTED_VALUE"""),"LED-A60-deco 7Вт 230В Е27 4000К 630Лм прозрачная IN HOME")</f>
        <v>LED-A60-deco 7Вт 230В Е27 4000К 630Лм прозрачная IN HOME</v>
      </c>
      <c r="C227" s="2">
        <f>IFERROR(__xludf.DUMMYFUNCTION("""COMPUTED_VALUE"""),0.08800000000000001)</f>
        <v>0.088</v>
      </c>
      <c r="D227" s="2">
        <f>IFERROR(__xludf.DUMMYFUNCTION("""COMPUTED_VALUE"""),7.2E-4)</f>
        <v>0.00072</v>
      </c>
      <c r="E227" s="2">
        <f>IFERROR(__xludf.DUMMYFUNCTION("""COMPUTED_VALUE"""),55.61)</f>
        <v>55.61</v>
      </c>
      <c r="F227" s="2">
        <f>IFERROR(__xludf.DUMMYFUNCTION("""COMPUTED_VALUE"""),55.0)</f>
        <v>55</v>
      </c>
      <c r="G227" s="2">
        <f>IFERROR(__xludf.DUMMYFUNCTION("""COMPUTED_VALUE"""),62.0)</f>
        <v>62</v>
      </c>
      <c r="H227" s="2">
        <f>IFERROR(__xludf.DUMMYFUNCTION("""COMPUTED_VALUE"""),72.0)</f>
        <v>72</v>
      </c>
      <c r="I227" s="2">
        <f>IFERROR(__xludf.DUMMYFUNCTION("""COMPUTED_VALUE"""),83.5)</f>
        <v>83.5</v>
      </c>
      <c r="J227" s="2">
        <f>IFERROR(__xludf.DUMMYFUNCTION("""COMPUTED_VALUE"""),42.0)</f>
        <v>42</v>
      </c>
      <c r="K227" s="2">
        <f>IFERROR(__xludf.DUMMYFUNCTION("""COMPUTED_VALUE"""),3.0)</f>
        <v>3</v>
      </c>
      <c r="L227" s="2" t="str">
        <f>IFERROR(__xludf.DUMMYFUNCTION("""COMPUTED_VALUE"""),"Лампа светодиодная LED-A60 DECO")</f>
        <v>Лампа светодиодная LED-A60 DECO</v>
      </c>
      <c r="M227" s="2" t="str">
        <f>IFERROR(__xludf.DUMMYFUNCTION("""COMPUTED_VALUE"""),"Лампы")</f>
        <v>Лампы</v>
      </c>
    </row>
    <row r="228">
      <c r="A228" s="5" t="str">
        <f>IFERROR(__xludf.DUMMYFUNCTION("""COMPUTED_VALUE"""),"4260652192584")</f>
        <v>4260652192584</v>
      </c>
      <c r="B228" s="5" t="str">
        <f>IFERROR(__xludf.DUMMYFUNCTION("""COMPUTED_VALUE"""),"WTL-25W/01W")</f>
        <v>WTL-25W/01W</v>
      </c>
      <c r="C228" s="2">
        <f>IFERROR(__xludf.DUMMYFUNCTION("""COMPUTED_VALUE"""),0.36)</f>
        <v>0.36</v>
      </c>
      <c r="D228" s="2">
        <f>IFERROR(__xludf.DUMMYFUNCTION("""COMPUTED_VALUE"""),0.00134)</f>
        <v>0.00134</v>
      </c>
      <c r="E228" s="2">
        <f>IFERROR(__xludf.DUMMYFUNCTION("""COMPUTED_VALUE"""),640.64)</f>
        <v>640.64</v>
      </c>
      <c r="F228" s="2">
        <f>IFERROR(__xludf.DUMMYFUNCTION("""COMPUTED_VALUE"""),723.0)</f>
        <v>723</v>
      </c>
      <c r="G228" s="2">
        <f>IFERROR(__xludf.DUMMYFUNCTION("""COMPUTED_VALUE"""),748.0)</f>
        <v>748</v>
      </c>
      <c r="H228" s="2">
        <f>IFERROR(__xludf.DUMMYFUNCTION("""COMPUTED_VALUE"""),981.0)</f>
        <v>981</v>
      </c>
      <c r="I228" s="2">
        <f>IFERROR(__xludf.DUMMYFUNCTION("""COMPUTED_VALUE"""),1226.0)</f>
        <v>1226</v>
      </c>
      <c r="J228" s="2">
        <f>IFERROR(__xludf.DUMMYFUNCTION("""COMPUTED_VALUE"""),613.0)</f>
        <v>613</v>
      </c>
      <c r="K228" s="2">
        <f>IFERROR(__xludf.DUMMYFUNCTION("""COMPUTED_VALUE"""),1.0)</f>
        <v>1</v>
      </c>
      <c r="L228" s="2" t="str">
        <f>IFERROR(__xludf.DUMMYFUNCTION("""COMPUTED_VALUE"""),"Wolta трековые")</f>
        <v>Wolta трековые</v>
      </c>
      <c r="M228" s="2" t="str">
        <f>IFERROR(__xludf.DUMMYFUNCTION("""COMPUTED_VALUE"""),"Трековые, LED Светильники")</f>
        <v>Трековые, LED Светильники</v>
      </c>
    </row>
    <row r="229">
      <c r="A229" s="5" t="str">
        <f>IFERROR(__xludf.DUMMYFUNCTION("""COMPUTED_VALUE"""),"4690612020372")</f>
        <v>4690612020372</v>
      </c>
      <c r="B229" s="5" t="str">
        <f>IFERROR(__xludf.DUMMYFUNCTION("""COMPUTED_VALUE"""),"LED-JCDR-VC 6Вт 230В GU5.3 4000К 530Лм IN HOME")</f>
        <v>LED-JCDR-VC 6Вт 230В GU5.3 4000К 530Лм IN HOME</v>
      </c>
      <c r="C229" s="2">
        <f>IFERROR(__xludf.DUMMYFUNCTION("""COMPUTED_VALUE"""),0.03)</f>
        <v>0.03</v>
      </c>
      <c r="D229" s="2">
        <f>IFERROR(__xludf.DUMMYFUNCTION("""COMPUTED_VALUE"""),2.1E-4)</f>
        <v>0.00021</v>
      </c>
      <c r="E229" s="2">
        <f>IFERROR(__xludf.DUMMYFUNCTION("""COMPUTED_VALUE"""),36.0)</f>
        <v>36</v>
      </c>
      <c r="F229" s="2">
        <f>IFERROR(__xludf.DUMMYFUNCTION("""COMPUTED_VALUE"""),43.0)</f>
        <v>43</v>
      </c>
      <c r="G229" s="2">
        <f>IFERROR(__xludf.DUMMYFUNCTION("""COMPUTED_VALUE"""),49.0)</f>
        <v>49</v>
      </c>
      <c r="H229" s="2">
        <f>IFERROR(__xludf.DUMMYFUNCTION("""COMPUTED_VALUE"""),56.0)</f>
        <v>56</v>
      </c>
      <c r="I229" s="2">
        <f>IFERROR(__xludf.DUMMYFUNCTION("""COMPUTED_VALUE"""),65.4)</f>
        <v>65.4</v>
      </c>
      <c r="J229" s="2">
        <f>IFERROR(__xludf.DUMMYFUNCTION("""COMPUTED_VALUE"""),33.0)</f>
        <v>33</v>
      </c>
      <c r="K229" s="2">
        <f>IFERROR(__xludf.DUMMYFUNCTION("""COMPUTED_VALUE"""),1.0)</f>
        <v>1</v>
      </c>
      <c r="L229" s="2" t="str">
        <f>IFERROR(__xludf.DUMMYFUNCTION("""COMPUTED_VALUE"""),"Лампа светодиодная LED-JCDR-standard")</f>
        <v>Лампа светодиодная LED-JCDR-standard</v>
      </c>
      <c r="M229" s="2" t="str">
        <f>IFERROR(__xludf.DUMMYFUNCTION("""COMPUTED_VALUE"""),"Лампы")</f>
        <v>Лампы</v>
      </c>
    </row>
    <row r="230">
      <c r="A230" s="5" t="str">
        <f>IFERROR(__xludf.DUMMYFUNCTION("""COMPUTED_VALUE"""),"GL82335")</f>
        <v>GL82335</v>
      </c>
      <c r="B230" s="5" t="str">
        <f>IFERROR(__xludf.DUMMYFUNCTION("""COMPUTED_VALUE"""),"GLERIO Line 36 Вт 5000К 91P-36D-5N-K")</f>
        <v>GLERIO Line 36 Вт 5000К 91P-36D-5N-K</v>
      </c>
      <c r="C230" s="2">
        <f>IFERROR(__xludf.DUMMYFUNCTION("""COMPUTED_VALUE"""),0.5)</f>
        <v>0.5</v>
      </c>
      <c r="D230" s="2">
        <f>IFERROR(__xludf.DUMMYFUNCTION("""COMPUTED_VALUE"""),0.00396)</f>
        <v>0.00396</v>
      </c>
      <c r="E230" s="2">
        <f>IFERROR(__xludf.DUMMYFUNCTION("""COMPUTED_VALUE"""),2007.9)</f>
        <v>2007.9</v>
      </c>
      <c r="F230" s="2">
        <f>IFERROR(__xludf.DUMMYFUNCTION("""COMPUTED_VALUE"""),2310.0)</f>
        <v>2310</v>
      </c>
      <c r="G230" s="2">
        <f>IFERROR(__xludf.DUMMYFUNCTION("""COMPUTED_VALUE"""),2908.0)</f>
        <v>2908</v>
      </c>
      <c r="H230" s="2">
        <f>IFERROR(__xludf.DUMMYFUNCTION("""COMPUTED_VALUE"""),3266.0)</f>
        <v>3266</v>
      </c>
      <c r="I230" s="2">
        <f>IFERROR(__xludf.DUMMYFUNCTION("""COMPUTED_VALUE"""),3624.0)</f>
        <v>3624</v>
      </c>
      <c r="J230" s="2">
        <f>IFERROR(__xludf.DUMMYFUNCTION("""COMPUTED_VALUE"""),3624.0)</f>
        <v>3624</v>
      </c>
      <c r="K230" s="2">
        <f>IFERROR(__xludf.DUMMYFUNCTION("""COMPUTED_VALUE"""),10.0)</f>
        <v>10</v>
      </c>
      <c r="L230" s="2" t="str">
        <f>IFERROR(__xludf.DUMMYFUNCTION("""COMPUTED_VALUE"""),"Line (Айсберг) до 10.2025")</f>
        <v>Line (Айсберг) до 10.2025</v>
      </c>
      <c r="M230" s="2" t="str">
        <f>IFERROR(__xludf.DUMMYFUNCTION("""COMPUTED_VALUE"""),"Пластиковые (линейные), LED Светильники")</f>
        <v>Пластиковые (линейные), LED Светильники</v>
      </c>
    </row>
    <row r="231">
      <c r="A231" s="5" t="str">
        <f>IFERROR(__xludf.DUMMYFUNCTION("""COMPUTED_VALUE"""),"4690612035659")</f>
        <v>4690612035659</v>
      </c>
      <c r="B231" s="5" t="str">
        <f>IFERROR(__xludf.DUMMYFUNCTION("""COMPUTED_VALUE"""),"LED-ST64-deco gold 9Вт 230В Е27 3000К 1040Лм золотистая IN HOME")</f>
        <v>LED-ST64-deco gold 9Вт 230В Е27 3000К 1040Лм золотистая IN HOME</v>
      </c>
      <c r="C231" s="2">
        <f>IFERROR(__xludf.DUMMYFUNCTION("""COMPUTED_VALUE"""),0.044)</f>
        <v>0.044</v>
      </c>
      <c r="D231" s="2">
        <f>IFERROR(__xludf.DUMMYFUNCTION("""COMPUTED_VALUE"""),8.0E-4)</f>
        <v>0.0008</v>
      </c>
      <c r="E231" s="2">
        <f>IFERROR(__xludf.DUMMYFUNCTION("""COMPUTED_VALUE"""),117.0)</f>
        <v>117</v>
      </c>
      <c r="F231" s="2">
        <f>IFERROR(__xludf.DUMMYFUNCTION("""COMPUTED_VALUE"""),152.0)</f>
        <v>152</v>
      </c>
      <c r="G231" s="2">
        <f>IFERROR(__xludf.DUMMYFUNCTION("""COMPUTED_VALUE"""),171.0)</f>
        <v>171</v>
      </c>
      <c r="H231" s="2">
        <f>IFERROR(__xludf.DUMMYFUNCTION("""COMPUTED_VALUE"""),198.0)</f>
        <v>198</v>
      </c>
      <c r="I231" s="2">
        <f>IFERROR(__xludf.DUMMYFUNCTION("""COMPUTED_VALUE"""),228.5)</f>
        <v>228.5</v>
      </c>
      <c r="J231" s="2">
        <f>IFERROR(__xludf.DUMMYFUNCTION("""COMPUTED_VALUE"""),114.0)</f>
        <v>114</v>
      </c>
      <c r="K231" s="2">
        <f>IFERROR(__xludf.DUMMYFUNCTION("""COMPUTED_VALUE"""),6.0)</f>
        <v>6</v>
      </c>
      <c r="L231" s="2" t="str">
        <f>IFERROR(__xludf.DUMMYFUNCTION("""COMPUTED_VALUE"""),"Лампа светодиодная LED-ST64-DECO золотистая")</f>
        <v>Лампа светодиодная LED-ST64-DECO золотистая</v>
      </c>
      <c r="M231" s="2" t="str">
        <f>IFERROR(__xludf.DUMMYFUNCTION("""COMPUTED_VALUE"""),"Лампы")</f>
        <v>Лампы</v>
      </c>
    </row>
    <row r="232">
      <c r="A232" s="5" t="str">
        <f>IFERROR(__xludf.DUMMYFUNCTION("""COMPUTED_VALUE"""),"4690612020730")</f>
        <v>4690612020730</v>
      </c>
      <c r="B232" s="5" t="str">
        <f>IFERROR(__xludf.DUMMYFUNCTION("""COMPUTED_VALUE"""),"LED-GX53-VC 8Вт 230В 4000К 760Лм IN HOME")</f>
        <v>LED-GX53-VC 8Вт 230В 4000К 760Лм IN HOME</v>
      </c>
      <c r="C232" s="2">
        <f>IFERROR(__xludf.DUMMYFUNCTION("""COMPUTED_VALUE"""),0.035)</f>
        <v>0.035</v>
      </c>
      <c r="D232" s="2">
        <f>IFERROR(__xludf.DUMMYFUNCTION("""COMPUTED_VALUE"""),2.1E-4)</f>
        <v>0.00021</v>
      </c>
      <c r="E232" s="2">
        <f>IFERROR(__xludf.DUMMYFUNCTION("""COMPUTED_VALUE"""),35.4)</f>
        <v>35.4</v>
      </c>
      <c r="F232" s="2">
        <f>IFERROR(__xludf.DUMMYFUNCTION("""COMPUTED_VALUE"""),43.0)</f>
        <v>43</v>
      </c>
      <c r="G232" s="2">
        <f>IFERROR(__xludf.DUMMYFUNCTION("""COMPUTED_VALUE"""),49.0)</f>
        <v>49</v>
      </c>
      <c r="H232" s="2">
        <f>IFERROR(__xludf.DUMMYFUNCTION("""COMPUTED_VALUE"""),57.0)</f>
        <v>57</v>
      </c>
      <c r="I232" s="2">
        <f>IFERROR(__xludf.DUMMYFUNCTION("""COMPUTED_VALUE"""),65.6)</f>
        <v>65.6</v>
      </c>
      <c r="J232" s="2">
        <f>IFERROR(__xludf.DUMMYFUNCTION("""COMPUTED_VALUE"""),33.0)</f>
        <v>33</v>
      </c>
      <c r="K232" s="2">
        <f>IFERROR(__xludf.DUMMYFUNCTION("""COMPUTED_VALUE"""),69.0)</f>
        <v>69</v>
      </c>
      <c r="L232" s="2" t="str">
        <f>IFERROR(__xludf.DUMMYFUNCTION("""COMPUTED_VALUE"""),"Лампа светодиодная LED-GX53-standard")</f>
        <v>Лампа светодиодная LED-GX53-standard</v>
      </c>
      <c r="M232" s="2" t="str">
        <f>IFERROR(__xludf.DUMMYFUNCTION("""COMPUTED_VALUE"""),"Лампы")</f>
        <v>Лампы</v>
      </c>
    </row>
    <row r="233">
      <c r="A233" s="5" t="str">
        <f>IFERROR(__xludf.DUMMYFUNCTION("""COMPUTED_VALUE"""),"GL82511")</f>
        <v>GL82511</v>
      </c>
      <c r="B233" s="5" t="str">
        <f>IFERROR(__xludf.DUMMYFUNCTION("""COMPUTED_VALUE"""),"GLERIO Line Shell 30 Вт 4000K 92P-30D-4P-P")</f>
        <v>GLERIO Line Shell 30 Вт 4000K 92P-30D-4P-P</v>
      </c>
      <c r="C233" s="2">
        <f>IFERROR(__xludf.DUMMYFUNCTION("""COMPUTED_VALUE"""),1.575)</f>
        <v>1.575</v>
      </c>
      <c r="D233" s="2">
        <f>IFERROR(__xludf.DUMMYFUNCTION("""COMPUTED_VALUE"""),0.00495)</f>
        <v>0.00495</v>
      </c>
      <c r="E233" s="2">
        <f>IFERROR(__xludf.DUMMYFUNCTION("""COMPUTED_VALUE"""),2584.0)</f>
        <v>2584</v>
      </c>
      <c r="F233" s="2">
        <f>IFERROR(__xludf.DUMMYFUNCTION("""COMPUTED_VALUE"""),3040.0)</f>
        <v>3040</v>
      </c>
      <c r="G233" s="2">
        <f>IFERROR(__xludf.DUMMYFUNCTION("""COMPUTED_VALUE"""),3827.0)</f>
        <v>3827</v>
      </c>
      <c r="H233" s="2">
        <f>IFERROR(__xludf.DUMMYFUNCTION("""COMPUTED_VALUE"""),4298.0)</f>
        <v>4298</v>
      </c>
      <c r="I233" s="2">
        <f>IFERROR(__xludf.DUMMYFUNCTION("""COMPUTED_VALUE"""),4769.0)</f>
        <v>4769</v>
      </c>
      <c r="J233" s="2">
        <f>IFERROR(__xludf.DUMMYFUNCTION("""COMPUTED_VALUE"""),2385.0)</f>
        <v>2385</v>
      </c>
      <c r="K233" s="2">
        <f>IFERROR(__xludf.DUMMYFUNCTION("""COMPUTED_VALUE"""),16.0)</f>
        <v>16</v>
      </c>
      <c r="L233" s="2" t="str">
        <f>IFERROR(__xludf.DUMMYFUNCTION("""COMPUTED_VALUE"""),"Line Shell+, Free+ GLERIO (Retail)")</f>
        <v>Line Shell+, Free+ GLERIO (Retail)</v>
      </c>
      <c r="M233" s="2" t="str">
        <f>IFERROR(__xludf.DUMMYFUNCTION("""COMPUTED_VALUE"""),"Металлические (линейные), LED Светильники")</f>
        <v>Металлические (линейные), LED Светильники</v>
      </c>
    </row>
    <row r="234">
      <c r="A234" s="5" t="str">
        <f>IFERROR(__xludf.DUMMYFUNCTION("""COMPUTED_VALUE"""),"sra097")</f>
        <v>sra097</v>
      </c>
      <c r="B234" s="5" t="str">
        <f>IFERROR(__xludf.DUMMYFUNCTION("""COMPUTED_VALUE"""),"Лампа накаливания 95Вт Е27")</f>
        <v>Лампа накаливания 95Вт Е27</v>
      </c>
      <c r="C234" s="2">
        <f>IFERROR(__xludf.DUMMYFUNCTION("""COMPUTED_VALUE"""),0.0)</f>
        <v>0</v>
      </c>
      <c r="D234" s="2">
        <f>IFERROR(__xludf.DUMMYFUNCTION("""COMPUTED_VALUE"""),0.0)</f>
        <v>0</v>
      </c>
      <c r="E234" s="2">
        <f>IFERROR(__xludf.DUMMYFUNCTION("""COMPUTED_VALUE"""),18.83)</f>
        <v>18.83</v>
      </c>
      <c r="F234" s="2">
        <f>IFERROR(__xludf.DUMMYFUNCTION("""COMPUTED_VALUE"""),6.0)</f>
        <v>6</v>
      </c>
      <c r="G234" s="2">
        <f>IFERROR(__xludf.DUMMYFUNCTION("""COMPUTED_VALUE"""),7.0)</f>
        <v>7</v>
      </c>
      <c r="H234" s="2">
        <f>IFERROR(__xludf.DUMMYFUNCTION("""COMPUTED_VALUE"""),8.0)</f>
        <v>8</v>
      </c>
      <c r="I234" s="2">
        <f>IFERROR(__xludf.DUMMYFUNCTION("""COMPUTED_VALUE"""),8.4)</f>
        <v>8.4</v>
      </c>
      <c r="J234" s="2">
        <f>IFERROR(__xludf.DUMMYFUNCTION("""COMPUTED_VALUE"""),4.0)</f>
        <v>4</v>
      </c>
      <c r="K234" s="2">
        <f>IFERROR(__xludf.DUMMYFUNCTION("""COMPUTED_VALUE"""),8.0)</f>
        <v>8</v>
      </c>
      <c r="L234" s="2" t="str">
        <f>IFERROR(__xludf.DUMMYFUNCTION("""COMPUTED_VALUE"""),"SRA")</f>
        <v>SRA</v>
      </c>
      <c r="M234" s="2" t="str">
        <f>IFERROR(__xludf.DUMMYFUNCTION("""COMPUTED_VALUE"""),"LED Светильники")</f>
        <v>LED Светильники</v>
      </c>
    </row>
    <row r="235">
      <c r="A235" s="5" t="str">
        <f>IFERROR(__xludf.DUMMYFUNCTION("""COMPUTED_VALUE"""),"GL51361")</f>
        <v>GL51361</v>
      </c>
      <c r="B235" s="5" t="str">
        <f>IFERROR(__xludf.DUMMYFUNCTION("""COMPUTED_VALUE"""),"GLERIO Practical Галочка 64 Вт 5000К 6A-64D-5U-21G+")</f>
        <v>GLERIO Practical Галочка 64 Вт 5000К 6A-64D-5U-21G+</v>
      </c>
      <c r="C235" s="2">
        <f>IFERROR(__xludf.DUMMYFUNCTION("""COMPUTED_VALUE"""),1.4)</f>
        <v>1.4</v>
      </c>
      <c r="D235" s="2">
        <f>IFERROR(__xludf.DUMMYFUNCTION("""COMPUTED_VALUE"""),0.004430000000000001)</f>
        <v>0.00443</v>
      </c>
      <c r="E235" s="2">
        <f>IFERROR(__xludf.DUMMYFUNCTION("""COMPUTED_VALUE"""),2793.6)</f>
        <v>2793.6</v>
      </c>
      <c r="F235" s="2">
        <f>IFERROR(__xludf.DUMMYFUNCTION("""COMPUTED_VALUE"""),3200.0)</f>
        <v>3200</v>
      </c>
      <c r="G235" s="2">
        <f>IFERROR(__xludf.DUMMYFUNCTION("""COMPUTED_VALUE"""),4000.0)</f>
        <v>4000</v>
      </c>
      <c r="H235" s="2">
        <f>IFERROR(__xludf.DUMMYFUNCTION("""COMPUTED_VALUE"""),4500.0)</f>
        <v>4500</v>
      </c>
      <c r="I235" s="2">
        <f>IFERROR(__xludf.DUMMYFUNCTION("""COMPUTED_VALUE"""),5000.0)</f>
        <v>5000</v>
      </c>
      <c r="J235" s="2">
        <f>IFERROR(__xludf.DUMMYFUNCTION("""COMPUTED_VALUE"""),5000.0)</f>
        <v>5000</v>
      </c>
      <c r="K235" s="2">
        <f>IFERROR(__xludf.DUMMYFUNCTION("""COMPUTED_VALUE"""),11.0)</f>
        <v>11</v>
      </c>
      <c r="L235" s="2" t="str">
        <f>IFERROR(__xludf.DUMMYFUNCTION("""COMPUTED_VALUE"""),"Practical+ Уличные GLERIO")</f>
        <v>Practical+ Уличные GLERIO</v>
      </c>
      <c r="M235" s="2" t="str">
        <f>IFERROR(__xludf.DUMMYFUNCTION("""COMPUTED_VALUE"""),"Для обычных дорог, LED Светильники")</f>
        <v>Для обычных дорог, LED Светильники</v>
      </c>
    </row>
    <row r="236">
      <c r="A236" s="5" t="str">
        <f>IFERROR(__xludf.DUMMYFUNCTION("""COMPUTED_VALUE"""),"4690612016320")</f>
        <v>4690612016320</v>
      </c>
      <c r="B236" s="5" t="str">
        <f>IFERROR(__xludf.DUMMYFUNCTION("""COMPUTED_VALUE"""),"LED-ШАР-deco 7Вт 230В Е27 3000К 810Лм прозрачная IN HOME")</f>
        <v>LED-ШАР-deco 7Вт 230В Е27 3000К 810Лм прозрачная IN HOME</v>
      </c>
      <c r="C236" s="2">
        <f>IFERROR(__xludf.DUMMYFUNCTION("""COMPUTED_VALUE"""),0.043)</f>
        <v>0.043</v>
      </c>
      <c r="D236" s="2">
        <f>IFERROR(__xludf.DUMMYFUNCTION("""COMPUTED_VALUE"""),2.4E-4)</f>
        <v>0.00024</v>
      </c>
      <c r="E236" s="2">
        <f>IFERROR(__xludf.DUMMYFUNCTION("""COMPUTED_VALUE"""),63.5)</f>
        <v>63.5</v>
      </c>
      <c r="F236" s="2">
        <f>IFERROR(__xludf.DUMMYFUNCTION("""COMPUTED_VALUE"""),68.0)</f>
        <v>68</v>
      </c>
      <c r="G236" s="2">
        <f>IFERROR(__xludf.DUMMYFUNCTION("""COMPUTED_VALUE"""),77.0)</f>
        <v>77</v>
      </c>
      <c r="H236" s="2">
        <f>IFERROR(__xludf.DUMMYFUNCTION("""COMPUTED_VALUE"""),89.0)</f>
        <v>89</v>
      </c>
      <c r="I236" s="2">
        <f>IFERROR(__xludf.DUMMYFUNCTION("""COMPUTED_VALUE"""),102.5)</f>
        <v>102.5</v>
      </c>
      <c r="J236" s="2">
        <f>IFERROR(__xludf.DUMMYFUNCTION("""COMPUTED_VALUE"""),51.0)</f>
        <v>51</v>
      </c>
      <c r="K236" s="2">
        <f>IFERROR(__xludf.DUMMYFUNCTION("""COMPUTED_VALUE"""),43.0)</f>
        <v>43</v>
      </c>
      <c r="L236" s="2" t="str">
        <f>IFERROR(__xludf.DUMMYFUNCTION("""COMPUTED_VALUE"""),"Лампа светодиодная LED-ШАР-DECO")</f>
        <v>Лампа светодиодная LED-ШАР-DECO</v>
      </c>
      <c r="M236" s="2" t="str">
        <f>IFERROR(__xludf.DUMMYFUNCTION("""COMPUTED_VALUE"""),"Лампы")</f>
        <v>Лампы</v>
      </c>
    </row>
    <row r="237">
      <c r="A237" s="5" t="str">
        <f>IFERROR(__xludf.DUMMYFUNCTION("""COMPUTED_VALUE"""),"4690612030777")</f>
        <v>4690612030777</v>
      </c>
      <c r="B237" s="5" t="str">
        <f>IFERROR(__xludf.DUMMYFUNCTION("""COMPUTED_VALUE"""),"LED-GX53-VC 6Вт 230В 3000К 570Лм IN HOME")</f>
        <v>LED-GX53-VC 6Вт 230В 3000К 570Лм IN HOME</v>
      </c>
      <c r="C237" s="2">
        <f>IFERROR(__xludf.DUMMYFUNCTION("""COMPUTED_VALUE"""),0.033)</f>
        <v>0.033</v>
      </c>
      <c r="D237" s="2">
        <f>IFERROR(__xludf.DUMMYFUNCTION("""COMPUTED_VALUE"""),2.1E-4)</f>
        <v>0.00021</v>
      </c>
      <c r="E237" s="2">
        <f>IFERROR(__xludf.DUMMYFUNCTION("""COMPUTED_VALUE"""),44.95)</f>
        <v>44.95</v>
      </c>
      <c r="F237" s="2">
        <f>IFERROR(__xludf.DUMMYFUNCTION("""COMPUTED_VALUE"""),36.0)</f>
        <v>36</v>
      </c>
      <c r="G237" s="2">
        <f>IFERROR(__xludf.DUMMYFUNCTION("""COMPUTED_VALUE"""),41.0)</f>
        <v>41</v>
      </c>
      <c r="H237" s="2">
        <f>IFERROR(__xludf.DUMMYFUNCTION("""COMPUTED_VALUE"""),47.0)</f>
        <v>47</v>
      </c>
      <c r="I237" s="2">
        <f>IFERROR(__xludf.DUMMYFUNCTION("""COMPUTED_VALUE"""),54.5)</f>
        <v>54.5</v>
      </c>
      <c r="J237" s="2">
        <f>IFERROR(__xludf.DUMMYFUNCTION("""COMPUTED_VALUE"""),27.0)</f>
        <v>27</v>
      </c>
      <c r="K237" s="2">
        <f>IFERROR(__xludf.DUMMYFUNCTION("""COMPUTED_VALUE"""),9.0)</f>
        <v>9</v>
      </c>
      <c r="L237" s="2" t="str">
        <f>IFERROR(__xludf.DUMMYFUNCTION("""COMPUTED_VALUE"""),"Лампа светодиодная LED-GX53-standard")</f>
        <v>Лампа светодиодная LED-GX53-standard</v>
      </c>
      <c r="M237" s="2" t="str">
        <f>IFERROR(__xludf.DUMMYFUNCTION("""COMPUTED_VALUE"""),"Лампы")</f>
        <v>Лампы</v>
      </c>
    </row>
    <row r="238">
      <c r="A238" s="5" t="str">
        <f>IFERROR(__xludf.DUMMYFUNCTION("""COMPUTED_VALUE"""),"R100076")</f>
        <v>R100076</v>
      </c>
      <c r="B238" s="5" t="str">
        <f>IFERROR(__xludf.DUMMYFUNCTION("""COMPUTED_VALUE"""),"RSV-SFL-3-150W-6500K-IP65")</f>
        <v>RSV-SFL-3-150W-6500K-IP65</v>
      </c>
      <c r="C238" s="2">
        <f>IFERROR(__xludf.DUMMYFUNCTION("""COMPUTED_VALUE"""),1.49)</f>
        <v>1.49</v>
      </c>
      <c r="D238" s="2">
        <f>IFERROR(__xludf.DUMMYFUNCTION("""COMPUTED_VALUE"""),0.0028)</f>
        <v>0.0028</v>
      </c>
      <c r="E238" s="2">
        <f>IFERROR(__xludf.DUMMYFUNCTION("""COMPUTED_VALUE"""),1367.31)</f>
        <v>1367.31</v>
      </c>
      <c r="F238" s="2">
        <f>IFERROR(__xludf.DUMMYFUNCTION("""COMPUTED_VALUE"""),594.0)</f>
        <v>594</v>
      </c>
      <c r="G238" s="2">
        <f>IFERROR(__xludf.DUMMYFUNCTION("""COMPUTED_VALUE"""),699.0)</f>
        <v>699</v>
      </c>
      <c r="H238" s="2">
        <f>IFERROR(__xludf.DUMMYFUNCTION("""COMPUTED_VALUE"""),720.0)</f>
        <v>720</v>
      </c>
      <c r="I238" s="2">
        <f>IFERROR(__xludf.DUMMYFUNCTION("""COMPUTED_VALUE"""),828.0)</f>
        <v>828</v>
      </c>
      <c r="J238" s="2">
        <f>IFERROR(__xludf.DUMMYFUNCTION("""COMPUTED_VALUE"""),414.0)</f>
        <v>414</v>
      </c>
      <c r="K238" s="2">
        <f>IFERROR(__xludf.DUMMYFUNCTION("""COMPUTED_VALUE"""),2.0)</f>
        <v>2</v>
      </c>
      <c r="L238" s="2" t="str">
        <f>IFERROR(__xludf.DUMMYFUNCTION("""COMPUTED_VALUE"""),"Прожекторы RSV-SFL-3")</f>
        <v>Прожекторы RSV-SFL-3</v>
      </c>
      <c r="M238" s="2" t="str">
        <f>IFERROR(__xludf.DUMMYFUNCTION("""COMPUTED_VALUE"""),"Без датчиков, LED Светильники")</f>
        <v>Без датчиков, LED Светильники</v>
      </c>
    </row>
    <row r="239">
      <c r="A239" s="5" t="str">
        <f>IFERROR(__xludf.DUMMYFUNCTION("""COMPUTED_VALUE"""),"4690612038810-1")</f>
        <v>4690612038810-1</v>
      </c>
      <c r="B239" s="5" t="str">
        <f>IFERROR(__xludf.DUMMYFUNCTION("""COMPUTED_VALUE"""),"ДВО-02 4065-ОПАЛ 40Вт 230В 6500К 3600Лм 595х595х25 NEOX (в индивид. упак.)")</f>
        <v>ДВО-02 4065-ОПАЛ 40Вт 230В 6500К 3600Лм 595х595х25 NEOX (в индивид. упак.)</v>
      </c>
      <c r="C239" s="2">
        <f>IFERROR(__xludf.DUMMYFUNCTION("""COMPUTED_VALUE"""),1.2925)</f>
        <v>1.2925</v>
      </c>
      <c r="D239" s="2">
        <f>IFERROR(__xludf.DUMMYFUNCTION("""COMPUTED_VALUE"""),0.00885)</f>
        <v>0.00885</v>
      </c>
      <c r="E239" s="2">
        <f>IFERROR(__xludf.DUMMYFUNCTION("""COMPUTED_VALUE"""),744.42)</f>
        <v>744.42</v>
      </c>
      <c r="F239" s="2">
        <f>IFERROR(__xludf.DUMMYFUNCTION("""COMPUTED_VALUE"""),817.0)</f>
        <v>817</v>
      </c>
      <c r="G239" s="2">
        <f>IFERROR(__xludf.DUMMYFUNCTION("""COMPUTED_VALUE"""),1072.0)</f>
        <v>1072</v>
      </c>
      <c r="H239" s="2">
        <f>IFERROR(__xludf.DUMMYFUNCTION("""COMPUTED_VALUE"""),1206.0)</f>
        <v>1206</v>
      </c>
      <c r="I239" s="2">
        <f>IFERROR(__xludf.DUMMYFUNCTION("""COMPUTED_VALUE"""),1340.0)</f>
        <v>1340</v>
      </c>
      <c r="J239" s="2">
        <f>IFERROR(__xludf.DUMMYFUNCTION("""COMPUTED_VALUE"""),1072.0)</f>
        <v>1072</v>
      </c>
      <c r="K239" s="2">
        <f>IFERROR(__xludf.DUMMYFUNCTION("""COMPUTED_VALUE"""),7.0)</f>
        <v>7</v>
      </c>
      <c r="L239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239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240">
      <c r="A240" s="5" t="str">
        <f>IFERROR(__xludf.DUMMYFUNCTION("""COMPUTED_VALUE"""),"4690612054223")</f>
        <v>4690612054223</v>
      </c>
      <c r="B240" s="5" t="str">
        <f>IFERROR(__xludf.DUMMYFUNCTION("""COMPUTED_VALUE"""),"UHB-LEVEL 150A50BK 150/120/80Вт 100-277В 22500Лм 150Лм/Вт 5000K 5 лет NEOX")</f>
        <v>UHB-LEVEL 150A50BK 150/120/80Вт 100-277В 22500Лм 150Лм/Вт 5000K 5 лет NEOX</v>
      </c>
      <c r="C240" s="2">
        <f>IFERROR(__xludf.DUMMYFUNCTION("""COMPUTED_VALUE"""),2.3)</f>
        <v>2.3</v>
      </c>
      <c r="D240" s="2">
        <f>IFERROR(__xludf.DUMMYFUNCTION("""COMPUTED_VALUE"""),0.0116)</f>
        <v>0.0116</v>
      </c>
      <c r="E240" s="2">
        <f>IFERROR(__xludf.DUMMYFUNCTION("""COMPUTED_VALUE"""),1.0)</f>
        <v>1</v>
      </c>
      <c r="F240" s="2">
        <f>IFERROR(__xludf.DUMMYFUNCTION("""COMPUTED_VALUE"""),3147.0)</f>
        <v>3147</v>
      </c>
      <c r="G240" s="2">
        <f>IFERROR(__xludf.DUMMYFUNCTION("""COMPUTED_VALUE"""),3541.0)</f>
        <v>3541</v>
      </c>
      <c r="H240" s="2">
        <f>IFERROR(__xludf.DUMMYFUNCTION("""COMPUTED_VALUE"""),4107.0)</f>
        <v>4107</v>
      </c>
      <c r="I240" s="2">
        <f>IFERROR(__xludf.DUMMYFUNCTION("""COMPUTED_VALUE"""),4721.0)</f>
        <v>4721</v>
      </c>
      <c r="J240" s="2">
        <f>IFERROR(__xludf.DUMMYFUNCTION("""COMPUTED_VALUE"""),2361.0)</f>
        <v>2361</v>
      </c>
      <c r="K240" s="2">
        <f>IFERROR(__xludf.DUMMYFUNCTION("""COMPUTED_VALUE"""),1.0)</f>
        <v>1</v>
      </c>
      <c r="L240" s="2" t="str">
        <f>IFERROR(__xludf.DUMMYFUNCTION("""COMPUTED_VALUE"""),"NEOX Светильники LED UHB")</f>
        <v>NEOX Светильники LED UHB</v>
      </c>
      <c r="M240" s="2" t="str">
        <f>IFERROR(__xludf.DUMMYFUNCTION("""COMPUTED_VALUE"""),"Промышленные светильники (LED), LED Светильники")</f>
        <v>Промышленные светильники (LED), LED Светильники</v>
      </c>
    </row>
    <row r="241">
      <c r="A241" s="5" t="str">
        <f>IFERROR(__xludf.DUMMYFUNCTION("""COMPUTED_VALUE"""),"4260375484218")</f>
        <v>4260375484218</v>
      </c>
      <c r="B241" s="5" t="str">
        <f>IFERROR(__xludf.DUMMYFUNCTION("""COMPUTED_VALUE"""),"LLFS18W02")</f>
        <v>LLFS18W02</v>
      </c>
      <c r="C241" s="2">
        <f>IFERROR(__xludf.DUMMYFUNCTION("""COMPUTED_VALUE"""),0.15)</f>
        <v>0.15</v>
      </c>
      <c r="D241" s="2">
        <f>IFERROR(__xludf.DUMMYFUNCTION("""COMPUTED_VALUE"""),0.01872)</f>
        <v>0.01872</v>
      </c>
      <c r="E241" s="2">
        <f>IFERROR(__xludf.DUMMYFUNCTION("""COMPUTED_VALUE"""),276.47)</f>
        <v>276.47</v>
      </c>
      <c r="F241" s="2">
        <f>IFERROR(__xludf.DUMMYFUNCTION("""COMPUTED_VALUE"""),112.0)</f>
        <v>112</v>
      </c>
      <c r="G241" s="2">
        <f>IFERROR(__xludf.DUMMYFUNCTION("""COMPUTED_VALUE"""),115.0)</f>
        <v>115</v>
      </c>
      <c r="H241" s="2">
        <f>IFERROR(__xludf.DUMMYFUNCTION("""COMPUTED_VALUE"""),151.0)</f>
        <v>151</v>
      </c>
      <c r="I241" s="2">
        <f>IFERROR(__xludf.DUMMYFUNCTION("""COMPUTED_VALUE"""),189.0)</f>
        <v>189</v>
      </c>
      <c r="J241" s="2">
        <f>IFERROR(__xludf.DUMMYFUNCTION("""COMPUTED_VALUE"""),95.0)</f>
        <v>95</v>
      </c>
      <c r="K241" s="2">
        <f>IFERROR(__xludf.DUMMYFUNCTION("""COMPUTED_VALUE"""),32.0)</f>
        <v>32</v>
      </c>
      <c r="L241" s="2" t="str">
        <f>IFERROR(__xludf.DUMMYFUNCTION("""COMPUTED_VALUE"""),"Wolta офисные")</f>
        <v>Wolta офисные</v>
      </c>
      <c r="M241" s="2" t="str">
        <f>IFERROR(__xludf.DUMMYFUNCTION("""COMPUTED_VALUE"""),"Пластиковые (линейные), LED Светильники")</f>
        <v>Пластиковые (линейные), LED Светильники</v>
      </c>
    </row>
    <row r="242">
      <c r="A242" s="5" t="str">
        <f>IFERROR(__xludf.DUMMYFUNCTION("""COMPUTED_VALUE"""),"12-0122")</f>
        <v>12-0122</v>
      </c>
      <c r="B242" s="5" t="str">
        <f>IFERROR(__xludf.DUMMYFUNCTION("""COMPUTED_VALUE"""),"Паяльник с керамическим нагревателем долговечное жало ПРОФИ 220 V/30 Вт REXANT")</f>
        <v>Паяльник с керамическим нагревателем долговечное жало ПРОФИ 220 V/30 Вт REXANT</v>
      </c>
      <c r="C242" s="2">
        <f>IFERROR(__xludf.DUMMYFUNCTION("""COMPUTED_VALUE"""),0.0)</f>
        <v>0</v>
      </c>
      <c r="D242" s="2">
        <f>IFERROR(__xludf.DUMMYFUNCTION("""COMPUTED_VALUE"""),0.0)</f>
        <v>0</v>
      </c>
      <c r="E242" s="2">
        <f>IFERROR(__xludf.DUMMYFUNCTION("""COMPUTED_VALUE"""),1.0)</f>
        <v>1</v>
      </c>
      <c r="F242" s="2">
        <f>IFERROR(__xludf.DUMMYFUNCTION("""COMPUTED_VALUE"""),840.0)</f>
        <v>840</v>
      </c>
      <c r="G242" s="2">
        <f>IFERROR(__xludf.DUMMYFUNCTION("""COMPUTED_VALUE"""),896.0)</f>
        <v>896</v>
      </c>
      <c r="H242" s="2">
        <f>IFERROR(__xludf.DUMMYFUNCTION("""COMPUTED_VALUE"""),1008.0)</f>
        <v>1008</v>
      </c>
      <c r="I242" s="2">
        <f>IFERROR(__xludf.DUMMYFUNCTION("""COMPUTED_VALUE"""),1120.06)</f>
        <v>1120.06</v>
      </c>
      <c r="J242" s="2">
        <f>IFERROR(__xludf.DUMMYFUNCTION("""COMPUTED_VALUE"""),560.0)</f>
        <v>560</v>
      </c>
      <c r="K242" s="2">
        <f>IFERROR(__xludf.DUMMYFUNCTION("""COMPUTED_VALUE"""),1.0)</f>
        <v>1</v>
      </c>
      <c r="L242" s="2" t="str">
        <f>IFERROR(__xludf.DUMMYFUNCTION("""COMPUTED_VALUE"""),"Rexant")</f>
        <v>Rexant</v>
      </c>
      <c r="M242" s="2" t="str">
        <f>IFERROR(__xludf.DUMMYFUNCTION("""COMPUTED_VALUE"""),"Прочие товары")</f>
        <v>Прочие товары</v>
      </c>
    </row>
    <row r="243">
      <c r="A243" s="5" t="str">
        <f>IFERROR(__xludf.DUMMYFUNCTION("""COMPUTED_VALUE"""),"4690612031545-10")</f>
        <v>4690612031545-10</v>
      </c>
      <c r="B243" s="5" t="str">
        <f>IFERROR(__xludf.DUMMYFUNCTION("""COMPUTED_VALUE"""),"10 шт. Лампа LED-MO-PRO 7,5Вт 12-24В Е27 4000К 600Лм IN HOME (Комплект 10 шт)")</f>
        <v>10 шт. Лампа LED-MO-PRO 7,5Вт 12-24В Е27 4000К 600Лм IN HOME (Комплект 10 шт)</v>
      </c>
      <c r="C243" s="2">
        <f>IFERROR(__xludf.DUMMYFUNCTION("""COMPUTED_VALUE"""),0.05)</f>
        <v>0.05</v>
      </c>
      <c r="D243" s="2">
        <f>IFERROR(__xludf.DUMMYFUNCTION("""COMPUTED_VALUE"""),0.05)</f>
        <v>0.05</v>
      </c>
      <c r="E243" s="2">
        <f>IFERROR(__xludf.DUMMYFUNCTION("""COMPUTED_VALUE"""),1366.8)</f>
        <v>1366.8</v>
      </c>
      <c r="F243" s="2">
        <f>IFERROR(__xludf.DUMMYFUNCTION("""COMPUTED_VALUE"""),1500.0)</f>
        <v>1500</v>
      </c>
      <c r="G243" s="2">
        <f>IFERROR(__xludf.DUMMYFUNCTION("""COMPUTED_VALUE"""),1968.0)</f>
        <v>1968</v>
      </c>
      <c r="H243" s="2">
        <f>IFERROR(__xludf.DUMMYFUNCTION("""COMPUTED_VALUE"""),2214.0)</f>
        <v>2214</v>
      </c>
      <c r="I243" s="2">
        <f>IFERROR(__xludf.DUMMYFUNCTION("""COMPUTED_VALUE"""),2460.0)</f>
        <v>2460</v>
      </c>
      <c r="J243" s="2">
        <f>IFERROR(__xludf.DUMMYFUNCTION("""COMPUTED_VALUE"""),1230.0)</f>
        <v>1230</v>
      </c>
      <c r="K243" s="2">
        <f>IFERROR(__xludf.DUMMYFUNCTION("""COMPUTED_VALUE"""),3.0)</f>
        <v>3</v>
      </c>
      <c r="L243" s="2" t="str">
        <f>IFERROR(__xludf.DUMMYFUNCTION("""COMPUTED_VALUE"""),"Лампы производство, упаковка")</f>
        <v>Лампы производство, упаковка</v>
      </c>
      <c r="M243" s="2" t="str">
        <f>IFERROR(__xludf.DUMMYFUNCTION("""COMPUTED_VALUE"""),"Лампы")</f>
        <v>Лампы</v>
      </c>
    </row>
    <row r="244">
      <c r="A244" s="5" t="str">
        <f>IFERROR(__xludf.DUMMYFUNCTION("""COMPUTED_VALUE"""),"GL8231")</f>
        <v>GL8231</v>
      </c>
      <c r="B244" s="5" t="str">
        <f>IFERROR(__xludf.DUMMYFUNCTION("""COMPUTED_VALUE"""),"GLERIO Line 36 Вт 4000К 91P-36D-4N-P")</f>
        <v>GLERIO Line 36 Вт 4000К 91P-36D-4N-P</v>
      </c>
      <c r="C244" s="2">
        <f>IFERROR(__xludf.DUMMYFUNCTION("""COMPUTED_VALUE"""),0.5)</f>
        <v>0.5</v>
      </c>
      <c r="D244" s="2">
        <f>IFERROR(__xludf.DUMMYFUNCTION("""COMPUTED_VALUE"""),0.00396)</f>
        <v>0.00396</v>
      </c>
      <c r="E244" s="2">
        <f>IFERROR(__xludf.DUMMYFUNCTION("""COMPUTED_VALUE"""),1863.0)</f>
        <v>1863</v>
      </c>
      <c r="F244" s="2">
        <f>IFERROR(__xludf.DUMMYFUNCTION("""COMPUTED_VALUE"""),2310.0)</f>
        <v>2310</v>
      </c>
      <c r="G244" s="2">
        <f>IFERROR(__xludf.DUMMYFUNCTION("""COMPUTED_VALUE"""),2908.0)</f>
        <v>2908</v>
      </c>
      <c r="H244" s="2">
        <f>IFERROR(__xludf.DUMMYFUNCTION("""COMPUTED_VALUE"""),3266.0)</f>
        <v>3266</v>
      </c>
      <c r="I244" s="2">
        <f>IFERROR(__xludf.DUMMYFUNCTION("""COMPUTED_VALUE"""),3624.0)</f>
        <v>3624</v>
      </c>
      <c r="J244" s="2">
        <f>IFERROR(__xludf.DUMMYFUNCTION("""COMPUTED_VALUE"""),3266.0)</f>
        <v>3266</v>
      </c>
      <c r="K244" s="2">
        <f>IFERROR(__xludf.DUMMYFUNCTION("""COMPUTED_VALUE"""),6.0)</f>
        <v>6</v>
      </c>
      <c r="L244" s="2" t="str">
        <f>IFERROR(__xludf.DUMMYFUNCTION("""COMPUTED_VALUE"""),"Line (Айсберг) до 10.2025")</f>
        <v>Line (Айсберг) до 10.2025</v>
      </c>
      <c r="M244" s="2" t="str">
        <f>IFERROR(__xludf.DUMMYFUNCTION("""COMPUTED_VALUE"""),"Пластиковые (линейные), LED Светильники")</f>
        <v>Пластиковые (линейные), LED Светильники</v>
      </c>
    </row>
    <row r="245">
      <c r="A245" s="5" t="str">
        <f>IFERROR(__xludf.DUMMYFUNCTION("""COMPUTED_VALUE"""),"GL023802")</f>
        <v>GL023802</v>
      </c>
      <c r="B245" s="5" t="str">
        <f>IFERROR(__xludf.DUMMYFUNCTION("""COMPUTED_VALUE"""),"Магистраль 38 Вт 01A-38S-4K")</f>
        <v>Магистраль 38 Вт 01A-38S-4K</v>
      </c>
      <c r="C245" s="2">
        <f>IFERROR(__xludf.DUMMYFUNCTION("""COMPUTED_VALUE"""),0.8)</f>
        <v>0.8</v>
      </c>
      <c r="D245" s="2">
        <f>IFERROR(__xludf.DUMMYFUNCTION("""COMPUTED_VALUE"""),0.00449)</f>
        <v>0.00449</v>
      </c>
      <c r="E245" s="2">
        <f>IFERROR(__xludf.DUMMYFUNCTION("""COMPUTED_VALUE"""),1827.5)</f>
        <v>1827.5</v>
      </c>
      <c r="F245" s="2">
        <f>IFERROR(__xludf.DUMMYFUNCTION("""COMPUTED_VALUE"""),2460.0)</f>
        <v>2460</v>
      </c>
      <c r="G245" s="2">
        <f>IFERROR(__xludf.DUMMYFUNCTION("""COMPUTED_VALUE"""),3097.0)</f>
        <v>3097</v>
      </c>
      <c r="H245" s="2">
        <f>IFERROR(__xludf.DUMMYFUNCTION("""COMPUTED_VALUE"""),3478.0)</f>
        <v>3478</v>
      </c>
      <c r="I245" s="2">
        <f>IFERROR(__xludf.DUMMYFUNCTION("""COMPUTED_VALUE"""),3859.0)</f>
        <v>3859</v>
      </c>
      <c r="J245" s="2">
        <f>IFERROR(__xludf.DUMMYFUNCTION("""COMPUTED_VALUE"""),1828.0)</f>
        <v>1828</v>
      </c>
      <c r="K245" s="2">
        <f>IFERROR(__xludf.DUMMYFUNCTION("""COMPUTED_VALUE"""),1.0)</f>
        <v>1</v>
      </c>
      <c r="L245" s="2" t="str">
        <f>IFERROR(__xludf.DUMMYFUNCTION("""COMPUTED_VALUE"""),"Архивные GLERIO")</f>
        <v>Архивные GLERIO</v>
      </c>
      <c r="M245" s="2" t="str">
        <f>IFERROR(__xludf.DUMMYFUNCTION("""COMPUTED_VALUE"""),"Для автомагистралей, LED Светильники")</f>
        <v>Для автомагистралей, LED Светильники</v>
      </c>
    </row>
    <row r="246">
      <c r="A246" s="5" t="str">
        <f>IFERROR(__xludf.DUMMYFUNCTION("""COMPUTED_VALUE"""),"R100628-2")</f>
        <v>R100628-2</v>
      </c>
      <c r="B246" s="5" t="str">
        <f>IFERROR(__xludf.DUMMYFUNCTION("""COMPUTED_VALUE"""),"RSV-SPO-02-56W-6500К TPR (2 штуки в упаковке)")</f>
        <v>RSV-SPO-02-56W-6500К TPR (2 штуки в упаковке)</v>
      </c>
      <c r="C246" s="2">
        <f>IFERROR(__xludf.DUMMYFUNCTION("""COMPUTED_VALUE"""),0.46)</f>
        <v>0.46</v>
      </c>
      <c r="D246" s="2">
        <f>IFERROR(__xludf.DUMMYFUNCTION("""COMPUTED_VALUE"""),0.0)</f>
        <v>0</v>
      </c>
      <c r="E246" s="2">
        <f>IFERROR(__xludf.DUMMYFUNCTION("""COMPUTED_VALUE"""),787.46)</f>
        <v>787.46</v>
      </c>
      <c r="F246" s="2">
        <f>IFERROR(__xludf.DUMMYFUNCTION("""COMPUTED_VALUE"""),1063.0)</f>
        <v>1063</v>
      </c>
      <c r="G246" s="2">
        <f>IFERROR(__xludf.DUMMYFUNCTION("""COMPUTED_VALUE"""),1134.0)</f>
        <v>1134</v>
      </c>
      <c r="H246" s="2">
        <f>IFERROR(__xludf.DUMMYFUNCTION("""COMPUTED_VALUE"""),1275.0)</f>
        <v>1275</v>
      </c>
      <c r="I246" s="2">
        <f>IFERROR(__xludf.DUMMYFUNCTION("""COMPUTED_VALUE"""),1417.0)</f>
        <v>1417</v>
      </c>
      <c r="J246" s="2">
        <f>IFERROR(__xludf.DUMMYFUNCTION("""COMPUTED_VALUE"""),709.0)</f>
        <v>709</v>
      </c>
      <c r="K246" s="2">
        <f>IFERROR(__xludf.DUMMYFUNCTION("""COMPUTED_VALUE"""),9.0)</f>
        <v>9</v>
      </c>
      <c r="L246" s="2" t="str">
        <f>IFERROR(__xludf.DUMMYFUNCTION("""COMPUTED_VALUE"""),"RSV-SPO Светильники Производство, упаковка (2 и 3 штуки)")</f>
        <v>RSV-SPO Светильники Производство, упаковка (2 и 3 штуки)</v>
      </c>
      <c r="M246" s="2" t="str">
        <f>IFERROR(__xludf.DUMMYFUNCTION("""COMPUTED_VALUE"""),"Пластиковые (линейные), Светильники общего назначения (LED), Накладные, Линейные (проходные), LED Светильники")</f>
        <v>Пластиковые (линейные), Светильники общего назначения (LED), Накладные, Линейные (проходные), LED Светильники</v>
      </c>
    </row>
    <row r="247">
      <c r="A247" s="5" t="str">
        <f>IFERROR(__xludf.DUMMYFUNCTION("""COMPUTED_VALUE"""),"4690612038162-2")</f>
        <v>4690612038162-2</v>
      </c>
      <c r="B247" s="5" t="str">
        <f>IFERROR(__xludf.DUMMYFUNCTION("""COMPUTED_VALUE"""),"ДВО-02 3640-ПРИЗМА 36Вт 230В 4000К 4020Лм 110Лм/Вт 595х595х19 NEOX (2 шт в упак.)")</f>
        <v>ДВО-02 3640-ПРИЗМА 36Вт 230В 4000К 4020Лм 110Лм/Вт 595х595х19 NEOX (2 шт в упак.)</v>
      </c>
      <c r="C247" s="2">
        <f>IFERROR(__xludf.DUMMYFUNCTION("""COMPUTED_VALUE"""),1.29)</f>
        <v>1.29</v>
      </c>
      <c r="D247" s="2">
        <f>IFERROR(__xludf.DUMMYFUNCTION("""COMPUTED_VALUE"""),0.0)</f>
        <v>0</v>
      </c>
      <c r="E247" s="2">
        <f>IFERROR(__xludf.DUMMYFUNCTION("""COMPUTED_VALUE"""),1029.46)</f>
        <v>1029.46</v>
      </c>
      <c r="F247" s="2">
        <f>IFERROR(__xludf.DUMMYFUNCTION("""COMPUTED_VALUE"""),1130.0)</f>
        <v>1130</v>
      </c>
      <c r="G247" s="2">
        <f>IFERROR(__xludf.DUMMYFUNCTION("""COMPUTED_VALUE"""),1482.0)</f>
        <v>1482</v>
      </c>
      <c r="H247" s="2">
        <f>IFERROR(__xludf.DUMMYFUNCTION("""COMPUTED_VALUE"""),1668.0)</f>
        <v>1668</v>
      </c>
      <c r="I247" s="2">
        <f>IFERROR(__xludf.DUMMYFUNCTION("""COMPUTED_VALUE"""),1853.0)</f>
        <v>1853</v>
      </c>
      <c r="J247" s="2">
        <f>IFERROR(__xludf.DUMMYFUNCTION("""COMPUTED_VALUE"""),927.0)</f>
        <v>927</v>
      </c>
      <c r="K247" s="2">
        <f>IFERROR(__xludf.DUMMYFUNCTION("""COMPUTED_VALUE"""),21.0)</f>
        <v>21</v>
      </c>
      <c r="L247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247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248">
      <c r="A248" s="5" t="str">
        <f>IFERROR(__xludf.DUMMYFUNCTION("""COMPUTED_VALUE"""),"55098")</f>
        <v>55098</v>
      </c>
      <c r="B248" s="5" t="str">
        <f>IFERROR(__xludf.DUMMYFUNCTION("""COMPUTED_VALUE"""),"Шарики 30 разноцветных мигающих LED ламп, зеленый провод, 5 м, соединяемая, 220 v /50")</f>
        <v>Шарики 30 разноцветных мигающих LED ламп, зеленый провод, 5 м, соединяемая, 220 v /50</v>
      </c>
      <c r="C248" s="2">
        <f>IFERROR(__xludf.DUMMYFUNCTION("""COMPUTED_VALUE"""),0.0)</f>
        <v>0</v>
      </c>
      <c r="D248" s="2">
        <f>IFERROR(__xludf.DUMMYFUNCTION("""COMPUTED_VALUE"""),0.0)</f>
        <v>0</v>
      </c>
      <c r="E248" s="2">
        <f>IFERROR(__xludf.DUMMYFUNCTION("""COMPUTED_VALUE"""),269.55)</f>
        <v>269.55</v>
      </c>
      <c r="F248" s="2">
        <f>IFERROR(__xludf.DUMMYFUNCTION("""COMPUTED_VALUE"""),299.0)</f>
        <v>299</v>
      </c>
      <c r="G248" s="2">
        <f>IFERROR(__xludf.DUMMYFUNCTION("""COMPUTED_VALUE"""),326.0)</f>
        <v>326</v>
      </c>
      <c r="H248" s="2">
        <f>IFERROR(__xludf.DUMMYFUNCTION("""COMPUTED_VALUE"""),353.0)</f>
        <v>353</v>
      </c>
      <c r="I248" s="2">
        <f>IFERROR(__xludf.DUMMYFUNCTION("""COMPUTED_VALUE"""),381.0)</f>
        <v>381</v>
      </c>
      <c r="J248" s="2">
        <f>IFERROR(__xludf.DUMMYFUNCTION("""COMPUTED_VALUE"""),191.0)</f>
        <v>191</v>
      </c>
      <c r="K248" s="2">
        <f>IFERROR(__xludf.DUMMYFUNCTION("""COMPUTED_VALUE"""),52.0)</f>
        <v>52</v>
      </c>
      <c r="L248" s="2" t="str">
        <f>IFERROR(__xludf.DUMMYFUNCTION("""COMPUTED_VALUE"""),"Праздничная иллюминация")</f>
        <v>Праздничная иллюминация</v>
      </c>
      <c r="M248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249">
      <c r="A249" s="5" t="str">
        <f>IFERROR(__xludf.DUMMYFUNCTION("""COMPUTED_VALUE"""),"Y1050x2100-ST-051")</f>
        <v>Y1050x2100-ST-051</v>
      </c>
      <c r="B249" s="5" t="str">
        <f>IFERROR(__xludf.DUMMYFUNCTION("""COMPUTED_VALUE"""),"Ярус хранения ГхШ 1050х2100 Cтeллaжа CT-051")</f>
        <v>Ярус хранения ГхШ 1050х2100 Cтeллaжа CT-051</v>
      </c>
      <c r="C249" s="2">
        <f>IFERROR(__xludf.DUMMYFUNCTION("""COMPUTED_VALUE"""),0.0)</f>
        <v>0</v>
      </c>
      <c r="D249" s="2">
        <f>IFERROR(__xludf.DUMMYFUNCTION("""COMPUTED_VALUE"""),0.0)</f>
        <v>0</v>
      </c>
      <c r="E249" s="2">
        <f>IFERROR(__xludf.DUMMYFUNCTION("""COMPUTED_VALUE"""),0.0)</f>
        <v>0</v>
      </c>
      <c r="F249" s="2">
        <f>IFERROR(__xludf.DUMMYFUNCTION("""COMPUTED_VALUE"""),4050.0)</f>
        <v>4050</v>
      </c>
      <c r="G249" s="2">
        <f>IFERROR(__xludf.DUMMYFUNCTION("""COMPUTED_VALUE"""),4320.0)</f>
        <v>4320</v>
      </c>
      <c r="H249" s="2">
        <f>IFERROR(__xludf.DUMMYFUNCTION("""COMPUTED_VALUE"""),4860.0)</f>
        <v>4860</v>
      </c>
      <c r="I249" s="2">
        <f>IFERROR(__xludf.DUMMYFUNCTION("""COMPUTED_VALUE"""),5400.5)</f>
        <v>5400.5</v>
      </c>
      <c r="J249" s="2">
        <f>IFERROR(__xludf.DUMMYFUNCTION("""COMPUTED_VALUE"""),4320.0)</f>
        <v>4320</v>
      </c>
      <c r="K249" s="2">
        <f>IFERROR(__xludf.DUMMYFUNCTION("""COMPUTED_VALUE"""),18.0)</f>
        <v>18</v>
      </c>
      <c r="L249" s="2" t="str">
        <f>IFERROR(__xludf.DUMMYFUNCTION("""COMPUTED_VALUE"""),"Другие")</f>
        <v>Другие</v>
      </c>
      <c r="M249" s="2" t="str">
        <f>IFERROR(__xludf.DUMMYFUNCTION("""COMPUTED_VALUE"""),"Прочие товары")</f>
        <v>Прочие товары</v>
      </c>
    </row>
    <row r="250">
      <c r="A250" s="5" t="str">
        <f>IFERROR(__xludf.DUMMYFUNCTION("""COMPUTED_VALUE"""),"G23214P")</f>
        <v>G23214P</v>
      </c>
      <c r="B250" s="5" t="str">
        <f>IFERROR(__xludf.DUMMYFUNCTION("""COMPUTED_VALUE"""),"Elementary A60 14W E27 2700K 1/50 (2 лампы в упаковке)")</f>
        <v>Elementary A60 14W E27 2700K 1/50 (2 лампы в упаковке)</v>
      </c>
      <c r="C250" s="2">
        <f>IFERROR(__xludf.DUMMYFUNCTION("""COMPUTED_VALUE"""),0.0)</f>
        <v>0</v>
      </c>
      <c r="D250" s="2">
        <f>IFERROR(__xludf.DUMMYFUNCTION("""COMPUTED_VALUE"""),0.0)</f>
        <v>0</v>
      </c>
      <c r="E250" s="2">
        <f>IFERROR(__xludf.DUMMYFUNCTION("""COMPUTED_VALUE"""),109.15)</f>
        <v>109.15</v>
      </c>
      <c r="F250" s="2">
        <f>IFERROR(__xludf.DUMMYFUNCTION("""COMPUTED_VALUE"""),156.0)</f>
        <v>156</v>
      </c>
      <c r="G250" s="2">
        <f>IFERROR(__xludf.DUMMYFUNCTION("""COMPUTED_VALUE"""),172.0)</f>
        <v>172</v>
      </c>
      <c r="H250" s="2">
        <f>IFERROR(__xludf.DUMMYFUNCTION("""COMPUTED_VALUE"""),203.0)</f>
        <v>203</v>
      </c>
      <c r="I250" s="2">
        <f>IFERROR(__xludf.DUMMYFUNCTION("""COMPUTED_VALUE"""),256.0)</f>
        <v>256</v>
      </c>
      <c r="J250" s="2">
        <f>IFERROR(__xludf.DUMMYFUNCTION("""COMPUTED_VALUE"""),128.0)</f>
        <v>128</v>
      </c>
      <c r="K250" s="2">
        <f>IFERROR(__xludf.DUMMYFUNCTION("""COMPUTED_VALUE"""),40.0)</f>
        <v>40</v>
      </c>
      <c r="L250" s="2" t="str">
        <f>IFERROR(__xludf.DUMMYFUNCTION("""COMPUTED_VALUE"""),"Комплекты Gauss Elementary (x2, x3)")</f>
        <v>Комплекты Gauss Elementary (x2, x3)</v>
      </c>
      <c r="M250" s="2" t="str">
        <f>IFERROR(__xludf.DUMMYFUNCTION("""COMPUTED_VALUE"""),"Лампы")</f>
        <v>Лампы</v>
      </c>
    </row>
    <row r="251">
      <c r="A251" s="5" t="str">
        <f>IFERROR(__xludf.DUMMYFUNCTION("""COMPUTED_VALUE"""),"4690626055308")</f>
        <v>4690626055308</v>
      </c>
      <c r="B251" s="5" t="str">
        <f>IFERROR(__xludf.DUMMYFUNCTION("""COMPUTED_VALUE"""),"SBL-DL-12-4K")</f>
        <v>SBL-DL-12-4K</v>
      </c>
      <c r="C251" s="2">
        <f>IFERROR(__xludf.DUMMYFUNCTION("""COMPUTED_VALUE"""),0.3675)</f>
        <v>0.3675</v>
      </c>
      <c r="D251" s="2">
        <f>IFERROR(__xludf.DUMMYFUNCTION("""COMPUTED_VALUE"""),1.0E-5)</f>
        <v>0.00001</v>
      </c>
      <c r="E251" s="2">
        <f>IFERROR(__xludf.DUMMYFUNCTION("""COMPUTED_VALUE"""),165.3)</f>
        <v>165.3</v>
      </c>
      <c r="F251" s="2">
        <f>IFERROR(__xludf.DUMMYFUNCTION("""COMPUTED_VALUE"""),189.0)</f>
        <v>189</v>
      </c>
      <c r="G251" s="2">
        <f>IFERROR(__xludf.DUMMYFUNCTION("""COMPUTED_VALUE"""),208.0)</f>
        <v>208</v>
      </c>
      <c r="H251" s="2">
        <f>IFERROR(__xludf.DUMMYFUNCTION("""COMPUTED_VALUE"""),231.0)</f>
        <v>231</v>
      </c>
      <c r="I251" s="2">
        <f>IFERROR(__xludf.DUMMYFUNCTION("""COMPUTED_VALUE"""),254.0)</f>
        <v>254</v>
      </c>
      <c r="J251" s="2">
        <f>IFERROR(__xludf.DUMMYFUNCTION("""COMPUTED_VALUE"""),127.0)</f>
        <v>127</v>
      </c>
      <c r="K251" s="2">
        <f>IFERROR(__xludf.DUMMYFUNCTION("""COMPUTED_VALUE"""),4.0)</f>
        <v>4</v>
      </c>
      <c r="L251" s="2" t="str">
        <f>IFERROR(__xludf.DUMMYFUNCTION("""COMPUTED_VALUE"""),"Smartbuy LED светильники")</f>
        <v>Smartbuy LED светильники</v>
      </c>
      <c r="M251" s="2" t="str">
        <f>IFERROR(__xludf.DUMMYFUNCTION("""COMPUTED_VALUE"""),"Встраиваемые, LED Светильники")</f>
        <v>Встраиваемые, LED Светильники</v>
      </c>
    </row>
    <row r="252">
      <c r="A252" s="5" t="str">
        <f>IFERROR(__xludf.DUMMYFUNCTION("""COMPUTED_VALUE"""),"4690612033860")</f>
        <v>4690612033860</v>
      </c>
      <c r="B252" s="5" t="str">
        <f>IFERROR(__xludf.DUMMYFUNCTION("""COMPUTED_VALUE"""),"ДД 020B 800Вт 360 гр.6м IP33 белый IN HOME")</f>
        <v>ДД 020B 800Вт 360 гр.6м IP33 белый IN HOME</v>
      </c>
      <c r="C252" s="2">
        <f>IFERROR(__xludf.DUMMYFUNCTION("""COMPUTED_VALUE"""),0.182)</f>
        <v>0.182</v>
      </c>
      <c r="D252" s="2">
        <f>IFERROR(__xludf.DUMMYFUNCTION("""COMPUTED_VALUE"""),0.001)</f>
        <v>0.001</v>
      </c>
      <c r="E252" s="2">
        <f>IFERROR(__xludf.DUMMYFUNCTION("""COMPUTED_VALUE"""),298.03)</f>
        <v>298.03</v>
      </c>
      <c r="F252" s="2">
        <f>IFERROR(__xludf.DUMMYFUNCTION("""COMPUTED_VALUE"""),411.0)</f>
        <v>411</v>
      </c>
      <c r="G252" s="2">
        <f>IFERROR(__xludf.DUMMYFUNCTION("""COMPUTED_VALUE"""),462.0)</f>
        <v>462</v>
      </c>
      <c r="H252" s="2">
        <f>IFERROR(__xludf.DUMMYFUNCTION("""COMPUTED_VALUE"""),536.0)</f>
        <v>536</v>
      </c>
      <c r="I252" s="2">
        <f>IFERROR(__xludf.DUMMYFUNCTION("""COMPUTED_VALUE"""),616.0)</f>
        <v>616</v>
      </c>
      <c r="J252" s="2">
        <f>IFERROR(__xludf.DUMMYFUNCTION("""COMPUTED_VALUE"""),308.0)</f>
        <v>308</v>
      </c>
      <c r="K252" s="2">
        <f>IFERROR(__xludf.DUMMYFUNCTION("""COMPUTED_VALUE"""),1.0)</f>
        <v>1</v>
      </c>
      <c r="L252" s="2" t="str">
        <f>IFERROR(__xludf.DUMMYFUNCTION("""COMPUTED_VALUE"""),"ASD Комплектующие")</f>
        <v>ASD Комплектующие</v>
      </c>
      <c r="M252" s="2" t="str">
        <f>IFERROR(__xludf.DUMMYFUNCTION("""COMPUTED_VALUE"""),"Прочие товары")</f>
        <v>Прочие товары</v>
      </c>
    </row>
    <row r="253">
      <c r="A253" s="5" t="str">
        <f>IFERROR(__xludf.DUMMYFUNCTION("""COMPUTED_VALUE"""),"4690626062733")</f>
        <v>4690626062733</v>
      </c>
      <c r="B253" s="5" t="str">
        <f>IFERROR(__xludf.DUMMYFUNCTION("""COMPUTED_VALUE"""),"Настенный светильник, на солн. батар., с датчиком движ., 20 LED, черный (SBF-21-MS)")</f>
        <v>Настенный светильник, на солн. батар., с датчиком движ., 20 LED, черный (SBF-21-MS)</v>
      </c>
      <c r="C253" s="2">
        <f>IFERROR(__xludf.DUMMYFUNCTION("""COMPUTED_VALUE"""),0.0)</f>
        <v>0</v>
      </c>
      <c r="D253" s="2">
        <f>IFERROR(__xludf.DUMMYFUNCTION("""COMPUTED_VALUE"""),0.0)</f>
        <v>0</v>
      </c>
      <c r="E253" s="2">
        <f>IFERROR(__xludf.DUMMYFUNCTION("""COMPUTED_VALUE"""),271.61)</f>
        <v>271.61</v>
      </c>
      <c r="F253" s="2">
        <f>IFERROR(__xludf.DUMMYFUNCTION("""COMPUTED_VALUE"""),295.0)</f>
        <v>295</v>
      </c>
      <c r="G253" s="2">
        <f>IFERROR(__xludf.DUMMYFUNCTION("""COMPUTED_VALUE"""),324.0)</f>
        <v>324</v>
      </c>
      <c r="H253" s="2">
        <f>IFERROR(__xludf.DUMMYFUNCTION("""COMPUTED_VALUE"""),360.0)</f>
        <v>360</v>
      </c>
      <c r="I253" s="2">
        <f>IFERROR(__xludf.DUMMYFUNCTION("""COMPUTED_VALUE"""),396.0)</f>
        <v>396</v>
      </c>
      <c r="J253" s="2">
        <f>IFERROR(__xludf.DUMMYFUNCTION("""COMPUTED_VALUE"""),198.0)</f>
        <v>198</v>
      </c>
      <c r="K253" s="2">
        <f>IFERROR(__xludf.DUMMYFUNCTION("""COMPUTED_VALUE"""),9.0)</f>
        <v>9</v>
      </c>
      <c r="L253" s="2" t="str">
        <f>IFERROR(__xludf.DUMMYFUNCTION("""COMPUTED_VALUE"""),"Smartbuy LED светильники")</f>
        <v>Smartbuy LED светильники</v>
      </c>
      <c r="M253" s="2" t="str">
        <f>IFERROR(__xludf.DUMMYFUNCTION("""COMPUTED_VALUE"""),"Накладные, LED Светильники")</f>
        <v>Накладные, LED Светильники</v>
      </c>
    </row>
    <row r="254">
      <c r="A254" s="5" t="str">
        <f>IFERROR(__xludf.DUMMYFUNCTION("""COMPUTED_VALUE"""),"4690612034430")</f>
        <v>4690612034430</v>
      </c>
      <c r="B254" s="5" t="str">
        <f>IFERROR(__xludf.DUMMYFUNCTION("""COMPUTED_VALUE"""),"COMFORT LUNA 60Вт 230В 3000-6500K 4800Лм 500х110мм c пультом ДУ IN HOME")</f>
        <v>COMFORT LUNA 60Вт 230В 3000-6500K 4800Лм 500х110мм c пультом ДУ IN HOME</v>
      </c>
      <c r="C254" s="2">
        <f>IFERROR(__xludf.DUMMYFUNCTION("""COMPUTED_VALUE"""),1.74)</f>
        <v>1.74</v>
      </c>
      <c r="D254" s="2">
        <f>IFERROR(__xludf.DUMMYFUNCTION("""COMPUTED_VALUE"""),0.04)</f>
        <v>0.04</v>
      </c>
      <c r="E254" s="2">
        <f>IFERROR(__xludf.DUMMYFUNCTION("""COMPUTED_VALUE"""),3167.84)</f>
        <v>3167.84</v>
      </c>
      <c r="F254" s="2">
        <f>IFERROR(__xludf.DUMMYFUNCTION("""COMPUTED_VALUE"""),2853.0)</f>
        <v>2853</v>
      </c>
      <c r="G254" s="2">
        <f>IFERROR(__xludf.DUMMYFUNCTION("""COMPUTED_VALUE"""),3210.0)</f>
        <v>3210</v>
      </c>
      <c r="H254" s="2">
        <f>IFERROR(__xludf.DUMMYFUNCTION("""COMPUTED_VALUE"""),3724.0)</f>
        <v>3724</v>
      </c>
      <c r="I254" s="2">
        <f>IFERROR(__xludf.DUMMYFUNCTION("""COMPUTED_VALUE"""),4280.0)</f>
        <v>4280</v>
      </c>
      <c r="J254" s="2">
        <f>IFERROR(__xludf.DUMMYFUNCTION("""COMPUTED_VALUE"""),2140.0)</f>
        <v>2140</v>
      </c>
      <c r="K254" s="2">
        <f>IFERROR(__xludf.DUMMYFUNCTION("""COMPUTED_VALUE"""),1.0)</f>
        <v>1</v>
      </c>
      <c r="L254" s="2" t="str">
        <f>IFERROR(__xludf.DUMMYFUNCTION("""COMPUTED_VALUE"""),"Светильники светодиодные COMFORT")</f>
        <v>Светильники светодиодные COMFORT</v>
      </c>
      <c r="M254" s="2" t="str">
        <f>IFERROR(__xludf.DUMMYFUNCTION("""COMPUTED_VALUE"""),"Точечные круглые Downlight, LED Светильники")</f>
        <v>Точечные круглые Downlight, LED Светильники</v>
      </c>
    </row>
    <row r="255">
      <c r="A255" s="5" t="str">
        <f>IFERROR(__xludf.DUMMYFUNCTION("""COMPUTED_VALUE"""),"4690612035819")</f>
        <v>4690612035819</v>
      </c>
      <c r="B255" s="5" t="str">
        <f>IFERROR(__xludf.DUMMYFUNCTION("""COMPUTED_VALUE"""),"ССО 11Б 8Вт 6500К 640Лм RGB-подсветка, сенсор-диммер, USB-кабель БЕЛЫЙ IN HOME")</f>
        <v>ССО 11Б 8Вт 6500К 640Лм RGB-подсветка, сенсор-диммер, USB-кабель БЕЛЫЙ IN HOME</v>
      </c>
      <c r="C255" s="2">
        <f>IFERROR(__xludf.DUMMYFUNCTION("""COMPUTED_VALUE"""),0.37813)</f>
        <v>0.37813</v>
      </c>
      <c r="D255" s="2">
        <f>IFERROR(__xludf.DUMMYFUNCTION("""COMPUTED_VALUE"""),0.00328)</f>
        <v>0.00328</v>
      </c>
      <c r="E255" s="2">
        <f>IFERROR(__xludf.DUMMYFUNCTION("""COMPUTED_VALUE"""),858.0)</f>
        <v>858</v>
      </c>
      <c r="F255" s="2">
        <f>IFERROR(__xludf.DUMMYFUNCTION("""COMPUTED_VALUE"""),759.0)</f>
        <v>759</v>
      </c>
      <c r="G255" s="2">
        <f>IFERROR(__xludf.DUMMYFUNCTION("""COMPUTED_VALUE"""),854.0)</f>
        <v>854</v>
      </c>
      <c r="H255" s="2">
        <f>IFERROR(__xludf.DUMMYFUNCTION("""COMPUTED_VALUE"""),990.0)</f>
        <v>990</v>
      </c>
      <c r="I255" s="2">
        <f>IFERROR(__xludf.DUMMYFUNCTION("""COMPUTED_VALUE"""),1138.0)</f>
        <v>1138</v>
      </c>
      <c r="J255" s="2">
        <f>IFERROR(__xludf.DUMMYFUNCTION("""COMPUTED_VALUE"""),569.0)</f>
        <v>569</v>
      </c>
      <c r="K255" s="2">
        <f>IFERROR(__xludf.DUMMYFUNCTION("""COMPUTED_VALUE"""),2.0)</f>
        <v>2</v>
      </c>
      <c r="L255" s="2" t="str">
        <f>IFERROR(__xludf.DUMMYFUNCTION("""COMPUTED_VALUE"""),"Светильники настольные светодиодные")</f>
        <v>Светильники настольные светодиодные</v>
      </c>
      <c r="M255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256">
      <c r="A256" s="5" t="str">
        <f>IFERROR(__xludf.DUMMYFUNCTION("""COMPUTED_VALUE"""),"4690612023069")</f>
        <v>4690612023069</v>
      </c>
      <c r="B256" s="5" t="str">
        <f>IFERROR(__xludf.DUMMYFUNCTION("""COMPUTED_VALUE"""),"LS 35CW-60/33-5-AP 60LED 24Вт IP33 6000K")</f>
        <v>LS 35CW-60/33-5-AP 60LED 24Вт IP33 6000K</v>
      </c>
      <c r="C256" s="2">
        <f>IFERROR(__xludf.DUMMYFUNCTION("""COMPUTED_VALUE"""),0.19)</f>
        <v>0.19</v>
      </c>
      <c r="D256" s="2">
        <f>IFERROR(__xludf.DUMMYFUNCTION("""COMPUTED_VALUE"""),0.00188)</f>
        <v>0.00188</v>
      </c>
      <c r="E256" s="2">
        <f>IFERROR(__xludf.DUMMYFUNCTION("""COMPUTED_VALUE"""),493.52)</f>
        <v>493.52</v>
      </c>
      <c r="F256" s="2">
        <f>IFERROR(__xludf.DUMMYFUNCTION("""COMPUTED_VALUE"""),531.0)</f>
        <v>531</v>
      </c>
      <c r="G256" s="2">
        <f>IFERROR(__xludf.DUMMYFUNCTION("""COMPUTED_VALUE"""),597.0)</f>
        <v>597</v>
      </c>
      <c r="H256" s="2">
        <f>IFERROR(__xludf.DUMMYFUNCTION("""COMPUTED_VALUE"""),693.0)</f>
        <v>693</v>
      </c>
      <c r="I256" s="2">
        <f>IFERROR(__xludf.DUMMYFUNCTION("""COMPUTED_VALUE"""),796.0)</f>
        <v>796</v>
      </c>
      <c r="J256" s="2">
        <f>IFERROR(__xludf.DUMMYFUNCTION("""COMPUTED_VALUE"""),398.0)</f>
        <v>398</v>
      </c>
      <c r="K256" s="2">
        <f>IFERROR(__xludf.DUMMYFUNCTION("""COMPUTED_VALUE"""),2.0)</f>
        <v>2</v>
      </c>
      <c r="L256" s="2" t="str">
        <f>IFERROR(__xludf.DUMMYFUNCTION("""COMPUTED_VALUE"""),"Светодиодная лента LS")</f>
        <v>Светодиодная лента LS</v>
      </c>
      <c r="M256" s="2" t="str">
        <f>IFERROR(__xludf.DUMMYFUNCTION("""COMPUTED_VALUE"""),"Светодиодная лента, LED Светильники")</f>
        <v>Светодиодная лента, LED Светильники</v>
      </c>
    </row>
    <row r="257">
      <c r="A257" s="5" t="str">
        <f>IFERROR(__xludf.DUMMYFUNCTION("""COMPUTED_VALUE"""),"4690612039183")</f>
        <v>4690612039183</v>
      </c>
      <c r="B257" s="5" t="str">
        <f>IFERROR(__xludf.DUMMYFUNCTION("""COMPUTED_VALUE"""),"ДПО-108 36Вт 230В 4000К 3420Лм 1200мм IP40 NEOX")</f>
        <v>ДПО-108 36Вт 230В 4000К 3420Лм 1200мм IP40 NEOX</v>
      </c>
      <c r="C257" s="2">
        <f>IFERROR(__xludf.DUMMYFUNCTION("""COMPUTED_VALUE"""),0.335)</f>
        <v>0.335</v>
      </c>
      <c r="D257" s="2">
        <f>IFERROR(__xludf.DUMMYFUNCTION("""COMPUTED_VALUE"""),0.00252)</f>
        <v>0.00252</v>
      </c>
      <c r="E257" s="2">
        <f>IFERROR(__xludf.DUMMYFUNCTION("""COMPUTED_VALUE"""),297.0)</f>
        <v>297</v>
      </c>
      <c r="F257" s="2">
        <f>IFERROR(__xludf.DUMMYFUNCTION("""COMPUTED_VALUE"""),353.0)</f>
        <v>353</v>
      </c>
      <c r="G257" s="2">
        <f>IFERROR(__xludf.DUMMYFUNCTION("""COMPUTED_VALUE"""),398.0)</f>
        <v>398</v>
      </c>
      <c r="H257" s="2">
        <f>IFERROR(__xludf.DUMMYFUNCTION("""COMPUTED_VALUE"""),461.0)</f>
        <v>461</v>
      </c>
      <c r="I257" s="2">
        <f>IFERROR(__xludf.DUMMYFUNCTION("""COMPUTED_VALUE"""),530.0)</f>
        <v>530</v>
      </c>
      <c r="J257" s="2">
        <f>IFERROR(__xludf.DUMMYFUNCTION("""COMPUTED_VALUE"""),265.0)</f>
        <v>265</v>
      </c>
      <c r="K257" s="2">
        <f>IFERROR(__xludf.DUMMYFUNCTION("""COMPUTED_VALUE"""),6.0)</f>
        <v>6</v>
      </c>
      <c r="L257" s="2" t="str">
        <f>IFERROR(__xludf.DUMMYFUNCTION("""COMPUTED_VALUE"""),"NEOX Светильники LED ДПО")</f>
        <v>NEOX Светильники LED ДПО</v>
      </c>
      <c r="M257" s="2" t="str">
        <f>IFERROR(__xludf.DUMMYFUNCTION("""COMPUTED_VALUE"""),"Накладные, LED Светильники")</f>
        <v>Накладные, LED Светильники</v>
      </c>
    </row>
    <row r="258">
      <c r="A258" s="5" t="str">
        <f>IFERROR(__xludf.DUMMYFUNCTION("""COMPUTED_VALUE"""),"GL8120")</f>
        <v>GL8120</v>
      </c>
      <c r="B258" s="5" t="str">
        <f>IFERROR(__xludf.DUMMYFUNCTION("""COMPUTED_VALUE"""),"GLERIO Office Casual 36 Вт 4000К 81P-36D-4V-M")</f>
        <v>GLERIO Office Casual 36 Вт 4000К 81P-36D-4V-M</v>
      </c>
      <c r="C258" s="2">
        <f>IFERROR(__xludf.DUMMYFUNCTION("""COMPUTED_VALUE"""),1.14)</f>
        <v>1.14</v>
      </c>
      <c r="D258" s="2">
        <f>IFERROR(__xludf.DUMMYFUNCTION("""COMPUTED_VALUE"""),0.008190000000000001)</f>
        <v>0.00819</v>
      </c>
      <c r="E258" s="2">
        <f>IFERROR(__xludf.DUMMYFUNCTION("""COMPUTED_VALUE"""),2095.2)</f>
        <v>2095.2</v>
      </c>
      <c r="F258" s="2">
        <f>IFERROR(__xludf.DUMMYFUNCTION("""COMPUTED_VALUE"""),2420.0)</f>
        <v>2420</v>
      </c>
      <c r="G258" s="2">
        <f>IFERROR(__xludf.DUMMYFUNCTION("""COMPUTED_VALUE"""),3047.0)</f>
        <v>3047</v>
      </c>
      <c r="H258" s="2">
        <f>IFERROR(__xludf.DUMMYFUNCTION("""COMPUTED_VALUE"""),3422.0)</f>
        <v>3422</v>
      </c>
      <c r="I258" s="2">
        <f>IFERROR(__xludf.DUMMYFUNCTION("""COMPUTED_VALUE"""),3796.0)</f>
        <v>3796</v>
      </c>
      <c r="J258" s="2">
        <f>IFERROR(__xludf.DUMMYFUNCTION("""COMPUTED_VALUE"""),3796.0)</f>
        <v>3796</v>
      </c>
      <c r="K258" s="2">
        <f>IFERROR(__xludf.DUMMYFUNCTION("""COMPUTED_VALUE"""),25.0)</f>
        <v>25</v>
      </c>
      <c r="L258" s="2" t="str">
        <f>IFERROR(__xludf.DUMMYFUNCTION("""COMPUTED_VALUE"""),"Office Casual (Офис) до 10.2025")</f>
        <v>Office Casual (Офис) до 10.2025</v>
      </c>
      <c r="M258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259">
      <c r="A259" s="5" t="str">
        <f>IFERROR(__xludf.DUMMYFUNCTION("""COMPUTED_VALUE"""),"G103101107-10")</f>
        <v>G103101107-10</v>
      </c>
      <c r="B259" s="5" t="str">
        <f>IFERROR(__xludf.DUMMYFUNCTION("""COMPUTED_VALUE"""),"10 шт. Лампа Candle E14 6.5W 3000К 1/10/100 (Комплект 10 шт)")</f>
        <v>10 шт. Лампа Candle E14 6.5W 3000К 1/10/100 (Комплект 10 шт)</v>
      </c>
      <c r="C259" s="2">
        <f>IFERROR(__xludf.DUMMYFUNCTION("""COMPUTED_VALUE"""),0.04)</f>
        <v>0.04</v>
      </c>
      <c r="D259" s="2">
        <f>IFERROR(__xludf.DUMMYFUNCTION("""COMPUTED_VALUE"""),0.0)</f>
        <v>0</v>
      </c>
      <c r="E259" s="2">
        <f>IFERROR(__xludf.DUMMYFUNCTION("""COMPUTED_VALUE"""),788.7)</f>
        <v>788.7</v>
      </c>
      <c r="F259" s="2">
        <f>IFERROR(__xludf.DUMMYFUNCTION("""COMPUTED_VALUE"""),865.0)</f>
        <v>865</v>
      </c>
      <c r="G259" s="2">
        <f>IFERROR(__xludf.DUMMYFUNCTION("""COMPUTED_VALUE"""),1136.0)</f>
        <v>1136</v>
      </c>
      <c r="H259" s="2">
        <f>IFERROR(__xludf.DUMMYFUNCTION("""COMPUTED_VALUE"""),1278.0)</f>
        <v>1278</v>
      </c>
      <c r="I259" s="2">
        <f>IFERROR(__xludf.DUMMYFUNCTION("""COMPUTED_VALUE"""),1420.0)</f>
        <v>1420</v>
      </c>
      <c r="J259" s="2">
        <f>IFERROR(__xludf.DUMMYFUNCTION("""COMPUTED_VALUE"""),710.0)</f>
        <v>710</v>
      </c>
      <c r="K259" s="2">
        <f>IFERROR(__xludf.DUMMYFUNCTION("""COMPUTED_VALUE"""),3.0)</f>
        <v>3</v>
      </c>
      <c r="L259" s="2" t="str">
        <f>IFERROR(__xludf.DUMMYFUNCTION("""COMPUTED_VALUE"""),"Лампы производство, упаковка")</f>
        <v>Лампы производство, упаковка</v>
      </c>
      <c r="M259" s="2" t="str">
        <f>IFERROR(__xludf.DUMMYFUNCTION("""COMPUTED_VALUE"""),"Лампы")</f>
        <v>Лампы</v>
      </c>
    </row>
    <row r="260">
      <c r="A260" s="5" t="str">
        <f>IFERROR(__xludf.DUMMYFUNCTION("""COMPUTED_VALUE"""),"4690612020303")</f>
        <v>4690612020303</v>
      </c>
      <c r="B260" s="5" t="str">
        <f>IFERROR(__xludf.DUMMYFUNCTION("""COMPUTED_VALUE"""),"LED-A60-VC 20Вт 230В Е27 4000К 1900Лм IN HOME")</f>
        <v>LED-A60-VC 20Вт 230В Е27 4000К 1900Лм IN HOME</v>
      </c>
      <c r="C260" s="2">
        <f>IFERROR(__xludf.DUMMYFUNCTION("""COMPUTED_VALUE"""),0.05500000000000001)</f>
        <v>0.055</v>
      </c>
      <c r="D260" s="2">
        <f>IFERROR(__xludf.DUMMYFUNCTION("""COMPUTED_VALUE"""),4.0E-4)</f>
        <v>0.0004</v>
      </c>
      <c r="E260" s="2">
        <f>IFERROR(__xludf.DUMMYFUNCTION("""COMPUTED_VALUE"""),51.6)</f>
        <v>51.6</v>
      </c>
      <c r="F260" s="2">
        <f>IFERROR(__xludf.DUMMYFUNCTION("""COMPUTED_VALUE"""),60.0)</f>
        <v>60</v>
      </c>
      <c r="G260" s="2">
        <f>IFERROR(__xludf.DUMMYFUNCTION("""COMPUTED_VALUE"""),68.0)</f>
        <v>68</v>
      </c>
      <c r="H260" s="2">
        <f>IFERROR(__xludf.DUMMYFUNCTION("""COMPUTED_VALUE"""),78.0)</f>
        <v>78</v>
      </c>
      <c r="I260" s="2">
        <f>IFERROR(__xludf.DUMMYFUNCTION("""COMPUTED_VALUE"""),90.5)</f>
        <v>90.5</v>
      </c>
      <c r="J260" s="2">
        <f>IFERROR(__xludf.DUMMYFUNCTION("""COMPUTED_VALUE"""),45.0)</f>
        <v>45</v>
      </c>
      <c r="K260" s="2">
        <f>IFERROR(__xludf.DUMMYFUNCTION("""COMPUTED_VALUE"""),2.0)</f>
        <v>2</v>
      </c>
      <c r="L260" s="2" t="str">
        <f>IFERROR(__xludf.DUMMYFUNCTION("""COMPUTED_VALUE"""),"Лампа светодиодная LED-A60-standard")</f>
        <v>Лампа светодиодная LED-A60-standard</v>
      </c>
      <c r="M260" s="2" t="str">
        <f>IFERROR(__xludf.DUMMYFUNCTION("""COMPUTED_VALUE"""),"Лампы")</f>
        <v>Лампы</v>
      </c>
    </row>
    <row r="261">
      <c r="A261" s="5" t="str">
        <f>IFERROR(__xludf.DUMMYFUNCTION("""COMPUTED_VALUE"""),"4690612001531")</f>
        <v>4690612001531</v>
      </c>
      <c r="B261" s="5" t="str">
        <f>IFERROR(__xludf.DUMMYFUNCTION("""COMPUTED_VALUE"""),"LED-R50-standard 5.0Вт 160-260В Е14 3000K 400лм")</f>
        <v>LED-R50-standard 5.0Вт 160-260В Е14 3000K 400лм</v>
      </c>
      <c r="C261" s="2">
        <f>IFERROR(__xludf.DUMMYFUNCTION("""COMPUTED_VALUE"""),0.043)</f>
        <v>0.043</v>
      </c>
      <c r="D261" s="2">
        <f>IFERROR(__xludf.DUMMYFUNCTION("""COMPUTED_VALUE"""),2.8E-4)</f>
        <v>0.00028</v>
      </c>
      <c r="E261" s="2">
        <f>IFERROR(__xludf.DUMMYFUNCTION("""COMPUTED_VALUE"""),46.23)</f>
        <v>46.23</v>
      </c>
      <c r="F261" s="2">
        <f>IFERROR(__xludf.DUMMYFUNCTION("""COMPUTED_VALUE"""),35.0)</f>
        <v>35</v>
      </c>
      <c r="G261" s="2">
        <f>IFERROR(__xludf.DUMMYFUNCTION("""COMPUTED_VALUE"""),39.0)</f>
        <v>39</v>
      </c>
      <c r="H261" s="2">
        <f>IFERROR(__xludf.DUMMYFUNCTION("""COMPUTED_VALUE"""),45.0)</f>
        <v>45</v>
      </c>
      <c r="I261" s="2">
        <f>IFERROR(__xludf.DUMMYFUNCTION("""COMPUTED_VALUE"""),52.75)</f>
        <v>52.75</v>
      </c>
      <c r="J261" s="2">
        <f>IFERROR(__xludf.DUMMYFUNCTION("""COMPUTED_VALUE"""),26.0)</f>
        <v>26</v>
      </c>
      <c r="K261" s="2">
        <f>IFERROR(__xludf.DUMMYFUNCTION("""COMPUTED_VALUE"""),23.0)</f>
        <v>23</v>
      </c>
      <c r="L261" s="2" t="str">
        <f>IFERROR(__xludf.DUMMYFUNCTION("""COMPUTED_VALUE"""),"Лампа светодиодная LED-R-standard")</f>
        <v>Лампа светодиодная LED-R-standard</v>
      </c>
      <c r="M261" s="2" t="str">
        <f>IFERROR(__xludf.DUMMYFUNCTION("""COMPUTED_VALUE"""),"Лампы")</f>
        <v>Лампы</v>
      </c>
    </row>
    <row r="262">
      <c r="A262" s="5" t="str">
        <f>IFERROR(__xludf.DUMMYFUNCTION("""COMPUTED_VALUE"""),"4690612024127")</f>
        <v>4690612024127</v>
      </c>
      <c r="B262" s="5" t="str">
        <f>IFERROR(__xludf.DUMMYFUNCTION("""COMPUTED_VALUE"""),"LED-A70-VC 30Вт 230В Е27 3000К 2850Лм IN HOME")</f>
        <v>LED-A70-VC 30Вт 230В Е27 3000К 2850Лм IN HOME</v>
      </c>
      <c r="C262" s="2">
        <f>IFERROR(__xludf.DUMMYFUNCTION("""COMPUTED_VALUE"""),0.084)</f>
        <v>0.084</v>
      </c>
      <c r="D262" s="2">
        <f>IFERROR(__xludf.DUMMYFUNCTION("""COMPUTED_VALUE"""),8.0E-4)</f>
        <v>0.0008</v>
      </c>
      <c r="E262" s="2">
        <f>IFERROR(__xludf.DUMMYFUNCTION("""COMPUTED_VALUE"""),121.94)</f>
        <v>121.94</v>
      </c>
      <c r="F262" s="2">
        <f>IFERROR(__xludf.DUMMYFUNCTION("""COMPUTED_VALUE"""),101.0)</f>
        <v>101</v>
      </c>
      <c r="G262" s="2">
        <f>IFERROR(__xludf.DUMMYFUNCTION("""COMPUTED_VALUE"""),113.0)</f>
        <v>113</v>
      </c>
      <c r="H262" s="2">
        <f>IFERROR(__xludf.DUMMYFUNCTION("""COMPUTED_VALUE"""),131.0)</f>
        <v>131</v>
      </c>
      <c r="I262" s="2">
        <f>IFERROR(__xludf.DUMMYFUNCTION("""COMPUTED_VALUE"""),151.5)</f>
        <v>151.5</v>
      </c>
      <c r="J262" s="2">
        <f>IFERROR(__xludf.DUMMYFUNCTION("""COMPUTED_VALUE"""),76.0)</f>
        <v>76</v>
      </c>
      <c r="K262" s="2">
        <f>IFERROR(__xludf.DUMMYFUNCTION("""COMPUTED_VALUE"""),18.0)</f>
        <v>18</v>
      </c>
      <c r="L262" s="2" t="str">
        <f>IFERROR(__xludf.DUMMYFUNCTION("""COMPUTED_VALUE"""),"ASD лампы LED")</f>
        <v>ASD лампы LED</v>
      </c>
      <c r="M262" s="2" t="str">
        <f>IFERROR(__xludf.DUMMYFUNCTION("""COMPUTED_VALUE"""),"Лампы")</f>
        <v>Лампы</v>
      </c>
    </row>
    <row r="263">
      <c r="A263" s="5" t="str">
        <f>IFERROR(__xludf.DUMMYFUNCTION("""COMPUTED_VALUE"""),"4680005957873")</f>
        <v>4680005957873</v>
      </c>
      <c r="B263" s="5" t="str">
        <f>IFERROR(__xludf.DUMMYFUNCTION("""COMPUTED_VALUE"""),"Патрон-переходник ППК Е27/Е40 короткий LLT")</f>
        <v>Патрон-переходник ППК Е27/Е40 короткий LLT</v>
      </c>
      <c r="C263" s="2">
        <f>IFERROR(__xludf.DUMMYFUNCTION("""COMPUTED_VALUE"""),0.048)</f>
        <v>0.048</v>
      </c>
      <c r="D263" s="2">
        <f>IFERROR(__xludf.DUMMYFUNCTION("""COMPUTED_VALUE"""),2.2E-4)</f>
        <v>0.00022</v>
      </c>
      <c r="E263" s="2">
        <f>IFERROR(__xludf.DUMMYFUNCTION("""COMPUTED_VALUE"""),50.2)</f>
        <v>50.2</v>
      </c>
      <c r="F263" s="2">
        <f>IFERROR(__xludf.DUMMYFUNCTION("""COMPUTED_VALUE"""),58.0)</f>
        <v>58</v>
      </c>
      <c r="G263" s="2">
        <f>IFERROR(__xludf.DUMMYFUNCTION("""COMPUTED_VALUE"""),65.0)</f>
        <v>65</v>
      </c>
      <c r="H263" s="2">
        <f>IFERROR(__xludf.DUMMYFUNCTION("""COMPUTED_VALUE"""),76.0)</f>
        <v>76</v>
      </c>
      <c r="I263" s="2">
        <f>IFERROR(__xludf.DUMMYFUNCTION("""COMPUTED_VALUE"""),87.0)</f>
        <v>87</v>
      </c>
      <c r="J263" s="2">
        <f>IFERROR(__xludf.DUMMYFUNCTION("""COMPUTED_VALUE"""),58.0)</f>
        <v>58</v>
      </c>
      <c r="K263" s="2">
        <f>IFERROR(__xludf.DUMMYFUNCTION("""COMPUTED_VALUE"""),23.0)</f>
        <v>23</v>
      </c>
      <c r="L263" s="2" t="str">
        <f>IFERROR(__xludf.DUMMYFUNCTION("""COMPUTED_VALUE"""),"ASD электромонтажные изделия")</f>
        <v>ASD электромонтажные изделия</v>
      </c>
      <c r="M263" s="2" t="str">
        <f>IFERROR(__xludf.DUMMYFUNCTION("""COMPUTED_VALUE"""),"Прочие товары")</f>
        <v>Прочие товары</v>
      </c>
    </row>
    <row r="264">
      <c r="A264" s="5" t="str">
        <f>IFERROR(__xludf.DUMMYFUNCTION("""COMPUTED_VALUE"""),"4690612008660")</f>
        <v>4690612008660</v>
      </c>
      <c r="B264" s="5" t="str">
        <f>IFERROR(__xludf.DUMMYFUNCTION("""COMPUTED_VALUE"""),"MB-1 Крепление для прожектора для монтажа на трубу продольное LLT")</f>
        <v>MB-1 Крепление для прожектора для монтажа на трубу продольное LLT</v>
      </c>
      <c r="C264" s="2">
        <f>IFERROR(__xludf.DUMMYFUNCTION("""COMPUTED_VALUE"""),0.4062500000000001)</f>
        <v>0.40625</v>
      </c>
      <c r="D264" s="2">
        <f>IFERROR(__xludf.DUMMYFUNCTION("""COMPUTED_VALUE"""),0.00106)</f>
        <v>0.00106</v>
      </c>
      <c r="E264" s="2">
        <f>IFERROR(__xludf.DUMMYFUNCTION("""COMPUTED_VALUE"""),259.98)</f>
        <v>259.98</v>
      </c>
      <c r="F264" s="2">
        <f>IFERROR(__xludf.DUMMYFUNCTION("""COMPUTED_VALUE"""),280.0)</f>
        <v>280</v>
      </c>
      <c r="G264" s="2">
        <f>IFERROR(__xludf.DUMMYFUNCTION("""COMPUTED_VALUE"""),315.0)</f>
        <v>315</v>
      </c>
      <c r="H264" s="2">
        <f>IFERROR(__xludf.DUMMYFUNCTION("""COMPUTED_VALUE"""),365.0)</f>
        <v>365</v>
      </c>
      <c r="I264" s="2">
        <f>IFERROR(__xludf.DUMMYFUNCTION("""COMPUTED_VALUE"""),420.0)</f>
        <v>420</v>
      </c>
      <c r="J264" s="2">
        <f>IFERROR(__xludf.DUMMYFUNCTION("""COMPUTED_VALUE"""),210.0)</f>
        <v>210</v>
      </c>
      <c r="K264" s="2">
        <f>IFERROR(__xludf.DUMMYFUNCTION("""COMPUTED_VALUE"""),12.0)</f>
        <v>12</v>
      </c>
      <c r="L264" s="2" t="str">
        <f>IFERROR(__xludf.DUMMYFUNCTION("""COMPUTED_VALUE"""),"ASD Комплектующие")</f>
        <v>ASD Комплектующие</v>
      </c>
      <c r="M264" s="2" t="str">
        <f>IFERROR(__xludf.DUMMYFUNCTION("""COMPUTED_VALUE"""),"Прочие товары")</f>
        <v>Прочие товары</v>
      </c>
    </row>
    <row r="265">
      <c r="A265" s="5" t="str">
        <f>IFERROR(__xludf.DUMMYFUNCTION("""COMPUTED_VALUE"""),"ms6181")</f>
        <v>ms6181</v>
      </c>
      <c r="B265" s="5" t="str">
        <f>IFERROR(__xludf.DUMMYFUNCTION("""COMPUTED_VALUE"""),"Лампочка галогенная 20Вт 2700К 220Лм G4 12В")</f>
        <v>Лампочка галогенная 20Вт 2700К 220Лм G4 12В</v>
      </c>
      <c r="C265" s="2">
        <f>IFERROR(__xludf.DUMMYFUNCTION("""COMPUTED_VALUE"""),0.0)</f>
        <v>0</v>
      </c>
      <c r="D265" s="2">
        <f>IFERROR(__xludf.DUMMYFUNCTION("""COMPUTED_VALUE"""),0.0)</f>
        <v>0</v>
      </c>
      <c r="E265" s="2">
        <f>IFERROR(__xludf.DUMMYFUNCTION("""COMPUTED_VALUE"""),19.55)</f>
        <v>19.55</v>
      </c>
      <c r="F265" s="2">
        <f>IFERROR(__xludf.DUMMYFUNCTION("""COMPUTED_VALUE"""),14.0)</f>
        <v>14</v>
      </c>
      <c r="G265" s="2">
        <f>IFERROR(__xludf.DUMMYFUNCTION("""COMPUTED_VALUE"""),15.0)</f>
        <v>15</v>
      </c>
      <c r="H265" s="2">
        <f>IFERROR(__xludf.DUMMYFUNCTION("""COMPUTED_VALUE"""),17.0)</f>
        <v>17</v>
      </c>
      <c r="I265" s="2">
        <f>IFERROR(__xludf.DUMMYFUNCTION("""COMPUTED_VALUE"""),19.09)</f>
        <v>19.09</v>
      </c>
      <c r="J265" s="2">
        <f>IFERROR(__xludf.DUMMYFUNCTION("""COMPUTED_VALUE"""),10.0)</f>
        <v>10</v>
      </c>
      <c r="K265" s="2">
        <f>IFERROR(__xludf.DUMMYFUNCTION("""COMPUTED_VALUE"""),75.0)</f>
        <v>75</v>
      </c>
      <c r="L265" s="2" t="str">
        <f>IFERROR(__xludf.DUMMYFUNCTION("""COMPUTED_VALUE"""),"ms6 (тендер)")</f>
        <v>ms6 (тендер)</v>
      </c>
      <c r="M265" s="2" t="str">
        <f>IFERROR(__xludf.DUMMYFUNCTION("""COMPUTED_VALUE"""),"LED Светильники")</f>
        <v>LED Светильники</v>
      </c>
    </row>
    <row r="266">
      <c r="A266" s="5" t="str">
        <f>IFERROR(__xludf.DUMMYFUNCTION("""COMPUTED_VALUE"""),"4690612035659-10")</f>
        <v>4690612035659-10</v>
      </c>
      <c r="B266" s="5" t="str">
        <f>IFERROR(__xludf.DUMMYFUNCTION("""COMPUTED_VALUE"""),"10 шт. Лампа LED-ST64-deco gold 9Вт 230В Е27 3000К 1040Лм золотистая IN HOME (Комплект 10 шт)")</f>
        <v>10 шт. Лампа LED-ST64-deco gold 9Вт 230В Е27 3000К 1040Лм золотистая IN HOME (Комплект 10 шт)</v>
      </c>
      <c r="C266" s="2">
        <f>IFERROR(__xludf.DUMMYFUNCTION("""COMPUTED_VALUE"""),0.22)</f>
        <v>0.22</v>
      </c>
      <c r="D266" s="2">
        <f>IFERROR(__xludf.DUMMYFUNCTION("""COMPUTED_VALUE"""),0.004)</f>
        <v>0.004</v>
      </c>
      <c r="E266" s="2">
        <f>IFERROR(__xludf.DUMMYFUNCTION("""COMPUTED_VALUE"""),1170.0)</f>
        <v>1170</v>
      </c>
      <c r="F266" s="2">
        <f>IFERROR(__xludf.DUMMYFUNCTION("""COMPUTED_VALUE"""),1284.0)</f>
        <v>1284</v>
      </c>
      <c r="G266" s="2">
        <f>IFERROR(__xludf.DUMMYFUNCTION("""COMPUTED_VALUE"""),1685.0)</f>
        <v>1685</v>
      </c>
      <c r="H266" s="2">
        <f>IFERROR(__xludf.DUMMYFUNCTION("""COMPUTED_VALUE"""),1895.0)</f>
        <v>1895</v>
      </c>
      <c r="I266" s="2">
        <f>IFERROR(__xludf.DUMMYFUNCTION("""COMPUTED_VALUE"""),2106.0)</f>
        <v>2106</v>
      </c>
      <c r="J266" s="2">
        <f>IFERROR(__xludf.DUMMYFUNCTION("""COMPUTED_VALUE"""),1053.0)</f>
        <v>1053</v>
      </c>
      <c r="K266" s="2">
        <f>IFERROR(__xludf.DUMMYFUNCTION("""COMPUTED_VALUE"""),2.0)</f>
        <v>2</v>
      </c>
      <c r="L266" s="2" t="str">
        <f>IFERROR(__xludf.DUMMYFUNCTION("""COMPUTED_VALUE"""),"Лампы производство, упаковка")</f>
        <v>Лампы производство, упаковка</v>
      </c>
      <c r="M266" s="2" t="str">
        <f>IFERROR(__xludf.DUMMYFUNCTION("""COMPUTED_VALUE"""),"Лампы")</f>
        <v>Лампы</v>
      </c>
    </row>
    <row r="267">
      <c r="A267" s="5" t="str">
        <f>IFERROR(__xludf.DUMMYFUNCTION("""COMPUTED_VALUE"""),"V9014")</f>
        <v>V9014</v>
      </c>
      <c r="B267" s="5" t="str">
        <f>IFERROR(__xludf.DUMMYFUNCTION("""COMPUTED_VALUE"""),"VRN-UNE-62-G40K67-K, 62Вт, Консольный")</f>
        <v>VRN-UNE-62-G40K67-K, 62Вт, Консольный</v>
      </c>
      <c r="C267" s="2">
        <f>IFERROR(__xludf.DUMMYFUNCTION("""COMPUTED_VALUE"""),0.108)</f>
        <v>0.108</v>
      </c>
      <c r="D267" s="2">
        <f>IFERROR(__xludf.DUMMYFUNCTION("""COMPUTED_VALUE"""),0.00564)</f>
        <v>0.00564</v>
      </c>
      <c r="E267" s="2">
        <f>IFERROR(__xludf.DUMMYFUNCTION("""COMPUTED_VALUE"""),2264.43)</f>
        <v>2264.43</v>
      </c>
      <c r="F267" s="2">
        <f>IFERROR(__xludf.DUMMYFUNCTION("""COMPUTED_VALUE"""),2605.0)</f>
        <v>2605</v>
      </c>
      <c r="G267" s="2">
        <f>IFERROR(__xludf.DUMMYFUNCTION("""COMPUTED_VALUE"""),3387.0)</f>
        <v>3387</v>
      </c>
      <c r="H267" s="2">
        <f>IFERROR(__xludf.DUMMYFUNCTION("""COMPUTED_VALUE"""),3556.0)</f>
        <v>3556</v>
      </c>
      <c r="I267" s="2">
        <f>IFERROR(__xludf.DUMMYFUNCTION("""COMPUTED_VALUE"""),3725.0)</f>
        <v>3725</v>
      </c>
      <c r="J267" s="2">
        <f>IFERROR(__xludf.DUMMYFUNCTION("""COMPUTED_VALUE"""),3725.0)</f>
        <v>3725</v>
      </c>
      <c r="K267" s="2">
        <f>IFERROR(__xludf.DUMMYFUNCTION("""COMPUTED_VALUE"""),15.0)</f>
        <v>15</v>
      </c>
      <c r="L267" s="2" t="str">
        <f>IFERROR(__xludf.DUMMYFUNCTION("""COMPUTED_VALUE"""),"Универсал Эконом")</f>
        <v>Универсал Эконом</v>
      </c>
      <c r="M267" s="2" t="str">
        <f>IFERROR(__xludf.DUMMYFUNCTION("""COMPUTED_VALUE"""),"Для обычных дорог, LED Светильники")</f>
        <v>Для обычных дорог, LED Светильники</v>
      </c>
    </row>
    <row r="268">
      <c r="A268" s="5" t="str">
        <f>IFERROR(__xludf.DUMMYFUNCTION("""COMPUTED_VALUE"""),"23345")</f>
        <v>23345</v>
      </c>
      <c r="B268" s="5" t="str">
        <f>IFERROR(__xludf.DUMMYFUNCTION("""COMPUTED_VALUE"""),"Выключатель дистанционный 230V 1000W 3-хканальный 30м с пультом управления, TM76")</f>
        <v>Выключатель дистанционный 230V 1000W 3-хканальный 30м с пультом управления, TM76</v>
      </c>
      <c r="C268" s="2">
        <f>IFERROR(__xludf.DUMMYFUNCTION("""COMPUTED_VALUE"""),0.0)</f>
        <v>0</v>
      </c>
      <c r="D268" s="2">
        <f>IFERROR(__xludf.DUMMYFUNCTION("""COMPUTED_VALUE"""),0.0)</f>
        <v>0</v>
      </c>
      <c r="E268" s="2">
        <f>IFERROR(__xludf.DUMMYFUNCTION("""COMPUTED_VALUE"""),547.7)</f>
        <v>547.7</v>
      </c>
      <c r="F268" s="2">
        <f>IFERROR(__xludf.DUMMYFUNCTION("""COMPUTED_VALUE"""),0.0)</f>
        <v>0</v>
      </c>
      <c r="G268" s="2">
        <f>IFERROR(__xludf.DUMMYFUNCTION("""COMPUTED_VALUE"""),0.0)</f>
        <v>0</v>
      </c>
      <c r="H268" s="2">
        <f>IFERROR(__xludf.DUMMYFUNCTION("""COMPUTED_VALUE"""),0.0)</f>
        <v>0</v>
      </c>
      <c r="I268" s="2">
        <f>IFERROR(__xludf.DUMMYFUNCTION("""COMPUTED_VALUE"""),0.5)</f>
        <v>0.5</v>
      </c>
      <c r="J268" s="2">
        <f>IFERROR(__xludf.DUMMYFUNCTION("""COMPUTED_VALUE"""),0.5)</f>
        <v>0.5</v>
      </c>
      <c r="K268" s="2">
        <f>IFERROR(__xludf.DUMMYFUNCTION("""COMPUTED_VALUE"""),1.0)</f>
        <v>1</v>
      </c>
      <c r="L268" s="2" t="str">
        <f>IFERROR(__xludf.DUMMYFUNCTION("""COMPUTED_VALUE"""),"Feron")</f>
        <v>Feron</v>
      </c>
      <c r="M268" s="2" t="str">
        <f>IFERROR(__xludf.DUMMYFUNCTION("""COMPUTED_VALUE"""),"LED Светильники")</f>
        <v>LED Светильники</v>
      </c>
    </row>
    <row r="269">
      <c r="A269" s="5" t="str">
        <f>IFERROR(__xludf.DUMMYFUNCTION("""COMPUTED_VALUE"""),"4260652192805")</f>
        <v>4260652192805</v>
      </c>
      <c r="B269" s="5" t="str">
        <f>IFERROR(__xludf.DUMMYFUNCTION("""COMPUTED_VALUE"""),"WTL-SC/01B")</f>
        <v>WTL-SC/01B</v>
      </c>
      <c r="C269" s="2">
        <f>IFERROR(__xludf.DUMMYFUNCTION("""COMPUTED_VALUE"""),0.039)</f>
        <v>0.039</v>
      </c>
      <c r="D269" s="2">
        <f>IFERROR(__xludf.DUMMYFUNCTION("""COMPUTED_VALUE"""),6.000000000000001E-5)</f>
        <v>0.00006</v>
      </c>
      <c r="E269" s="2">
        <f>IFERROR(__xludf.DUMMYFUNCTION("""COMPUTED_VALUE"""),117.74)</f>
        <v>117.74</v>
      </c>
      <c r="F269" s="2">
        <f>IFERROR(__xludf.DUMMYFUNCTION("""COMPUTED_VALUE"""),125.0)</f>
        <v>125</v>
      </c>
      <c r="G269" s="2">
        <f>IFERROR(__xludf.DUMMYFUNCTION("""COMPUTED_VALUE"""),129.0)</f>
        <v>129</v>
      </c>
      <c r="H269" s="2">
        <f>IFERROR(__xludf.DUMMYFUNCTION("""COMPUTED_VALUE"""),169.0)</f>
        <v>169</v>
      </c>
      <c r="I269" s="2">
        <f>IFERROR(__xludf.DUMMYFUNCTION("""COMPUTED_VALUE"""),211.0)</f>
        <v>211</v>
      </c>
      <c r="J269" s="2">
        <f>IFERROR(__xludf.DUMMYFUNCTION("""COMPUTED_VALUE"""),106.0)</f>
        <v>106</v>
      </c>
      <c r="K269" s="2">
        <f>IFERROR(__xludf.DUMMYFUNCTION("""COMPUTED_VALUE"""),1.0)</f>
        <v>1</v>
      </c>
      <c r="L269" s="2" t="str">
        <f>IFERROR(__xludf.DUMMYFUNCTION("""COMPUTED_VALUE"""),"Wolta трековые")</f>
        <v>Wolta трековые</v>
      </c>
      <c r="M269" s="2" t="str">
        <f>IFERROR(__xludf.DUMMYFUNCTION("""COMPUTED_VALUE"""),"Трековые, LED Светильники")</f>
        <v>Трековые, LED Светильники</v>
      </c>
    </row>
    <row r="270">
      <c r="A270" s="5" t="str">
        <f>IFERROR(__xludf.DUMMYFUNCTION("""COMPUTED_VALUE"""),"4690612020549")</f>
        <v>4690612020549</v>
      </c>
      <c r="B270" s="5" t="str">
        <f>IFERROR(__xludf.DUMMYFUNCTION("""COMPUTED_VALUE"""),"LED-ШАР-VC 8Вт 230В Е14 3000К 760Лм IN HOME")</f>
        <v>LED-ШАР-VC 8Вт 230В Е14 3000К 760Лм IN HOME</v>
      </c>
      <c r="C270" s="2">
        <f>IFERROR(__xludf.DUMMYFUNCTION("""COMPUTED_VALUE"""),0.032)</f>
        <v>0.032</v>
      </c>
      <c r="D270" s="2">
        <f>IFERROR(__xludf.DUMMYFUNCTION("""COMPUTED_VALUE"""),2.3E-4)</f>
        <v>0.00023</v>
      </c>
      <c r="E270" s="2">
        <f>IFERROR(__xludf.DUMMYFUNCTION("""COMPUTED_VALUE"""),39.0)</f>
        <v>39</v>
      </c>
      <c r="F270" s="2">
        <f>IFERROR(__xludf.DUMMYFUNCTION("""COMPUTED_VALUE"""),45.0)</f>
        <v>45</v>
      </c>
      <c r="G270" s="2">
        <f>IFERROR(__xludf.DUMMYFUNCTION("""COMPUTED_VALUE"""),50.0)</f>
        <v>50</v>
      </c>
      <c r="H270" s="2">
        <f>IFERROR(__xludf.DUMMYFUNCTION("""COMPUTED_VALUE"""),58.0)</f>
        <v>58</v>
      </c>
      <c r="I270" s="2">
        <f>IFERROR(__xludf.DUMMYFUNCTION("""COMPUTED_VALUE"""),67.6)</f>
        <v>67.6</v>
      </c>
      <c r="J270" s="2">
        <f>IFERROR(__xludf.DUMMYFUNCTION("""COMPUTED_VALUE"""),34.0)</f>
        <v>34</v>
      </c>
      <c r="K270" s="2">
        <f>IFERROR(__xludf.DUMMYFUNCTION("""COMPUTED_VALUE"""),5.0)</f>
        <v>5</v>
      </c>
      <c r="L270" s="2" t="str">
        <f>IFERROR(__xludf.DUMMYFUNCTION("""COMPUTED_VALUE"""),"Лампа светодиодная LED-ШАР-standard")</f>
        <v>Лампа светодиодная LED-ШАР-standard</v>
      </c>
      <c r="M270" s="2" t="str">
        <f>IFERROR(__xludf.DUMMYFUNCTION("""COMPUTED_VALUE"""),"Лампы")</f>
        <v>Лампы</v>
      </c>
    </row>
    <row r="271">
      <c r="A271" s="5" t="str">
        <f>IFERROR(__xludf.DUMMYFUNCTION("""COMPUTED_VALUE"""),"4690612009087")</f>
        <v>4690612009087</v>
      </c>
      <c r="B271" s="5" t="str">
        <f>IFERROR(__xludf.DUMMYFUNCTION("""COMPUTED_VALUE"""),"Штепсельное гнездо (розетка кабельная) 10А черное 4252 IN HOME")</f>
        <v>Штепсельное гнездо (розетка кабельная) 10А черное 4252 IN HOME</v>
      </c>
      <c r="C271" s="2">
        <f>IFERROR(__xludf.DUMMYFUNCTION("""COMPUTED_VALUE"""),0.04)</f>
        <v>0.04</v>
      </c>
      <c r="D271" s="2">
        <f>IFERROR(__xludf.DUMMYFUNCTION("""COMPUTED_VALUE"""),2.2E-4)</f>
        <v>0.00022</v>
      </c>
      <c r="E271" s="2">
        <f>IFERROR(__xludf.DUMMYFUNCTION("""COMPUTED_VALUE"""),18.5)</f>
        <v>18.5</v>
      </c>
      <c r="F271" s="2">
        <f>IFERROR(__xludf.DUMMYFUNCTION("""COMPUTED_VALUE"""),24.0)</f>
        <v>24</v>
      </c>
      <c r="G271" s="2">
        <f>IFERROR(__xludf.DUMMYFUNCTION("""COMPUTED_VALUE"""),27.0)</f>
        <v>27</v>
      </c>
      <c r="H271" s="2">
        <f>IFERROR(__xludf.DUMMYFUNCTION("""COMPUTED_VALUE"""),31.0)</f>
        <v>31</v>
      </c>
      <c r="I271" s="2">
        <f>IFERROR(__xludf.DUMMYFUNCTION("""COMPUTED_VALUE"""),36.0)</f>
        <v>36</v>
      </c>
      <c r="J271" s="2">
        <f>IFERROR(__xludf.DUMMYFUNCTION("""COMPUTED_VALUE"""),18.0)</f>
        <v>18</v>
      </c>
      <c r="K271" s="2">
        <f>IFERROR(__xludf.DUMMYFUNCTION("""COMPUTED_VALUE"""),5.0)</f>
        <v>5</v>
      </c>
      <c r="L271" s="2" t="str">
        <f>IFERROR(__xludf.DUMMYFUNCTION("""COMPUTED_VALUE"""),"ASD электромонтажные изделия")</f>
        <v>ASD электромонтажные изделия</v>
      </c>
      <c r="M271" s="2" t="str">
        <f>IFERROR(__xludf.DUMMYFUNCTION("""COMPUTED_VALUE"""),"Прочие товары")</f>
        <v>Прочие товары</v>
      </c>
    </row>
    <row r="272">
      <c r="A272" s="5" t="str">
        <f>IFERROR(__xludf.DUMMYFUNCTION("""COMPUTED_VALUE"""),"R2500x1050-ST-051")</f>
        <v>R2500x1050-ST-051</v>
      </c>
      <c r="B272" s="5" t="str">
        <f>IFERROR(__xludf.DUMMYFUNCTION("""COMPUTED_VALUE"""),"Рама ВхГ 2500х1050 Cтeллaжа CT-051")</f>
        <v>Рама ВхГ 2500х1050 Cтeллaжа CT-051</v>
      </c>
      <c r="C272" s="2">
        <f>IFERROR(__xludf.DUMMYFUNCTION("""COMPUTED_VALUE"""),0.0)</f>
        <v>0</v>
      </c>
      <c r="D272" s="2">
        <f>IFERROR(__xludf.DUMMYFUNCTION("""COMPUTED_VALUE"""),0.0)</f>
        <v>0</v>
      </c>
      <c r="E272" s="2">
        <f>IFERROR(__xludf.DUMMYFUNCTION("""COMPUTED_VALUE"""),0.0)</f>
        <v>0</v>
      </c>
      <c r="F272" s="2">
        <f>IFERROR(__xludf.DUMMYFUNCTION("""COMPUTED_VALUE"""),2100.0)</f>
        <v>2100</v>
      </c>
      <c r="G272" s="2">
        <f>IFERROR(__xludf.DUMMYFUNCTION("""COMPUTED_VALUE"""),2240.0)</f>
        <v>2240</v>
      </c>
      <c r="H272" s="2">
        <f>IFERROR(__xludf.DUMMYFUNCTION("""COMPUTED_VALUE"""),2520.0)</f>
        <v>2520</v>
      </c>
      <c r="I272" s="2">
        <f>IFERROR(__xludf.DUMMYFUNCTION("""COMPUTED_VALUE"""),2800.5)</f>
        <v>2800.5</v>
      </c>
      <c r="J272" s="2">
        <f>IFERROR(__xludf.DUMMYFUNCTION("""COMPUTED_VALUE"""),2240.0)</f>
        <v>2240</v>
      </c>
      <c r="K272" s="2">
        <f>IFERROR(__xludf.DUMMYFUNCTION("""COMPUTED_VALUE"""),7.0)</f>
        <v>7</v>
      </c>
      <c r="L272" s="2" t="str">
        <f>IFERROR(__xludf.DUMMYFUNCTION("""COMPUTED_VALUE"""),"Другие")</f>
        <v>Другие</v>
      </c>
      <c r="M272" s="2" t="str">
        <f>IFERROR(__xludf.DUMMYFUNCTION("""COMPUTED_VALUE"""),"Прочие товары")</f>
        <v>Прочие товары</v>
      </c>
    </row>
    <row r="273">
      <c r="A273" s="5" t="str">
        <f>IFERROR(__xludf.DUMMYFUNCTION("""COMPUTED_VALUE"""),"4690612053080")</f>
        <v>4690612053080</v>
      </c>
      <c r="B273" s="5" t="str">
        <f>IFERROR(__xludf.DUMMYFUNCTION("""COMPUTED_VALUE"""),"ДПО-108 ПРИЗМА 36Вт 6500К 1200мм IP40 NEOX")</f>
        <v>ДПО-108 ПРИЗМА 36Вт 6500К 1200мм IP40 NEOX</v>
      </c>
      <c r="C273" s="2">
        <f>IFERROR(__xludf.DUMMYFUNCTION("""COMPUTED_VALUE"""),0.325)</f>
        <v>0.325</v>
      </c>
      <c r="D273" s="2">
        <f>IFERROR(__xludf.DUMMYFUNCTION("""COMPUTED_VALUE"""),0.00252)</f>
        <v>0.00252</v>
      </c>
      <c r="E273" s="2">
        <f>IFERROR(__xludf.DUMMYFUNCTION("""COMPUTED_VALUE"""),285.0)</f>
        <v>285</v>
      </c>
      <c r="F273" s="2">
        <f>IFERROR(__xludf.DUMMYFUNCTION("""COMPUTED_VALUE"""),367.0)</f>
        <v>367</v>
      </c>
      <c r="G273" s="2">
        <f>IFERROR(__xludf.DUMMYFUNCTION("""COMPUTED_VALUE"""),413.0)</f>
        <v>413</v>
      </c>
      <c r="H273" s="2">
        <f>IFERROR(__xludf.DUMMYFUNCTION("""COMPUTED_VALUE"""),479.0)</f>
        <v>479</v>
      </c>
      <c r="I273" s="2">
        <f>IFERROR(__xludf.DUMMYFUNCTION("""COMPUTED_VALUE"""),550.0)</f>
        <v>550</v>
      </c>
      <c r="J273" s="2">
        <f>IFERROR(__xludf.DUMMYFUNCTION("""COMPUTED_VALUE"""),275.0)</f>
        <v>275</v>
      </c>
      <c r="K273" s="2">
        <f>IFERROR(__xludf.DUMMYFUNCTION("""COMPUTED_VALUE"""),26.0)</f>
        <v>26</v>
      </c>
      <c r="L273" s="2" t="str">
        <f>IFERROR(__xludf.DUMMYFUNCTION("""COMPUTED_VALUE"""),"NEOX Светильники LED ДПО")</f>
        <v>NEOX Светильники LED ДПО</v>
      </c>
      <c r="M273" s="2" t="str">
        <f>IFERROR(__xludf.DUMMYFUNCTION("""COMPUTED_VALUE"""),"Пластиковые (линейные), Светильники общего назначения (LED), Накладные, Линейные (проходные), LED Светильники")</f>
        <v>Пластиковые (линейные), Светильники общего назначения (LED), Накладные, Линейные (проходные), LED Светильники</v>
      </c>
    </row>
    <row r="274">
      <c r="A274" s="5" t="str">
        <f>IFERROR(__xludf.DUMMYFUNCTION("""COMPUTED_VALUE"""),"4690612024165")</f>
        <v>4690612024165</v>
      </c>
      <c r="B274" s="5" t="str">
        <f>IFERROR(__xludf.DUMMYFUNCTION("""COMPUTED_VALUE"""),"LED-A70-VC 30Вт 230В Е27 6500К 2850Лм IN HOME")</f>
        <v>LED-A70-VC 30Вт 230В Е27 6500К 2850Лм IN HOME</v>
      </c>
      <c r="C274" s="2">
        <f>IFERROR(__xludf.DUMMYFUNCTION("""COMPUTED_VALUE"""),0.084)</f>
        <v>0.084</v>
      </c>
      <c r="D274" s="2">
        <f>IFERROR(__xludf.DUMMYFUNCTION("""COMPUTED_VALUE"""),8.0E-4)</f>
        <v>0.0008</v>
      </c>
      <c r="E274" s="2">
        <f>IFERROR(__xludf.DUMMYFUNCTION("""COMPUTED_VALUE"""),90.24)</f>
        <v>90.24</v>
      </c>
      <c r="F274" s="2">
        <f>IFERROR(__xludf.DUMMYFUNCTION("""COMPUTED_VALUE"""),83.0)</f>
        <v>83</v>
      </c>
      <c r="G274" s="2">
        <f>IFERROR(__xludf.DUMMYFUNCTION("""COMPUTED_VALUE"""),93.0)</f>
        <v>93</v>
      </c>
      <c r="H274" s="2">
        <f>IFERROR(__xludf.DUMMYFUNCTION("""COMPUTED_VALUE"""),108.0)</f>
        <v>108</v>
      </c>
      <c r="I274" s="2">
        <f>IFERROR(__xludf.DUMMYFUNCTION("""COMPUTED_VALUE"""),124.5)</f>
        <v>124.5</v>
      </c>
      <c r="J274" s="2">
        <f>IFERROR(__xludf.DUMMYFUNCTION("""COMPUTED_VALUE"""),62.0)</f>
        <v>62</v>
      </c>
      <c r="K274" s="2">
        <f>IFERROR(__xludf.DUMMYFUNCTION("""COMPUTED_VALUE"""),20.0)</f>
        <v>20</v>
      </c>
      <c r="L274" s="2" t="str">
        <f>IFERROR(__xludf.DUMMYFUNCTION("""COMPUTED_VALUE"""),"ASD лампы LED")</f>
        <v>ASD лампы LED</v>
      </c>
      <c r="M274" s="2" t="str">
        <f>IFERROR(__xludf.DUMMYFUNCTION("""COMPUTED_VALUE"""),"Лампы")</f>
        <v>Лампы</v>
      </c>
    </row>
    <row r="275">
      <c r="A275" s="5" t="str">
        <f>IFERROR(__xludf.DUMMYFUNCTION("""COMPUTED_VALUE"""),"4690612053004-2")</f>
        <v>4690612053004-2</v>
      </c>
      <c r="B275" s="5" t="str">
        <f>IFERROR(__xludf.DUMMYFUNCTION("""COMPUTED_VALUE"""),"ДВО-01 7565-ПРИЗМА 75Вт 6500К 180х1195х19 NEOX (2 штуки в упаковке)")</f>
        <v>ДВО-01 7565-ПРИЗМА 75Вт 6500К 180х1195х19 NEOX (2 штуки в упаковке)</v>
      </c>
      <c r="C275" s="2">
        <f>IFERROR(__xludf.DUMMYFUNCTION("""COMPUTED_VALUE"""),1.36)</f>
        <v>1.36</v>
      </c>
      <c r="D275" s="2">
        <f>IFERROR(__xludf.DUMMYFUNCTION("""COMPUTED_VALUE"""),0.0)</f>
        <v>0</v>
      </c>
      <c r="E275" s="2">
        <f>IFERROR(__xludf.DUMMYFUNCTION("""COMPUTED_VALUE"""),1524.65)</f>
        <v>1524.65</v>
      </c>
      <c r="F275" s="2">
        <f>IFERROR(__xludf.DUMMYFUNCTION("""COMPUTED_VALUE"""),1673.0)</f>
        <v>1673</v>
      </c>
      <c r="G275" s="2">
        <f>IFERROR(__xludf.DUMMYFUNCTION("""COMPUTED_VALUE"""),2195.0)</f>
        <v>2195</v>
      </c>
      <c r="H275" s="2">
        <f>IFERROR(__xludf.DUMMYFUNCTION("""COMPUTED_VALUE"""),2470.0)</f>
        <v>2470</v>
      </c>
      <c r="I275" s="2">
        <f>IFERROR(__xludf.DUMMYFUNCTION("""COMPUTED_VALUE"""),2744.0)</f>
        <v>2744</v>
      </c>
      <c r="J275" s="2">
        <f>IFERROR(__xludf.DUMMYFUNCTION("""COMPUTED_VALUE"""),1372.0)</f>
        <v>1372</v>
      </c>
      <c r="K275" s="2">
        <f>IFERROR(__xludf.DUMMYFUNCTION("""COMPUTED_VALUE"""),8.0)</f>
        <v>8</v>
      </c>
      <c r="L275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275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276">
      <c r="A276" s="5" t="str">
        <f>IFERROR(__xludf.DUMMYFUNCTION("""COMPUTED_VALUE"""),"4690612052991-2")</f>
        <v>4690612052991-2</v>
      </c>
      <c r="B276" s="5" t="str">
        <f>IFERROR(__xludf.DUMMYFUNCTION("""COMPUTED_VALUE"""),"ДВО-01 4565-ПРИЗМА 45Вт 6500К 180х1195х19 NEOX (2 штуки в упаковке)")</f>
        <v>ДВО-01 4565-ПРИЗМА 45Вт 6500К 180х1195х19 NEOX (2 штуки в упаковке)</v>
      </c>
      <c r="C276" s="2">
        <f>IFERROR(__xludf.DUMMYFUNCTION("""COMPUTED_VALUE"""),1.35)</f>
        <v>1.35</v>
      </c>
      <c r="D276" s="2">
        <f>IFERROR(__xludf.DUMMYFUNCTION("""COMPUTED_VALUE"""),0.0)</f>
        <v>0</v>
      </c>
      <c r="E276" s="2">
        <f>IFERROR(__xludf.DUMMYFUNCTION("""COMPUTED_VALUE"""),1356.93)</f>
        <v>1356.93</v>
      </c>
      <c r="F276" s="2">
        <f>IFERROR(__xludf.DUMMYFUNCTION("""COMPUTED_VALUE"""),1489.0)</f>
        <v>1489</v>
      </c>
      <c r="G276" s="2">
        <f>IFERROR(__xludf.DUMMYFUNCTION("""COMPUTED_VALUE"""),1954.0)</f>
        <v>1954</v>
      </c>
      <c r="H276" s="2">
        <f>IFERROR(__xludf.DUMMYFUNCTION("""COMPUTED_VALUE"""),2198.0)</f>
        <v>2198</v>
      </c>
      <c r="I276" s="2">
        <f>IFERROR(__xludf.DUMMYFUNCTION("""COMPUTED_VALUE"""),2442.0)</f>
        <v>2442</v>
      </c>
      <c r="J276" s="2">
        <f>IFERROR(__xludf.DUMMYFUNCTION("""COMPUTED_VALUE"""),1221.0)</f>
        <v>1221</v>
      </c>
      <c r="K276" s="2">
        <f>IFERROR(__xludf.DUMMYFUNCTION("""COMPUTED_VALUE"""),9.0)</f>
        <v>9</v>
      </c>
      <c r="L276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276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277">
      <c r="A277" s="5" t="str">
        <f>IFERROR(__xludf.DUMMYFUNCTION("""COMPUTED_VALUE"""),"4690626071285")</f>
        <v>4690626071285</v>
      </c>
      <c r="B277" s="5" t="str">
        <f>IFERROR(__xludf.DUMMYFUNCTION("""COMPUTED_VALUE"""),"Светодиодный (LED) прожектор FL ФИТО Smartbuy-50W/1300K/IP65 (SBL-FLFITO-50-65K)")</f>
        <v>Светодиодный (LED) прожектор FL ФИТО Smartbuy-50W/1300K/IP65 (SBL-FLFITO-50-65K)</v>
      </c>
      <c r="C277" s="2">
        <f>IFERROR(__xludf.DUMMYFUNCTION("""COMPUTED_VALUE"""),0.0)</f>
        <v>0</v>
      </c>
      <c r="D277" s="2">
        <f>IFERROR(__xludf.DUMMYFUNCTION("""COMPUTED_VALUE"""),0.0)</f>
        <v>0</v>
      </c>
      <c r="E277" s="2">
        <f>IFERROR(__xludf.DUMMYFUNCTION("""COMPUTED_VALUE"""),781.0)</f>
        <v>781</v>
      </c>
      <c r="F277" s="2">
        <f>IFERROR(__xludf.DUMMYFUNCTION("""COMPUTED_VALUE"""),848.0)</f>
        <v>848</v>
      </c>
      <c r="G277" s="2">
        <f>IFERROR(__xludf.DUMMYFUNCTION("""COMPUTED_VALUE"""),930.0)</f>
        <v>930</v>
      </c>
      <c r="H277" s="2">
        <f>IFERROR(__xludf.DUMMYFUNCTION("""COMPUTED_VALUE"""),1034.0)</f>
        <v>1034</v>
      </c>
      <c r="I277" s="2">
        <f>IFERROR(__xludf.DUMMYFUNCTION("""COMPUTED_VALUE"""),1137.0)</f>
        <v>1137</v>
      </c>
      <c r="J277" s="2">
        <f>IFERROR(__xludf.DUMMYFUNCTION("""COMPUTED_VALUE"""),569.0)</f>
        <v>569</v>
      </c>
      <c r="K277" s="2">
        <f>IFERROR(__xludf.DUMMYFUNCTION("""COMPUTED_VALUE"""),3.0)</f>
        <v>3</v>
      </c>
      <c r="L277" s="2" t="str">
        <f>IFERROR(__xludf.DUMMYFUNCTION("""COMPUTED_VALUE"""),"Smartbuy LED светильники")</f>
        <v>Smartbuy LED светильники</v>
      </c>
      <c r="M277" s="2" t="str">
        <f>IFERROR(__xludf.DUMMYFUNCTION("""COMPUTED_VALUE"""),"Фито светильники (для растений), LED Светильники")</f>
        <v>Фито светильники (для растений), LED Светильники</v>
      </c>
    </row>
    <row r="278">
      <c r="A278" s="5" t="str">
        <f>IFERROR(__xludf.DUMMYFUNCTION("""COMPUTED_VALUE"""),"14690612053018")</f>
        <v>14690612053018</v>
      </c>
      <c r="B278" s="5" t="str">
        <f>IFERROR(__xludf.DUMMYFUNCTION("""COMPUTED_VALUE"""),"ДВО-02-EMERGENCY 3640-ПРИЗМА 36Вт 4000К 595х595х19 NEOX без БАП-10W90 (4 шт в упак.)")</f>
        <v>ДВО-02-EMERGENCY 3640-ПРИЗМА 36Вт 4000К 595х595х19 NEOX без БАП-10W90 (4 шт в упак.)</v>
      </c>
      <c r="C278" s="2">
        <f>IFERROR(__xludf.DUMMYFUNCTION("""COMPUTED_VALUE"""),1.075)</f>
        <v>1.075</v>
      </c>
      <c r="D278" s="2">
        <f>IFERROR(__xludf.DUMMYFUNCTION("""COMPUTED_VALUE"""),0.0)</f>
        <v>0</v>
      </c>
      <c r="E278" s="2">
        <f>IFERROR(__xludf.DUMMYFUNCTION("""COMPUTED_VALUE"""),2137.18)</f>
        <v>2137.18</v>
      </c>
      <c r="F278" s="2">
        <f>IFERROR(__xludf.DUMMYFUNCTION("""COMPUTED_VALUE"""),2345.0)</f>
        <v>2345</v>
      </c>
      <c r="G278" s="2">
        <f>IFERROR(__xludf.DUMMYFUNCTION("""COMPUTED_VALUE"""),3078.0)</f>
        <v>3078</v>
      </c>
      <c r="H278" s="2">
        <f>IFERROR(__xludf.DUMMYFUNCTION("""COMPUTED_VALUE"""),3462.0)</f>
        <v>3462</v>
      </c>
      <c r="I278" s="2">
        <f>IFERROR(__xludf.DUMMYFUNCTION("""COMPUTED_VALUE"""),3847.0)</f>
        <v>3847</v>
      </c>
      <c r="J278" s="2">
        <f>IFERROR(__xludf.DUMMYFUNCTION("""COMPUTED_VALUE"""),1924.0)</f>
        <v>1924</v>
      </c>
      <c r="K278" s="2">
        <f>IFERROR(__xludf.DUMMYFUNCTION("""COMPUTED_VALUE"""),4.0)</f>
        <v>4</v>
      </c>
      <c r="L278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278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279">
      <c r="A279" s="5" t="str">
        <f>IFERROR(__xludf.DUMMYFUNCTION("""COMPUTED_VALUE"""),"12-5022-4")</f>
        <v>12-5022-4</v>
      </c>
      <c r="B279" s="5" t="str">
        <f>IFERROR(__xludf.DUMMYFUNCTION("""COMPUTED_VALUE"""),"Ящик пластиковый универсальный (двойной) 325х280х85 мм PROconnect")</f>
        <v>Ящик пластиковый универсальный (двойной) 325х280х85 мм PROconnect</v>
      </c>
      <c r="C279" s="2">
        <f>IFERROR(__xludf.DUMMYFUNCTION("""COMPUTED_VALUE"""),0.0)</f>
        <v>0</v>
      </c>
      <c r="D279" s="2">
        <f>IFERROR(__xludf.DUMMYFUNCTION("""COMPUTED_VALUE"""),0.0)</f>
        <v>0</v>
      </c>
      <c r="E279" s="2">
        <f>IFERROR(__xludf.DUMMYFUNCTION("""COMPUTED_VALUE"""),1.0)</f>
        <v>1</v>
      </c>
      <c r="F279" s="2">
        <f>IFERROR(__xludf.DUMMYFUNCTION("""COMPUTED_VALUE"""),880.0)</f>
        <v>880</v>
      </c>
      <c r="G279" s="2">
        <f>IFERROR(__xludf.DUMMYFUNCTION("""COMPUTED_VALUE"""),939.0)</f>
        <v>939</v>
      </c>
      <c r="H279" s="2">
        <f>IFERROR(__xludf.DUMMYFUNCTION("""COMPUTED_VALUE"""),1056.0)</f>
        <v>1056</v>
      </c>
      <c r="I279" s="2">
        <f>IFERROR(__xludf.DUMMYFUNCTION("""COMPUTED_VALUE"""),1173.85)</f>
        <v>1173.85</v>
      </c>
      <c r="J279" s="2">
        <f>IFERROR(__xludf.DUMMYFUNCTION("""COMPUTED_VALUE"""),587.0)</f>
        <v>587</v>
      </c>
      <c r="K279" s="2">
        <f>IFERROR(__xludf.DUMMYFUNCTION("""COMPUTED_VALUE"""),4.0)</f>
        <v>4</v>
      </c>
      <c r="L279" s="2" t="str">
        <f>IFERROR(__xludf.DUMMYFUNCTION("""COMPUTED_VALUE"""),"Rexant")</f>
        <v>Rexant</v>
      </c>
      <c r="M279" s="2" t="str">
        <f>IFERROR(__xludf.DUMMYFUNCTION("""COMPUTED_VALUE"""),"Прочие товары")</f>
        <v>Прочие товары</v>
      </c>
    </row>
    <row r="280">
      <c r="A280" s="5" t="str">
        <f>IFERROR(__xludf.DUMMYFUNCTION("""COMPUTED_VALUE"""),"4690612057286")</f>
        <v>4690612057286</v>
      </c>
      <c r="B280" s="5" t="str">
        <f>IFERROR(__xludf.DUMMYFUNCTION("""COMPUTED_VALUE"""),"ДВО-PRO 4065-ОПАЛ 40Вт 6500К 120лм/Вт CRI80 IP40 595х595х30мм NEOX")</f>
        <v>ДВО-PRO 4065-ОПАЛ 40Вт 6500К 120лм/Вт CRI80 IP40 595х595х30мм NEOX</v>
      </c>
      <c r="C280" s="2">
        <f>IFERROR(__xludf.DUMMYFUNCTION("""COMPUTED_VALUE"""),0.9750000000000001)</f>
        <v>0.975</v>
      </c>
      <c r="D280" s="2">
        <f>IFERROR(__xludf.DUMMYFUNCTION("""COMPUTED_VALUE"""),0.01625)</f>
        <v>0.01625</v>
      </c>
      <c r="E280" s="2">
        <f>IFERROR(__xludf.DUMMYFUNCTION("""COMPUTED_VALUE"""),874.5600000000001)</f>
        <v>874.56</v>
      </c>
      <c r="F280" s="2">
        <f>IFERROR(__xludf.DUMMYFUNCTION("""COMPUTED_VALUE"""),964.0)</f>
        <v>964</v>
      </c>
      <c r="G280" s="2">
        <f>IFERROR(__xludf.DUMMYFUNCTION("""COMPUTED_VALUE"""),1084.0)</f>
        <v>1084</v>
      </c>
      <c r="H280" s="2">
        <f>IFERROR(__xludf.DUMMYFUNCTION("""COMPUTED_VALUE"""),1257.0)</f>
        <v>1257</v>
      </c>
      <c r="I280" s="2">
        <f>IFERROR(__xludf.DUMMYFUNCTION("""COMPUTED_VALUE"""),1445.0)</f>
        <v>1445</v>
      </c>
      <c r="J280" s="2">
        <f>IFERROR(__xludf.DUMMYFUNCTION("""COMPUTED_VALUE"""),723.0)</f>
        <v>723</v>
      </c>
      <c r="K280" s="2">
        <f>IFERROR(__xludf.DUMMYFUNCTION("""COMPUTED_VALUE"""),9.0)</f>
        <v>9</v>
      </c>
      <c r="L280" s="2" t="str">
        <f>IFERROR(__xludf.DUMMYFUNCTION("""COMPUTED_VALUE"""),"NEOX Светильники LED ДВО")</f>
        <v>NEOX Светильники LED ДВО</v>
      </c>
      <c r="M280" s="2" t="str">
        <f>IFERROR(__xludf.DUMMYFUNCTION("""COMPUTED_VALUE"""),"С равномерной засветкой, С равномерной засветкой, LED Светильники")</f>
        <v>С равномерной засветкой, С равномерной засветкой, LED Светильники</v>
      </c>
    </row>
    <row r="281">
      <c r="A281" s="5" t="str">
        <f>IFERROR(__xludf.DUMMYFUNCTION("""COMPUTED_VALUE"""),"4690612031095")</f>
        <v>4690612031095</v>
      </c>
      <c r="B281" s="5" t="str">
        <f>IFERROR(__xludf.DUMMYFUNCTION("""COMPUTED_VALUE"""),"LED-HP-PRO 40Вт 230В Е27 с адаптером E40 4000К 3800Лм IN HOME")</f>
        <v>LED-HP-PRO 40Вт 230В Е27 с адаптером E40 4000К 3800Лм IN HOME</v>
      </c>
      <c r="C281" s="2">
        <f>IFERROR(__xludf.DUMMYFUNCTION("""COMPUTED_VALUE"""),0.2)</f>
        <v>0.2</v>
      </c>
      <c r="D281" s="2">
        <f>IFERROR(__xludf.DUMMYFUNCTION("""COMPUTED_VALUE"""),0.003)</f>
        <v>0.003</v>
      </c>
      <c r="E281" s="2">
        <f>IFERROR(__xludf.DUMMYFUNCTION("""COMPUTED_VALUE"""),165.6)</f>
        <v>165.6</v>
      </c>
      <c r="F281" s="2">
        <f>IFERROR(__xludf.DUMMYFUNCTION("""COMPUTED_VALUE"""),182.0)</f>
        <v>182</v>
      </c>
      <c r="G281" s="2">
        <f>IFERROR(__xludf.DUMMYFUNCTION("""COMPUTED_VALUE"""),205.0)</f>
        <v>205</v>
      </c>
      <c r="H281" s="2">
        <f>IFERROR(__xludf.DUMMYFUNCTION("""COMPUTED_VALUE"""),237.0)</f>
        <v>237</v>
      </c>
      <c r="I281" s="2">
        <f>IFERROR(__xludf.DUMMYFUNCTION("""COMPUTED_VALUE"""),273.3)</f>
        <v>273.3</v>
      </c>
      <c r="J281" s="2">
        <f>IFERROR(__xludf.DUMMYFUNCTION("""COMPUTED_VALUE"""),137.0)</f>
        <v>137</v>
      </c>
      <c r="K281" s="2">
        <f>IFERROR(__xludf.DUMMYFUNCTION("""COMPUTED_VALUE"""),18.0)</f>
        <v>18</v>
      </c>
      <c r="L281" s="2" t="str">
        <f>IFERROR(__xludf.DUMMYFUNCTION("""COMPUTED_VALUE"""),"Лампа светодиодная HP PRO")</f>
        <v>Лампа светодиодная HP PRO</v>
      </c>
      <c r="M281" s="2" t="str">
        <f>IFERROR(__xludf.DUMMYFUNCTION("""COMPUTED_VALUE"""),"Лампы")</f>
        <v>Лампы</v>
      </c>
    </row>
    <row r="282">
      <c r="A282" s="5" t="str">
        <f>IFERROR(__xludf.DUMMYFUNCTION("""COMPUTED_VALUE"""),"KR-2-45-250")</f>
        <v>KR-2-45-250</v>
      </c>
      <c r="B282" s="5" t="str">
        <f>IFERROR(__xludf.DUMMYFUNCTION("""COMPUTED_VALUE"""),"КР-2 кронштейн настенный / под монт. ленту D=45, L=250 (регул.)")</f>
        <v>КР-2 кронштейн настенный / под монт. ленту D=45, L=250 (регул.)</v>
      </c>
      <c r="C282" s="2">
        <f>IFERROR(__xludf.DUMMYFUNCTION("""COMPUTED_VALUE"""),1.0)</f>
        <v>1</v>
      </c>
      <c r="D282" s="2">
        <f>IFERROR(__xludf.DUMMYFUNCTION("""COMPUTED_VALUE"""),0.001)</f>
        <v>0.001</v>
      </c>
      <c r="E282" s="2">
        <f>IFERROR(__xludf.DUMMYFUNCTION("""COMPUTED_VALUE"""),230.54)</f>
        <v>230.54</v>
      </c>
      <c r="F282" s="2">
        <f>IFERROR(__xludf.DUMMYFUNCTION("""COMPUTED_VALUE"""),267.0)</f>
        <v>267</v>
      </c>
      <c r="G282" s="2">
        <f>IFERROR(__xludf.DUMMYFUNCTION("""COMPUTED_VALUE"""),293.0)</f>
        <v>293</v>
      </c>
      <c r="H282" s="2">
        <f>IFERROR(__xludf.DUMMYFUNCTION("""COMPUTED_VALUE"""),311.0)</f>
        <v>311</v>
      </c>
      <c r="I282" s="2">
        <f>IFERROR(__xludf.DUMMYFUNCTION("""COMPUTED_VALUE"""),346.0)</f>
        <v>346</v>
      </c>
      <c r="J282" s="2">
        <f>IFERROR(__xludf.DUMMYFUNCTION("""COMPUTED_VALUE"""),346.0)</f>
        <v>346</v>
      </c>
      <c r="K282" s="2">
        <f>IFERROR(__xludf.DUMMYFUNCTION("""COMPUTED_VALUE"""),312.0)</f>
        <v>312</v>
      </c>
      <c r="L282" s="2" t="str">
        <f>IFERROR(__xludf.DUMMYFUNCTION("""COMPUTED_VALUE"""),"Приставные, настенные, регулируемые")</f>
        <v>Приставные, настенные, регулируемые</v>
      </c>
      <c r="M282" s="2" t="str">
        <f>IFERROR(__xludf.DUMMYFUNCTION("""COMPUTED_VALUE"""),"Настенные, Прочие товары")</f>
        <v>Настенные, Прочие товары</v>
      </c>
    </row>
    <row r="283">
      <c r="A283" s="5" t="str">
        <f>IFERROR(__xludf.DUMMYFUNCTION("""COMPUTED_VALUE"""),"4690612031095-10")</f>
        <v>4690612031095-10</v>
      </c>
      <c r="B283" s="5" t="str">
        <f>IFERROR(__xludf.DUMMYFUNCTION("""COMPUTED_VALUE"""),"(10 шт) Лампа светодиодная LED-HP-PRO 40Вт 230В Е27 с адаптером E40 4000К 3800Лм IN HOME")</f>
        <v>(10 шт) Лампа светодиодная LED-HP-PRO 40Вт 230В Е27 с адаптером E40 4000К 3800Лм IN HOME</v>
      </c>
      <c r="C283" s="2">
        <f>IFERROR(__xludf.DUMMYFUNCTION("""COMPUTED_VALUE"""),0.2)</f>
        <v>0.2</v>
      </c>
      <c r="D283" s="2">
        <f>IFERROR(__xludf.DUMMYFUNCTION("""COMPUTED_VALUE"""),0.015)</f>
        <v>0.015</v>
      </c>
      <c r="E283" s="2">
        <f>IFERROR(__xludf.DUMMYFUNCTION("""COMPUTED_VALUE"""),1656.0)</f>
        <v>1656</v>
      </c>
      <c r="F283" s="2">
        <f>IFERROR(__xludf.DUMMYFUNCTION("""COMPUTED_VALUE"""),1817.0)</f>
        <v>1817</v>
      </c>
      <c r="G283" s="2">
        <f>IFERROR(__xludf.DUMMYFUNCTION("""COMPUTED_VALUE"""),2385.0)</f>
        <v>2385</v>
      </c>
      <c r="H283" s="2">
        <f>IFERROR(__xludf.DUMMYFUNCTION("""COMPUTED_VALUE"""),2683.0)</f>
        <v>2683</v>
      </c>
      <c r="I283" s="2">
        <f>IFERROR(__xludf.DUMMYFUNCTION("""COMPUTED_VALUE"""),2981.0)</f>
        <v>2981</v>
      </c>
      <c r="J283" s="2">
        <f>IFERROR(__xludf.DUMMYFUNCTION("""COMPUTED_VALUE"""),1491.0)</f>
        <v>1491</v>
      </c>
      <c r="K283" s="2">
        <f>IFERROR(__xludf.DUMMYFUNCTION("""COMPUTED_VALUE"""),1.0)</f>
        <v>1</v>
      </c>
      <c r="L283" s="2" t="str">
        <f>IFERROR(__xludf.DUMMYFUNCTION("""COMPUTED_VALUE"""),"Лампы производство, упаковка")</f>
        <v>Лампы производство, упаковка</v>
      </c>
      <c r="M283" s="2" t="str">
        <f>IFERROR(__xludf.DUMMYFUNCTION("""COMPUTED_VALUE"""),"Лампы")</f>
        <v>Лампы</v>
      </c>
    </row>
    <row r="284">
      <c r="A284" s="5" t="str">
        <f>IFERROR(__xludf.DUMMYFUNCTION("""COMPUTED_VALUE"""),"4690612034812")</f>
        <v>4690612034812</v>
      </c>
      <c r="B284" s="5" t="str">
        <f>IFERROR(__xludf.DUMMYFUNCTION("""COMPUTED_VALUE"""),"COMFORT GALAXY 75Вт 230В 3000-6500K 6000Лм 560x85мм с пультом ДУ IN HOME")</f>
        <v>COMFORT GALAXY 75Вт 230В 3000-6500K 6000Лм 560x85мм с пультом ДУ IN HOME</v>
      </c>
      <c r="C284" s="2">
        <f>IFERROR(__xludf.DUMMYFUNCTION("""COMPUTED_VALUE"""),1.9)</f>
        <v>1.9</v>
      </c>
      <c r="D284" s="2">
        <f>IFERROR(__xludf.DUMMYFUNCTION("""COMPUTED_VALUE"""),0.032)</f>
        <v>0.032</v>
      </c>
      <c r="E284" s="2">
        <f>IFERROR(__xludf.DUMMYFUNCTION("""COMPUTED_VALUE"""),1652.32)</f>
        <v>1652.32</v>
      </c>
      <c r="F284" s="2">
        <f>IFERROR(__xludf.DUMMYFUNCTION("""COMPUTED_VALUE"""),1579.0)</f>
        <v>1579</v>
      </c>
      <c r="G284" s="2">
        <f>IFERROR(__xludf.DUMMYFUNCTION("""COMPUTED_VALUE"""),1776.0)</f>
        <v>1776</v>
      </c>
      <c r="H284" s="2">
        <f>IFERROR(__xludf.DUMMYFUNCTION("""COMPUTED_VALUE"""),2060.0)</f>
        <v>2060</v>
      </c>
      <c r="I284" s="2">
        <f>IFERROR(__xludf.DUMMYFUNCTION("""COMPUTED_VALUE"""),2368.0)</f>
        <v>2368</v>
      </c>
      <c r="J284" s="2">
        <f>IFERROR(__xludf.DUMMYFUNCTION("""COMPUTED_VALUE"""),1184.0)</f>
        <v>1184</v>
      </c>
      <c r="K284" s="2">
        <f>IFERROR(__xludf.DUMMYFUNCTION("""COMPUTED_VALUE"""),1.0)</f>
        <v>1</v>
      </c>
      <c r="L284" s="2" t="str">
        <f>IFERROR(__xludf.DUMMYFUNCTION("""COMPUTED_VALUE"""),"Светильники светодиодные COMFORT")</f>
        <v>Светильники светодиодные COMFORT</v>
      </c>
      <c r="M284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285">
      <c r="A285" s="5" t="str">
        <f>IFERROR(__xludf.DUMMYFUNCTION("""COMPUTED_VALUE"""),"4690612064390-2")</f>
        <v>4690612064390-2</v>
      </c>
      <c r="B285" s="5" t="str">
        <f>IFERROR(__xludf.DUMMYFUNCTION("""COMPUTED_VALUE"""),"ДВО-PRO 7540-ОПАЛ 75Вт 4000К 100лм/Вт CRI80 IP40 595х595х30мм NEOX (2 шт в упак.)")</f>
        <v>ДВО-PRO 7540-ОПАЛ 75Вт 4000К 100лм/Вт CRI80 IP40 595х595х30мм NEOX (2 шт в упак.)</v>
      </c>
      <c r="C285" s="2">
        <f>IFERROR(__xludf.DUMMYFUNCTION("""COMPUTED_VALUE"""),0.0)</f>
        <v>0</v>
      </c>
      <c r="D285" s="2">
        <f>IFERROR(__xludf.DUMMYFUNCTION("""COMPUTED_VALUE"""),0.0)</f>
        <v>0</v>
      </c>
      <c r="E285" s="2">
        <f>IFERROR(__xludf.DUMMYFUNCTION("""COMPUTED_VALUE"""),2031.9)</f>
        <v>2031.9</v>
      </c>
      <c r="F285" s="2">
        <f>IFERROR(__xludf.DUMMYFUNCTION("""COMPUTED_VALUE"""),2229.0)</f>
        <v>2229</v>
      </c>
      <c r="G285" s="2">
        <f>IFERROR(__xludf.DUMMYFUNCTION("""COMPUTED_VALUE"""),2926.0)</f>
        <v>2926</v>
      </c>
      <c r="H285" s="2">
        <f>IFERROR(__xludf.DUMMYFUNCTION("""COMPUTED_VALUE"""),3291.0)</f>
        <v>3291</v>
      </c>
      <c r="I285" s="2">
        <f>IFERROR(__xludf.DUMMYFUNCTION("""COMPUTED_VALUE"""),3657.0)</f>
        <v>3657</v>
      </c>
      <c r="J285" s="2">
        <f>IFERROR(__xludf.DUMMYFUNCTION("""COMPUTED_VALUE"""),1829.0)</f>
        <v>1829</v>
      </c>
      <c r="K285" s="2">
        <f>IFERROR(__xludf.DUMMYFUNCTION("""COMPUTED_VALUE"""),10.0)</f>
        <v>10</v>
      </c>
      <c r="L285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285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286">
      <c r="A286" s="5" t="str">
        <f>IFERROR(__xludf.DUMMYFUNCTION("""COMPUTED_VALUE"""),"4690612023441-10")</f>
        <v>4690612023441-10</v>
      </c>
      <c r="B286" s="5" t="str">
        <f>IFERROR(__xludf.DUMMYFUNCTION("""COMPUTED_VALUE"""),"10 шт. Лампа LED-JCDRC-VC 8Вт 230В GU10 4000К 720Лм IN HOME (Комплект 10 шт)")</f>
        <v>10 шт. Лампа LED-JCDRC-VC 8Вт 230В GU10 4000К 720Лм IN HOME (Комплект 10 шт)</v>
      </c>
      <c r="C286" s="2">
        <f>IFERROR(__xludf.DUMMYFUNCTION("""COMPUTED_VALUE"""),0.04)</f>
        <v>0.04</v>
      </c>
      <c r="D286" s="2">
        <f>IFERROR(__xludf.DUMMYFUNCTION("""COMPUTED_VALUE"""),0.0021)</f>
        <v>0.0021</v>
      </c>
      <c r="E286" s="2">
        <f>IFERROR(__xludf.DUMMYFUNCTION("""COMPUTED_VALUE"""),330.0)</f>
        <v>330</v>
      </c>
      <c r="F286" s="2">
        <f>IFERROR(__xludf.DUMMYFUNCTION("""COMPUTED_VALUE"""),362.0)</f>
        <v>362</v>
      </c>
      <c r="G286" s="2">
        <f>IFERROR(__xludf.DUMMYFUNCTION("""COMPUTED_VALUE"""),475.0)</f>
        <v>475</v>
      </c>
      <c r="H286" s="2">
        <f>IFERROR(__xludf.DUMMYFUNCTION("""COMPUTED_VALUE"""),535.0)</f>
        <v>535</v>
      </c>
      <c r="I286" s="2">
        <f>IFERROR(__xludf.DUMMYFUNCTION("""COMPUTED_VALUE"""),594.0)</f>
        <v>594</v>
      </c>
      <c r="J286" s="2">
        <f>IFERROR(__xludf.DUMMYFUNCTION("""COMPUTED_VALUE"""),297.0)</f>
        <v>297</v>
      </c>
      <c r="K286" s="2">
        <f>IFERROR(__xludf.DUMMYFUNCTION("""COMPUTED_VALUE"""),12.0)</f>
        <v>12</v>
      </c>
      <c r="L286" s="2" t="str">
        <f>IFERROR(__xludf.DUMMYFUNCTION("""COMPUTED_VALUE"""),"Лампы производство, упаковка")</f>
        <v>Лампы производство, упаковка</v>
      </c>
      <c r="M286" s="2" t="str">
        <f>IFERROR(__xludf.DUMMYFUNCTION("""COMPUTED_VALUE"""),"Лампы")</f>
        <v>Лампы</v>
      </c>
    </row>
    <row r="287">
      <c r="A287" s="5" t="str">
        <f>IFERROR(__xludf.DUMMYFUNCTION("""COMPUTED_VALUE"""),"V9029")</f>
        <v>V9029</v>
      </c>
      <c r="B287" s="5" t="str">
        <f>IFERROR(__xludf.DUMMYFUNCTION("""COMPUTED_VALUE"""),"VRN-UNE-96-G40K67-U, 96Вт, Универсальный")</f>
        <v>VRN-UNE-96-G40K67-U, 96Вт, Универсальный</v>
      </c>
      <c r="C287" s="2">
        <f>IFERROR(__xludf.DUMMYFUNCTION("""COMPUTED_VALUE"""),2.05)</f>
        <v>2.05</v>
      </c>
      <c r="D287" s="2">
        <f>IFERROR(__xludf.DUMMYFUNCTION("""COMPUTED_VALUE"""),0.00902)</f>
        <v>0.00902</v>
      </c>
      <c r="E287" s="2">
        <f>IFERROR(__xludf.DUMMYFUNCTION("""COMPUTED_VALUE"""),3701.43)</f>
        <v>3701.43</v>
      </c>
      <c r="F287" s="2">
        <f>IFERROR(__xludf.DUMMYFUNCTION("""COMPUTED_VALUE"""),4165.0)</f>
        <v>4165</v>
      </c>
      <c r="G287" s="2">
        <f>IFERROR(__xludf.DUMMYFUNCTION("""COMPUTED_VALUE"""),5415.0)</f>
        <v>5415</v>
      </c>
      <c r="H287" s="2">
        <f>IFERROR(__xludf.DUMMYFUNCTION("""COMPUTED_VALUE"""),5685.0)</f>
        <v>5685</v>
      </c>
      <c r="I287" s="2">
        <f>IFERROR(__xludf.DUMMYFUNCTION("""COMPUTED_VALUE"""),5956.0)</f>
        <v>5956</v>
      </c>
      <c r="J287" s="2">
        <f>IFERROR(__xludf.DUMMYFUNCTION("""COMPUTED_VALUE"""),5956.0)</f>
        <v>5956</v>
      </c>
      <c r="K287" s="2">
        <f>IFERROR(__xludf.DUMMYFUNCTION("""COMPUTED_VALUE"""),66.0)</f>
        <v>66</v>
      </c>
      <c r="L287" s="2" t="str">
        <f>IFERROR(__xludf.DUMMYFUNCTION("""COMPUTED_VALUE"""),"Универсал Эконом")</f>
        <v>Универсал Эконом</v>
      </c>
      <c r="M287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288">
      <c r="A288" s="5" t="str">
        <f>IFERROR(__xludf.DUMMYFUNCTION("""COMPUTED_VALUE"""),"Fefco/0201-6")</f>
        <v>Fefco/0201-6</v>
      </c>
      <c r="B288" s="5" t="str">
        <f>IFERROR(__xludf.DUMMYFUNCTION("""COMPUTED_VALUE"""),"Короб 400х380х270 (картон Т-24 ""В"" бурый)")</f>
        <v>Короб 400х380х270 (картон Т-24 "В" бурый)</v>
      </c>
      <c r="C288" s="2">
        <f>IFERROR(__xludf.DUMMYFUNCTION("""COMPUTED_VALUE"""),0.0)</f>
        <v>0</v>
      </c>
      <c r="D288" s="2">
        <f>IFERROR(__xludf.DUMMYFUNCTION("""COMPUTED_VALUE"""),0.0)</f>
        <v>0</v>
      </c>
      <c r="E288" s="2">
        <f>IFERROR(__xludf.DUMMYFUNCTION("""COMPUTED_VALUE"""),104.0)</f>
        <v>104</v>
      </c>
      <c r="F288" s="2">
        <f>IFERROR(__xludf.DUMMYFUNCTION("""COMPUTED_VALUE"""),1.0)</f>
        <v>1</v>
      </c>
      <c r="G288" s="2">
        <f>IFERROR(__xludf.DUMMYFUNCTION("""COMPUTED_VALUE"""),1.0)</f>
        <v>1</v>
      </c>
      <c r="H288" s="2">
        <f>IFERROR(__xludf.DUMMYFUNCTION("""COMPUTED_VALUE"""),1.0)</f>
        <v>1</v>
      </c>
      <c r="I288" s="2">
        <f>IFERROR(__xludf.DUMMYFUNCTION("""COMPUTED_VALUE"""),1.5)</f>
        <v>1.5</v>
      </c>
      <c r="J288" s="2">
        <f>IFERROR(__xludf.DUMMYFUNCTION("""COMPUTED_VALUE"""),1.5)</f>
        <v>1.5</v>
      </c>
      <c r="K288" s="2">
        <f>IFERROR(__xludf.DUMMYFUNCTION("""COMPUTED_VALUE"""),80.0)</f>
        <v>80</v>
      </c>
      <c r="L288" s="2" t="str">
        <f>IFERROR(__xludf.DUMMYFUNCTION("""COMPUTED_VALUE"""),"Упаковка")</f>
        <v>Упаковка</v>
      </c>
      <c r="M288" s="2" t="str">
        <f>IFERROR(__xludf.DUMMYFUNCTION("""COMPUTED_VALUE"""),"Прочие товары")</f>
        <v>Прочие товары</v>
      </c>
    </row>
    <row r="289">
      <c r="A289" s="5" t="str">
        <f>IFERROR(__xludf.DUMMYFUNCTION("""COMPUTED_VALUE"""),"4690612004860")</f>
        <v>4690612004860</v>
      </c>
      <c r="B289" s="5" t="str">
        <f>IFERROR(__xludf.DUMMYFUNCTION("""COMPUTED_VALUE"""),"RLP-eco 0842 8Вт 160-260В 4000К 640Лм 120/105мм алюминий IP40 ASD")</f>
        <v>RLP-eco 0842 8Вт 160-260В 4000К 640Лм 120/105мм алюминий IP40 ASD</v>
      </c>
      <c r="C289" s="2">
        <f>IFERROR(__xludf.DUMMYFUNCTION("""COMPUTED_VALUE"""),0.1038)</f>
        <v>0.1038</v>
      </c>
      <c r="D289" s="2">
        <f>IFERROR(__xludf.DUMMYFUNCTION("""COMPUTED_VALUE"""),8.200000000000001E-4)</f>
        <v>0.00082</v>
      </c>
      <c r="E289" s="2">
        <f>IFERROR(__xludf.DUMMYFUNCTION("""COMPUTED_VALUE"""),186.11)</f>
        <v>186.11</v>
      </c>
      <c r="F289" s="2">
        <f>IFERROR(__xludf.DUMMYFUNCTION("""COMPUTED_VALUE"""),1.0)</f>
        <v>1</v>
      </c>
      <c r="G289" s="2">
        <f>IFERROR(__xludf.DUMMYFUNCTION("""COMPUTED_VALUE"""),1.0)</f>
        <v>1</v>
      </c>
      <c r="H289" s="2">
        <f>IFERROR(__xludf.DUMMYFUNCTION("""COMPUTED_VALUE"""),1.0)</f>
        <v>1</v>
      </c>
      <c r="I289" s="2">
        <f>IFERROR(__xludf.DUMMYFUNCTION("""COMPUTED_VALUE"""),1.0)</f>
        <v>1</v>
      </c>
      <c r="J289" s="2">
        <f>IFERROR(__xludf.DUMMYFUNCTION("""COMPUTED_VALUE"""),1.0)</f>
        <v>1</v>
      </c>
      <c r="K289" s="2">
        <f>IFERROR(__xludf.DUMMYFUNCTION("""COMPUTED_VALUE"""),1.0)</f>
        <v>1</v>
      </c>
      <c r="L289" s="2" t="str">
        <f>IFERROR(__xludf.DUMMYFUNCTION("""COMPUTED_VALUE"""),"Панели светодиодные круглые встраиваемые RLP")</f>
        <v>Панели светодиодные круглые встраиваемые RLP</v>
      </c>
      <c r="M289" s="2" t="str">
        <f>IFERROR(__xludf.DUMMYFUNCTION("""COMPUTED_VALUE"""),"Встраиваемые, Точечные круглые Downlight, LED Светильники")</f>
        <v>Встраиваемые, Точечные круглые Downlight, LED Светильники</v>
      </c>
    </row>
    <row r="290">
      <c r="A290" s="5" t="str">
        <f>IFERROR(__xludf.DUMMYFUNCTION("""COMPUTED_VALUE"""),"4260708178135")</f>
        <v>4260708178135</v>
      </c>
      <c r="B290" s="5" t="str">
        <f>IFERROR(__xludf.DUMMYFUNCTION("""COMPUTED_VALUE"""),"WLD-50W/01-12V")</f>
        <v>WLD-50W/01-12V</v>
      </c>
      <c r="C290" s="2">
        <f>IFERROR(__xludf.DUMMYFUNCTION("""COMPUTED_VALUE"""),0.078)</f>
        <v>0.078</v>
      </c>
      <c r="D290" s="2">
        <f>IFERROR(__xludf.DUMMYFUNCTION("""COMPUTED_VALUE"""),0.0201)</f>
        <v>0.0201</v>
      </c>
      <c r="E290" s="2">
        <f>IFERROR(__xludf.DUMMYFUNCTION("""COMPUTED_VALUE"""),324.63)</f>
        <v>324.63</v>
      </c>
      <c r="F290" s="2">
        <f>IFERROR(__xludf.DUMMYFUNCTION("""COMPUTED_VALUE"""),464.0)</f>
        <v>464</v>
      </c>
      <c r="G290" s="2">
        <f>IFERROR(__xludf.DUMMYFUNCTION("""COMPUTED_VALUE"""),480.0)</f>
        <v>480</v>
      </c>
      <c r="H290" s="2">
        <f>IFERROR(__xludf.DUMMYFUNCTION("""COMPUTED_VALUE"""),629.0)</f>
        <v>629</v>
      </c>
      <c r="I290" s="2">
        <f>IFERROR(__xludf.DUMMYFUNCTION("""COMPUTED_VALUE"""),786.0)</f>
        <v>786</v>
      </c>
      <c r="J290" s="2">
        <f>IFERROR(__xludf.DUMMYFUNCTION("""COMPUTED_VALUE"""),393.0)</f>
        <v>393</v>
      </c>
      <c r="K290" s="2">
        <f>IFERROR(__xludf.DUMMYFUNCTION("""COMPUTED_VALUE"""),2.0)</f>
        <v>2</v>
      </c>
      <c r="L290" s="2" t="str">
        <f>IFERROR(__xludf.DUMMYFUNCTION("""COMPUTED_VALUE"""),"Светодиодная лента")</f>
        <v>Светодиодная лента</v>
      </c>
      <c r="M290" s="2" t="str">
        <f>IFERROR(__xludf.DUMMYFUNCTION("""COMPUTED_VALUE"""),"Светодиодная лента, Прочие товары")</f>
        <v>Светодиодная лента, Прочие товары</v>
      </c>
    </row>
    <row r="291">
      <c r="A291" s="5" t="str">
        <f>IFERROR(__xludf.DUMMYFUNCTION("""COMPUTED_VALUE"""),"4690612057279-2")</f>
        <v>4690612057279-2</v>
      </c>
      <c r="B291" s="5" t="str">
        <f>IFERROR(__xludf.DUMMYFUNCTION("""COMPUTED_VALUE"""),"ДВО-PRO 4040-ОПАЛ 40Вт 4000К 120лм/Вт CRI80 IP40 595х595х30мм NEOX (2 шт в упак.)")</f>
        <v>ДВО-PRO 4040-ОПАЛ 40Вт 4000К 120лм/Вт CRI80 IP40 595х595х30мм NEOX (2 шт в упак.)</v>
      </c>
      <c r="C291" s="2">
        <f>IFERROR(__xludf.DUMMYFUNCTION("""COMPUTED_VALUE"""),0.0)</f>
        <v>0</v>
      </c>
      <c r="D291" s="2">
        <f>IFERROR(__xludf.DUMMYFUNCTION("""COMPUTED_VALUE"""),0.0)</f>
        <v>0</v>
      </c>
      <c r="E291" s="2">
        <f>IFERROR(__xludf.DUMMYFUNCTION("""COMPUTED_VALUE"""),1478.72)</f>
        <v>1478.72</v>
      </c>
      <c r="F291" s="2">
        <f>IFERROR(__xludf.DUMMYFUNCTION("""COMPUTED_VALUE"""),1622.0)</f>
        <v>1622</v>
      </c>
      <c r="G291" s="2">
        <f>IFERROR(__xludf.DUMMYFUNCTION("""COMPUTED_VALUE"""),2130.0)</f>
        <v>2130</v>
      </c>
      <c r="H291" s="2">
        <f>IFERROR(__xludf.DUMMYFUNCTION("""COMPUTED_VALUE"""),2396.0)</f>
        <v>2396</v>
      </c>
      <c r="I291" s="2">
        <f>IFERROR(__xludf.DUMMYFUNCTION("""COMPUTED_VALUE"""),2662.0)</f>
        <v>2662</v>
      </c>
      <c r="J291" s="2">
        <f>IFERROR(__xludf.DUMMYFUNCTION("""COMPUTED_VALUE"""),1331.0)</f>
        <v>1331</v>
      </c>
      <c r="K291" s="2">
        <f>IFERROR(__xludf.DUMMYFUNCTION("""COMPUTED_VALUE"""),18.0)</f>
        <v>18</v>
      </c>
      <c r="L291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291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292">
      <c r="A292" s="5" t="str">
        <f>IFERROR(__xludf.DUMMYFUNCTION("""COMPUTED_VALUE"""),"GL51101")</f>
        <v>GL51101</v>
      </c>
      <c r="B292" s="5" t="str">
        <f>IFERROR(__xludf.DUMMYFUNCTION("""COMPUTED_VALUE"""),"GLERIO Practical 32 Вт 5000К 6A-32D-5U+")</f>
        <v>GLERIO Practical 32 Вт 5000К 6A-32D-5U+</v>
      </c>
      <c r="C292" s="2">
        <f>IFERROR(__xludf.DUMMYFUNCTION("""COMPUTED_VALUE"""),0.8)</f>
        <v>0.8</v>
      </c>
      <c r="D292" s="2">
        <f>IFERROR(__xludf.DUMMYFUNCTION("""COMPUTED_VALUE"""),0.00204)</f>
        <v>0.00204</v>
      </c>
      <c r="E292" s="2">
        <f>IFERROR(__xludf.DUMMYFUNCTION("""COMPUTED_VALUE"""),1396.8)</f>
        <v>1396.8</v>
      </c>
      <c r="F292" s="2">
        <f>IFERROR(__xludf.DUMMYFUNCTION("""COMPUTED_VALUE"""),1600.0)</f>
        <v>1600</v>
      </c>
      <c r="G292" s="2">
        <f>IFERROR(__xludf.DUMMYFUNCTION("""COMPUTED_VALUE"""),2000.0)</f>
        <v>2000</v>
      </c>
      <c r="H292" s="2">
        <f>IFERROR(__xludf.DUMMYFUNCTION("""COMPUTED_VALUE"""),2250.0)</f>
        <v>2250</v>
      </c>
      <c r="I292" s="2">
        <f>IFERROR(__xludf.DUMMYFUNCTION("""COMPUTED_VALUE"""),2500.0)</f>
        <v>2500</v>
      </c>
      <c r="J292" s="2">
        <f>IFERROR(__xludf.DUMMYFUNCTION("""COMPUTED_VALUE"""),2500.0)</f>
        <v>2500</v>
      </c>
      <c r="K292" s="2">
        <f>IFERROR(__xludf.DUMMYFUNCTION("""COMPUTED_VALUE"""),15.0)</f>
        <v>15</v>
      </c>
      <c r="L292" s="2" t="str">
        <f>IFERROR(__xludf.DUMMYFUNCTION("""COMPUTED_VALUE"""),"Practical+ Уличные GLERIO")</f>
        <v>Practical+ Уличные GLERIO</v>
      </c>
      <c r="M292" s="2" t="str">
        <f>IFERROR(__xludf.DUMMYFUNCTION("""COMPUTED_VALUE"""),"Для обычных дорог, LED Светильники")</f>
        <v>Для обычных дорог, LED Светильники</v>
      </c>
    </row>
    <row r="293">
      <c r="A293" s="5" t="str">
        <f>IFERROR(__xludf.DUMMYFUNCTION("""COMPUTED_VALUE"""),"4690612031118")</f>
        <v>4690612031118</v>
      </c>
      <c r="B293" s="5" t="str">
        <f>IFERROR(__xludf.DUMMYFUNCTION("""COMPUTED_VALUE"""),"LED-HP-PRO 50Вт 230В Е27 с адаптером E40 4000К 4750Лм IN HOME")</f>
        <v>LED-HP-PRO 50Вт 230В Е27 с адаптером E40 4000К 4750Лм IN HOME</v>
      </c>
      <c r="C293" s="2">
        <f>IFERROR(__xludf.DUMMYFUNCTION("""COMPUTED_VALUE"""),0.24)</f>
        <v>0.24</v>
      </c>
      <c r="D293" s="2">
        <f>IFERROR(__xludf.DUMMYFUNCTION("""COMPUTED_VALUE"""),0.0038)</f>
        <v>0.0038</v>
      </c>
      <c r="E293" s="2">
        <f>IFERROR(__xludf.DUMMYFUNCTION("""COMPUTED_VALUE"""),215.4)</f>
        <v>215.4</v>
      </c>
      <c r="F293" s="2">
        <f>IFERROR(__xludf.DUMMYFUNCTION("""COMPUTED_VALUE"""),255.0)</f>
        <v>255</v>
      </c>
      <c r="G293" s="2">
        <f>IFERROR(__xludf.DUMMYFUNCTION("""COMPUTED_VALUE"""),287.0)</f>
        <v>287</v>
      </c>
      <c r="H293" s="2">
        <f>IFERROR(__xludf.DUMMYFUNCTION("""COMPUTED_VALUE"""),333.0)</f>
        <v>333</v>
      </c>
      <c r="I293" s="2">
        <f>IFERROR(__xludf.DUMMYFUNCTION("""COMPUTED_VALUE"""),383.3)</f>
        <v>383.3</v>
      </c>
      <c r="J293" s="2">
        <f>IFERROR(__xludf.DUMMYFUNCTION("""COMPUTED_VALUE"""),192.0)</f>
        <v>192</v>
      </c>
      <c r="K293" s="2">
        <f>IFERROR(__xludf.DUMMYFUNCTION("""COMPUTED_VALUE"""),5.0)</f>
        <v>5</v>
      </c>
      <c r="L293" s="2" t="str">
        <f>IFERROR(__xludf.DUMMYFUNCTION("""COMPUTED_VALUE"""),"Лампа светодиодная HP PRO")</f>
        <v>Лампа светодиодная HP PRO</v>
      </c>
      <c r="M293" s="2" t="str">
        <f>IFERROR(__xludf.DUMMYFUNCTION("""COMPUTED_VALUE"""),"Лампы")</f>
        <v>Лампы</v>
      </c>
    </row>
    <row r="294">
      <c r="A294" s="5" t="str">
        <f>IFERROR(__xludf.DUMMYFUNCTION("""COMPUTED_VALUE"""),"V9019")</f>
        <v>V9019</v>
      </c>
      <c r="B294" s="5" t="str">
        <f>IFERROR(__xludf.DUMMYFUNCTION("""COMPUTED_VALUE"""),"VRN-UNE-80-G40K67-U, 80Вт, Универсальный")</f>
        <v>VRN-UNE-80-G40K67-U, 80Вт, Универсальный</v>
      </c>
      <c r="C294" s="2">
        <f>IFERROR(__xludf.DUMMYFUNCTION("""COMPUTED_VALUE"""),0.148)</f>
        <v>0.148</v>
      </c>
      <c r="D294" s="2">
        <f>IFERROR(__xludf.DUMMYFUNCTION("""COMPUTED_VALUE"""),0.00805)</f>
        <v>0.00805</v>
      </c>
      <c r="E294" s="2">
        <f>IFERROR(__xludf.DUMMYFUNCTION("""COMPUTED_VALUE"""),3381.62)</f>
        <v>3381.62</v>
      </c>
      <c r="F294" s="2">
        <f>IFERROR(__xludf.DUMMYFUNCTION("""COMPUTED_VALUE"""),3925.0)</f>
        <v>3925</v>
      </c>
      <c r="G294" s="2">
        <f>IFERROR(__xludf.DUMMYFUNCTION("""COMPUTED_VALUE"""),5103.0)</f>
        <v>5103</v>
      </c>
      <c r="H294" s="2">
        <f>IFERROR(__xludf.DUMMYFUNCTION("""COMPUTED_VALUE"""),5358.0)</f>
        <v>5358</v>
      </c>
      <c r="I294" s="2">
        <f>IFERROR(__xludf.DUMMYFUNCTION("""COMPUTED_VALUE"""),5613.0)</f>
        <v>5613</v>
      </c>
      <c r="J294" s="2">
        <f>IFERROR(__xludf.DUMMYFUNCTION("""COMPUTED_VALUE"""),5358.0)</f>
        <v>5358</v>
      </c>
      <c r="K294" s="2">
        <f>IFERROR(__xludf.DUMMYFUNCTION("""COMPUTED_VALUE"""),107.0)</f>
        <v>107</v>
      </c>
      <c r="L294" s="2" t="str">
        <f>IFERROR(__xludf.DUMMYFUNCTION("""COMPUTED_VALUE"""),"Универсал Эконом")</f>
        <v>Универсал Эконом</v>
      </c>
      <c r="M294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295">
      <c r="A295" s="5" t="str">
        <f>IFERROR(__xludf.DUMMYFUNCTION("""COMPUTED_VALUE"""),"4690612009032")</f>
        <v>4690612009032</v>
      </c>
      <c r="B295" s="5" t="str">
        <f>IFERROR(__xludf.DUMMYFUNCTION("""COMPUTED_VALUE"""),"4242 Вилка прямая 10А черная IN HOME")</f>
        <v>4242 Вилка прямая 10А черная IN HOME</v>
      </c>
      <c r="C295" s="2">
        <f>IFERROR(__xludf.DUMMYFUNCTION("""COMPUTED_VALUE"""),0.02)</f>
        <v>0.02</v>
      </c>
      <c r="D295" s="2">
        <f>IFERROR(__xludf.DUMMYFUNCTION("""COMPUTED_VALUE"""),1.0E-4)</f>
        <v>0.0001</v>
      </c>
      <c r="E295" s="2">
        <f>IFERROR(__xludf.DUMMYFUNCTION("""COMPUTED_VALUE"""),59.34)</f>
        <v>59.34</v>
      </c>
      <c r="F295" s="2">
        <f>IFERROR(__xludf.DUMMYFUNCTION("""COMPUTED_VALUE"""),40.0)</f>
        <v>40</v>
      </c>
      <c r="G295" s="2">
        <f>IFERROR(__xludf.DUMMYFUNCTION("""COMPUTED_VALUE"""),45.0)</f>
        <v>45</v>
      </c>
      <c r="H295" s="2">
        <f>IFERROR(__xludf.DUMMYFUNCTION("""COMPUTED_VALUE"""),52.0)</f>
        <v>52</v>
      </c>
      <c r="I295" s="2">
        <f>IFERROR(__xludf.DUMMYFUNCTION("""COMPUTED_VALUE"""),59.0)</f>
        <v>59</v>
      </c>
      <c r="J295" s="2">
        <f>IFERROR(__xludf.DUMMYFUNCTION("""COMPUTED_VALUE"""),30.0)</f>
        <v>30</v>
      </c>
      <c r="K295" s="2">
        <f>IFERROR(__xludf.DUMMYFUNCTION("""COMPUTED_VALUE"""),2.0)</f>
        <v>2</v>
      </c>
      <c r="L295" s="2" t="str">
        <f>IFERROR(__xludf.DUMMYFUNCTION("""COMPUTED_VALUE"""),"Розетки, вилки и колодки")</f>
        <v>Розетки, вилки и колодки</v>
      </c>
      <c r="M295" s="2" t="str">
        <f>IFERROR(__xludf.DUMMYFUNCTION("""COMPUTED_VALUE"""),"Прочие товары")</f>
        <v>Прочие товары</v>
      </c>
    </row>
    <row r="296">
      <c r="A296" s="5" t="str">
        <f>IFERROR(__xludf.DUMMYFUNCTION("""COMPUTED_VALUE"""),"4690612020570")</f>
        <v>4690612020570</v>
      </c>
      <c r="B296" s="5" t="str">
        <f>IFERROR(__xludf.DUMMYFUNCTION("""COMPUTED_VALUE"""),"LED-ШАР-VC 8Вт 230В Е27 4000К 760Лм IN HOME")</f>
        <v>LED-ШАР-VC 8Вт 230В Е27 4000К 760Лм IN HOME</v>
      </c>
      <c r="C296" s="2">
        <f>IFERROR(__xludf.DUMMYFUNCTION("""COMPUTED_VALUE"""),0.031)</f>
        <v>0.031</v>
      </c>
      <c r="D296" s="2">
        <f>IFERROR(__xludf.DUMMYFUNCTION("""COMPUTED_VALUE"""),2.3E-4)</f>
        <v>0.00023</v>
      </c>
      <c r="E296" s="2">
        <f>IFERROR(__xludf.DUMMYFUNCTION("""COMPUTED_VALUE"""),39.0)</f>
        <v>39</v>
      </c>
      <c r="F296" s="2">
        <f>IFERROR(__xludf.DUMMYFUNCTION("""COMPUTED_VALUE"""),45.0)</f>
        <v>45</v>
      </c>
      <c r="G296" s="2">
        <f>IFERROR(__xludf.DUMMYFUNCTION("""COMPUTED_VALUE"""),50.0)</f>
        <v>50</v>
      </c>
      <c r="H296" s="2">
        <f>IFERROR(__xludf.DUMMYFUNCTION("""COMPUTED_VALUE"""),58.0)</f>
        <v>58</v>
      </c>
      <c r="I296" s="2">
        <f>IFERROR(__xludf.DUMMYFUNCTION("""COMPUTED_VALUE"""),67.6)</f>
        <v>67.6</v>
      </c>
      <c r="J296" s="2">
        <f>IFERROR(__xludf.DUMMYFUNCTION("""COMPUTED_VALUE"""),34.0)</f>
        <v>34</v>
      </c>
      <c r="K296" s="2">
        <f>IFERROR(__xludf.DUMMYFUNCTION("""COMPUTED_VALUE"""),2.0)</f>
        <v>2</v>
      </c>
      <c r="L296" s="2" t="str">
        <f>IFERROR(__xludf.DUMMYFUNCTION("""COMPUTED_VALUE"""),"Лампа светодиодная LED-ШАР-standard")</f>
        <v>Лампа светодиодная LED-ШАР-standard</v>
      </c>
      <c r="M296" s="2" t="str">
        <f>IFERROR(__xludf.DUMMYFUNCTION("""COMPUTED_VALUE"""),"Лампы")</f>
        <v>Лампы</v>
      </c>
    </row>
    <row r="297">
      <c r="A297" s="5" t="str">
        <f>IFERROR(__xludf.DUMMYFUNCTION("""COMPUTED_VALUE"""),"4690612020778")</f>
        <v>4690612020778</v>
      </c>
      <c r="B297" s="5" t="str">
        <f>IFERROR(__xludf.DUMMYFUNCTION("""COMPUTED_VALUE"""),"LED-GX53-VC 10Вт 230В 6500К 950Лм IN HOME")</f>
        <v>LED-GX53-VC 10Вт 230В 6500К 950Лм IN HOME</v>
      </c>
      <c r="C297" s="2">
        <f>IFERROR(__xludf.DUMMYFUNCTION("""COMPUTED_VALUE"""),0.03700000000000001)</f>
        <v>0.037</v>
      </c>
      <c r="D297" s="2">
        <f>IFERROR(__xludf.DUMMYFUNCTION("""COMPUTED_VALUE"""),2.1E-4)</f>
        <v>0.00021</v>
      </c>
      <c r="E297" s="2">
        <f>IFERROR(__xludf.DUMMYFUNCTION("""COMPUTED_VALUE"""),37.8)</f>
        <v>37.8</v>
      </c>
      <c r="F297" s="2">
        <f>IFERROR(__xludf.DUMMYFUNCTION("""COMPUTED_VALUE"""),45.0)</f>
        <v>45</v>
      </c>
      <c r="G297" s="2">
        <f>IFERROR(__xludf.DUMMYFUNCTION("""COMPUTED_VALUE"""),50.0)</f>
        <v>50</v>
      </c>
      <c r="H297" s="2">
        <f>IFERROR(__xludf.DUMMYFUNCTION("""COMPUTED_VALUE"""),58.0)</f>
        <v>58</v>
      </c>
      <c r="I297" s="2">
        <f>IFERROR(__xludf.DUMMYFUNCTION("""COMPUTED_VALUE"""),67.7)</f>
        <v>67.7</v>
      </c>
      <c r="J297" s="2">
        <f>IFERROR(__xludf.DUMMYFUNCTION("""COMPUTED_VALUE"""),34.0)</f>
        <v>34</v>
      </c>
      <c r="K297" s="2">
        <f>IFERROR(__xludf.DUMMYFUNCTION("""COMPUTED_VALUE"""),65.0)</f>
        <v>65</v>
      </c>
      <c r="L297" s="2" t="str">
        <f>IFERROR(__xludf.DUMMYFUNCTION("""COMPUTED_VALUE"""),"Лампа светодиодная LED-GX53-standard")</f>
        <v>Лампа светодиодная LED-GX53-standard</v>
      </c>
      <c r="M297" s="2" t="str">
        <f>IFERROR(__xludf.DUMMYFUNCTION("""COMPUTED_VALUE"""),"Лампы")</f>
        <v>Лампы</v>
      </c>
    </row>
    <row r="298">
      <c r="A298" s="5" t="str">
        <f>IFERROR(__xludf.DUMMYFUNCTION("""COMPUTED_VALUE"""),"4690612035673-10")</f>
        <v>4690612035673-10</v>
      </c>
      <c r="B298" s="5" t="str">
        <f>IFERROR(__xludf.DUMMYFUNCTION("""COMPUTED_VALUE"""),"10 шт. Лампа LED-ST64-deco gold 11Вт 230В Е27 3000К 1160Лм золотистая IN HOME (Комплект 10 шт)")</f>
        <v>10 шт. Лампа LED-ST64-deco gold 11Вт 230В Е27 3000К 1160Лм золотистая IN HOME (Комплект 10 шт)</v>
      </c>
      <c r="C298" s="2">
        <f>IFERROR(__xludf.DUMMYFUNCTION("""COMPUTED_VALUE"""),0.22)</f>
        <v>0.22</v>
      </c>
      <c r="D298" s="2">
        <f>IFERROR(__xludf.DUMMYFUNCTION("""COMPUTED_VALUE"""),0.004)</f>
        <v>0.004</v>
      </c>
      <c r="E298" s="2">
        <f>IFERROR(__xludf.DUMMYFUNCTION("""COMPUTED_VALUE"""),1462.1)</f>
        <v>1462.1</v>
      </c>
      <c r="F298" s="2">
        <f>IFERROR(__xludf.DUMMYFUNCTION("""COMPUTED_VALUE"""),1604.0)</f>
        <v>1604</v>
      </c>
      <c r="G298" s="2">
        <f>IFERROR(__xludf.DUMMYFUNCTION("""COMPUTED_VALUE"""),2106.0)</f>
        <v>2106</v>
      </c>
      <c r="H298" s="2">
        <f>IFERROR(__xludf.DUMMYFUNCTION("""COMPUTED_VALUE"""),2369.0)</f>
        <v>2369</v>
      </c>
      <c r="I298" s="2">
        <f>IFERROR(__xludf.DUMMYFUNCTION("""COMPUTED_VALUE"""),2632.0)</f>
        <v>2632</v>
      </c>
      <c r="J298" s="2">
        <f>IFERROR(__xludf.DUMMYFUNCTION("""COMPUTED_VALUE"""),1316.0)</f>
        <v>1316</v>
      </c>
      <c r="K298" s="2">
        <f>IFERROR(__xludf.DUMMYFUNCTION("""COMPUTED_VALUE"""),1.0)</f>
        <v>1</v>
      </c>
      <c r="L298" s="2" t="str">
        <f>IFERROR(__xludf.DUMMYFUNCTION("""COMPUTED_VALUE"""),"Лампы производство, упаковка")</f>
        <v>Лампы производство, упаковка</v>
      </c>
      <c r="M298" s="2" t="str">
        <f>IFERROR(__xludf.DUMMYFUNCTION("""COMPUTED_VALUE"""),"Лампы")</f>
        <v>Лампы</v>
      </c>
    </row>
    <row r="299">
      <c r="A299" s="5" t="str">
        <f>IFERROR(__xludf.DUMMYFUNCTION("""COMPUTED_VALUE"""),"GL8110")</f>
        <v>GL8110</v>
      </c>
      <c r="B299" s="5" t="str">
        <f>IFERROR(__xludf.DUMMYFUNCTION("""COMPUTED_VALUE"""),"GLERIO Office Casual 24 Вт 4000К 81P-24D-4V-M")</f>
        <v>GLERIO Office Casual 24 Вт 4000К 81P-24D-4V-M</v>
      </c>
      <c r="C299" s="2">
        <f>IFERROR(__xludf.DUMMYFUNCTION("""COMPUTED_VALUE"""),1.04)</f>
        <v>1.04</v>
      </c>
      <c r="D299" s="2">
        <f>IFERROR(__xludf.DUMMYFUNCTION("""COMPUTED_VALUE"""),0.008190000000000001)</f>
        <v>0.00819</v>
      </c>
      <c r="E299" s="2">
        <f>IFERROR(__xludf.DUMMYFUNCTION("""COMPUTED_VALUE"""),1464.7)</f>
        <v>1464.7</v>
      </c>
      <c r="F299" s="2">
        <f>IFERROR(__xludf.DUMMYFUNCTION("""COMPUTED_VALUE"""),1700.0)</f>
        <v>1700</v>
      </c>
      <c r="G299" s="2">
        <f>IFERROR(__xludf.DUMMYFUNCTION("""COMPUTED_VALUE"""),2140.0)</f>
        <v>2140</v>
      </c>
      <c r="H299" s="2">
        <f>IFERROR(__xludf.DUMMYFUNCTION("""COMPUTED_VALUE"""),2404.0)</f>
        <v>2404</v>
      </c>
      <c r="I299" s="2">
        <f>IFERROR(__xludf.DUMMYFUNCTION("""COMPUTED_VALUE"""),2667.0)</f>
        <v>2667</v>
      </c>
      <c r="J299" s="2">
        <f>IFERROR(__xludf.DUMMYFUNCTION("""COMPUTED_VALUE"""),2404.0)</f>
        <v>2404</v>
      </c>
      <c r="K299" s="2">
        <f>IFERROR(__xludf.DUMMYFUNCTION("""COMPUTED_VALUE"""),30.0)</f>
        <v>30</v>
      </c>
      <c r="L299" s="2" t="str">
        <f>IFERROR(__xludf.DUMMYFUNCTION("""COMPUTED_VALUE"""),"Office Casual (Офис) до 10.2025")</f>
        <v>Office Casual (Офис) до 10.2025</v>
      </c>
      <c r="M299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300">
      <c r="A300" s="5" t="str">
        <f>IFERROR(__xludf.DUMMYFUNCTION("""COMPUTED_VALUE"""),"4690612055350")</f>
        <v>4690612055350</v>
      </c>
      <c r="B300" s="5" t="str">
        <f>IFERROR(__xludf.DUMMYFUNCTION("""COMPUTED_VALUE"""),"ДПО-108 ОПАЛ 48Вт 4000К 1200мм IP40 NEOX")</f>
        <v>ДПО-108 ОПАЛ 48Вт 4000К 1200мм IP40 NEOX</v>
      </c>
      <c r="C300" s="2">
        <f>IFERROR(__xludf.DUMMYFUNCTION("""COMPUTED_VALUE"""),0.325)</f>
        <v>0.325</v>
      </c>
      <c r="D300" s="2">
        <f>IFERROR(__xludf.DUMMYFUNCTION("""COMPUTED_VALUE"""),0.0025)</f>
        <v>0.0025</v>
      </c>
      <c r="E300" s="2">
        <f>IFERROR(__xludf.DUMMYFUNCTION("""COMPUTED_VALUE"""),290.13)</f>
        <v>290.13</v>
      </c>
      <c r="F300" s="2">
        <f>IFERROR(__xludf.DUMMYFUNCTION("""COMPUTED_VALUE"""),379.0)</f>
        <v>379</v>
      </c>
      <c r="G300" s="2">
        <f>IFERROR(__xludf.DUMMYFUNCTION("""COMPUTED_VALUE"""),427.0)</f>
        <v>427</v>
      </c>
      <c r="H300" s="2">
        <f>IFERROR(__xludf.DUMMYFUNCTION("""COMPUTED_VALUE"""),495.0)</f>
        <v>495</v>
      </c>
      <c r="I300" s="2">
        <f>IFERROR(__xludf.DUMMYFUNCTION("""COMPUTED_VALUE"""),569.0)</f>
        <v>569</v>
      </c>
      <c r="J300" s="2">
        <f>IFERROR(__xludf.DUMMYFUNCTION("""COMPUTED_VALUE"""),285.0)</f>
        <v>285</v>
      </c>
      <c r="K300" s="2">
        <f>IFERROR(__xludf.DUMMYFUNCTION("""COMPUTED_VALUE"""),20.0)</f>
        <v>20</v>
      </c>
      <c r="L300" s="2" t="str">
        <f>IFERROR(__xludf.DUMMYFUNCTION("""COMPUTED_VALUE"""),"NEOX Светильники LED ДПО")</f>
        <v>NEOX Светильники LED ДПО</v>
      </c>
      <c r="M300" s="2" t="str">
        <f>IFERROR(__xludf.DUMMYFUNCTION("""COMPUTED_VALUE"""),"Накладные, LED Светильники")</f>
        <v>Накладные, LED Светильники</v>
      </c>
    </row>
    <row r="301">
      <c r="A301" s="5" t="str">
        <f>IFERROR(__xludf.DUMMYFUNCTION("""COMPUTED_VALUE"""),"4690612035673")</f>
        <v>4690612035673</v>
      </c>
      <c r="B301" s="5" t="str">
        <f>IFERROR(__xludf.DUMMYFUNCTION("""COMPUTED_VALUE"""),"LED-ST64-deco gold 11Вт 230В Е27 3000К 1160Лм золотистая IN HOME")</f>
        <v>LED-ST64-deco gold 11Вт 230В Е27 3000К 1160Лм золотистая IN HOME</v>
      </c>
      <c r="C301" s="2">
        <f>IFERROR(__xludf.DUMMYFUNCTION("""COMPUTED_VALUE"""),0.044)</f>
        <v>0.044</v>
      </c>
      <c r="D301" s="2">
        <f>IFERROR(__xludf.DUMMYFUNCTION("""COMPUTED_VALUE"""),8.0E-4)</f>
        <v>0.0008</v>
      </c>
      <c r="E301" s="2">
        <f>IFERROR(__xludf.DUMMYFUNCTION("""COMPUTED_VALUE"""),146.21)</f>
        <v>146.21</v>
      </c>
      <c r="F301" s="2">
        <f>IFERROR(__xludf.DUMMYFUNCTION("""COMPUTED_VALUE"""),159.0)</f>
        <v>159</v>
      </c>
      <c r="G301" s="2">
        <f>IFERROR(__xludf.DUMMYFUNCTION("""COMPUTED_VALUE"""),179.0)</f>
        <v>179</v>
      </c>
      <c r="H301" s="2">
        <f>IFERROR(__xludf.DUMMYFUNCTION("""COMPUTED_VALUE"""),207.0)</f>
        <v>207</v>
      </c>
      <c r="I301" s="2">
        <f>IFERROR(__xludf.DUMMYFUNCTION("""COMPUTED_VALUE"""),238.5)</f>
        <v>238.5</v>
      </c>
      <c r="J301" s="2">
        <f>IFERROR(__xludf.DUMMYFUNCTION("""COMPUTED_VALUE"""),119.0)</f>
        <v>119</v>
      </c>
      <c r="K301" s="2">
        <f>IFERROR(__xludf.DUMMYFUNCTION("""COMPUTED_VALUE"""),8.0)</f>
        <v>8</v>
      </c>
      <c r="L301" s="2" t="str">
        <f>IFERROR(__xludf.DUMMYFUNCTION("""COMPUTED_VALUE"""),"Лампа светодиодная LED-ST64-DECO золотистая")</f>
        <v>Лампа светодиодная LED-ST64-DECO золотистая</v>
      </c>
      <c r="M301" s="2" t="str">
        <f>IFERROR(__xludf.DUMMYFUNCTION("""COMPUTED_VALUE"""),"Лампы")</f>
        <v>Лампы</v>
      </c>
    </row>
    <row r="302">
      <c r="A302" s="5" t="str">
        <f>IFERROR(__xludf.DUMMYFUNCTION("""COMPUTED_VALUE"""),"4690612038179")</f>
        <v>4690612038179</v>
      </c>
      <c r="B302" s="5" t="str">
        <f>IFERROR(__xludf.DUMMYFUNCTION("""COMPUTED_VALUE"""),"ДВО-02 3665-ПРИЗМА 36Вт 230В 6500К 4020Лм 110Лм/Вт 595х595х19 NEOX")</f>
        <v>ДВО-02 3665-ПРИЗМА 36Вт 230В 6500К 4020Лм 110Лм/Вт 595х595х19 NEOX</v>
      </c>
      <c r="C302" s="2">
        <f>IFERROR(__xludf.DUMMYFUNCTION("""COMPUTED_VALUE"""),4.500010000000001)</f>
        <v>4.50001</v>
      </c>
      <c r="D302" s="2">
        <f>IFERROR(__xludf.DUMMYFUNCTION("""COMPUTED_VALUE"""),0.032)</f>
        <v>0.032</v>
      </c>
      <c r="E302" s="2">
        <f>IFERROR(__xludf.DUMMYFUNCTION("""COMPUTED_VALUE"""),481.53)</f>
        <v>481.53</v>
      </c>
      <c r="F302" s="2">
        <f>IFERROR(__xludf.DUMMYFUNCTION("""COMPUTED_VALUE"""),567.0)</f>
        <v>567</v>
      </c>
      <c r="G302" s="2">
        <f>IFERROR(__xludf.DUMMYFUNCTION("""COMPUTED_VALUE"""),638.0)</f>
        <v>638</v>
      </c>
      <c r="H302" s="2">
        <f>IFERROR(__xludf.DUMMYFUNCTION("""COMPUTED_VALUE"""),740.0)</f>
        <v>740</v>
      </c>
      <c r="I302" s="2">
        <f>IFERROR(__xludf.DUMMYFUNCTION("""COMPUTED_VALUE"""),850.0)</f>
        <v>850</v>
      </c>
      <c r="J302" s="2">
        <f>IFERROR(__xludf.DUMMYFUNCTION("""COMPUTED_VALUE"""),638.0)</f>
        <v>638</v>
      </c>
      <c r="K302" s="2">
        <f>IFERROR(__xludf.DUMMYFUNCTION("""COMPUTED_VALUE"""),1.0)</f>
        <v>1</v>
      </c>
      <c r="L302" s="2" t="str">
        <f>IFERROR(__xludf.DUMMYFUNCTION("""COMPUTED_VALUE"""),"NEOX Светильники LED ДВО")</f>
        <v>NEOX Светильники LED ДВО</v>
      </c>
      <c r="M302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303">
      <c r="A303" s="5" t="str">
        <f>IFERROR(__xludf.DUMMYFUNCTION("""COMPUTED_VALUE"""),"601-268")</f>
        <v>601-268</v>
      </c>
      <c r="B303" s="5" t="str">
        <f>IFERROR(__xludf.DUMMYFUNCTION("""COMPUTED_VALUE"""),"проектор LED «Звезды» 220 В NEONNIGHT NEONNIGHT NEON-NIGHT 601-268")</f>
        <v>проектор LED «Звезды» 220 В NEONNIGHT NEONNIGHT NEON-NIGHT 601-268</v>
      </c>
      <c r="C303" s="2">
        <f>IFERROR(__xludf.DUMMYFUNCTION("""COMPUTED_VALUE"""),0.0)</f>
        <v>0</v>
      </c>
      <c r="D303" s="2">
        <f>IFERROR(__xludf.DUMMYFUNCTION("""COMPUTED_VALUE"""),0.0)</f>
        <v>0</v>
      </c>
      <c r="E303" s="2">
        <f>IFERROR(__xludf.DUMMYFUNCTION("""COMPUTED_VALUE"""),1.0)</f>
        <v>1</v>
      </c>
      <c r="F303" s="2">
        <f>IFERROR(__xludf.DUMMYFUNCTION("""COMPUTED_VALUE"""),2554.0)</f>
        <v>2554</v>
      </c>
      <c r="G303" s="2">
        <f>IFERROR(__xludf.DUMMYFUNCTION("""COMPUTED_VALUE"""),2725.0)</f>
        <v>2725</v>
      </c>
      <c r="H303" s="2">
        <f>IFERROR(__xludf.DUMMYFUNCTION("""COMPUTED_VALUE"""),3065.0)</f>
        <v>3065</v>
      </c>
      <c r="I303" s="2">
        <f>IFERROR(__xludf.DUMMYFUNCTION("""COMPUTED_VALUE"""),3405.98)</f>
        <v>3405.98</v>
      </c>
      <c r="J303" s="2">
        <f>IFERROR(__xludf.DUMMYFUNCTION("""COMPUTED_VALUE"""),1703.0)</f>
        <v>1703</v>
      </c>
      <c r="K303" s="2">
        <f>IFERROR(__xludf.DUMMYFUNCTION("""COMPUTED_VALUE"""),2.0)</f>
        <v>2</v>
      </c>
      <c r="L303" s="2" t="str">
        <f>IFERROR(__xludf.DUMMYFUNCTION("""COMPUTED_VALUE"""),"Rexant")</f>
        <v>Rexant</v>
      </c>
      <c r="M303" s="2" t="str">
        <f>IFERROR(__xludf.DUMMYFUNCTION("""COMPUTED_VALUE"""),"Прочие товары")</f>
        <v>Прочие товары</v>
      </c>
    </row>
    <row r="304">
      <c r="A304" s="5" t="str">
        <f>IFERROR(__xludf.DUMMYFUNCTION("""COMPUTED_VALUE"""),"15367")</f>
        <v>15367</v>
      </c>
      <c r="B304" s="5" t="str">
        <f>IFERROR(__xludf.DUMMYFUNCTION("""COMPUTED_VALUE"""),"TLR01 OL 9Вт 1070лм")</f>
        <v>TLR01 OL 9Вт 1070лм</v>
      </c>
      <c r="C304" s="2">
        <f>IFERROR(__xludf.DUMMYFUNCTION("""COMPUTED_VALUE"""),0.6000000000000001)</f>
        <v>0.6</v>
      </c>
      <c r="D304" s="2">
        <f>IFERROR(__xludf.DUMMYFUNCTION("""COMPUTED_VALUE"""),0.00602)</f>
        <v>0.00602</v>
      </c>
      <c r="E304" s="2">
        <f>IFERROR(__xludf.DUMMYFUNCTION("""COMPUTED_VALUE"""),1581.42)</f>
        <v>1581.42</v>
      </c>
      <c r="F304" s="2">
        <f>IFERROR(__xludf.DUMMYFUNCTION("""COMPUTED_VALUE"""),2276.0)</f>
        <v>2276</v>
      </c>
      <c r="G304" s="2">
        <f>IFERROR(__xludf.DUMMYFUNCTION("""COMPUTED_VALUE"""),2569.0)</f>
        <v>2569</v>
      </c>
      <c r="H304" s="2">
        <f>IFERROR(__xludf.DUMMYFUNCTION("""COMPUTED_VALUE"""),2628.0)</f>
        <v>2628</v>
      </c>
      <c r="I304" s="2">
        <f>IFERROR(__xludf.DUMMYFUNCTION("""COMPUTED_VALUE"""),3205.0)</f>
        <v>3205</v>
      </c>
      <c r="J304" s="2">
        <f>IFERROR(__xludf.DUMMYFUNCTION("""COMPUTED_VALUE"""),1603.0)</f>
        <v>1603</v>
      </c>
      <c r="K304" s="2">
        <f>IFERROR(__xludf.DUMMYFUNCTION("""COMPUTED_VALUE"""),1.0)</f>
        <v>1</v>
      </c>
      <c r="L304" s="2" t="str">
        <f>IFERROR(__xludf.DUMMYFUNCTION("""COMPUTED_VALUE"""),"Технолюкс Светильники LED TLR")</f>
        <v>Технолюкс Светильники LED TLR</v>
      </c>
      <c r="M304" s="2" t="str">
        <f>IFERROR(__xludf.DUMMYFUNCTION("""COMPUTED_VALUE"""),"Для ЖКХ, дома, дачи, LED Светильники")</f>
        <v>Для ЖКХ, дома, дачи, LED Светильники</v>
      </c>
    </row>
    <row r="305">
      <c r="A305" s="5" t="str">
        <f>IFERROR(__xludf.DUMMYFUNCTION("""COMPUTED_VALUE"""),"4690612020785")</f>
        <v>4690612020785</v>
      </c>
      <c r="B305" s="5" t="str">
        <f>IFERROR(__xludf.DUMMYFUNCTION("""COMPUTED_VALUE"""),"LED-GX53-VC 12Вт 230В 3000К 1140Лм IN HOME")</f>
        <v>LED-GX53-VC 12Вт 230В 3000К 1140Лм IN HOME</v>
      </c>
      <c r="C305" s="2">
        <f>IFERROR(__xludf.DUMMYFUNCTION("""COMPUTED_VALUE"""),0.03800000000000001)</f>
        <v>0.038</v>
      </c>
      <c r="D305" s="2">
        <f>IFERROR(__xludf.DUMMYFUNCTION("""COMPUTED_VALUE"""),2.1E-4)</f>
        <v>0.00021</v>
      </c>
      <c r="E305" s="2">
        <f>IFERROR(__xludf.DUMMYFUNCTION("""COMPUTED_VALUE"""),41.08)</f>
        <v>41.08</v>
      </c>
      <c r="F305" s="2">
        <f>IFERROR(__xludf.DUMMYFUNCTION("""COMPUTED_VALUE"""),48.0)</f>
        <v>48</v>
      </c>
      <c r="G305" s="2">
        <f>IFERROR(__xludf.DUMMYFUNCTION("""COMPUTED_VALUE"""),54.0)</f>
        <v>54</v>
      </c>
      <c r="H305" s="2">
        <f>IFERROR(__xludf.DUMMYFUNCTION("""COMPUTED_VALUE"""),62.0)</f>
        <v>62</v>
      </c>
      <c r="I305" s="2">
        <f>IFERROR(__xludf.DUMMYFUNCTION("""COMPUTED_VALUE"""),71.9)</f>
        <v>71.9</v>
      </c>
      <c r="J305" s="2">
        <f>IFERROR(__xludf.DUMMYFUNCTION("""COMPUTED_VALUE"""),36.0)</f>
        <v>36</v>
      </c>
      <c r="K305" s="2">
        <f>IFERROR(__xludf.DUMMYFUNCTION("""COMPUTED_VALUE"""),68.0)</f>
        <v>68</v>
      </c>
      <c r="L305" s="2" t="str">
        <f>IFERROR(__xludf.DUMMYFUNCTION("""COMPUTED_VALUE"""),"Лампа светодиодная LED-GX53-standard")</f>
        <v>Лампа светодиодная LED-GX53-standard</v>
      </c>
      <c r="M305" s="2" t="str">
        <f>IFERROR(__xludf.DUMMYFUNCTION("""COMPUTED_VALUE"""),"Лампы")</f>
        <v>Лампы</v>
      </c>
    </row>
    <row r="306">
      <c r="A306" s="5" t="str">
        <f>IFERROR(__xludf.DUMMYFUNCTION("""COMPUTED_VALUE"""),"GL815191")</f>
        <v>GL815191</v>
      </c>
      <c r="B306" s="5" t="str">
        <f>IFERROR(__xludf.DUMMYFUNCTION("""COMPUTED_VALUE"""),"GLERIO Office Special 40 Вт 4000K 82P-40D-4G-P")</f>
        <v>GLERIO Office Special 40 Вт 4000K 82P-40D-4G-P</v>
      </c>
      <c r="C306" s="2">
        <f>IFERROR(__xludf.DUMMYFUNCTION("""COMPUTED_VALUE"""),1.14)</f>
        <v>1.14</v>
      </c>
      <c r="D306" s="2">
        <f>IFERROR(__xludf.DUMMYFUNCTION("""COMPUTED_VALUE"""),0.008190000000000001)</f>
        <v>0.00819</v>
      </c>
      <c r="E306" s="2">
        <f>IFERROR(__xludf.DUMMYFUNCTION("""COMPUTED_VALUE"""),2366.8)</f>
        <v>2366.8</v>
      </c>
      <c r="F306" s="2">
        <f>IFERROR(__xludf.DUMMYFUNCTION("""COMPUTED_VALUE"""),2730.0)</f>
        <v>2730</v>
      </c>
      <c r="G306" s="2">
        <f>IFERROR(__xludf.DUMMYFUNCTION("""COMPUTED_VALUE"""),3437.0)</f>
        <v>3437</v>
      </c>
      <c r="H306" s="2">
        <f>IFERROR(__xludf.DUMMYFUNCTION("""COMPUTED_VALUE"""),3860.0)</f>
        <v>3860</v>
      </c>
      <c r="I306" s="2">
        <f>IFERROR(__xludf.DUMMYFUNCTION("""COMPUTED_VALUE"""),4283.0)</f>
        <v>4283</v>
      </c>
      <c r="J306" s="2">
        <f>IFERROR(__xludf.DUMMYFUNCTION("""COMPUTED_VALUE"""),2142.0)</f>
        <v>2142</v>
      </c>
      <c r="K306" s="2">
        <f>IFERROR(__xludf.DUMMYFUNCTION("""COMPUTED_VALUE"""),15.0)</f>
        <v>15</v>
      </c>
      <c r="L306" s="2" t="str">
        <f>IFERROR(__xludf.DUMMYFUNCTION("""COMPUTED_VALUE"""),"Office Special+ GLERIO (Офис Премиум)")</f>
        <v>Office Special+ GLERIO (Офис Премиум)</v>
      </c>
      <c r="M306" s="2" t="str">
        <f>IFERROR(__xludf.DUMMYFUNCTION("""COMPUTED_VALUE"""),"С равномерной засветкой, LED Светильники")</f>
        <v>С равномерной засветкой, LED Светильники</v>
      </c>
    </row>
    <row r="307">
      <c r="A307" s="5" t="str">
        <f>IFERROR(__xludf.DUMMYFUNCTION("""COMPUTED_VALUE"""),"15268")</f>
        <v>15268</v>
      </c>
      <c r="B307" s="5" t="str">
        <f>IFERROR(__xludf.DUMMYFUNCTION("""COMPUTED_VALUE"""),"TLK04 OL 8Вт 750лм")</f>
        <v>TLK04 OL 8Вт 750лм</v>
      </c>
      <c r="C307" s="2">
        <f>IFERROR(__xludf.DUMMYFUNCTION("""COMPUTED_VALUE"""),0.9)</f>
        <v>0.9</v>
      </c>
      <c r="D307" s="2">
        <f>IFERROR(__xludf.DUMMYFUNCTION("""COMPUTED_VALUE"""),0.00958)</f>
        <v>0.00958</v>
      </c>
      <c r="E307" s="2">
        <f>IFERROR(__xludf.DUMMYFUNCTION("""COMPUTED_VALUE"""),1.12)</f>
        <v>1.12</v>
      </c>
      <c r="F307" s="2">
        <f>IFERROR(__xludf.DUMMYFUNCTION("""COMPUTED_VALUE"""),1299.0)</f>
        <v>1299</v>
      </c>
      <c r="G307" s="2">
        <f>IFERROR(__xludf.DUMMYFUNCTION("""COMPUTED_VALUE"""),1467.0)</f>
        <v>1467</v>
      </c>
      <c r="H307" s="2">
        <f>IFERROR(__xludf.DUMMYFUNCTION("""COMPUTED_VALUE"""),1501.0)</f>
        <v>1501</v>
      </c>
      <c r="I307" s="2">
        <f>IFERROR(__xludf.DUMMYFUNCTION("""COMPUTED_VALUE"""),1830.0)</f>
        <v>1830</v>
      </c>
      <c r="J307" s="2">
        <f>IFERROR(__xludf.DUMMYFUNCTION("""COMPUTED_VALUE"""),915.0)</f>
        <v>915</v>
      </c>
      <c r="K307" s="2">
        <f>IFERROR(__xludf.DUMMYFUNCTION("""COMPUTED_VALUE"""),1.0)</f>
        <v>1</v>
      </c>
      <c r="L307" s="2" t="str">
        <f>IFERROR(__xludf.DUMMYFUNCTION("""COMPUTED_VALUE"""),"Технолюкс Светильники LED TLK")</f>
        <v>Технолюкс Светильники LED TLK</v>
      </c>
      <c r="M307" s="2" t="str">
        <f>IFERROR(__xludf.DUMMYFUNCTION("""COMPUTED_VALUE"""),"Для ЖКХ, дома, дачи, LED Светильники")</f>
        <v>Для ЖКХ, дома, дачи, LED Светильники</v>
      </c>
    </row>
    <row r="308">
      <c r="A308" s="5" t="str">
        <f>IFERROR(__xludf.DUMMYFUNCTION("""COMPUTED_VALUE"""),"4690612035802")</f>
        <v>4690612035802</v>
      </c>
      <c r="B308" s="5" t="str">
        <f>IFERROR(__xludf.DUMMYFUNCTION("""COMPUTED_VALUE"""),"GEO RAINBOW 120Вт 230В 3000-6500К 8400Лм 500x50мм с пультом ДУ IN HOME")</f>
        <v>GEO RAINBOW 120Вт 230В 3000-6500К 8400Лм 500x50мм с пультом ДУ IN HOME</v>
      </c>
      <c r="C308" s="2">
        <f>IFERROR(__xludf.DUMMYFUNCTION("""COMPUTED_VALUE"""),3.3)</f>
        <v>3.3</v>
      </c>
      <c r="D308" s="2">
        <f>IFERROR(__xludf.DUMMYFUNCTION("""COMPUTED_VALUE"""),0.022)</f>
        <v>0.022</v>
      </c>
      <c r="E308" s="2">
        <f>IFERROR(__xludf.DUMMYFUNCTION("""COMPUTED_VALUE"""),3195.14)</f>
        <v>3195.14</v>
      </c>
      <c r="F308" s="2">
        <f>IFERROR(__xludf.DUMMYFUNCTION("""COMPUTED_VALUE"""),3267.0)</f>
        <v>3267</v>
      </c>
      <c r="G308" s="2">
        <f>IFERROR(__xludf.DUMMYFUNCTION("""COMPUTED_VALUE"""),3675.0)</f>
        <v>3675</v>
      </c>
      <c r="H308" s="2">
        <f>IFERROR(__xludf.DUMMYFUNCTION("""COMPUTED_VALUE"""),4263.0)</f>
        <v>4263</v>
      </c>
      <c r="I308" s="2">
        <f>IFERROR(__xludf.DUMMYFUNCTION("""COMPUTED_VALUE"""),4900.0)</f>
        <v>4900</v>
      </c>
      <c r="J308" s="2">
        <f>IFERROR(__xludf.DUMMYFUNCTION("""COMPUTED_VALUE"""),2450.0)</f>
        <v>2450</v>
      </c>
      <c r="K308" s="2">
        <f>IFERROR(__xludf.DUMMYFUNCTION("""COMPUTED_VALUE"""),1.0)</f>
        <v>1</v>
      </c>
      <c r="L308" s="2" t="str">
        <f>IFERROR(__xludf.DUMMYFUNCTION("""COMPUTED_VALUE"""),"Светильники светодиодные GEO")</f>
        <v>Светильники светодиодные GEO</v>
      </c>
      <c r="M308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309">
      <c r="A309" s="5" t="str">
        <f>IFERROR(__xludf.DUMMYFUNCTION("""COMPUTED_VALUE"""),"V9035")</f>
        <v>V9035</v>
      </c>
      <c r="B309" s="5" t="str">
        <f>IFERROR(__xludf.DUMMYFUNCTION("""COMPUTED_VALUE"""),"VRN-UNE-124-G40K67-U, 124Вт, Универсальный")</f>
        <v>VRN-UNE-124-G40K67-U, 124Вт, Универсальный</v>
      </c>
      <c r="C309" s="2">
        <f>IFERROR(__xludf.DUMMYFUNCTION("""COMPUTED_VALUE"""),2.5)</f>
        <v>2.5</v>
      </c>
      <c r="D309" s="2">
        <f>IFERROR(__xludf.DUMMYFUNCTION("""COMPUTED_VALUE"""),0.01001)</f>
        <v>0.01001</v>
      </c>
      <c r="E309" s="2">
        <f>IFERROR(__xludf.DUMMYFUNCTION("""COMPUTED_VALUE"""),4432.900000000001)</f>
        <v>4432.9</v>
      </c>
      <c r="F309" s="2">
        <f>IFERROR(__xludf.DUMMYFUNCTION("""COMPUTED_VALUE"""),5025.0)</f>
        <v>5025</v>
      </c>
      <c r="G309" s="2">
        <f>IFERROR(__xludf.DUMMYFUNCTION("""COMPUTED_VALUE"""),6533.0)</f>
        <v>6533</v>
      </c>
      <c r="H309" s="2">
        <f>IFERROR(__xludf.DUMMYFUNCTION("""COMPUTED_VALUE"""),6859.0)</f>
        <v>6859</v>
      </c>
      <c r="I309" s="2">
        <f>IFERROR(__xludf.DUMMYFUNCTION("""COMPUTED_VALUE"""),7186.0)</f>
        <v>7186</v>
      </c>
      <c r="J309" s="2">
        <f>IFERROR(__xludf.DUMMYFUNCTION("""COMPUTED_VALUE"""),7186.0)</f>
        <v>7186</v>
      </c>
      <c r="K309" s="2">
        <f>IFERROR(__xludf.DUMMYFUNCTION("""COMPUTED_VALUE"""),11.0)</f>
        <v>11</v>
      </c>
      <c r="L309" s="2" t="str">
        <f>IFERROR(__xludf.DUMMYFUNCTION("""COMPUTED_VALUE"""),"Универсал Эконом")</f>
        <v>Универсал Эконом</v>
      </c>
      <c r="M309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310">
      <c r="A310" s="5" t="str">
        <f>IFERROR(__xludf.DUMMYFUNCTION("""COMPUTED_VALUE"""),"G948411206")</f>
        <v>G948411206</v>
      </c>
      <c r="B310" s="5" t="str">
        <f>IFERROR(__xludf.DUMMYFUNCTION("""COMPUTED_VALUE"""),"Квадрат. Белый, 6W, 520 Lm LED 4100K")</f>
        <v>Квадрат. Белый, 6W, 520 Lm LED 4100K</v>
      </c>
      <c r="C310" s="2">
        <f>IFERROR(__xludf.DUMMYFUNCTION("""COMPUTED_VALUE"""),0.0)</f>
        <v>0</v>
      </c>
      <c r="D310" s="2">
        <f>IFERROR(__xludf.DUMMYFUNCTION("""COMPUTED_VALUE"""),4.5E-4)</f>
        <v>0.00045</v>
      </c>
      <c r="E310" s="2">
        <f>IFERROR(__xludf.DUMMYFUNCTION("""COMPUTED_VALUE"""),207.17)</f>
        <v>207.17</v>
      </c>
      <c r="F310" s="2">
        <f>IFERROR(__xludf.DUMMYFUNCTION("""COMPUTED_VALUE"""),218.0)</f>
        <v>218</v>
      </c>
      <c r="G310" s="2">
        <f>IFERROR(__xludf.DUMMYFUNCTION("""COMPUTED_VALUE"""),240.0)</f>
        <v>240</v>
      </c>
      <c r="H310" s="2">
        <f>IFERROR(__xludf.DUMMYFUNCTION("""COMPUTED_VALUE"""),283.0)</f>
        <v>283</v>
      </c>
      <c r="I310" s="2">
        <f>IFERROR(__xludf.DUMMYFUNCTION("""COMPUTED_VALUE"""),357.0)</f>
        <v>357</v>
      </c>
      <c r="J310" s="2">
        <f>IFERROR(__xludf.DUMMYFUNCTION("""COMPUTED_VALUE"""),179.0)</f>
        <v>179</v>
      </c>
      <c r="K310" s="2">
        <f>IFERROR(__xludf.DUMMYFUNCTION("""COMPUTED_VALUE"""),10.0)</f>
        <v>10</v>
      </c>
      <c r="L310" s="2" t="str">
        <f>IFERROR(__xludf.DUMMYFUNCTION("""COMPUTED_VALUE"""),"Даунлайты")</f>
        <v>Даунлайты</v>
      </c>
      <c r="M310" s="2" t="str">
        <f>IFERROR(__xludf.DUMMYFUNCTION("""COMPUTED_VALUE"""),"С равномерной засветкой, Точечные круглые Downlight, LED Светильники")</f>
        <v>С равномерной засветкой, Точечные круглые Downlight, LED Светильники</v>
      </c>
    </row>
    <row r="311">
      <c r="A311" s="5" t="str">
        <f>IFERROR(__xludf.DUMMYFUNCTION("""COMPUTED_VALUE"""),"4690612040097")</f>
        <v>4690612040097</v>
      </c>
      <c r="B311" s="5" t="str">
        <f>IFERROR(__xludf.DUMMYFUNCTION("""COMPUTED_VALUE"""),"RLP-VC 36Вт 230В 4000К 2880Лм 220мм белая IP40 IN HOME")</f>
        <v>RLP-VC 36Вт 230В 4000К 2880Лм 220мм белая IP40 IN HOME</v>
      </c>
      <c r="C311" s="2">
        <f>IFERROR(__xludf.DUMMYFUNCTION("""COMPUTED_VALUE"""),0.32)</f>
        <v>0.32</v>
      </c>
      <c r="D311" s="2">
        <f>IFERROR(__xludf.DUMMYFUNCTION("""COMPUTED_VALUE"""),0.002)</f>
        <v>0.002</v>
      </c>
      <c r="E311" s="2">
        <f>IFERROR(__xludf.DUMMYFUNCTION("""COMPUTED_VALUE"""),362.49)</f>
        <v>362.49</v>
      </c>
      <c r="F311" s="2">
        <f>IFERROR(__xludf.DUMMYFUNCTION("""COMPUTED_VALUE"""),301.0)</f>
        <v>301</v>
      </c>
      <c r="G311" s="2">
        <f>IFERROR(__xludf.DUMMYFUNCTION("""COMPUTED_VALUE"""),338.0)</f>
        <v>338</v>
      </c>
      <c r="H311" s="2">
        <f>IFERROR(__xludf.DUMMYFUNCTION("""COMPUTED_VALUE"""),392.0)</f>
        <v>392</v>
      </c>
      <c r="I311" s="2">
        <f>IFERROR(__xludf.DUMMYFUNCTION("""COMPUTED_VALUE"""),451.0)</f>
        <v>451</v>
      </c>
      <c r="J311" s="2">
        <f>IFERROR(__xludf.DUMMYFUNCTION("""COMPUTED_VALUE"""),226.0)</f>
        <v>226</v>
      </c>
      <c r="K311" s="2">
        <f>IFERROR(__xludf.DUMMYFUNCTION("""COMPUTED_VALUE"""),1.0)</f>
        <v>1</v>
      </c>
      <c r="L311" s="2" t="str">
        <f>IFERROR(__xludf.DUMMYFUNCTION("""COMPUTED_VALUE"""),"Панели светодиодные круглые встраиваемые RLP")</f>
        <v>Панели светодиодные круглые встраиваемые RLP</v>
      </c>
      <c r="M311" s="2" t="str">
        <f>IFERROR(__xludf.DUMMYFUNCTION("""COMPUTED_VALUE"""),"Точечные круглые Downlight, LED Светильники")</f>
        <v>Точечные круглые Downlight, LED Светильники</v>
      </c>
    </row>
    <row r="312">
      <c r="A312" s="5" t="str">
        <f>IFERROR(__xludf.DUMMYFUNCTION("""COMPUTED_VALUE"""),"4690612008431-5")</f>
        <v>4690612008431-5</v>
      </c>
      <c r="B312" s="5" t="str">
        <f>IFERROR(__xludf.DUMMYFUNCTION("""COMPUTED_VALUE"""),"5 шт. Светильник встраиваемый GX53R-mini RW ультратонкий металл под лампу GX53 230В белый IN HOME (Комплект 5 шт)")</f>
        <v>5 шт. Светильник встраиваемый GX53R-mini RW ультратонкий металл под лампу GX53 230В белый IN HOME (Комплект 5 шт)</v>
      </c>
      <c r="C312" s="2">
        <f>IFERROR(__xludf.DUMMYFUNCTION("""COMPUTED_VALUE"""),0.05)</f>
        <v>0.05</v>
      </c>
      <c r="D312" s="2">
        <f>IFERROR(__xludf.DUMMYFUNCTION("""COMPUTED_VALUE"""),0.01)</f>
        <v>0.01</v>
      </c>
      <c r="E312" s="2">
        <f>IFERROR(__xludf.DUMMYFUNCTION("""COMPUTED_VALUE"""),213.65)</f>
        <v>213.65</v>
      </c>
      <c r="F312" s="2">
        <f>IFERROR(__xludf.DUMMYFUNCTION("""COMPUTED_VALUE"""),234.0)</f>
        <v>234</v>
      </c>
      <c r="G312" s="2">
        <f>IFERROR(__xludf.DUMMYFUNCTION("""COMPUTED_VALUE"""),308.0)</f>
        <v>308</v>
      </c>
      <c r="H312" s="2">
        <f>IFERROR(__xludf.DUMMYFUNCTION("""COMPUTED_VALUE"""),347.0)</f>
        <v>347</v>
      </c>
      <c r="I312" s="2">
        <f>IFERROR(__xludf.DUMMYFUNCTION("""COMPUTED_VALUE"""),385.0)</f>
        <v>385</v>
      </c>
      <c r="J312" s="2">
        <f>IFERROR(__xludf.DUMMYFUNCTION("""COMPUTED_VALUE"""),193.0)</f>
        <v>193</v>
      </c>
      <c r="K312" s="2">
        <f>IFERROR(__xludf.DUMMYFUNCTION("""COMPUTED_VALUE"""),19.0)</f>
        <v>19</v>
      </c>
      <c r="L312" s="2" t="str">
        <f>IFERROR(__xludf.DUMMYFUNCTION("""COMPUTED_VALUE"""),"Лампы производство, упаковка")</f>
        <v>Лампы производство, упаковка</v>
      </c>
      <c r="M312" s="2" t="str">
        <f>IFERROR(__xludf.DUMMYFUNCTION("""COMPUTED_VALUE"""),"Лампы")</f>
        <v>Лампы</v>
      </c>
    </row>
    <row r="313">
      <c r="A313" s="5" t="str">
        <f>IFERROR(__xludf.DUMMYFUNCTION("""COMPUTED_VALUE"""),"4690612053011-1")</f>
        <v>4690612053011-1</v>
      </c>
      <c r="B313" s="5" t="str">
        <f>IFERROR(__xludf.DUMMYFUNCTION("""COMPUTED_VALUE"""),"ДВО-02-EMERGENCY 3640-ПРИЗМА 36Вт 4000К 595х595х19 NEOX без БАП-10W90 (в индив. уп.)")</f>
        <v>ДВО-02-EMERGENCY 3640-ПРИЗМА 36Вт 4000К 595х595х19 NEOX без БАП-10W90 (в индив. уп.)</v>
      </c>
      <c r="C313" s="2">
        <f>IFERROR(__xludf.DUMMYFUNCTION("""COMPUTED_VALUE"""),0.0)</f>
        <v>0</v>
      </c>
      <c r="D313" s="2">
        <f>IFERROR(__xludf.DUMMYFUNCTION("""COMPUTED_VALUE"""),0.0)</f>
        <v>0</v>
      </c>
      <c r="E313" s="2">
        <f>IFERROR(__xludf.DUMMYFUNCTION("""COMPUTED_VALUE"""),570.23)</f>
        <v>570.23</v>
      </c>
      <c r="F313" s="2">
        <f>IFERROR(__xludf.DUMMYFUNCTION("""COMPUTED_VALUE"""),626.0)</f>
        <v>626</v>
      </c>
      <c r="G313" s="2">
        <f>IFERROR(__xludf.DUMMYFUNCTION("""COMPUTED_VALUE"""),821.0)</f>
        <v>821</v>
      </c>
      <c r="H313" s="2">
        <f>IFERROR(__xludf.DUMMYFUNCTION("""COMPUTED_VALUE"""),923.0)</f>
        <v>923</v>
      </c>
      <c r="I313" s="2">
        <f>IFERROR(__xludf.DUMMYFUNCTION("""COMPUTED_VALUE"""),1026.0)</f>
        <v>1026</v>
      </c>
      <c r="J313" s="2">
        <f>IFERROR(__xludf.DUMMYFUNCTION("""COMPUTED_VALUE"""),513.0)</f>
        <v>513</v>
      </c>
      <c r="K313" s="2">
        <f>IFERROR(__xludf.DUMMYFUNCTION("""COMPUTED_VALUE"""),4.0)</f>
        <v>4</v>
      </c>
      <c r="L313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313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314">
      <c r="A314" s="5" t="str">
        <f>IFERROR(__xludf.DUMMYFUNCTION("""COMPUTED_VALUE"""),"21149")</f>
        <v>21149</v>
      </c>
      <c r="B314" s="5" t="str">
        <f>IFERROR(__xludf.DUMMYFUNCTION("""COMPUTED_VALUE"""),"TLWP06 PS OL ECP 30Вт 4000лм")</f>
        <v>TLWP06 PS OL ECP 30Вт 4000лм</v>
      </c>
      <c r="C314" s="2">
        <f>IFERROR(__xludf.DUMMYFUNCTION("""COMPUTED_VALUE"""),2.5)</f>
        <v>2.5</v>
      </c>
      <c r="D314" s="2">
        <f>IFERROR(__xludf.DUMMYFUNCTION("""COMPUTED_VALUE"""),0.01482)</f>
        <v>0.01482</v>
      </c>
      <c r="E314" s="2">
        <f>IFERROR(__xludf.DUMMYFUNCTION("""COMPUTED_VALUE"""),1149.5)</f>
        <v>1149.5</v>
      </c>
      <c r="F314" s="2">
        <f>IFERROR(__xludf.DUMMYFUNCTION("""COMPUTED_VALUE"""),4029.0)</f>
        <v>4029</v>
      </c>
      <c r="G314" s="2">
        <f>IFERROR(__xludf.DUMMYFUNCTION("""COMPUTED_VALUE"""),4550.0)</f>
        <v>4550</v>
      </c>
      <c r="H314" s="2">
        <f>IFERROR(__xludf.DUMMYFUNCTION("""COMPUTED_VALUE"""),4654.0)</f>
        <v>4654</v>
      </c>
      <c r="I314" s="2">
        <f>IFERROR(__xludf.DUMMYFUNCTION("""COMPUTED_VALUE"""),5675.0)</f>
        <v>5675</v>
      </c>
      <c r="J314" s="2">
        <f>IFERROR(__xludf.DUMMYFUNCTION("""COMPUTED_VALUE"""),4029.0)</f>
        <v>4029</v>
      </c>
      <c r="K314" s="2">
        <f>IFERROR(__xludf.DUMMYFUNCTION("""COMPUTED_VALUE"""),1.0)</f>
        <v>1</v>
      </c>
      <c r="L314" s="2" t="str">
        <f>IFERROR(__xludf.DUMMYFUNCTION("""COMPUTED_VALUE"""),"Технолюкс Светильники LED TLWP (IP65)")</f>
        <v>Технолюкс Светильники LED TLWP (IP65)</v>
      </c>
      <c r="M314" s="2" t="str">
        <f>IFERROR(__xludf.DUMMYFUNCTION("""COMPUTED_VALUE"""),"Пластиковые (линейные), LED Светильники")</f>
        <v>Пластиковые (линейные), LED Светильники</v>
      </c>
    </row>
    <row r="315">
      <c r="A315" s="5" t="str">
        <f>IFERROR(__xludf.DUMMYFUNCTION("""COMPUTED_VALUE"""),"V12040")</f>
        <v>V12040</v>
      </c>
      <c r="B315" s="5" t="str">
        <f>IFERROR(__xludf.DUMMYFUNCTION("""COMPUTED_VALUE"""),"VRN-LME45X140-53-A50K67-K, 53Вт, Консольный")</f>
        <v>VRN-LME45X140-53-A50K67-K, 53Вт, Консольный</v>
      </c>
      <c r="C315" s="2">
        <f>IFERROR(__xludf.DUMMYFUNCTION("""COMPUTED_VALUE"""),0.0)</f>
        <v>0</v>
      </c>
      <c r="D315" s="2">
        <f>IFERROR(__xludf.DUMMYFUNCTION("""COMPUTED_VALUE"""),0.0)</f>
        <v>0</v>
      </c>
      <c r="E315" s="2">
        <f>IFERROR(__xludf.DUMMYFUNCTION("""COMPUTED_VALUE"""),2700.0)</f>
        <v>2700</v>
      </c>
      <c r="F315" s="2">
        <f>IFERROR(__xludf.DUMMYFUNCTION("""COMPUTED_VALUE"""),3120.0)</f>
        <v>3120</v>
      </c>
      <c r="G315" s="2">
        <f>IFERROR(__xludf.DUMMYFUNCTION("""COMPUTED_VALUE"""),4056.0)</f>
        <v>4056</v>
      </c>
      <c r="H315" s="2">
        <f>IFERROR(__xludf.DUMMYFUNCTION("""COMPUTED_VALUE"""),4259.0)</f>
        <v>4259</v>
      </c>
      <c r="I315" s="2">
        <f>IFERROR(__xludf.DUMMYFUNCTION("""COMPUTED_VALUE"""),4462.0)</f>
        <v>4462</v>
      </c>
      <c r="J315" s="2">
        <f>IFERROR(__xludf.DUMMYFUNCTION("""COMPUTED_VALUE"""),4056.0)</f>
        <v>4056</v>
      </c>
      <c r="K315" s="2">
        <f>IFERROR(__xludf.DUMMYFUNCTION("""COMPUTED_VALUE"""),2.0)</f>
        <v>2</v>
      </c>
      <c r="L315" s="2" t="str">
        <f>IFERROR(__xludf.DUMMYFUNCTION("""COMPUTED_VALUE"""),"Магистраль Эконом")</f>
        <v>Магистраль Эконом</v>
      </c>
      <c r="M315" s="2" t="str">
        <f>IFERROR(__xludf.DUMMYFUNCTION("""COMPUTED_VALUE"""),"Для автомагистралей, LED Светильники")</f>
        <v>Для автомагистралей, LED Светильники</v>
      </c>
    </row>
    <row r="316">
      <c r="A316" s="5" t="str">
        <f>IFERROR(__xludf.DUMMYFUNCTION("""COMPUTED_VALUE"""),"4690612035505")</f>
        <v>4690612035505</v>
      </c>
      <c r="B316" s="5" t="str">
        <f>IFERROR(__xludf.DUMMYFUNCTION("""COMPUTED_VALUE"""),"TR-07-TL 15Вт 4000К 1500Лм IP40 24 градуса белый серии TOP-LINE IN HOME")</f>
        <v>TR-07-TL 15Вт 4000К 1500Лм IP40 24 градуса белый серии TOP-LINE IN HOME</v>
      </c>
      <c r="C316" s="2">
        <f>IFERROR(__xludf.DUMMYFUNCTION("""COMPUTED_VALUE"""),0.22)</f>
        <v>0.22</v>
      </c>
      <c r="D316" s="2">
        <f>IFERROR(__xludf.DUMMYFUNCTION("""COMPUTED_VALUE"""),0.001)</f>
        <v>0.001</v>
      </c>
      <c r="E316" s="2">
        <f>IFERROR(__xludf.DUMMYFUNCTION("""COMPUTED_VALUE"""),432.0)</f>
        <v>432</v>
      </c>
      <c r="F316" s="2">
        <f>IFERROR(__xludf.DUMMYFUNCTION("""COMPUTED_VALUE"""),489.0)</f>
        <v>489</v>
      </c>
      <c r="G316" s="2">
        <f>IFERROR(__xludf.DUMMYFUNCTION("""COMPUTED_VALUE"""),551.0)</f>
        <v>551</v>
      </c>
      <c r="H316" s="2">
        <f>IFERROR(__xludf.DUMMYFUNCTION("""COMPUTED_VALUE"""),639.0)</f>
        <v>639</v>
      </c>
      <c r="I316" s="2">
        <f>IFERROR(__xludf.DUMMYFUNCTION("""COMPUTED_VALUE"""),734.0)</f>
        <v>734</v>
      </c>
      <c r="J316" s="2">
        <f>IFERROR(__xludf.DUMMYFUNCTION("""COMPUTED_VALUE"""),367.0)</f>
        <v>367</v>
      </c>
      <c r="K316" s="2">
        <f>IFERROR(__xludf.DUMMYFUNCTION("""COMPUTED_VALUE"""),3.0)</f>
        <v>3</v>
      </c>
      <c r="L316" s="2" t="str">
        <f>IFERROR(__xludf.DUMMYFUNCTION("""COMPUTED_VALUE"""),"Светильники светодиодные трековые TR-01, 02, 03, 04, 05, 06, 07, 08")</f>
        <v>Светильники светодиодные трековые TR-01, 02, 03, 04, 05, 06, 07, 08</v>
      </c>
      <c r="M316" s="2" t="str">
        <f>IFERROR(__xludf.DUMMYFUNCTION("""COMPUTED_VALUE"""),"Трековые, LED Светильники")</f>
        <v>Трековые, LED Светильники</v>
      </c>
    </row>
    <row r="317">
      <c r="A317" s="5" t="str">
        <f>IFERROR(__xludf.DUMMYFUNCTION("""COMPUTED_VALUE"""),"4260529290672")</f>
        <v>4260529290672</v>
      </c>
      <c r="B317" s="5" t="str">
        <f>IFERROR(__xludf.DUMMYFUNCTION("""COMPUTED_VALUE"""),"LLFW36W05")</f>
        <v>LLFW36W05</v>
      </c>
      <c r="C317" s="2">
        <f>IFERROR(__xludf.DUMMYFUNCTION("""COMPUTED_VALUE"""),0.275)</f>
        <v>0.275</v>
      </c>
      <c r="D317" s="2">
        <f>IFERROR(__xludf.DUMMYFUNCTION("""COMPUTED_VALUE"""),0.049)</f>
        <v>0.049</v>
      </c>
      <c r="E317" s="2">
        <f>IFERROR(__xludf.DUMMYFUNCTION("""COMPUTED_VALUE"""),281.91)</f>
        <v>281.91</v>
      </c>
      <c r="F317" s="2">
        <f>IFERROR(__xludf.DUMMYFUNCTION("""COMPUTED_VALUE"""),287.0)</f>
        <v>287</v>
      </c>
      <c r="G317" s="2">
        <f>IFERROR(__xludf.DUMMYFUNCTION("""COMPUTED_VALUE"""),297.0)</f>
        <v>297</v>
      </c>
      <c r="H317" s="2">
        <f>IFERROR(__xludf.DUMMYFUNCTION("""COMPUTED_VALUE"""),389.0)</f>
        <v>389</v>
      </c>
      <c r="I317" s="2">
        <f>IFERROR(__xludf.DUMMYFUNCTION("""COMPUTED_VALUE"""),487.0)</f>
        <v>487</v>
      </c>
      <c r="J317" s="2">
        <f>IFERROR(__xludf.DUMMYFUNCTION("""COMPUTED_VALUE"""),244.0)</f>
        <v>244</v>
      </c>
      <c r="K317" s="2">
        <f>IFERROR(__xludf.DUMMYFUNCTION("""COMPUTED_VALUE"""),30.0)</f>
        <v>30</v>
      </c>
      <c r="L317" s="2" t="str">
        <f>IFERROR(__xludf.DUMMYFUNCTION("""COMPUTED_VALUE"""),"Wolta офисные")</f>
        <v>Wolta офисные</v>
      </c>
      <c r="M317" s="2" t="str">
        <f>IFERROR(__xludf.DUMMYFUNCTION("""COMPUTED_VALUE"""),"Пластиковые (линейные), Светильники общего назначения (LED), С равномерной засветкой, Светильники для торговых помещений (LED), Линейные (проходные), LED Светильники")</f>
        <v>Пластиковые (линейные), Светильники общего назначения (LED), С равномерной засветкой, Светильники для торговых помещений (LED), Линейные (проходные), LED Светильники</v>
      </c>
    </row>
    <row r="318">
      <c r="A318" s="5" t="str">
        <f>IFERROR(__xludf.DUMMYFUNCTION("""COMPUTED_VALUE"""),"4690612035017")</f>
        <v>4690612035017</v>
      </c>
      <c r="B318" s="5" t="str">
        <f>IFERROR(__xludf.DUMMYFUNCTION("""COMPUTED_VALUE"""),"COMFORT ASTRA 55Вт 230В 3000-6500K 4400Лм 385x90мм с пультом ДУ IN HOME")</f>
        <v>COMFORT ASTRA 55Вт 230В 3000-6500K 4400Лм 385x90мм с пультом ДУ IN HOME</v>
      </c>
      <c r="C318" s="2">
        <f>IFERROR(__xludf.DUMMYFUNCTION("""COMPUTED_VALUE"""),0.9800000000000001)</f>
        <v>0.98</v>
      </c>
      <c r="D318" s="2">
        <f>IFERROR(__xludf.DUMMYFUNCTION("""COMPUTED_VALUE"""),0.018)</f>
        <v>0.018</v>
      </c>
      <c r="E318" s="2">
        <f>IFERROR(__xludf.DUMMYFUNCTION("""COMPUTED_VALUE"""),1301.09)</f>
        <v>1301.09</v>
      </c>
      <c r="F318" s="2">
        <f>IFERROR(__xludf.DUMMYFUNCTION("""COMPUTED_VALUE"""),1439.0)</f>
        <v>1439</v>
      </c>
      <c r="G318" s="2">
        <f>IFERROR(__xludf.DUMMYFUNCTION("""COMPUTED_VALUE"""),1619.0)</f>
        <v>1619</v>
      </c>
      <c r="H318" s="2">
        <f>IFERROR(__xludf.DUMMYFUNCTION("""COMPUTED_VALUE"""),1877.0)</f>
        <v>1877</v>
      </c>
      <c r="I318" s="2">
        <f>IFERROR(__xludf.DUMMYFUNCTION("""COMPUTED_VALUE"""),2158.0)</f>
        <v>2158</v>
      </c>
      <c r="J318" s="2">
        <f>IFERROR(__xludf.DUMMYFUNCTION("""COMPUTED_VALUE"""),1079.0)</f>
        <v>1079</v>
      </c>
      <c r="K318" s="2">
        <f>IFERROR(__xludf.DUMMYFUNCTION("""COMPUTED_VALUE"""),2.0)</f>
        <v>2</v>
      </c>
      <c r="L318" s="2" t="str">
        <f>IFERROR(__xludf.DUMMYFUNCTION("""COMPUTED_VALUE"""),"Светильники светодиодные COMFORT")</f>
        <v>Светильники светодиодные COMFORT</v>
      </c>
      <c r="M318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319">
      <c r="A319" s="5" t="str">
        <f>IFERROR(__xludf.DUMMYFUNCTION("""COMPUTED_VALUE"""),"4690612035123")</f>
        <v>4690612035123</v>
      </c>
      <c r="B319" s="5" t="str">
        <f>IFERROR(__xludf.DUMMYFUNCTION("""COMPUTED_VALUE"""),"COMFORT SAPHIR 75Вт 230В 3000-6500K 6000Лм 500x115мм с пультом ДУ IN HOME")</f>
        <v>COMFORT SAPHIR 75Вт 230В 3000-6500K 6000Лм 500x115мм с пультом ДУ IN HOME</v>
      </c>
      <c r="C319" s="2">
        <f>IFERROR(__xludf.DUMMYFUNCTION("""COMPUTED_VALUE"""),1.84)</f>
        <v>1.84</v>
      </c>
      <c r="D319" s="2">
        <f>IFERROR(__xludf.DUMMYFUNCTION("""COMPUTED_VALUE"""),0.0362)</f>
        <v>0.0362</v>
      </c>
      <c r="E319" s="2">
        <f>IFERROR(__xludf.DUMMYFUNCTION("""COMPUTED_VALUE"""),1.0)</f>
        <v>1</v>
      </c>
      <c r="F319" s="2">
        <f>IFERROR(__xludf.DUMMYFUNCTION("""COMPUTED_VALUE"""),1530.0)</f>
        <v>1530</v>
      </c>
      <c r="G319" s="2">
        <f>IFERROR(__xludf.DUMMYFUNCTION("""COMPUTED_VALUE"""),1721.0)</f>
        <v>1721</v>
      </c>
      <c r="H319" s="2">
        <f>IFERROR(__xludf.DUMMYFUNCTION("""COMPUTED_VALUE"""),1997.0)</f>
        <v>1997</v>
      </c>
      <c r="I319" s="2">
        <f>IFERROR(__xludf.DUMMYFUNCTION("""COMPUTED_VALUE"""),2295.0)</f>
        <v>2295</v>
      </c>
      <c r="J319" s="2">
        <f>IFERROR(__xludf.DUMMYFUNCTION("""COMPUTED_VALUE"""),1148.0)</f>
        <v>1148</v>
      </c>
      <c r="K319" s="2">
        <f>IFERROR(__xludf.DUMMYFUNCTION("""COMPUTED_VALUE"""),1.0)</f>
        <v>1</v>
      </c>
      <c r="L319" s="2" t="str">
        <f>IFERROR(__xludf.DUMMYFUNCTION("""COMPUTED_VALUE"""),"Светильники светодиодные COMFORT")</f>
        <v>Светильники светодиодные COMFORT</v>
      </c>
      <c r="M319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320">
      <c r="A320" s="5" t="str">
        <f>IFERROR(__xludf.DUMMYFUNCTION("""COMPUTED_VALUE"""),"4690612020365")</f>
        <v>4690612020365</v>
      </c>
      <c r="B320" s="5" t="str">
        <f>IFERROR(__xludf.DUMMYFUNCTION("""COMPUTED_VALUE"""),"LED-JCDR-VC 6Вт 230В GU5.3 3000К 530Лм IN HOME")</f>
        <v>LED-JCDR-VC 6Вт 230В GU5.3 3000К 530Лм IN HOME</v>
      </c>
      <c r="C320" s="2">
        <f>IFERROR(__xludf.DUMMYFUNCTION("""COMPUTED_VALUE"""),0.03)</f>
        <v>0.03</v>
      </c>
      <c r="D320" s="2">
        <f>IFERROR(__xludf.DUMMYFUNCTION("""COMPUTED_VALUE"""),2.1E-4)</f>
        <v>0.00021</v>
      </c>
      <c r="E320" s="2">
        <f>IFERROR(__xludf.DUMMYFUNCTION("""COMPUTED_VALUE"""),32.11)</f>
        <v>32.11</v>
      </c>
      <c r="F320" s="2">
        <f>IFERROR(__xludf.DUMMYFUNCTION("""COMPUTED_VALUE"""),43.0)</f>
        <v>43</v>
      </c>
      <c r="G320" s="2">
        <f>IFERROR(__xludf.DUMMYFUNCTION("""COMPUTED_VALUE"""),49.0)</f>
        <v>49</v>
      </c>
      <c r="H320" s="2">
        <f>IFERROR(__xludf.DUMMYFUNCTION("""COMPUTED_VALUE"""),56.0)</f>
        <v>56</v>
      </c>
      <c r="I320" s="2">
        <f>IFERROR(__xludf.DUMMYFUNCTION("""COMPUTED_VALUE"""),65.4)</f>
        <v>65.4</v>
      </c>
      <c r="J320" s="2">
        <f>IFERROR(__xludf.DUMMYFUNCTION("""COMPUTED_VALUE"""),33.0)</f>
        <v>33</v>
      </c>
      <c r="K320" s="2">
        <f>IFERROR(__xludf.DUMMYFUNCTION("""COMPUTED_VALUE"""),23.0)</f>
        <v>23</v>
      </c>
      <c r="L320" s="2" t="str">
        <f>IFERROR(__xludf.DUMMYFUNCTION("""COMPUTED_VALUE"""),"Лампа светодиодная LED-JCDR-standard")</f>
        <v>Лампа светодиодная LED-JCDR-standard</v>
      </c>
      <c r="M320" s="2" t="str">
        <f>IFERROR(__xludf.DUMMYFUNCTION("""COMPUTED_VALUE"""),"Лампы")</f>
        <v>Лампы</v>
      </c>
    </row>
    <row r="321">
      <c r="A321" s="5" t="str">
        <f>IFERROR(__xludf.DUMMYFUNCTION("""COMPUTED_VALUE"""),"4690612057309-1")</f>
        <v>4690612057309-1</v>
      </c>
      <c r="B321" s="5" t="str">
        <f>IFERROR(__xludf.DUMMYFUNCTION("""COMPUTED_VALUE"""),"ДВО-PRO 5065-ОПАЛ 50Вт 6500К 120лм/Вт CRI80 IP40 595х595х30мм NEOX (в индивид. уп)")</f>
        <v>ДВО-PRO 5065-ОПАЛ 50Вт 6500К 120лм/Вт CRI80 IP40 595х595х30мм NEOX (в индивид. уп)</v>
      </c>
      <c r="C321" s="2">
        <f>IFERROR(__xludf.DUMMYFUNCTION("""COMPUTED_VALUE"""),0.0)</f>
        <v>0</v>
      </c>
      <c r="D321" s="2">
        <f>IFERROR(__xludf.DUMMYFUNCTION("""COMPUTED_VALUE"""),0.0)</f>
        <v>0</v>
      </c>
      <c r="E321" s="2">
        <f>IFERROR(__xludf.DUMMYFUNCTION("""COMPUTED_VALUE"""),1100.66)</f>
        <v>1100.66</v>
      </c>
      <c r="F321" s="2">
        <f>IFERROR(__xludf.DUMMYFUNCTION("""COMPUTED_VALUE"""),1208.0)</f>
        <v>1208</v>
      </c>
      <c r="G321" s="2">
        <f>IFERROR(__xludf.DUMMYFUNCTION("""COMPUTED_VALUE"""),1585.0)</f>
        <v>1585</v>
      </c>
      <c r="H321" s="2">
        <f>IFERROR(__xludf.DUMMYFUNCTION("""COMPUTED_VALUE"""),1783.0)</f>
        <v>1783</v>
      </c>
      <c r="I321" s="2">
        <f>IFERROR(__xludf.DUMMYFUNCTION("""COMPUTED_VALUE"""),1981.0)</f>
        <v>1981</v>
      </c>
      <c r="J321" s="2">
        <f>IFERROR(__xludf.DUMMYFUNCTION("""COMPUTED_VALUE"""),991.0)</f>
        <v>991</v>
      </c>
      <c r="K321" s="2">
        <f>IFERROR(__xludf.DUMMYFUNCTION("""COMPUTED_VALUE"""),5.0)</f>
        <v>5</v>
      </c>
      <c r="L321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321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322">
      <c r="A322" s="5" t="str">
        <f>IFERROR(__xludf.DUMMYFUNCTION("""COMPUTED_VALUE"""),"4690612033631")</f>
        <v>4690612033631</v>
      </c>
      <c r="B322" s="5" t="str">
        <f>IFERROR(__xludf.DUMMYFUNCTION("""COMPUTED_VALUE"""),"DECO 18Вт 230В 4000К 1170Лм 230х55мм ДАЙМОНД IN HOME")</f>
        <v>DECO 18Вт 230В 4000К 1170Лм 230х55мм ДАЙМОНД IN HOME</v>
      </c>
      <c r="C322" s="2">
        <f>IFERROR(__xludf.DUMMYFUNCTION("""COMPUTED_VALUE"""),0.31)</f>
        <v>0.31</v>
      </c>
      <c r="D322" s="2">
        <f>IFERROR(__xludf.DUMMYFUNCTION("""COMPUTED_VALUE"""),0.004500000000000001)</f>
        <v>0.0045</v>
      </c>
      <c r="E322" s="2">
        <f>IFERROR(__xludf.DUMMYFUNCTION("""COMPUTED_VALUE"""),300.1)</f>
        <v>300.1</v>
      </c>
      <c r="F322" s="2">
        <f>IFERROR(__xludf.DUMMYFUNCTION("""COMPUTED_VALUE"""),356.0)</f>
        <v>356</v>
      </c>
      <c r="G322" s="2">
        <f>IFERROR(__xludf.DUMMYFUNCTION("""COMPUTED_VALUE"""),401.0)</f>
        <v>401</v>
      </c>
      <c r="H322" s="2">
        <f>IFERROR(__xludf.DUMMYFUNCTION("""COMPUTED_VALUE"""),465.0)</f>
        <v>465</v>
      </c>
      <c r="I322" s="2">
        <f>IFERROR(__xludf.DUMMYFUNCTION("""COMPUTED_VALUE"""),534.0)</f>
        <v>534</v>
      </c>
      <c r="J322" s="2">
        <f>IFERROR(__xludf.DUMMYFUNCTION("""COMPUTED_VALUE"""),267.0)</f>
        <v>267</v>
      </c>
      <c r="K322" s="2">
        <f>IFERROR(__xludf.DUMMYFUNCTION("""COMPUTED_VALUE"""),4.0)</f>
        <v>4</v>
      </c>
      <c r="L322" s="2" t="str">
        <f>IFERROR(__xludf.DUMMYFUNCTION("""COMPUTED_VALUE"""),"Светильник светодиодный серии DECO")</f>
        <v>Светильник светодиодный серии DECO</v>
      </c>
      <c r="M322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323">
      <c r="A323" s="5" t="str">
        <f>IFERROR(__xludf.DUMMYFUNCTION("""COMPUTED_VALUE"""),"55073")</f>
        <v>55073</v>
      </c>
      <c r="B323" s="5" t="str">
        <f>IFERROR(__xludf.DUMMYFUNCTION("""COMPUTED_VALUE"""),"Сеть 176 разноцветных LED ламп, контроллер 8 режимов, прозрачный провод, 1,5*1,5м, 220v/20")</f>
        <v>Сеть 176 разноцветных LED ламп, контроллер 8 режимов, прозрачный провод, 1,5*1,5м, 220v/20</v>
      </c>
      <c r="C323" s="2">
        <f>IFERROR(__xludf.DUMMYFUNCTION("""COMPUTED_VALUE"""),0.0)</f>
        <v>0</v>
      </c>
      <c r="D323" s="2">
        <f>IFERROR(__xludf.DUMMYFUNCTION("""COMPUTED_VALUE"""),0.0)</f>
        <v>0</v>
      </c>
      <c r="E323" s="2">
        <f>IFERROR(__xludf.DUMMYFUNCTION("""COMPUTED_VALUE"""),944.6800000000001)</f>
        <v>944.68</v>
      </c>
      <c r="F323" s="2">
        <f>IFERROR(__xludf.DUMMYFUNCTION("""COMPUTED_VALUE"""),989.0)</f>
        <v>989</v>
      </c>
      <c r="G323" s="2">
        <f>IFERROR(__xludf.DUMMYFUNCTION("""COMPUTED_VALUE"""),1079.0)</f>
        <v>1079</v>
      </c>
      <c r="H323" s="2">
        <f>IFERROR(__xludf.DUMMYFUNCTION("""COMPUTED_VALUE"""),1169.0)</f>
        <v>1169</v>
      </c>
      <c r="I323" s="2">
        <f>IFERROR(__xludf.DUMMYFUNCTION("""COMPUTED_VALUE"""),1259.0)</f>
        <v>1259</v>
      </c>
      <c r="J323" s="2">
        <f>IFERROR(__xludf.DUMMYFUNCTION("""COMPUTED_VALUE"""),630.0)</f>
        <v>630</v>
      </c>
      <c r="K323" s="2">
        <f>IFERROR(__xludf.DUMMYFUNCTION("""COMPUTED_VALUE"""),9.0)</f>
        <v>9</v>
      </c>
      <c r="L323" s="2" t="str">
        <f>IFERROR(__xludf.DUMMYFUNCTION("""COMPUTED_VALUE"""),"Праздничная иллюминация")</f>
        <v>Праздничная иллюминация</v>
      </c>
      <c r="M323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324">
      <c r="A324" s="5" t="str">
        <f>IFERROR(__xludf.DUMMYFUNCTION("""COMPUTED_VALUE"""),"4260652192546")</f>
        <v>4260652192546</v>
      </c>
      <c r="B324" s="5" t="str">
        <f>IFERROR(__xludf.DUMMYFUNCTION("""COMPUTED_VALUE"""),"WTL-15W/01W")</f>
        <v>WTL-15W/01W</v>
      </c>
      <c r="C324" s="2">
        <f>IFERROR(__xludf.DUMMYFUNCTION("""COMPUTED_VALUE"""),0.235)</f>
        <v>0.235</v>
      </c>
      <c r="D324" s="2">
        <f>IFERROR(__xludf.DUMMYFUNCTION("""COMPUTED_VALUE"""),8.300000000000001E-4)</f>
        <v>0.00083</v>
      </c>
      <c r="E324" s="2">
        <f>IFERROR(__xludf.DUMMYFUNCTION("""COMPUTED_VALUE"""),472.23)</f>
        <v>472.23</v>
      </c>
      <c r="F324" s="2">
        <f>IFERROR(__xludf.DUMMYFUNCTION("""COMPUTED_VALUE"""),590.0)</f>
        <v>590</v>
      </c>
      <c r="G324" s="2">
        <f>IFERROR(__xludf.DUMMYFUNCTION("""COMPUTED_VALUE"""),610.0)</f>
        <v>610</v>
      </c>
      <c r="H324" s="2">
        <f>IFERROR(__xludf.DUMMYFUNCTION("""COMPUTED_VALUE"""),800.0)</f>
        <v>800</v>
      </c>
      <c r="I324" s="2">
        <f>IFERROR(__xludf.DUMMYFUNCTION("""COMPUTED_VALUE"""),999.0)</f>
        <v>999</v>
      </c>
      <c r="J324" s="2">
        <f>IFERROR(__xludf.DUMMYFUNCTION("""COMPUTED_VALUE"""),500.0)</f>
        <v>500</v>
      </c>
      <c r="K324" s="2">
        <f>IFERROR(__xludf.DUMMYFUNCTION("""COMPUTED_VALUE"""),1.0)</f>
        <v>1</v>
      </c>
      <c r="L324" s="2" t="str">
        <f>IFERROR(__xludf.DUMMYFUNCTION("""COMPUTED_VALUE"""),"Wolta трековые")</f>
        <v>Wolta трековые</v>
      </c>
      <c r="M324" s="2" t="str">
        <f>IFERROR(__xludf.DUMMYFUNCTION("""COMPUTED_VALUE"""),"Трековые, LED Светильники")</f>
        <v>Трековые, LED Светильники</v>
      </c>
    </row>
    <row r="325">
      <c r="A325" s="5" t="str">
        <f>IFERROR(__xludf.DUMMYFUNCTION("""COMPUTED_VALUE"""),"V9002")</f>
        <v>V9002</v>
      </c>
      <c r="B325" s="5" t="str">
        <f>IFERROR(__xludf.DUMMYFUNCTION("""COMPUTED_VALUE"""),"VRN-UNE-32-G40K67-K, 32Вт, Консольный")</f>
        <v>VRN-UNE-32-G40K67-K, 32Вт, Консольный</v>
      </c>
      <c r="C325" s="2">
        <f>IFERROR(__xludf.DUMMYFUNCTION("""COMPUTED_VALUE"""),0.106)</f>
        <v>0.106</v>
      </c>
      <c r="D325" s="2">
        <f>IFERROR(__xludf.DUMMYFUNCTION("""COMPUTED_VALUE"""),0.004030000000000001)</f>
        <v>0.00403</v>
      </c>
      <c r="E325" s="2">
        <f>IFERROR(__xludf.DUMMYFUNCTION("""COMPUTED_VALUE"""),1799.28)</f>
        <v>1799.28</v>
      </c>
      <c r="F325" s="2">
        <f>IFERROR(__xludf.DUMMYFUNCTION("""COMPUTED_VALUE"""),2020.0)</f>
        <v>2020</v>
      </c>
      <c r="G325" s="2">
        <f>IFERROR(__xludf.DUMMYFUNCTION("""COMPUTED_VALUE"""),2626.0)</f>
        <v>2626</v>
      </c>
      <c r="H325" s="2">
        <f>IFERROR(__xludf.DUMMYFUNCTION("""COMPUTED_VALUE"""),2757.0)</f>
        <v>2757</v>
      </c>
      <c r="I325" s="2">
        <f>IFERROR(__xludf.DUMMYFUNCTION("""COMPUTED_VALUE"""),2889.0)</f>
        <v>2889</v>
      </c>
      <c r="J325" s="2">
        <f>IFERROR(__xludf.DUMMYFUNCTION("""COMPUTED_VALUE"""),2889.0)</f>
        <v>2889</v>
      </c>
      <c r="K325" s="2">
        <f>IFERROR(__xludf.DUMMYFUNCTION("""COMPUTED_VALUE"""),12.0)</f>
        <v>12</v>
      </c>
      <c r="L325" s="2" t="str">
        <f>IFERROR(__xludf.DUMMYFUNCTION("""COMPUTED_VALUE"""),"Универсал Эконом")</f>
        <v>Универсал Эконом</v>
      </c>
      <c r="M325" s="2" t="str">
        <f>IFERROR(__xludf.DUMMYFUNCTION("""COMPUTED_VALUE"""),"Для обычных дорог, LED Светильники")</f>
        <v>Для обычных дорог, LED Светильники</v>
      </c>
    </row>
    <row r="326">
      <c r="A326" s="5" t="str">
        <f>IFERROR(__xludf.DUMMYFUNCTION("""COMPUTED_VALUE"""),"4690612008912")</f>
        <v>4690612008912</v>
      </c>
      <c r="B326" s="5" t="str">
        <f>IFERROR(__xludf.DUMMYFUNCTION("""COMPUTED_VALUE"""),"LP-02-PRO 36Вт 230В 4000К 2700Лм 595х595х8мм без ЭПРА белая IP40 LLT")</f>
        <v>LP-02-PRO 36Вт 230В 4000К 2700Лм 595х595х8мм без ЭПРА белая IP40 LLT</v>
      </c>
      <c r="C326" s="2">
        <f>IFERROR(__xludf.DUMMYFUNCTION("""COMPUTED_VALUE"""),1.645)</f>
        <v>1.645</v>
      </c>
      <c r="D326" s="2">
        <f>IFERROR(__xludf.DUMMYFUNCTION("""COMPUTED_VALUE"""),0.004)</f>
        <v>0.004</v>
      </c>
      <c r="E326" s="2">
        <f>IFERROR(__xludf.DUMMYFUNCTION("""COMPUTED_VALUE"""),570.92)</f>
        <v>570.92</v>
      </c>
      <c r="F326" s="2">
        <f>IFERROR(__xludf.DUMMYFUNCTION("""COMPUTED_VALUE"""),567.0)</f>
        <v>567</v>
      </c>
      <c r="G326" s="2">
        <f>IFERROR(__xludf.DUMMYFUNCTION("""COMPUTED_VALUE"""),638.0)</f>
        <v>638</v>
      </c>
      <c r="H326" s="2">
        <f>IFERROR(__xludf.DUMMYFUNCTION("""COMPUTED_VALUE"""),740.0)</f>
        <v>740</v>
      </c>
      <c r="I326" s="2">
        <f>IFERROR(__xludf.DUMMYFUNCTION("""COMPUTED_VALUE"""),850.0)</f>
        <v>850</v>
      </c>
      <c r="J326" s="2">
        <f>IFERROR(__xludf.DUMMYFUNCTION("""COMPUTED_VALUE"""),425.0)</f>
        <v>425</v>
      </c>
      <c r="K326" s="2">
        <f>IFERROR(__xludf.DUMMYFUNCTION("""COMPUTED_VALUE"""),8.0)</f>
        <v>8</v>
      </c>
      <c r="L326" s="2" t="str">
        <f>IFERROR(__xludf.DUMMYFUNCTION("""COMPUTED_VALUE"""),"Панели светодиодные LP серии PRO")</f>
        <v>Панели светодиодные LP серии PRO</v>
      </c>
      <c r="M326" s="2" t="str">
        <f>IFERROR(__xludf.DUMMYFUNCTION("""COMPUTED_VALUE"""),"Встраиваемые, С равномерной засветкой, Накладные, LED Светильники")</f>
        <v>Встраиваемые, С равномерной засветкой, Накладные, LED Светильники</v>
      </c>
    </row>
    <row r="327">
      <c r="A327" s="5" t="str">
        <f>IFERROR(__xludf.DUMMYFUNCTION("""COMPUTED_VALUE"""),"GL81511")</f>
        <v>GL81511</v>
      </c>
      <c r="B327" s="5" t="str">
        <f>IFERROR(__xludf.DUMMYFUNCTION("""COMPUTED_VALUE"""),"GLERIO Office Special 40 Вт 4000K 82P-40D-4V-P")</f>
        <v>GLERIO Office Special 40 Вт 4000K 82P-40D-4V-P</v>
      </c>
      <c r="C327" s="2">
        <f>IFERROR(__xludf.DUMMYFUNCTION("""COMPUTED_VALUE"""),1.14)</f>
        <v>1.14</v>
      </c>
      <c r="D327" s="2">
        <f>IFERROR(__xludf.DUMMYFUNCTION("""COMPUTED_VALUE"""),0.008190000000000001)</f>
        <v>0.00819</v>
      </c>
      <c r="E327" s="2">
        <f>IFERROR(__xludf.DUMMYFUNCTION("""COMPUTED_VALUE"""),2308.6)</f>
        <v>2308.6</v>
      </c>
      <c r="F327" s="2">
        <f>IFERROR(__xludf.DUMMYFUNCTION("""COMPUTED_VALUE"""),2660.0)</f>
        <v>2660</v>
      </c>
      <c r="G327" s="2">
        <f>IFERROR(__xludf.DUMMYFUNCTION("""COMPUTED_VALUE"""),3349.0)</f>
        <v>3349</v>
      </c>
      <c r="H327" s="2">
        <f>IFERROR(__xludf.DUMMYFUNCTION("""COMPUTED_VALUE"""),3761.0)</f>
        <v>3761</v>
      </c>
      <c r="I327" s="2">
        <f>IFERROR(__xludf.DUMMYFUNCTION("""COMPUTED_VALUE"""),4173.0)</f>
        <v>4173</v>
      </c>
      <c r="J327" s="2">
        <f>IFERROR(__xludf.DUMMYFUNCTION("""COMPUTED_VALUE"""),2087.0)</f>
        <v>2087</v>
      </c>
      <c r="K327" s="2">
        <f>IFERROR(__xludf.DUMMYFUNCTION("""COMPUTED_VALUE"""),15.0)</f>
        <v>15</v>
      </c>
      <c r="L327" s="2" t="str">
        <f>IFERROR(__xludf.DUMMYFUNCTION("""COMPUTED_VALUE"""),"Office Special+ GLERIO (Офис Премиум)")</f>
        <v>Office Special+ GLERIO (Офис Премиум)</v>
      </c>
      <c r="M327" s="2" t="str">
        <f>IFERROR(__xludf.DUMMYFUNCTION("""COMPUTED_VALUE"""),"С равномерной засветкой, LED Светильники")</f>
        <v>С равномерной засветкой, LED Светильники</v>
      </c>
    </row>
    <row r="328">
      <c r="A328" s="5" t="str">
        <f>IFERROR(__xludf.DUMMYFUNCTION("""COMPUTED_VALUE"""),"GL8273")</f>
        <v>GL8273</v>
      </c>
      <c r="B328" s="5" t="str">
        <f>IFERROR(__xludf.DUMMYFUNCTION("""COMPUTED_VALUE"""),"GLERIO Line Free 36 Вт 4000К 93P-36D-4P-K")</f>
        <v>GLERIO Line Free 36 Вт 4000К 93P-36D-4P-K</v>
      </c>
      <c r="C328" s="2">
        <f>IFERROR(__xludf.DUMMYFUNCTION("""COMPUTED_VALUE"""),0.5)</f>
        <v>0.5</v>
      </c>
      <c r="D328" s="2">
        <f>IFERROR(__xludf.DUMMYFUNCTION("""COMPUTED_VALUE"""),0.00396)</f>
        <v>0.00396</v>
      </c>
      <c r="E328" s="2">
        <f>IFERROR(__xludf.DUMMYFUNCTION("""COMPUTED_VALUE"""),1823.9)</f>
        <v>1823.9</v>
      </c>
      <c r="F328" s="2">
        <f>IFERROR(__xludf.DUMMYFUNCTION("""COMPUTED_VALUE"""),2150.0)</f>
        <v>2150</v>
      </c>
      <c r="G328" s="2">
        <f>IFERROR(__xludf.DUMMYFUNCTION("""COMPUTED_VALUE"""),2707.0)</f>
        <v>2707</v>
      </c>
      <c r="H328" s="2">
        <f>IFERROR(__xludf.DUMMYFUNCTION("""COMPUTED_VALUE"""),3040.0)</f>
        <v>3040</v>
      </c>
      <c r="I328" s="2">
        <f>IFERROR(__xludf.DUMMYFUNCTION("""COMPUTED_VALUE"""),3373.0)</f>
        <v>3373</v>
      </c>
      <c r="J328" s="2">
        <f>IFERROR(__xludf.DUMMYFUNCTION("""COMPUTED_VALUE"""),2150.0)</f>
        <v>2150</v>
      </c>
      <c r="K328" s="2">
        <f>IFERROR(__xludf.DUMMYFUNCTION("""COMPUTED_VALUE"""),1.0)</f>
        <v>1</v>
      </c>
      <c r="L328" s="2" t="str">
        <f>IFERROR(__xludf.DUMMYFUNCTION("""COMPUTED_VALUE"""),"Line Shell, Free (Retail) до 10.2025")</f>
        <v>Line Shell, Free (Retail) до 10.2025</v>
      </c>
      <c r="M328" s="2" t="str">
        <f>IFERROR(__xludf.DUMMYFUNCTION("""COMPUTED_VALUE"""),"Пластиковые (линейные), LED Светильники")</f>
        <v>Пластиковые (линейные), LED Светильники</v>
      </c>
    </row>
    <row r="329">
      <c r="A329" s="5" t="str">
        <f>IFERROR(__xludf.DUMMYFUNCTION("""COMPUTED_VALUE"""),"4690612042718")</f>
        <v>4690612042718</v>
      </c>
      <c r="B329" s="5" t="str">
        <f>IFERROR(__xludf.DUMMYFUNCTION("""COMPUTED_VALUE"""),"ДВО-01 4040-ОПАЛ 40Вт 230В 4000К 3600Лм 180х1195х25мм NEOX")</f>
        <v>ДВО-01 4040-ОПАЛ 40Вт 230В 4000К 3600Лм 180х1195х25мм NEOX</v>
      </c>
      <c r="C329" s="2">
        <f>IFERROR(__xludf.DUMMYFUNCTION("""COMPUTED_VALUE"""),4.800000000000001)</f>
        <v>4.8</v>
      </c>
      <c r="D329" s="2">
        <f>IFERROR(__xludf.DUMMYFUNCTION("""COMPUTED_VALUE"""),0.032)</f>
        <v>0.032</v>
      </c>
      <c r="E329" s="2">
        <f>IFERROR(__xludf.DUMMYFUNCTION("""COMPUTED_VALUE"""),625.2)</f>
        <v>625.2</v>
      </c>
      <c r="F329" s="2">
        <f>IFERROR(__xludf.DUMMYFUNCTION("""COMPUTED_VALUE"""),818.0)</f>
        <v>818</v>
      </c>
      <c r="G329" s="2">
        <f>IFERROR(__xludf.DUMMYFUNCTION("""COMPUTED_VALUE"""),920.0)</f>
        <v>920</v>
      </c>
      <c r="H329" s="2">
        <f>IFERROR(__xludf.DUMMYFUNCTION("""COMPUTED_VALUE"""),1067.0)</f>
        <v>1067</v>
      </c>
      <c r="I329" s="2">
        <f>IFERROR(__xludf.DUMMYFUNCTION("""COMPUTED_VALUE"""),1227.0)</f>
        <v>1227</v>
      </c>
      <c r="J329" s="2">
        <f>IFERROR(__xludf.DUMMYFUNCTION("""COMPUTED_VALUE"""),614.0)</f>
        <v>614</v>
      </c>
      <c r="K329" s="2">
        <f>IFERROR(__xludf.DUMMYFUNCTION("""COMPUTED_VALUE"""),29.0)</f>
        <v>29</v>
      </c>
      <c r="L329" s="2" t="str">
        <f>IFERROR(__xludf.DUMMYFUNCTION("""COMPUTED_VALUE"""),"NEOX Светильники LED ДВО")</f>
        <v>NEOX Светильники LED ДВО</v>
      </c>
      <c r="M329" s="2" t="str">
        <f>IFERROR(__xludf.DUMMYFUNCTION("""COMPUTED_VALUE"""),"С равномерной засветкой, С равномерной засветкой, LED Светильники")</f>
        <v>С равномерной засветкой, С равномерной засветкой, LED Светильники</v>
      </c>
    </row>
    <row r="330">
      <c r="A330" s="5" t="str">
        <f>IFERROR(__xludf.DUMMYFUNCTION("""COMPUTED_VALUE"""),"CS30")</f>
        <v>CS30</v>
      </c>
      <c r="B330" s="5" t="str">
        <f>IFERROR(__xludf.DUMMYFUNCTION("""COMPUTED_VALUE"""),"Лампа светодиодная, 18W 230V G13 4000К ТВ, SBT1218")</f>
        <v>Лампа светодиодная, 18W 230V G13 4000К ТВ, SBT1218</v>
      </c>
      <c r="C330" s="2">
        <f>IFERROR(__xludf.DUMMYFUNCTION("""COMPUTED_VALUE"""),0.0)</f>
        <v>0</v>
      </c>
      <c r="D330" s="2">
        <f>IFERROR(__xludf.DUMMYFUNCTION("""COMPUTED_VALUE"""),0.0)</f>
        <v>0</v>
      </c>
      <c r="E330" s="2">
        <f>IFERROR(__xludf.DUMMYFUNCTION("""COMPUTED_VALUE"""),92.47)</f>
        <v>92.47</v>
      </c>
      <c r="F330" s="2">
        <f>IFERROR(__xludf.DUMMYFUNCTION("""COMPUTED_VALUE"""),50.0)</f>
        <v>50</v>
      </c>
      <c r="G330" s="2">
        <f>IFERROR(__xludf.DUMMYFUNCTION("""COMPUTED_VALUE"""),53.0)</f>
        <v>53</v>
      </c>
      <c r="H330" s="2">
        <f>IFERROR(__xludf.DUMMYFUNCTION("""COMPUTED_VALUE"""),60.0)</f>
        <v>60</v>
      </c>
      <c r="I330" s="2">
        <f>IFERROR(__xludf.DUMMYFUNCTION("""COMPUTED_VALUE"""),66.24)</f>
        <v>66.24</v>
      </c>
      <c r="J330" s="2">
        <f>IFERROR(__xludf.DUMMYFUNCTION("""COMPUTED_VALUE"""),33.0)</f>
        <v>33</v>
      </c>
      <c r="K330" s="2">
        <f>IFERROR(__xludf.DUMMYFUNCTION("""COMPUTED_VALUE"""),45.0)</f>
        <v>45</v>
      </c>
      <c r="L330" s="2" t="str">
        <f>IFERROR(__xludf.DUMMYFUNCTION("""COMPUTED_VALUE"""),"CS")</f>
        <v>CS</v>
      </c>
      <c r="M330" s="2" t="str">
        <f>IFERROR(__xludf.DUMMYFUNCTION("""COMPUTED_VALUE"""),"LED Светильники")</f>
        <v>LED Светильники</v>
      </c>
    </row>
    <row r="331">
      <c r="A331" s="5" t="str">
        <f>IFERROR(__xludf.DUMMYFUNCTION("""COMPUTED_VALUE"""),"4260652193208")</f>
        <v>4260652193208</v>
      </c>
      <c r="B331" s="5" t="str">
        <f>IFERROR(__xludf.DUMMYFUNCTION("""COMPUTED_VALUE"""),"LCL04-8W-R01-6K")</f>
        <v>LCL04-8W-R01-6K</v>
      </c>
      <c r="C331" s="2">
        <f>IFERROR(__xludf.DUMMYFUNCTION("""COMPUTED_VALUE"""),0.09000000000000001)</f>
        <v>0.09</v>
      </c>
      <c r="D331" s="2">
        <f>IFERROR(__xludf.DUMMYFUNCTION("""COMPUTED_VALUE"""),0.05180000000000001)</f>
        <v>0.0518</v>
      </c>
      <c r="E331" s="2">
        <f>IFERROR(__xludf.DUMMYFUNCTION("""COMPUTED_VALUE"""),192.53)</f>
        <v>192.53</v>
      </c>
      <c r="F331" s="2">
        <f>IFERROR(__xludf.DUMMYFUNCTION("""COMPUTED_VALUE"""),179.0)</f>
        <v>179</v>
      </c>
      <c r="G331" s="2">
        <f>IFERROR(__xludf.DUMMYFUNCTION("""COMPUTED_VALUE"""),185.0)</f>
        <v>185</v>
      </c>
      <c r="H331" s="2">
        <f>IFERROR(__xludf.DUMMYFUNCTION("""COMPUTED_VALUE"""),242.0)</f>
        <v>242</v>
      </c>
      <c r="I331" s="2">
        <f>IFERROR(__xludf.DUMMYFUNCTION("""COMPUTED_VALUE"""),303.0)</f>
        <v>303</v>
      </c>
      <c r="J331" s="2">
        <f>IFERROR(__xludf.DUMMYFUNCTION("""COMPUTED_VALUE"""),185.0)</f>
        <v>185</v>
      </c>
      <c r="K331" s="2">
        <f>IFERROR(__xludf.DUMMYFUNCTION("""COMPUTED_VALUE"""),106.0)</f>
        <v>106</v>
      </c>
      <c r="L331" s="2" t="str">
        <f>IFERROR(__xludf.DUMMYFUNCTION("""COMPUTED_VALUE"""),"Wolta ЖКХ")</f>
        <v>Wolta ЖКХ</v>
      </c>
      <c r="M331" s="2" t="str">
        <f>IFERROR(__xludf.DUMMYFUNCTION("""COMPUTED_VALUE"""),"Для ЖКХ, дома, дачи, LED Светильники")</f>
        <v>Для ЖКХ, дома, дачи, LED Светильники</v>
      </c>
    </row>
    <row r="332">
      <c r="A332" s="5" t="str">
        <f>IFERROR(__xludf.DUMMYFUNCTION("""COMPUTED_VALUE"""),"V1046")</f>
        <v>V1046</v>
      </c>
      <c r="B332" s="5" t="str">
        <f>IFERROR(__xludf.DUMMYFUNCTION("""COMPUTED_VALUE"""),"VRN-UN-48D-G50K67-UV, 48Вт, Галочка")</f>
        <v>VRN-UN-48D-G50K67-UV, 48Вт, Галочка</v>
      </c>
      <c r="C332" s="2">
        <f>IFERROR(__xludf.DUMMYFUNCTION("""COMPUTED_VALUE"""),1.85)</f>
        <v>1.85</v>
      </c>
      <c r="D332" s="2">
        <f>IFERROR(__xludf.DUMMYFUNCTION("""COMPUTED_VALUE"""),0.0085)</f>
        <v>0.0085</v>
      </c>
      <c r="E332" s="2">
        <f>IFERROR(__xludf.DUMMYFUNCTION("""COMPUTED_VALUE"""),3781.0)</f>
        <v>3781</v>
      </c>
      <c r="F332" s="2">
        <f>IFERROR(__xludf.DUMMYFUNCTION("""COMPUTED_VALUE"""),4465.0)</f>
        <v>4465</v>
      </c>
      <c r="G332" s="2">
        <f>IFERROR(__xludf.DUMMYFUNCTION("""COMPUTED_VALUE"""),5805.0)</f>
        <v>5805</v>
      </c>
      <c r="H332" s="2">
        <f>IFERROR(__xludf.DUMMYFUNCTION("""COMPUTED_VALUE"""),6095.0)</f>
        <v>6095</v>
      </c>
      <c r="I332" s="2">
        <f>IFERROR(__xludf.DUMMYFUNCTION("""COMPUTED_VALUE"""),6385.0)</f>
        <v>6385</v>
      </c>
      <c r="J332" s="2">
        <f>IFERROR(__xludf.DUMMYFUNCTION("""COMPUTED_VALUE"""),6095.0)</f>
        <v>6095</v>
      </c>
      <c r="K332" s="2">
        <f>IFERROR(__xludf.DUMMYFUNCTION("""COMPUTED_VALUE"""),0.0)</f>
        <v>0</v>
      </c>
      <c r="L332" s="2" t="str">
        <f>IFERROR(__xludf.DUMMYFUNCTION("""COMPUTED_VALUE"""),"Универсал")</f>
        <v>Универсал</v>
      </c>
      <c r="M332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333">
      <c r="A333" s="5" t="str">
        <f>IFERROR(__xludf.DUMMYFUNCTION("""COMPUTED_VALUE"""),"4690626067448")</f>
        <v>4690626067448</v>
      </c>
      <c r="B333" s="5" t="str">
        <f>IFERROR(__xludf.DUMMYFUNCTION("""COMPUTED_VALUE"""),"SL3 Smartbuy-70w/6000K/IP65 (SBL-SL3-70-6K)")</f>
        <v>SL3 Smartbuy-70w/6000K/IP65 (SBL-SL3-70-6K)</v>
      </c>
      <c r="C333" s="2">
        <f>IFERROR(__xludf.DUMMYFUNCTION("""COMPUTED_VALUE"""),1.0)</f>
        <v>1</v>
      </c>
      <c r="D333" s="2">
        <f>IFERROR(__xludf.DUMMYFUNCTION("""COMPUTED_VALUE"""),0.0036)</f>
        <v>0.0036</v>
      </c>
      <c r="E333" s="2">
        <f>IFERROR(__xludf.DUMMYFUNCTION("""COMPUTED_VALUE"""),908.46)</f>
        <v>908.46</v>
      </c>
      <c r="F333" s="2">
        <f>IFERROR(__xludf.DUMMYFUNCTION("""COMPUTED_VALUE"""),1009.0)</f>
        <v>1009</v>
      </c>
      <c r="G333" s="2">
        <f>IFERROR(__xludf.DUMMYFUNCTION("""COMPUTED_VALUE"""),1107.0)</f>
        <v>1107</v>
      </c>
      <c r="H333" s="2">
        <f>IFERROR(__xludf.DUMMYFUNCTION("""COMPUTED_VALUE"""),1230.0)</f>
        <v>1230</v>
      </c>
      <c r="I333" s="2">
        <f>IFERROR(__xludf.DUMMYFUNCTION("""COMPUTED_VALUE"""),1353.0)</f>
        <v>1353</v>
      </c>
      <c r="J333" s="2">
        <f>IFERROR(__xludf.DUMMYFUNCTION("""COMPUTED_VALUE"""),1353.0)</f>
        <v>1353</v>
      </c>
      <c r="K333" s="2">
        <f>IFERROR(__xludf.DUMMYFUNCTION("""COMPUTED_VALUE"""),5.0)</f>
        <v>5</v>
      </c>
      <c r="L333" s="2" t="str">
        <f>IFERROR(__xludf.DUMMYFUNCTION("""COMPUTED_VALUE"""),"Smartbuy LED светильники")</f>
        <v>Smartbuy LED светильники</v>
      </c>
      <c r="M333" s="2" t="str">
        <f>IFERROR(__xludf.DUMMYFUNCTION("""COMPUTED_VALUE"""),"Для обычных дорог, Для автомагистралей, LED Светильники")</f>
        <v>Для обычных дорог, Для автомагистралей, LED Светильники</v>
      </c>
    </row>
    <row r="334">
      <c r="A334" s="5" t="str">
        <f>IFERROR(__xludf.DUMMYFUNCTION("""COMPUTED_VALUE"""),"12-0152")</f>
        <v>12-0152</v>
      </c>
      <c r="B334" s="5" t="str">
        <f>IFERROR(__xludf.DUMMYFUNCTION("""COMPUTED_VALUE"""),"Паяльная станция (160-500 град.) 220 V/48 Вт REXANT")</f>
        <v>Паяльная станция (160-500 град.) 220 V/48 Вт REXANT</v>
      </c>
      <c r="C334" s="2">
        <f>IFERROR(__xludf.DUMMYFUNCTION("""COMPUTED_VALUE"""),0.0)</f>
        <v>0</v>
      </c>
      <c r="D334" s="2">
        <f>IFERROR(__xludf.DUMMYFUNCTION("""COMPUTED_VALUE"""),0.0)</f>
        <v>0</v>
      </c>
      <c r="E334" s="2">
        <f>IFERROR(__xludf.DUMMYFUNCTION("""COMPUTED_VALUE"""),1.0)</f>
        <v>1</v>
      </c>
      <c r="F334" s="2">
        <f>IFERROR(__xludf.DUMMYFUNCTION("""COMPUTED_VALUE"""),2337.0)</f>
        <v>2337</v>
      </c>
      <c r="G334" s="2">
        <f>IFERROR(__xludf.DUMMYFUNCTION("""COMPUTED_VALUE"""),2493.0)</f>
        <v>2493</v>
      </c>
      <c r="H334" s="2">
        <f>IFERROR(__xludf.DUMMYFUNCTION("""COMPUTED_VALUE"""),2804.0)</f>
        <v>2804</v>
      </c>
      <c r="I334" s="2">
        <f>IFERROR(__xludf.DUMMYFUNCTION("""COMPUTED_VALUE"""),3115.68)</f>
        <v>3115.68</v>
      </c>
      <c r="J334" s="2">
        <f>IFERROR(__xludf.DUMMYFUNCTION("""COMPUTED_VALUE"""),2337.0)</f>
        <v>2337</v>
      </c>
      <c r="K334" s="2">
        <f>IFERROR(__xludf.DUMMYFUNCTION("""COMPUTED_VALUE"""),1.0)</f>
        <v>1</v>
      </c>
      <c r="L334" s="2" t="str">
        <f>IFERROR(__xludf.DUMMYFUNCTION("""COMPUTED_VALUE"""),"Rexant")</f>
        <v>Rexant</v>
      </c>
      <c r="M334" s="2" t="str">
        <f>IFERROR(__xludf.DUMMYFUNCTION("""COMPUTED_VALUE"""),"Прочие товары")</f>
        <v>Прочие товары</v>
      </c>
    </row>
    <row r="335">
      <c r="A335" s="5" t="str">
        <f>IFERROR(__xludf.DUMMYFUNCTION("""COMPUTED_VALUE"""),"ves037")</f>
        <v>ves037</v>
      </c>
      <c r="B335" s="5" t="str">
        <f>IFERROR(__xludf.DUMMYFUNCTION("""COMPUTED_VALUE"""),"Светильник светодиодный AM-PL-36W")</f>
        <v>Светильник светодиодный AM-PL-36W</v>
      </c>
      <c r="C335" s="2">
        <f>IFERROR(__xludf.DUMMYFUNCTION("""COMPUTED_VALUE"""),0.0)</f>
        <v>0</v>
      </c>
      <c r="D335" s="2">
        <f>IFERROR(__xludf.DUMMYFUNCTION("""COMPUTED_VALUE"""),0.0)</f>
        <v>0</v>
      </c>
      <c r="E335" s="2">
        <f>IFERROR(__xludf.DUMMYFUNCTION("""COMPUTED_VALUE"""),1200.0)</f>
        <v>1200</v>
      </c>
      <c r="F335" s="2">
        <f>IFERROR(__xludf.DUMMYFUNCTION("""COMPUTED_VALUE"""),1485.0)</f>
        <v>1485</v>
      </c>
      <c r="G335" s="2">
        <f>IFERROR(__xludf.DUMMYFUNCTION("""COMPUTED_VALUE"""),1584.0)</f>
        <v>1584</v>
      </c>
      <c r="H335" s="2">
        <f>IFERROR(__xludf.DUMMYFUNCTION("""COMPUTED_VALUE"""),1782.0)</f>
        <v>1782</v>
      </c>
      <c r="I335" s="2">
        <f>IFERROR(__xludf.DUMMYFUNCTION("""COMPUTED_VALUE"""),1980.0)</f>
        <v>1980</v>
      </c>
      <c r="J335" s="2">
        <f>IFERROR(__xludf.DUMMYFUNCTION("""COMPUTED_VALUE"""),990.0)</f>
        <v>990</v>
      </c>
      <c r="K335" s="2">
        <f>IFERROR(__xludf.DUMMYFUNCTION("""COMPUTED_VALUE"""),50.0)</f>
        <v>50</v>
      </c>
      <c r="L335" s="2" t="str">
        <f>IFERROR(__xludf.DUMMYFUNCTION("""COMPUTED_VALUE"""),"ves")</f>
        <v>ves</v>
      </c>
      <c r="M335" s="2" t="str">
        <f>IFERROR(__xludf.DUMMYFUNCTION("""COMPUTED_VALUE"""),"LED Светильники")</f>
        <v>LED Светильники</v>
      </c>
    </row>
    <row r="336">
      <c r="A336" s="5" t="str">
        <f>IFERROR(__xludf.DUMMYFUNCTION("""COMPUTED_VALUE"""),"4690612030791")</f>
        <v>4690612030791</v>
      </c>
      <c r="B336" s="5" t="str">
        <f>IFERROR(__xludf.DUMMYFUNCTION("""COMPUTED_VALUE"""),"LED-GX53-VC 6Вт 230В 4000К 570Лм IN HOME")</f>
        <v>LED-GX53-VC 6Вт 230В 4000К 570Лм IN HOME</v>
      </c>
      <c r="C336" s="2">
        <f>IFERROR(__xludf.DUMMYFUNCTION("""COMPUTED_VALUE"""),0.033)</f>
        <v>0.033</v>
      </c>
      <c r="D336" s="2">
        <f>IFERROR(__xludf.DUMMYFUNCTION("""COMPUTED_VALUE"""),2.1E-4)</f>
        <v>0.00021</v>
      </c>
      <c r="E336" s="2">
        <f>IFERROR(__xludf.DUMMYFUNCTION("""COMPUTED_VALUE"""),32.4)</f>
        <v>32.4</v>
      </c>
      <c r="F336" s="2">
        <f>IFERROR(__xludf.DUMMYFUNCTION("""COMPUTED_VALUE"""),31.0)</f>
        <v>31</v>
      </c>
      <c r="G336" s="2">
        <f>IFERROR(__xludf.DUMMYFUNCTION("""COMPUTED_VALUE"""),35.0)</f>
        <v>35</v>
      </c>
      <c r="H336" s="2">
        <f>IFERROR(__xludf.DUMMYFUNCTION("""COMPUTED_VALUE"""),40.0)</f>
        <v>40</v>
      </c>
      <c r="I336" s="2">
        <f>IFERROR(__xludf.DUMMYFUNCTION("""COMPUTED_VALUE"""),46.5)</f>
        <v>46.5</v>
      </c>
      <c r="J336" s="2">
        <f>IFERROR(__xludf.DUMMYFUNCTION("""COMPUTED_VALUE"""),23.0)</f>
        <v>23</v>
      </c>
      <c r="K336" s="2">
        <f>IFERROR(__xludf.DUMMYFUNCTION("""COMPUTED_VALUE"""),118.0)</f>
        <v>118</v>
      </c>
      <c r="L336" s="2" t="str">
        <f>IFERROR(__xludf.DUMMYFUNCTION("""COMPUTED_VALUE"""),"Лампа светодиодная LED-GX53-standard")</f>
        <v>Лампа светодиодная LED-GX53-standard</v>
      </c>
      <c r="M336" s="2" t="str">
        <f>IFERROR(__xludf.DUMMYFUNCTION("""COMPUTED_VALUE"""),"Лампы")</f>
        <v>Лампы</v>
      </c>
    </row>
    <row r="337">
      <c r="A337" s="5" t="str">
        <f>IFERROR(__xludf.DUMMYFUNCTION("""COMPUTED_VALUE"""),"4690612042336-2")</f>
        <v>4690612042336-2</v>
      </c>
      <c r="B337" s="5" t="str">
        <f>IFERROR(__xludf.DUMMYFUNCTION("""COMPUTED_VALUE"""),"ДВО-01 4065-ОПАЛ 40Вт 230В 6500К 3600Лм 180х1195х25мм NEOX (2 штуки в упаковке)")</f>
        <v>ДВО-01 4065-ОПАЛ 40Вт 230В 6500К 3600Лм 180х1195х25мм NEOX (2 штуки в упаковке)</v>
      </c>
      <c r="C337" s="2">
        <f>IFERROR(__xludf.DUMMYFUNCTION("""COMPUTED_VALUE"""),1.36)</f>
        <v>1.36</v>
      </c>
      <c r="D337" s="2">
        <f>IFERROR(__xludf.DUMMYFUNCTION("""COMPUTED_VALUE"""),0.0)</f>
        <v>0</v>
      </c>
      <c r="E337" s="2">
        <f>IFERROR(__xludf.DUMMYFUNCTION("""COMPUTED_VALUE"""),1591.35)</f>
        <v>1591.35</v>
      </c>
      <c r="F337" s="2">
        <f>IFERROR(__xludf.DUMMYFUNCTION("""COMPUTED_VALUE"""),1746.0)</f>
        <v>1746</v>
      </c>
      <c r="G337" s="2">
        <f>IFERROR(__xludf.DUMMYFUNCTION("""COMPUTED_VALUE"""),2291.0)</f>
        <v>2291</v>
      </c>
      <c r="H337" s="2">
        <f>IFERROR(__xludf.DUMMYFUNCTION("""COMPUTED_VALUE"""),2578.0)</f>
        <v>2578</v>
      </c>
      <c r="I337" s="2">
        <f>IFERROR(__xludf.DUMMYFUNCTION("""COMPUTED_VALUE"""),2864.0)</f>
        <v>2864</v>
      </c>
      <c r="J337" s="2">
        <f>IFERROR(__xludf.DUMMYFUNCTION("""COMPUTED_VALUE"""),1432.0)</f>
        <v>1432</v>
      </c>
      <c r="K337" s="2">
        <f>IFERROR(__xludf.DUMMYFUNCTION("""COMPUTED_VALUE"""),10.0)</f>
        <v>10</v>
      </c>
      <c r="L337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337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338">
      <c r="A338" s="5" t="str">
        <f>IFERROR(__xludf.DUMMYFUNCTION("""COMPUTED_VALUE"""),"G33127T")</f>
        <v>G33127T</v>
      </c>
      <c r="B338" s="5" t="str">
        <f>IFERROR(__xludf.DUMMYFUNCTION("""COMPUTED_VALUE"""),"Elementary Candle 7W E14 4100K 1/40 (3 лампы в упаковке)")</f>
        <v>Elementary Candle 7W E14 4100K 1/40 (3 лампы в упаковке)</v>
      </c>
      <c r="C338" s="2">
        <f>IFERROR(__xludf.DUMMYFUNCTION("""COMPUTED_VALUE"""),0.0)</f>
        <v>0</v>
      </c>
      <c r="D338" s="2">
        <f>IFERROR(__xludf.DUMMYFUNCTION("""COMPUTED_VALUE"""),0.0)</f>
        <v>0</v>
      </c>
      <c r="E338" s="2">
        <f>IFERROR(__xludf.DUMMYFUNCTION("""COMPUTED_VALUE"""),94.9)</f>
        <v>94.9</v>
      </c>
      <c r="F338" s="2">
        <f>IFERROR(__xludf.DUMMYFUNCTION("""COMPUTED_VALUE"""),128.0)</f>
        <v>128</v>
      </c>
      <c r="G338" s="2">
        <f>IFERROR(__xludf.DUMMYFUNCTION("""COMPUTED_VALUE"""),141.0)</f>
        <v>141</v>
      </c>
      <c r="H338" s="2">
        <f>IFERROR(__xludf.DUMMYFUNCTION("""COMPUTED_VALUE"""),166.0)</f>
        <v>166</v>
      </c>
      <c r="I338" s="2">
        <f>IFERROR(__xludf.DUMMYFUNCTION("""COMPUTED_VALUE"""),210.0)</f>
        <v>210</v>
      </c>
      <c r="J338" s="2">
        <f>IFERROR(__xludf.DUMMYFUNCTION("""COMPUTED_VALUE"""),105.0)</f>
        <v>105</v>
      </c>
      <c r="K338" s="2">
        <f>IFERROR(__xludf.DUMMYFUNCTION("""COMPUTED_VALUE"""),18.0)</f>
        <v>18</v>
      </c>
      <c r="L338" s="2" t="str">
        <f>IFERROR(__xludf.DUMMYFUNCTION("""COMPUTED_VALUE"""),"Комплекты Gauss Elementary (x2, x3)")</f>
        <v>Комплекты Gauss Elementary (x2, x3)</v>
      </c>
      <c r="M338" s="2" t="str">
        <f>IFERROR(__xludf.DUMMYFUNCTION("""COMPUTED_VALUE"""),"Лампы")</f>
        <v>Лампы</v>
      </c>
    </row>
    <row r="339">
      <c r="A339" s="5" t="str">
        <f>IFERROR(__xludf.DUMMYFUNCTION("""COMPUTED_VALUE"""),"GL8213")</f>
        <v>GL8213</v>
      </c>
      <c r="B339" s="5" t="str">
        <f>IFERROR(__xludf.DUMMYFUNCTION("""COMPUTED_VALUE"""),"GLERIO Line 12 Вт 4000К 91P-12D-4N-K")</f>
        <v>GLERIO Line 12 Вт 4000К 91P-12D-4N-K</v>
      </c>
      <c r="C339" s="2">
        <f>IFERROR(__xludf.DUMMYFUNCTION("""COMPUTED_VALUE"""),0.3)</f>
        <v>0.3</v>
      </c>
      <c r="D339" s="2">
        <f>IFERROR(__xludf.DUMMYFUNCTION("""COMPUTED_VALUE"""),0.00195)</f>
        <v>0.00195</v>
      </c>
      <c r="E339" s="2">
        <f>IFERROR(__xludf.DUMMYFUNCTION("""COMPUTED_VALUE"""),921.5)</f>
        <v>921.5</v>
      </c>
      <c r="F339" s="2">
        <f>IFERROR(__xludf.DUMMYFUNCTION("""COMPUTED_VALUE"""),1070.0)</f>
        <v>1070</v>
      </c>
      <c r="G339" s="2">
        <f>IFERROR(__xludf.DUMMYFUNCTION("""COMPUTED_VALUE"""),1347.0)</f>
        <v>1347</v>
      </c>
      <c r="H339" s="2">
        <f>IFERROR(__xludf.DUMMYFUNCTION("""COMPUTED_VALUE"""),1513.0)</f>
        <v>1513</v>
      </c>
      <c r="I339" s="2">
        <f>IFERROR(__xludf.DUMMYFUNCTION("""COMPUTED_VALUE"""),1679.0)</f>
        <v>1679</v>
      </c>
      <c r="J339" s="2">
        <f>IFERROR(__xludf.DUMMYFUNCTION("""COMPUTED_VALUE"""),1347.0)</f>
        <v>1347</v>
      </c>
      <c r="K339" s="2">
        <f>IFERROR(__xludf.DUMMYFUNCTION("""COMPUTED_VALUE"""),2.0)</f>
        <v>2</v>
      </c>
      <c r="L339" s="2" t="str">
        <f>IFERROR(__xludf.DUMMYFUNCTION("""COMPUTED_VALUE"""),"Line (Айсберг) до 10.2025")</f>
        <v>Line (Айсберг) до 10.2025</v>
      </c>
      <c r="M339" s="2" t="str">
        <f>IFERROR(__xludf.DUMMYFUNCTION("""COMPUTED_VALUE"""),"Пластиковые (линейные), LED Светильники")</f>
        <v>Пластиковые (линейные), LED Светильники</v>
      </c>
    </row>
    <row r="340">
      <c r="A340" s="5" t="str">
        <f>IFERROR(__xludf.DUMMYFUNCTION("""COMPUTED_VALUE"""),"GL8232")</f>
        <v>GL8232</v>
      </c>
      <c r="B340" s="5" t="str">
        <f>IFERROR(__xludf.DUMMYFUNCTION("""COMPUTED_VALUE"""),"GLERIO Line 36 Вт 4000К 91P-36D-4N-MP")</f>
        <v>GLERIO Line 36 Вт 4000К 91P-36D-4N-MP</v>
      </c>
      <c r="C340" s="2">
        <f>IFERROR(__xludf.DUMMYFUNCTION("""COMPUTED_VALUE"""),0.5)</f>
        <v>0.5</v>
      </c>
      <c r="D340" s="2">
        <f>IFERROR(__xludf.DUMMYFUNCTION("""COMPUTED_VALUE"""),0.00396)</f>
        <v>0.00396</v>
      </c>
      <c r="E340" s="2">
        <f>IFERROR(__xludf.DUMMYFUNCTION("""COMPUTED_VALUE"""),2007.67)</f>
        <v>2007.67</v>
      </c>
      <c r="F340" s="2">
        <f>IFERROR(__xludf.DUMMYFUNCTION("""COMPUTED_VALUE"""),2310.0)</f>
        <v>2310</v>
      </c>
      <c r="G340" s="2">
        <f>IFERROR(__xludf.DUMMYFUNCTION("""COMPUTED_VALUE"""),2908.0)</f>
        <v>2908</v>
      </c>
      <c r="H340" s="2">
        <f>IFERROR(__xludf.DUMMYFUNCTION("""COMPUTED_VALUE"""),3266.0)</f>
        <v>3266</v>
      </c>
      <c r="I340" s="2">
        <f>IFERROR(__xludf.DUMMYFUNCTION("""COMPUTED_VALUE"""),3624.0)</f>
        <v>3624</v>
      </c>
      <c r="J340" s="2">
        <f>IFERROR(__xludf.DUMMYFUNCTION("""COMPUTED_VALUE"""),3624.0)</f>
        <v>3624</v>
      </c>
      <c r="K340" s="2">
        <f>IFERROR(__xludf.DUMMYFUNCTION("""COMPUTED_VALUE"""),8.0)</f>
        <v>8</v>
      </c>
      <c r="L340" s="2" t="str">
        <f>IFERROR(__xludf.DUMMYFUNCTION("""COMPUTED_VALUE"""),"Line (Айсберг) до 10.2025")</f>
        <v>Line (Айсберг) до 10.2025</v>
      </c>
      <c r="M340" s="2" t="str">
        <f>IFERROR(__xludf.DUMMYFUNCTION("""COMPUTED_VALUE"""),"Пластиковые (линейные), LED Светильники")</f>
        <v>Пластиковые (линейные), LED Светильники</v>
      </c>
    </row>
    <row r="341">
      <c r="A341" s="5" t="str">
        <f>IFERROR(__xludf.DUMMYFUNCTION("""COMPUTED_VALUE"""),"4690612018935")</f>
        <v>4690612018935</v>
      </c>
      <c r="B341" s="5" t="str">
        <f>IFERROR(__xludf.DUMMYFUNCTION("""COMPUTED_VALUE"""),"ССП-155-PRO 18Вт 230В 4000К 1500Лм 600мм IP65 LLT")</f>
        <v>ССП-155-PRO 18Вт 230В 4000К 1500Лм 600мм IP65 LLT</v>
      </c>
      <c r="C341" s="2">
        <f>IFERROR(__xludf.DUMMYFUNCTION("""COMPUTED_VALUE"""),0.23)</f>
        <v>0.23</v>
      </c>
      <c r="D341" s="2">
        <f>IFERROR(__xludf.DUMMYFUNCTION("""COMPUTED_VALUE"""),0.0023)</f>
        <v>0.0023</v>
      </c>
      <c r="E341" s="2">
        <f>IFERROR(__xludf.DUMMYFUNCTION("""COMPUTED_VALUE"""),311.19)</f>
        <v>311.19</v>
      </c>
      <c r="F341" s="2">
        <f>IFERROR(__xludf.DUMMYFUNCTION("""COMPUTED_VALUE"""),303.0)</f>
        <v>303</v>
      </c>
      <c r="G341" s="2">
        <f>IFERROR(__xludf.DUMMYFUNCTION("""COMPUTED_VALUE"""),341.0)</f>
        <v>341</v>
      </c>
      <c r="H341" s="2">
        <f>IFERROR(__xludf.DUMMYFUNCTION("""COMPUTED_VALUE"""),396.0)</f>
        <v>396</v>
      </c>
      <c r="I341" s="2">
        <f>IFERROR(__xludf.DUMMYFUNCTION("""COMPUTED_VALUE"""),455.0)</f>
        <v>455</v>
      </c>
      <c r="J341" s="2">
        <f>IFERROR(__xludf.DUMMYFUNCTION("""COMPUTED_VALUE"""),228.0)</f>
        <v>228</v>
      </c>
      <c r="K341" s="2">
        <f>IFERROR(__xludf.DUMMYFUNCTION("""COMPUTED_VALUE"""),1.0)</f>
        <v>1</v>
      </c>
      <c r="L341" s="2" t="str">
        <f>IFERROR(__xludf.DUMMYFUNCTION("""COMPUTED_VALUE"""),"Светильники светодиодные ССП")</f>
        <v>Светильники светодиодные ССП</v>
      </c>
      <c r="M341" s="2" t="str">
        <f>IFERROR(__xludf.DUMMYFUNCTION("""COMPUTED_VALUE"""),"Пластиковые (линейные), Для ЖКХ, дома, дачи, LED Светильники")</f>
        <v>Пластиковые (линейные), Для ЖКХ, дома, дачи, LED Светильники</v>
      </c>
    </row>
    <row r="342">
      <c r="A342" s="5" t="str">
        <f>IFERROR(__xludf.DUMMYFUNCTION("""COMPUTED_VALUE"""),"4690612025964")</f>
        <v>4690612025964</v>
      </c>
      <c r="B342" s="5" t="str">
        <f>IFERROR(__xludf.DUMMYFUNCTION("""COMPUTED_VALUE"""),"DREAM-60D-ПУ 60Вт 230В 3000-6500K")</f>
        <v>DREAM-60D-ПУ 60Вт 230В 3000-6500K</v>
      </c>
      <c r="C342" s="2">
        <f>IFERROR(__xludf.DUMMYFUNCTION("""COMPUTED_VALUE"""),2.18)</f>
        <v>2.18</v>
      </c>
      <c r="D342" s="2">
        <f>IFERROR(__xludf.DUMMYFUNCTION("""COMPUTED_VALUE"""),0.0262)</f>
        <v>0.0262</v>
      </c>
      <c r="E342" s="2">
        <f>IFERROR(__xludf.DUMMYFUNCTION("""COMPUTED_VALUE"""),2251.3)</f>
        <v>2251.3</v>
      </c>
      <c r="F342" s="2">
        <f>IFERROR(__xludf.DUMMYFUNCTION("""COMPUTED_VALUE"""),2167.0)</f>
        <v>2167</v>
      </c>
      <c r="G342" s="2">
        <f>IFERROR(__xludf.DUMMYFUNCTION("""COMPUTED_VALUE"""),2438.0)</f>
        <v>2438</v>
      </c>
      <c r="H342" s="2">
        <f>IFERROR(__xludf.DUMMYFUNCTION("""COMPUTED_VALUE"""),2828.0)</f>
        <v>2828</v>
      </c>
      <c r="I342" s="2">
        <f>IFERROR(__xludf.DUMMYFUNCTION("""COMPUTED_VALUE"""),3250.0)</f>
        <v>3250</v>
      </c>
      <c r="J342" s="2">
        <f>IFERROR(__xludf.DUMMYFUNCTION("""COMPUTED_VALUE"""),1625.0)</f>
        <v>1625</v>
      </c>
      <c r="K342" s="2">
        <f>IFERROR(__xludf.DUMMYFUNCTION("""COMPUTED_VALUE"""),4.0)</f>
        <v>4</v>
      </c>
      <c r="L342" s="2" t="str">
        <f>IFERROR(__xludf.DUMMYFUNCTION("""COMPUTED_VALUE"""),"Светильники светодиодные COMFORT")</f>
        <v>Светильники светодиодные COMFORT</v>
      </c>
      <c r="M342" s="2" t="str">
        <f>IFERROR(__xludf.DUMMYFUNCTION("""COMPUTED_VALUE"""),"Накладные, LED Светильники")</f>
        <v>Накладные, LED Светильники</v>
      </c>
    </row>
    <row r="343">
      <c r="A343" s="5" t="str">
        <f>IFERROR(__xludf.DUMMYFUNCTION("""COMPUTED_VALUE"""),"4690612021966")</f>
        <v>4690612021966</v>
      </c>
      <c r="B343" s="5" t="str">
        <f>IFERROR(__xludf.DUMMYFUNCTION("""COMPUTED_VALUE"""),"DECO 18Вт 230В 4000К 1170Лм 230х55мм ОРИОН IN HOME")</f>
        <v>DECO 18Вт 230В 4000К 1170Лм 230х55мм ОРИОН IN HOME</v>
      </c>
      <c r="C343" s="2">
        <f>IFERROR(__xludf.DUMMYFUNCTION("""COMPUTED_VALUE"""),0.30833)</f>
        <v>0.30833</v>
      </c>
      <c r="D343" s="2">
        <f>IFERROR(__xludf.DUMMYFUNCTION("""COMPUTED_VALUE"""),0.00417)</f>
        <v>0.00417</v>
      </c>
      <c r="E343" s="2">
        <f>IFERROR(__xludf.DUMMYFUNCTION("""COMPUTED_VALUE"""),270.36)</f>
        <v>270.36</v>
      </c>
      <c r="F343" s="2">
        <f>IFERROR(__xludf.DUMMYFUNCTION("""COMPUTED_VALUE"""),321.0)</f>
        <v>321</v>
      </c>
      <c r="G343" s="2">
        <f>IFERROR(__xludf.DUMMYFUNCTION("""COMPUTED_VALUE"""),361.0)</f>
        <v>361</v>
      </c>
      <c r="H343" s="2">
        <f>IFERROR(__xludf.DUMMYFUNCTION("""COMPUTED_VALUE"""),418.0)</f>
        <v>418</v>
      </c>
      <c r="I343" s="2">
        <f>IFERROR(__xludf.DUMMYFUNCTION("""COMPUTED_VALUE"""),481.0)</f>
        <v>481</v>
      </c>
      <c r="J343" s="2">
        <f>IFERROR(__xludf.DUMMYFUNCTION("""COMPUTED_VALUE"""),241.0)</f>
        <v>241</v>
      </c>
      <c r="K343" s="2">
        <f>IFERROR(__xludf.DUMMYFUNCTION("""COMPUTED_VALUE"""),1.0)</f>
        <v>1</v>
      </c>
      <c r="L343" s="2" t="str">
        <f>IFERROR(__xludf.DUMMYFUNCTION("""COMPUTED_VALUE"""),"Светильник светодиодный серии DECO")</f>
        <v>Светильник светодиодный серии DECO</v>
      </c>
      <c r="M343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344">
      <c r="A344" s="5" t="str">
        <f>IFERROR(__xludf.DUMMYFUNCTION("""COMPUTED_VALUE"""),"4260760427738")</f>
        <v>4260760427738</v>
      </c>
      <c r="B344" s="5" t="str">
        <f>IFERROR(__xludf.DUMMYFUNCTION("""COMPUTED_VALUE"""),"LCL04-25W-R01-6K")</f>
        <v>LCL04-25W-R01-6K</v>
      </c>
      <c r="C344" s="2">
        <f>IFERROR(__xludf.DUMMYFUNCTION("""COMPUTED_VALUE"""),0.196)</f>
        <v>0.196</v>
      </c>
      <c r="D344" s="2">
        <f>IFERROR(__xludf.DUMMYFUNCTION("""COMPUTED_VALUE"""),0.0)</f>
        <v>0</v>
      </c>
      <c r="E344" s="2">
        <f>IFERROR(__xludf.DUMMYFUNCTION("""COMPUTED_VALUE"""),309.91)</f>
        <v>309.91</v>
      </c>
      <c r="F344" s="2">
        <f>IFERROR(__xludf.DUMMYFUNCTION("""COMPUTED_VALUE"""),476.0)</f>
        <v>476</v>
      </c>
      <c r="G344" s="2">
        <f>IFERROR(__xludf.DUMMYFUNCTION("""COMPUTED_VALUE"""),492.0)</f>
        <v>492</v>
      </c>
      <c r="H344" s="2">
        <f>IFERROR(__xludf.DUMMYFUNCTION("""COMPUTED_VALUE"""),646.0)</f>
        <v>646</v>
      </c>
      <c r="I344" s="2">
        <f>IFERROR(__xludf.DUMMYFUNCTION("""COMPUTED_VALUE"""),807.0)</f>
        <v>807</v>
      </c>
      <c r="J344" s="2">
        <f>IFERROR(__xludf.DUMMYFUNCTION("""COMPUTED_VALUE"""),492.0)</f>
        <v>492</v>
      </c>
      <c r="K344" s="2">
        <f>IFERROR(__xludf.DUMMYFUNCTION("""COMPUTED_VALUE"""),18.0)</f>
        <v>18</v>
      </c>
      <c r="L344" s="2" t="str">
        <f>IFERROR(__xludf.DUMMYFUNCTION("""COMPUTED_VALUE"""),"Wolta ЖКХ")</f>
        <v>Wolta ЖКХ</v>
      </c>
      <c r="M344" s="2" t="str">
        <f>IFERROR(__xludf.DUMMYFUNCTION("""COMPUTED_VALUE"""),"Для ЖКХ, дома, дачи, LED Светильники")</f>
        <v>Для ЖКХ, дома, дачи, LED Светильники</v>
      </c>
    </row>
    <row r="345">
      <c r="A345" s="5" t="str">
        <f>IFERROR(__xludf.DUMMYFUNCTION("""COMPUTED_VALUE"""),"14690612042326")</f>
        <v>14690612042326</v>
      </c>
      <c r="B345" s="5" t="str">
        <f>IFERROR(__xludf.DUMMYFUNCTION("""COMPUTED_VALUE"""),"ДВО-01 3665-ПРИЗМА 36Вт 230В 6500K 3600Лм 180х1195х19мм NEOX (4 шт в упак.)")</f>
        <v>ДВО-01 3665-ПРИЗМА 36Вт 230В 6500K 3600Лм 180х1195х19мм NEOX (4 шт в упак.)</v>
      </c>
      <c r="C345" s="2">
        <f>IFERROR(__xludf.DUMMYFUNCTION("""COMPUTED_VALUE"""),1.275)</f>
        <v>1.275</v>
      </c>
      <c r="D345" s="2">
        <f>IFERROR(__xludf.DUMMYFUNCTION("""COMPUTED_VALUE"""),0.0)</f>
        <v>0</v>
      </c>
      <c r="E345" s="2">
        <f>IFERROR(__xludf.DUMMYFUNCTION("""COMPUTED_VALUE"""),2178.6)</f>
        <v>2178.6</v>
      </c>
      <c r="F345" s="2">
        <f>IFERROR(__xludf.DUMMYFUNCTION("""COMPUTED_VALUE"""),2390.0)</f>
        <v>2390</v>
      </c>
      <c r="G345" s="2">
        <f>IFERROR(__xludf.DUMMYFUNCTION("""COMPUTED_VALUE"""),3137.0)</f>
        <v>3137</v>
      </c>
      <c r="H345" s="2">
        <f>IFERROR(__xludf.DUMMYFUNCTION("""COMPUTED_VALUE"""),3529.0)</f>
        <v>3529</v>
      </c>
      <c r="I345" s="2">
        <f>IFERROR(__xludf.DUMMYFUNCTION("""COMPUTED_VALUE"""),3921.0)</f>
        <v>3921</v>
      </c>
      <c r="J345" s="2">
        <f>IFERROR(__xludf.DUMMYFUNCTION("""COMPUTED_VALUE"""),1961.0)</f>
        <v>1961</v>
      </c>
      <c r="K345" s="2">
        <f>IFERROR(__xludf.DUMMYFUNCTION("""COMPUTED_VALUE"""),5.0)</f>
        <v>5</v>
      </c>
      <c r="L345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345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346">
      <c r="A346" s="5" t="str">
        <f>IFERROR(__xludf.DUMMYFUNCTION("""COMPUTED_VALUE"""),"ves004")</f>
        <v>ves004</v>
      </c>
      <c r="B346" s="5" t="str">
        <f>IFERROR(__xludf.DUMMYFUNCTION("""COMPUTED_VALUE"""),"Светильник под лампу накаливания потолочный для общественных зданий накладной 100Вт НПП 03-100-001")</f>
        <v>Светильник под лампу накаливания потолочный для общественных зданий накладной 100Вт НПП 03-100-001</v>
      </c>
      <c r="C346" s="2">
        <f>IFERROR(__xludf.DUMMYFUNCTION("""COMPUTED_VALUE"""),0.0)</f>
        <v>0</v>
      </c>
      <c r="D346" s="2">
        <f>IFERROR(__xludf.DUMMYFUNCTION("""COMPUTED_VALUE"""),0.0)</f>
        <v>0</v>
      </c>
      <c r="E346" s="2">
        <f>IFERROR(__xludf.DUMMYFUNCTION("""COMPUTED_VALUE"""),409.5)</f>
        <v>409.5</v>
      </c>
      <c r="F346" s="2">
        <f>IFERROR(__xludf.DUMMYFUNCTION("""COMPUTED_VALUE"""),448.0)</f>
        <v>448</v>
      </c>
      <c r="G346" s="2">
        <f>IFERROR(__xludf.DUMMYFUNCTION("""COMPUTED_VALUE"""),478.0)</f>
        <v>478</v>
      </c>
      <c r="H346" s="2">
        <f>IFERROR(__xludf.DUMMYFUNCTION("""COMPUTED_VALUE"""),537.0)</f>
        <v>537</v>
      </c>
      <c r="I346" s="2">
        <f>IFERROR(__xludf.DUMMYFUNCTION("""COMPUTED_VALUE"""),597.0)</f>
        <v>597</v>
      </c>
      <c r="J346" s="2">
        <f>IFERROR(__xludf.DUMMYFUNCTION("""COMPUTED_VALUE"""),299.0)</f>
        <v>299</v>
      </c>
      <c r="K346" s="2">
        <f>IFERROR(__xludf.DUMMYFUNCTION("""COMPUTED_VALUE"""),26.0)</f>
        <v>26</v>
      </c>
      <c r="L346" s="2" t="str">
        <f>IFERROR(__xludf.DUMMYFUNCTION("""COMPUTED_VALUE"""),"ves")</f>
        <v>ves</v>
      </c>
      <c r="M346" s="2" t="str">
        <f>IFERROR(__xludf.DUMMYFUNCTION("""COMPUTED_VALUE"""),"LED Светильники")</f>
        <v>LED Светильники</v>
      </c>
    </row>
    <row r="347">
      <c r="A347" s="5" t="str">
        <f>IFERROR(__xludf.DUMMYFUNCTION("""COMPUTED_VALUE"""),"4690612007250")</f>
        <v>4690612007250</v>
      </c>
      <c r="B347" s="5" t="str">
        <f>IFERROR(__xludf.DUMMYFUNCTION("""COMPUTED_VALUE"""),"LED-СВЕЧА-ECO 5Вт 230В Е27 4000К 375Лм (5шт в упаковке) IN HOME")</f>
        <v>LED-СВЕЧА-ECO 5Вт 230В Е27 4000К 375Лм (5шт в упаковке) IN HOME</v>
      </c>
      <c r="C347" s="2">
        <f>IFERROR(__xludf.DUMMYFUNCTION("""COMPUTED_VALUE"""),0.22)</f>
        <v>0.22</v>
      </c>
      <c r="D347" s="2">
        <f>IFERROR(__xludf.DUMMYFUNCTION("""COMPUTED_VALUE"""),0.00102)</f>
        <v>0.00102</v>
      </c>
      <c r="E347" s="2">
        <f>IFERROR(__xludf.DUMMYFUNCTION("""COMPUTED_VALUE"""),193.79)</f>
        <v>193.79</v>
      </c>
      <c r="F347" s="2">
        <f>IFERROR(__xludf.DUMMYFUNCTION("""COMPUTED_VALUE"""),153.0)</f>
        <v>153</v>
      </c>
      <c r="G347" s="2">
        <f>IFERROR(__xludf.DUMMYFUNCTION("""COMPUTED_VALUE"""),173.0)</f>
        <v>173</v>
      </c>
      <c r="H347" s="2">
        <f>IFERROR(__xludf.DUMMYFUNCTION("""COMPUTED_VALUE"""),200.0)</f>
        <v>200</v>
      </c>
      <c r="I347" s="2">
        <f>IFERROR(__xludf.DUMMYFUNCTION("""COMPUTED_VALUE"""),230.5)</f>
        <v>230.5</v>
      </c>
      <c r="J347" s="2">
        <f>IFERROR(__xludf.DUMMYFUNCTION("""COMPUTED_VALUE"""),115.0)</f>
        <v>115</v>
      </c>
      <c r="K347" s="2">
        <f>IFERROR(__xludf.DUMMYFUNCTION("""COMPUTED_VALUE"""),1.0)</f>
        <v>1</v>
      </c>
      <c r="L347" s="2" t="str">
        <f>IFERROR(__xludf.DUMMYFUNCTION("""COMPUTED_VALUE"""),"Лампа светодиодная LED-СВЕЧА-standard")</f>
        <v>Лампа светодиодная LED-СВЕЧА-standard</v>
      </c>
      <c r="M347" s="2" t="str">
        <f>IFERROR(__xludf.DUMMYFUNCTION("""COMPUTED_VALUE"""),"Лампы")</f>
        <v>Лампы</v>
      </c>
    </row>
    <row r="348">
      <c r="A348" s="5" t="str">
        <f>IFERROR(__xludf.DUMMYFUNCTION("""COMPUTED_VALUE"""),"4260652193536")</f>
        <v>4260652193536</v>
      </c>
      <c r="B348" s="5" t="str">
        <f>IFERROR(__xludf.DUMMYFUNCTION("""COMPUTED_VALUE"""),"LCL04-18W-R11-6K-SOA")</f>
        <v>LCL04-18W-R11-6K-SOA</v>
      </c>
      <c r="C348" s="2">
        <f>IFERROR(__xludf.DUMMYFUNCTION("""COMPUTED_VALUE"""),0.145)</f>
        <v>0.145</v>
      </c>
      <c r="D348" s="2">
        <f>IFERROR(__xludf.DUMMYFUNCTION("""COMPUTED_VALUE"""),0.0)</f>
        <v>0</v>
      </c>
      <c r="E348" s="2">
        <f>IFERROR(__xludf.DUMMYFUNCTION("""COMPUTED_VALUE"""),330.28)</f>
        <v>330.28</v>
      </c>
      <c r="F348" s="2">
        <f>IFERROR(__xludf.DUMMYFUNCTION("""COMPUTED_VALUE"""),417.0)</f>
        <v>417</v>
      </c>
      <c r="G348" s="2">
        <f>IFERROR(__xludf.DUMMYFUNCTION("""COMPUTED_VALUE"""),431.0)</f>
        <v>431</v>
      </c>
      <c r="H348" s="2">
        <f>IFERROR(__xludf.DUMMYFUNCTION("""COMPUTED_VALUE"""),565.0)</f>
        <v>565</v>
      </c>
      <c r="I348" s="2">
        <f>IFERROR(__xludf.DUMMYFUNCTION("""COMPUTED_VALUE"""),707.0)</f>
        <v>707</v>
      </c>
      <c r="J348" s="2">
        <f>IFERROR(__xludf.DUMMYFUNCTION("""COMPUTED_VALUE"""),354.0)</f>
        <v>354</v>
      </c>
      <c r="K348" s="2">
        <f>IFERROR(__xludf.DUMMYFUNCTION("""COMPUTED_VALUE"""),22.0)</f>
        <v>22</v>
      </c>
      <c r="L348" s="2" t="str">
        <f>IFERROR(__xludf.DUMMYFUNCTION("""COMPUTED_VALUE"""),"Wolta ЖКХ")</f>
        <v>Wolta ЖКХ</v>
      </c>
      <c r="M348" s="2" t="str">
        <f>IFERROR(__xludf.DUMMYFUNCTION("""COMPUTED_VALUE"""),"Для ЖКХ, дома, дачи, LED Светильники")</f>
        <v>Для ЖКХ, дома, дачи, LED Светильники</v>
      </c>
    </row>
    <row r="349">
      <c r="A349" s="5" t="str">
        <f>IFERROR(__xludf.DUMMYFUNCTION("""COMPUTED_VALUE"""),"BRAS2216")</f>
        <v>BRAS2216</v>
      </c>
      <c r="B349" s="5" t="str">
        <f>IFERROR(__xludf.DUMMYFUNCTION("""COMPUTED_VALUE"""),"Фонарь прожекторный GFL602 Gauss")</f>
        <v>Фонарь прожекторный GFL602 Gauss</v>
      </c>
      <c r="C349" s="2">
        <f>IFERROR(__xludf.DUMMYFUNCTION("""COMPUTED_VALUE"""),0.0)</f>
        <v>0</v>
      </c>
      <c r="D349" s="2">
        <f>IFERROR(__xludf.DUMMYFUNCTION("""COMPUTED_VALUE"""),0.0)</f>
        <v>0</v>
      </c>
      <c r="E349" s="2">
        <f>IFERROR(__xludf.DUMMYFUNCTION("""COMPUTED_VALUE"""),1018.07)</f>
        <v>1018.07</v>
      </c>
      <c r="F349" s="2">
        <f>IFERROR(__xludf.DUMMYFUNCTION("""COMPUTED_VALUE"""),1638.0)</f>
        <v>1638</v>
      </c>
      <c r="G349" s="2">
        <f>IFERROR(__xludf.DUMMYFUNCTION("""COMPUTED_VALUE"""),1747.0)</f>
        <v>1747</v>
      </c>
      <c r="H349" s="2">
        <f>IFERROR(__xludf.DUMMYFUNCTION("""COMPUTED_VALUE"""),1966.0)</f>
        <v>1966</v>
      </c>
      <c r="I349" s="2">
        <f>IFERROR(__xludf.DUMMYFUNCTION("""COMPUTED_VALUE"""),2184.0)</f>
        <v>2184</v>
      </c>
      <c r="J349" s="2">
        <f>IFERROR(__xludf.DUMMYFUNCTION("""COMPUTED_VALUE"""),1018.0)</f>
        <v>1018</v>
      </c>
      <c r="K349" s="2">
        <f>IFERROR(__xludf.DUMMYFUNCTION("""COMPUTED_VALUE"""),4.0)</f>
        <v>4</v>
      </c>
      <c r="L349" s="2" t="str">
        <f>IFERROR(__xludf.DUMMYFUNCTION("""COMPUTED_VALUE"""),"BRAS2 (тендер)")</f>
        <v>BRAS2 (тендер)</v>
      </c>
      <c r="M349" s="2" t="str">
        <f>IFERROR(__xludf.DUMMYFUNCTION("""COMPUTED_VALUE"""),"LED Светильники")</f>
        <v>LED Светильники</v>
      </c>
    </row>
    <row r="350">
      <c r="A350" s="5" t="str">
        <f>IFERROR(__xludf.DUMMYFUNCTION("""COMPUTED_VALUE"""),"4690612032900")</f>
        <v>4690612032900</v>
      </c>
      <c r="B350" s="5" t="str">
        <f>IFERROR(__xludf.DUMMYFUNCTION("""COMPUTED_VALUE"""),"ФР 606 6А 230В IN HOME")</f>
        <v>ФР 606 6А 230В IN HOME</v>
      </c>
      <c r="C350" s="2">
        <f>IFERROR(__xludf.DUMMYFUNCTION("""COMPUTED_VALUE"""),0.07500000000000001)</f>
        <v>0.075</v>
      </c>
      <c r="D350" s="2">
        <f>IFERROR(__xludf.DUMMYFUNCTION("""COMPUTED_VALUE"""),3.4E-4)</f>
        <v>0.00034</v>
      </c>
      <c r="E350" s="2">
        <f>IFERROR(__xludf.DUMMYFUNCTION("""COMPUTED_VALUE"""),136.7)</f>
        <v>136.7</v>
      </c>
      <c r="F350" s="2">
        <f>IFERROR(__xludf.DUMMYFUNCTION("""COMPUTED_VALUE"""),163.0)</f>
        <v>163</v>
      </c>
      <c r="G350" s="2">
        <f>IFERROR(__xludf.DUMMYFUNCTION("""COMPUTED_VALUE"""),184.0)</f>
        <v>184</v>
      </c>
      <c r="H350" s="2">
        <f>IFERROR(__xludf.DUMMYFUNCTION("""COMPUTED_VALUE"""),213.0)</f>
        <v>213</v>
      </c>
      <c r="I350" s="2">
        <f>IFERROR(__xludf.DUMMYFUNCTION("""COMPUTED_VALUE"""),245.0)</f>
        <v>245</v>
      </c>
      <c r="J350" s="2">
        <f>IFERROR(__xludf.DUMMYFUNCTION("""COMPUTED_VALUE"""),123.0)</f>
        <v>123</v>
      </c>
      <c r="K350" s="2">
        <f>IFERROR(__xludf.DUMMYFUNCTION("""COMPUTED_VALUE"""),3.0)</f>
        <v>3</v>
      </c>
      <c r="L350" s="2" t="str">
        <f>IFERROR(__xludf.DUMMYFUNCTION("""COMPUTED_VALUE"""),"ASD Комплектующие")</f>
        <v>ASD Комплектующие</v>
      </c>
      <c r="M350" s="2" t="str">
        <f>IFERROR(__xludf.DUMMYFUNCTION("""COMPUTED_VALUE"""),"Прочие товары")</f>
        <v>Прочие товары</v>
      </c>
    </row>
    <row r="351">
      <c r="A351" s="5" t="str">
        <f>IFERROR(__xludf.DUMMYFUNCTION("""COMPUTED_VALUE"""),"4690612060200")</f>
        <v>4690612060200</v>
      </c>
      <c r="B351" s="5" t="str">
        <f>IFERROR(__xludf.DUMMYFUNCTION("""COMPUTED_VALUE"""),"NOTA P1565-30BL 15Вт 6500К с подсветкой 3000К черный IN HOME")</f>
        <v>NOTA P1565-30BL 15Вт 6500К с подсветкой 3000К черный IN HOME</v>
      </c>
      <c r="C351" s="2">
        <f>IFERROR(__xludf.DUMMYFUNCTION("""COMPUTED_VALUE"""),0.4)</f>
        <v>0.4</v>
      </c>
      <c r="D351" s="2">
        <f>IFERROR(__xludf.DUMMYFUNCTION("""COMPUTED_VALUE"""),0.00185)</f>
        <v>0.00185</v>
      </c>
      <c r="E351" s="2">
        <f>IFERROR(__xludf.DUMMYFUNCTION("""COMPUTED_VALUE"""),1031.59)</f>
        <v>1031.59</v>
      </c>
      <c r="F351" s="2">
        <f>IFERROR(__xludf.DUMMYFUNCTION("""COMPUTED_VALUE"""),1031.0)</f>
        <v>1031</v>
      </c>
      <c r="G351" s="2">
        <f>IFERROR(__xludf.DUMMYFUNCTION("""COMPUTED_VALUE"""),1160.0)</f>
        <v>1160</v>
      </c>
      <c r="H351" s="2">
        <f>IFERROR(__xludf.DUMMYFUNCTION("""COMPUTED_VALUE"""),1345.0)</f>
        <v>1345</v>
      </c>
      <c r="I351" s="2">
        <f>IFERROR(__xludf.DUMMYFUNCTION("""COMPUTED_VALUE"""),1546.0)</f>
        <v>1546</v>
      </c>
      <c r="J351" s="2">
        <f>IFERROR(__xludf.DUMMYFUNCTION("""COMPUTED_VALUE"""),1546.0)</f>
        <v>1546</v>
      </c>
      <c r="K351" s="2">
        <f>IFERROR(__xludf.DUMMYFUNCTION("""COMPUTED_VALUE"""),0.0)</f>
        <v>0</v>
      </c>
      <c r="L351" s="2" t="str">
        <f>IFERROR(__xludf.DUMMYFUNCTION("""COMPUTED_VALUE"""),"NEOX Светильники LED ДВО")</f>
        <v>NEOX Светильники LED ДВО</v>
      </c>
      <c r="M351" s="2" t="str">
        <f>IFERROR(__xludf.DUMMYFUNCTION("""COMPUTED_VALUE"""),"LED Светильники")</f>
        <v>LED Светильники</v>
      </c>
    </row>
    <row r="352">
      <c r="A352" s="5" t="str">
        <f>IFERROR(__xludf.DUMMYFUNCTION("""COMPUTED_VALUE"""),"4690612026169")</f>
        <v>4690612026169</v>
      </c>
      <c r="B352" s="5" t="str">
        <f>IFERROR(__xludf.DUMMYFUNCTION("""COMPUTED_VALUE"""),"LED-A60-deco 11Вт 230В Е27 6500К 1160Лм прозрачная IN HOME")</f>
        <v>LED-A60-deco 11Вт 230В Е27 6500К 1160Лм прозрачная IN HOME</v>
      </c>
      <c r="C352" s="2">
        <f>IFERROR(__xludf.DUMMYFUNCTION("""COMPUTED_VALUE"""),0.044)</f>
        <v>0.044</v>
      </c>
      <c r="D352" s="2">
        <f>IFERROR(__xludf.DUMMYFUNCTION("""COMPUTED_VALUE"""),5.600000000000001E-4)</f>
        <v>0.00056</v>
      </c>
      <c r="E352" s="2">
        <f>IFERROR(__xludf.DUMMYFUNCTION("""COMPUTED_VALUE"""),80.4)</f>
        <v>80.4</v>
      </c>
      <c r="F352" s="2">
        <f>IFERROR(__xludf.DUMMYFUNCTION("""COMPUTED_VALUE"""),98.0)</f>
        <v>98</v>
      </c>
      <c r="G352" s="2">
        <f>IFERROR(__xludf.DUMMYFUNCTION("""COMPUTED_VALUE"""),110.0)</f>
        <v>110</v>
      </c>
      <c r="H352" s="2">
        <f>IFERROR(__xludf.DUMMYFUNCTION("""COMPUTED_VALUE"""),128.0)</f>
        <v>128</v>
      </c>
      <c r="I352" s="2">
        <f>IFERROR(__xludf.DUMMYFUNCTION("""COMPUTED_VALUE"""),147.5)</f>
        <v>147.5</v>
      </c>
      <c r="J352" s="2">
        <f>IFERROR(__xludf.DUMMYFUNCTION("""COMPUTED_VALUE"""),74.0)</f>
        <v>74</v>
      </c>
      <c r="K352" s="2">
        <f>IFERROR(__xludf.DUMMYFUNCTION("""COMPUTED_VALUE"""),49.0)</f>
        <v>49</v>
      </c>
      <c r="L352" s="2" t="str">
        <f>IFERROR(__xludf.DUMMYFUNCTION("""COMPUTED_VALUE"""),"Лампа светодиодная LED-A60 DECO")</f>
        <v>Лампа светодиодная LED-A60 DECO</v>
      </c>
      <c r="M352" s="2" t="str">
        <f>IFERROR(__xludf.DUMMYFUNCTION("""COMPUTED_VALUE"""),"Лампы")</f>
        <v>Лампы</v>
      </c>
    </row>
    <row r="353">
      <c r="A353" s="5" t="str">
        <f>IFERROR(__xludf.DUMMYFUNCTION("""COMPUTED_VALUE"""),"1005550288")</f>
        <v>1005550288</v>
      </c>
      <c r="B353" s="5" t="str">
        <f>IFERROR(__xludf.DUMMYFUNCTION("""COMPUTED_VALUE"""),"Светильник НСП 11-100-425 ""Буран"" IP62 корпус алюм. литой с решеткой Элетех")</f>
        <v>Светильник НСП 11-100-425 "Буран" IP62 корпус алюм. литой с решеткой Элетех</v>
      </c>
      <c r="C353" s="2">
        <f>IFERROR(__xludf.DUMMYFUNCTION("""COMPUTED_VALUE"""),0.0)</f>
        <v>0</v>
      </c>
      <c r="D353" s="2">
        <f>IFERROR(__xludf.DUMMYFUNCTION("""COMPUTED_VALUE"""),0.0)</f>
        <v>0</v>
      </c>
      <c r="E353" s="2">
        <f>IFERROR(__xludf.DUMMYFUNCTION("""COMPUTED_VALUE"""),1339.91)</f>
        <v>1339.91</v>
      </c>
      <c r="F353" s="2">
        <f>IFERROR(__xludf.DUMMYFUNCTION("""COMPUTED_VALUE"""),654.0)</f>
        <v>654</v>
      </c>
      <c r="G353" s="2">
        <f>IFERROR(__xludf.DUMMYFUNCTION("""COMPUTED_VALUE"""),698.0)</f>
        <v>698</v>
      </c>
      <c r="H353" s="2">
        <f>IFERROR(__xludf.DUMMYFUNCTION("""COMPUTED_VALUE"""),785.0)</f>
        <v>785</v>
      </c>
      <c r="I353" s="2">
        <f>IFERROR(__xludf.DUMMYFUNCTION("""COMPUTED_VALUE"""),872.4300000000001)</f>
        <v>872.43</v>
      </c>
      <c r="J353" s="2">
        <f>IFERROR(__xludf.DUMMYFUNCTION("""COMPUTED_VALUE"""),436.0)</f>
        <v>436</v>
      </c>
      <c r="K353" s="2">
        <f>IFERROR(__xludf.DUMMYFUNCTION("""COMPUTED_VALUE"""),2.0)</f>
        <v>2</v>
      </c>
      <c r="L353" s="2" t="str">
        <f>IFERROR(__xludf.DUMMYFUNCTION("""COMPUTED_VALUE"""),"Другие LED светильники")</f>
        <v>Другие LED светильники</v>
      </c>
      <c r="M353" s="2" t="str">
        <f>IFERROR(__xludf.DUMMYFUNCTION("""COMPUTED_VALUE"""),"LED Светильники")</f>
        <v>LED Светильники</v>
      </c>
    </row>
    <row r="354">
      <c r="A354" s="5" t="str">
        <f>IFERROR(__xludf.DUMMYFUNCTION("""COMPUTED_VALUE"""),"GL82411")</f>
        <v>GL82411</v>
      </c>
      <c r="B354" s="5" t="str">
        <f>IFERROR(__xludf.DUMMYFUNCTION("""COMPUTED_VALUE"""),"GLERIO Line Shell 20 Вт 4000K 92P-20D-4P-P")</f>
        <v>GLERIO Line Shell 20 Вт 4000K 92P-20D-4P-P</v>
      </c>
      <c r="C354" s="2">
        <f>IFERROR(__xludf.DUMMYFUNCTION("""COMPUTED_VALUE"""),1.575)</f>
        <v>1.575</v>
      </c>
      <c r="D354" s="2">
        <f>IFERROR(__xludf.DUMMYFUNCTION("""COMPUTED_VALUE"""),0.00495)</f>
        <v>0.00495</v>
      </c>
      <c r="E354" s="2">
        <f>IFERROR(__xludf.DUMMYFUNCTION("""COMPUTED_VALUE"""),1824.0)</f>
        <v>1824</v>
      </c>
      <c r="F354" s="2">
        <f>IFERROR(__xludf.DUMMYFUNCTION("""COMPUTED_VALUE"""),2150.0)</f>
        <v>2150</v>
      </c>
      <c r="G354" s="2">
        <f>IFERROR(__xludf.DUMMYFUNCTION("""COMPUTED_VALUE"""),2707.0)</f>
        <v>2707</v>
      </c>
      <c r="H354" s="2">
        <f>IFERROR(__xludf.DUMMYFUNCTION("""COMPUTED_VALUE"""),3040.0)</f>
        <v>3040</v>
      </c>
      <c r="I354" s="2">
        <f>IFERROR(__xludf.DUMMYFUNCTION("""COMPUTED_VALUE"""),3373.0)</f>
        <v>3373</v>
      </c>
      <c r="J354" s="2">
        <f>IFERROR(__xludf.DUMMYFUNCTION("""COMPUTED_VALUE"""),1687.0)</f>
        <v>1687</v>
      </c>
      <c r="K354" s="2">
        <f>IFERROR(__xludf.DUMMYFUNCTION("""COMPUTED_VALUE"""),32.0)</f>
        <v>32</v>
      </c>
      <c r="L354" s="2" t="str">
        <f>IFERROR(__xludf.DUMMYFUNCTION("""COMPUTED_VALUE"""),"Line Shell+, Free+ GLERIO (Retail)")</f>
        <v>Line Shell+, Free+ GLERIO (Retail)</v>
      </c>
      <c r="M354" s="2" t="str">
        <f>IFERROR(__xludf.DUMMYFUNCTION("""COMPUTED_VALUE"""),"Пластиковые (линейные), LED Светильники")</f>
        <v>Пластиковые (линейные), LED Светильники</v>
      </c>
    </row>
    <row r="355">
      <c r="A355" s="5" t="str">
        <f>IFERROR(__xludf.DUMMYFUNCTION("""COMPUTED_VALUE"""),"4680005959105")</f>
        <v>4680005959105</v>
      </c>
      <c r="B355" s="5" t="str">
        <f>IFERROR(__xludf.DUMMYFUNCTION("""COMPUTED_VALUE"""),"LS-AA-8.5 8.5А 100Вт 12В алюминий")</f>
        <v>LS-AA-8.5 8.5А 100Вт 12В алюминий</v>
      </c>
      <c r="C355" s="2">
        <f>IFERROR(__xludf.DUMMYFUNCTION("""COMPUTED_VALUE"""),0.5865)</f>
        <v>0.5865</v>
      </c>
      <c r="D355" s="2">
        <f>IFERROR(__xludf.DUMMYFUNCTION("""COMPUTED_VALUE"""),9.000000000000001E-4)</f>
        <v>0.0009</v>
      </c>
      <c r="E355" s="2">
        <f>IFERROR(__xludf.DUMMYFUNCTION("""COMPUTED_VALUE"""),448.14)</f>
        <v>448.14</v>
      </c>
      <c r="F355" s="2">
        <f>IFERROR(__xludf.DUMMYFUNCTION("""COMPUTED_VALUE"""),340.0)</f>
        <v>340</v>
      </c>
      <c r="G355" s="2">
        <f>IFERROR(__xludf.DUMMYFUNCTION("""COMPUTED_VALUE"""),383.0)</f>
        <v>383</v>
      </c>
      <c r="H355" s="2">
        <f>IFERROR(__xludf.DUMMYFUNCTION("""COMPUTED_VALUE"""),444.0)</f>
        <v>444</v>
      </c>
      <c r="I355" s="2">
        <f>IFERROR(__xludf.DUMMYFUNCTION("""COMPUTED_VALUE"""),510.0)</f>
        <v>510</v>
      </c>
      <c r="J355" s="2">
        <f>IFERROR(__xludf.DUMMYFUNCTION("""COMPUTED_VALUE"""),255.0)</f>
        <v>255</v>
      </c>
      <c r="K355" s="2">
        <f>IFERROR(__xludf.DUMMYFUNCTION("""COMPUTED_VALUE"""),3.0)</f>
        <v>3</v>
      </c>
      <c r="L355" s="2" t="str">
        <f>IFERROR(__xludf.DUMMYFUNCTION("""COMPUTED_VALUE"""),"ASD электромонтажные изделия")</f>
        <v>ASD электромонтажные изделия</v>
      </c>
      <c r="M355" s="2" t="str">
        <f>IFERROR(__xludf.DUMMYFUNCTION("""COMPUTED_VALUE"""),"Прочие товары")</f>
        <v>Прочие товары</v>
      </c>
    </row>
    <row r="356">
      <c r="A356" s="5" t="str">
        <f>IFERROR(__xludf.DUMMYFUNCTION("""COMPUTED_VALUE"""),"ms6082")</f>
        <v>ms6082</v>
      </c>
      <c r="B356" s="5" t="str">
        <f>IFERROR(__xludf.DUMMYFUNCTION("""COMPUTED_VALUE"""),"Светильник светодиодный ЛЭД IP65 60Вт 6500К 4700Лм")</f>
        <v>Светильник светодиодный ЛЭД IP65 60Вт 6500К 4700Лм</v>
      </c>
      <c r="C356" s="2">
        <f>IFERROR(__xludf.DUMMYFUNCTION("""COMPUTED_VALUE"""),0.0)</f>
        <v>0</v>
      </c>
      <c r="D356" s="2">
        <f>IFERROR(__xludf.DUMMYFUNCTION("""COMPUTED_VALUE"""),0.0)</f>
        <v>0</v>
      </c>
      <c r="E356" s="2">
        <f>IFERROR(__xludf.DUMMYFUNCTION("""COMPUTED_VALUE"""),1350.0)</f>
        <v>1350</v>
      </c>
      <c r="F356" s="2">
        <f>IFERROR(__xludf.DUMMYFUNCTION("""COMPUTED_VALUE"""),1563.0)</f>
        <v>1563</v>
      </c>
      <c r="G356" s="2">
        <f>IFERROR(__xludf.DUMMYFUNCTION("""COMPUTED_VALUE"""),1667.0)</f>
        <v>1667</v>
      </c>
      <c r="H356" s="2">
        <f>IFERROR(__xludf.DUMMYFUNCTION("""COMPUTED_VALUE"""),1875.0)</f>
        <v>1875</v>
      </c>
      <c r="I356" s="2">
        <f>IFERROR(__xludf.DUMMYFUNCTION("""COMPUTED_VALUE"""),2083.43)</f>
        <v>2083.43</v>
      </c>
      <c r="J356" s="2">
        <f>IFERROR(__xludf.DUMMYFUNCTION("""COMPUTED_VALUE"""),1042.0)</f>
        <v>1042</v>
      </c>
      <c r="K356" s="2">
        <f>IFERROR(__xludf.DUMMYFUNCTION("""COMPUTED_VALUE"""),2.0)</f>
        <v>2</v>
      </c>
      <c r="L356" s="2" t="str">
        <f>IFERROR(__xludf.DUMMYFUNCTION("""COMPUTED_VALUE"""),"ms6 (тендер)")</f>
        <v>ms6 (тендер)</v>
      </c>
      <c r="M356" s="2" t="str">
        <f>IFERROR(__xludf.DUMMYFUNCTION("""COMPUTED_VALUE"""),"LED Светильники")</f>
        <v>LED Светильники</v>
      </c>
    </row>
    <row r="357">
      <c r="A357" s="5" t="str">
        <f>IFERROR(__xludf.DUMMYFUNCTION("""COMPUTED_VALUE"""),"4260652192560")</f>
        <v>4260652192560</v>
      </c>
      <c r="B357" s="5" t="str">
        <f>IFERROR(__xludf.DUMMYFUNCTION("""COMPUTED_VALUE"""),"WTL-15W/01B")</f>
        <v>WTL-15W/01B</v>
      </c>
      <c r="C357" s="2">
        <f>IFERROR(__xludf.DUMMYFUNCTION("""COMPUTED_VALUE"""),0.237)</f>
        <v>0.237</v>
      </c>
      <c r="D357" s="2">
        <f>IFERROR(__xludf.DUMMYFUNCTION("""COMPUTED_VALUE"""),8.300000000000001E-4)</f>
        <v>0.00083</v>
      </c>
      <c r="E357" s="2">
        <f>IFERROR(__xludf.DUMMYFUNCTION("""COMPUTED_VALUE"""),510.18)</f>
        <v>510.18</v>
      </c>
      <c r="F357" s="2">
        <f>IFERROR(__xludf.DUMMYFUNCTION("""COMPUTED_VALUE"""),590.0)</f>
        <v>590</v>
      </c>
      <c r="G357" s="2">
        <f>IFERROR(__xludf.DUMMYFUNCTION("""COMPUTED_VALUE"""),610.0)</f>
        <v>610</v>
      </c>
      <c r="H357" s="2">
        <f>IFERROR(__xludf.DUMMYFUNCTION("""COMPUTED_VALUE"""),800.0)</f>
        <v>800</v>
      </c>
      <c r="I357" s="2">
        <f>IFERROR(__xludf.DUMMYFUNCTION("""COMPUTED_VALUE"""),999.0)</f>
        <v>999</v>
      </c>
      <c r="J357" s="2">
        <f>IFERROR(__xludf.DUMMYFUNCTION("""COMPUTED_VALUE"""),500.0)</f>
        <v>500</v>
      </c>
      <c r="K357" s="2">
        <f>IFERROR(__xludf.DUMMYFUNCTION("""COMPUTED_VALUE"""),20.0)</f>
        <v>20</v>
      </c>
      <c r="L357" s="2" t="str">
        <f>IFERROR(__xludf.DUMMYFUNCTION("""COMPUTED_VALUE"""),"Wolta трековые")</f>
        <v>Wolta трековые</v>
      </c>
      <c r="M357" s="2" t="str">
        <f>IFERROR(__xludf.DUMMYFUNCTION("""COMPUTED_VALUE"""),"Трековые, LED Светильники")</f>
        <v>Трековые, LED Светильники</v>
      </c>
    </row>
    <row r="358">
      <c r="A358" s="5" t="str">
        <f>IFERROR(__xludf.DUMMYFUNCTION("""COMPUTED_VALUE"""),"4690612015484")</f>
        <v>4690612015484</v>
      </c>
      <c r="B358" s="5" t="str">
        <f>IFERROR(__xludf.DUMMYFUNCTION("""COMPUTED_VALUE"""),"LED-ШАР-standard 10Вт 230В Е27 4000К 900Лм ASD")</f>
        <v>LED-ШАР-standard 10Вт 230В Е27 4000К 900Лм ASD</v>
      </c>
      <c r="C358" s="2">
        <f>IFERROR(__xludf.DUMMYFUNCTION("""COMPUTED_VALUE"""),0.036)</f>
        <v>0.036</v>
      </c>
      <c r="D358" s="2">
        <f>IFERROR(__xludf.DUMMYFUNCTION("""COMPUTED_VALUE"""),2.3E-4)</f>
        <v>0.00023</v>
      </c>
      <c r="E358" s="2">
        <f>IFERROR(__xludf.DUMMYFUNCTION("""COMPUTED_VALUE"""),48.24)</f>
        <v>48.24</v>
      </c>
      <c r="F358" s="2">
        <f>IFERROR(__xludf.DUMMYFUNCTION("""COMPUTED_VALUE"""),33.0)</f>
        <v>33</v>
      </c>
      <c r="G358" s="2">
        <f>IFERROR(__xludf.DUMMYFUNCTION("""COMPUTED_VALUE"""),37.0)</f>
        <v>37</v>
      </c>
      <c r="H358" s="2">
        <f>IFERROR(__xludf.DUMMYFUNCTION("""COMPUTED_VALUE"""),43.0)</f>
        <v>43</v>
      </c>
      <c r="I358" s="2">
        <f>IFERROR(__xludf.DUMMYFUNCTION("""COMPUTED_VALUE"""),49.9)</f>
        <v>49.9</v>
      </c>
      <c r="J358" s="2">
        <f>IFERROR(__xludf.DUMMYFUNCTION("""COMPUTED_VALUE"""),25.0)</f>
        <v>25</v>
      </c>
      <c r="K358" s="2">
        <f>IFERROR(__xludf.DUMMYFUNCTION("""COMPUTED_VALUE"""),1.0)</f>
        <v>1</v>
      </c>
      <c r="L358" s="2" t="str">
        <f>IFERROR(__xludf.DUMMYFUNCTION("""COMPUTED_VALUE"""),"Лампа светодиодная LED-ШАР-standard")</f>
        <v>Лампа светодиодная LED-ШАР-standard</v>
      </c>
      <c r="M358" s="2" t="str">
        <f>IFERROR(__xludf.DUMMYFUNCTION("""COMPUTED_VALUE"""),"Лампы")</f>
        <v>Лампы</v>
      </c>
    </row>
    <row r="359">
      <c r="A359" s="5" t="str">
        <f>IFERROR(__xludf.DUMMYFUNCTION("""COMPUTED_VALUE"""),"4690612001999")</f>
        <v>4690612001999</v>
      </c>
      <c r="B359" s="5" t="str">
        <f>IFERROR(__xludf.DUMMYFUNCTION("""COMPUTED_VALUE"""),"LP-КПП-Д потолочный ДЛИННЫЙ для панели светодиодной")</f>
        <v>LP-КПП-Д потолочный ДЛИННЫЙ для панели светодиодной</v>
      </c>
      <c r="C359" s="2">
        <f>IFERROR(__xludf.DUMMYFUNCTION("""COMPUTED_VALUE"""),0.08833)</f>
        <v>0.08833</v>
      </c>
      <c r="D359" s="2">
        <f>IFERROR(__xludf.DUMMYFUNCTION("""COMPUTED_VALUE"""),8.0E-5)</f>
        <v>0.00008</v>
      </c>
      <c r="E359" s="2">
        <f>IFERROR(__xludf.DUMMYFUNCTION("""COMPUTED_VALUE"""),128.62)</f>
        <v>128.62</v>
      </c>
      <c r="F359" s="2">
        <f>IFERROR(__xludf.DUMMYFUNCTION("""COMPUTED_VALUE"""),144.0)</f>
        <v>144</v>
      </c>
      <c r="G359" s="2">
        <f>IFERROR(__xludf.DUMMYFUNCTION("""COMPUTED_VALUE"""),162.0)</f>
        <v>162</v>
      </c>
      <c r="H359" s="2">
        <f>IFERROR(__xludf.DUMMYFUNCTION("""COMPUTED_VALUE"""),188.0)</f>
        <v>188</v>
      </c>
      <c r="I359" s="2">
        <f>IFERROR(__xludf.DUMMYFUNCTION("""COMPUTED_VALUE"""),216.0)</f>
        <v>216</v>
      </c>
      <c r="J359" s="2">
        <f>IFERROR(__xludf.DUMMYFUNCTION("""COMPUTED_VALUE"""),108.0)</f>
        <v>108</v>
      </c>
      <c r="K359" s="2">
        <f>IFERROR(__xludf.DUMMYFUNCTION("""COMPUTED_VALUE"""),18.0)</f>
        <v>18</v>
      </c>
      <c r="L359" s="2" t="str">
        <f>IFERROR(__xludf.DUMMYFUNCTION("""COMPUTED_VALUE"""),"ASD Комплектующие")</f>
        <v>ASD Комплектующие</v>
      </c>
      <c r="M359" s="2" t="str">
        <f>IFERROR(__xludf.DUMMYFUNCTION("""COMPUTED_VALUE"""),"Прочие товары")</f>
        <v>Прочие товары</v>
      </c>
    </row>
    <row r="360">
      <c r="A360" s="5" t="str">
        <f>IFERROR(__xludf.DUMMYFUNCTION("""COMPUTED_VALUE"""),"4690612040141")</f>
        <v>4690612040141</v>
      </c>
      <c r="B360" s="5" t="str">
        <f>IFERROR(__xludf.DUMMYFUNCTION("""COMPUTED_VALUE"""),"TR-07-TL 15Вт 6500К 1500Лм IP40 24 градуса черный серии TOP-LINE IN HOME")</f>
        <v>TR-07-TL 15Вт 6500К 1500Лм IP40 24 градуса черный серии TOP-LINE IN HOME</v>
      </c>
      <c r="C360" s="2">
        <f>IFERROR(__xludf.DUMMYFUNCTION("""COMPUTED_VALUE"""),0.22)</f>
        <v>0.22</v>
      </c>
      <c r="D360" s="2">
        <f>IFERROR(__xludf.DUMMYFUNCTION("""COMPUTED_VALUE"""),0.001)</f>
        <v>0.001</v>
      </c>
      <c r="E360" s="2">
        <f>IFERROR(__xludf.DUMMYFUNCTION("""COMPUTED_VALUE"""),366.0)</f>
        <v>366</v>
      </c>
      <c r="F360" s="2">
        <f>IFERROR(__xludf.DUMMYFUNCTION("""COMPUTED_VALUE"""),489.0)</f>
        <v>489</v>
      </c>
      <c r="G360" s="2">
        <f>IFERROR(__xludf.DUMMYFUNCTION("""COMPUTED_VALUE"""),551.0)</f>
        <v>551</v>
      </c>
      <c r="H360" s="2">
        <f>IFERROR(__xludf.DUMMYFUNCTION("""COMPUTED_VALUE"""),639.0)</f>
        <v>639</v>
      </c>
      <c r="I360" s="2">
        <f>IFERROR(__xludf.DUMMYFUNCTION("""COMPUTED_VALUE"""),734.0)</f>
        <v>734</v>
      </c>
      <c r="J360" s="2">
        <f>IFERROR(__xludf.DUMMYFUNCTION("""COMPUTED_VALUE"""),366.0)</f>
        <v>366</v>
      </c>
      <c r="K360" s="2">
        <f>IFERROR(__xludf.DUMMYFUNCTION("""COMPUTED_VALUE"""),6.0)</f>
        <v>6</v>
      </c>
      <c r="L360" s="2" t="str">
        <f>IFERROR(__xludf.DUMMYFUNCTION("""COMPUTED_VALUE"""),"Светильники светодиодные трековые TR-01, 02, 03, 04, 05, 06, 07, 08")</f>
        <v>Светильники светодиодные трековые TR-01, 02, 03, 04, 05, 06, 07, 08</v>
      </c>
      <c r="M360" s="2" t="str">
        <f>IFERROR(__xludf.DUMMYFUNCTION("""COMPUTED_VALUE"""),"Трековые, LED Светильники")</f>
        <v>Трековые, LED Светильники</v>
      </c>
    </row>
    <row r="361">
      <c r="A361" s="5" t="str">
        <f>IFERROR(__xludf.DUMMYFUNCTION("""COMPUTED_VALUE"""),"55097")</f>
        <v>55097</v>
      </c>
      <c r="B361" s="5" t="str">
        <f>IFERROR(__xludf.DUMMYFUNCTION("""COMPUTED_VALUE"""),"Звезда, верхушка на ёлку VEGAS красная 10 красных LED, зелёный провод 3м, 15*15 см")</f>
        <v>Звезда, верхушка на ёлку VEGAS красная 10 красных LED, зелёный провод 3м, 15*15 см</v>
      </c>
      <c r="C361" s="2">
        <f>IFERROR(__xludf.DUMMYFUNCTION("""COMPUTED_VALUE"""),0.0)</f>
        <v>0</v>
      </c>
      <c r="D361" s="2">
        <f>IFERROR(__xludf.DUMMYFUNCTION("""COMPUTED_VALUE"""),0.0)</f>
        <v>0</v>
      </c>
      <c r="E361" s="2">
        <f>IFERROR(__xludf.DUMMYFUNCTION("""COMPUTED_VALUE"""),280.78)</f>
        <v>280.78</v>
      </c>
      <c r="F361" s="2">
        <f>IFERROR(__xludf.DUMMYFUNCTION("""COMPUTED_VALUE"""),304.0)</f>
        <v>304</v>
      </c>
      <c r="G361" s="2">
        <f>IFERROR(__xludf.DUMMYFUNCTION("""COMPUTED_VALUE"""),332.0)</f>
        <v>332</v>
      </c>
      <c r="H361" s="2">
        <f>IFERROR(__xludf.DUMMYFUNCTION("""COMPUTED_VALUE"""),360.0)</f>
        <v>360</v>
      </c>
      <c r="I361" s="2">
        <f>IFERROR(__xludf.DUMMYFUNCTION("""COMPUTED_VALUE"""),387.0)</f>
        <v>387</v>
      </c>
      <c r="J361" s="2">
        <f>IFERROR(__xludf.DUMMYFUNCTION("""COMPUTED_VALUE"""),194.0)</f>
        <v>194</v>
      </c>
      <c r="K361" s="2">
        <f>IFERROR(__xludf.DUMMYFUNCTION("""COMPUTED_VALUE"""),5.0)</f>
        <v>5</v>
      </c>
      <c r="L361" s="2" t="str">
        <f>IFERROR(__xludf.DUMMYFUNCTION("""COMPUTED_VALUE"""),"Праздничная иллюминация")</f>
        <v>Праздничная иллюминация</v>
      </c>
      <c r="M361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362">
      <c r="A362" s="5" t="str">
        <f>IFERROR(__xludf.DUMMYFUNCTION("""COMPUTED_VALUE"""),"G33117T")</f>
        <v>G33117T</v>
      </c>
      <c r="B362" s="5" t="str">
        <f>IFERROR(__xludf.DUMMYFUNCTION("""COMPUTED_VALUE"""),"Elementary Свеча 7W E14 2700K 1/40 (3 лампы в упаковке)")</f>
        <v>Elementary Свеча 7W E14 2700K 1/40 (3 лампы в упаковке)</v>
      </c>
      <c r="C362" s="2">
        <f>IFERROR(__xludf.DUMMYFUNCTION("""COMPUTED_VALUE"""),0.0)</f>
        <v>0</v>
      </c>
      <c r="D362" s="2">
        <f>IFERROR(__xludf.DUMMYFUNCTION("""COMPUTED_VALUE"""),0.0)</f>
        <v>0</v>
      </c>
      <c r="E362" s="2">
        <f>IFERROR(__xludf.DUMMYFUNCTION("""COMPUTED_VALUE"""),94.9)</f>
        <v>94.9</v>
      </c>
      <c r="F362" s="2">
        <f>IFERROR(__xludf.DUMMYFUNCTION("""COMPUTED_VALUE"""),128.0)</f>
        <v>128</v>
      </c>
      <c r="G362" s="2">
        <f>IFERROR(__xludf.DUMMYFUNCTION("""COMPUTED_VALUE"""),141.0)</f>
        <v>141</v>
      </c>
      <c r="H362" s="2">
        <f>IFERROR(__xludf.DUMMYFUNCTION("""COMPUTED_VALUE"""),166.0)</f>
        <v>166</v>
      </c>
      <c r="I362" s="2">
        <f>IFERROR(__xludf.DUMMYFUNCTION("""COMPUTED_VALUE"""),210.0)</f>
        <v>210</v>
      </c>
      <c r="J362" s="2">
        <f>IFERROR(__xludf.DUMMYFUNCTION("""COMPUTED_VALUE"""),105.0)</f>
        <v>105</v>
      </c>
      <c r="K362" s="2">
        <f>IFERROR(__xludf.DUMMYFUNCTION("""COMPUTED_VALUE"""),10.0)</f>
        <v>10</v>
      </c>
      <c r="L362" s="2" t="str">
        <f>IFERROR(__xludf.DUMMYFUNCTION("""COMPUTED_VALUE"""),"Комплекты Gauss Elementary (x2, x3)")</f>
        <v>Комплекты Gauss Elementary (x2, x3)</v>
      </c>
      <c r="M362" s="2" t="str">
        <f>IFERROR(__xludf.DUMMYFUNCTION("""COMPUTED_VALUE"""),"Лампы")</f>
        <v>Лампы</v>
      </c>
    </row>
    <row r="363">
      <c r="A363" s="5" t="str">
        <f>IFERROR(__xludf.DUMMYFUNCTION("""COMPUTED_VALUE"""),"R100628-1")</f>
        <v>R100628-1</v>
      </c>
      <c r="B363" s="5" t="str">
        <f>IFERROR(__xludf.DUMMYFUNCTION("""COMPUTED_VALUE"""),"RSV-SPO-02-56W-6500К TPR (в индивидуальной упаковке)")</f>
        <v>RSV-SPO-02-56W-6500К TPR (в индивидуальной упаковке)</v>
      </c>
      <c r="C363" s="2">
        <f>IFERROR(__xludf.DUMMYFUNCTION("""COMPUTED_VALUE"""),0.0)</f>
        <v>0</v>
      </c>
      <c r="D363" s="2">
        <f>IFERROR(__xludf.DUMMYFUNCTION("""COMPUTED_VALUE"""),0.00293)</f>
        <v>0.00293</v>
      </c>
      <c r="E363" s="2">
        <f>IFERROR(__xludf.DUMMYFUNCTION("""COMPUTED_VALUE"""),469.98)</f>
        <v>469.98</v>
      </c>
      <c r="F363" s="2">
        <f>IFERROR(__xludf.DUMMYFUNCTION("""COMPUTED_VALUE"""),635.0)</f>
        <v>635</v>
      </c>
      <c r="G363" s="2">
        <f>IFERROR(__xludf.DUMMYFUNCTION("""COMPUTED_VALUE"""),677.0)</f>
        <v>677</v>
      </c>
      <c r="H363" s="2">
        <f>IFERROR(__xludf.DUMMYFUNCTION("""COMPUTED_VALUE"""),761.0)</f>
        <v>761</v>
      </c>
      <c r="I363" s="2">
        <f>IFERROR(__xludf.DUMMYFUNCTION("""COMPUTED_VALUE"""),846.0)</f>
        <v>846</v>
      </c>
      <c r="J363" s="2">
        <f>IFERROR(__xludf.DUMMYFUNCTION("""COMPUTED_VALUE"""),423.0)</f>
        <v>423</v>
      </c>
      <c r="K363" s="2">
        <f>IFERROR(__xludf.DUMMYFUNCTION("""COMPUTED_VALUE"""),11.0)</f>
        <v>11</v>
      </c>
      <c r="L363" s="2" t="str">
        <f>IFERROR(__xludf.DUMMYFUNCTION("""COMPUTED_VALUE"""),"RSV-SPO Светильники Производство, упаковка (1 штука)")</f>
        <v>RSV-SPO Светильники Производство, упаковка (1 штука)</v>
      </c>
      <c r="M363" s="2" t="str">
        <f>IFERROR(__xludf.DUMMYFUNCTION("""COMPUTED_VALUE"""),"Пластиковые (линейные), Светильники общего назначения (LED), Накладные, Линейные (проходные), LED Светильники")</f>
        <v>Пластиковые (линейные), Светильники общего назначения (LED), Накладные, Линейные (проходные), LED Светильники</v>
      </c>
    </row>
    <row r="364">
      <c r="A364" s="5" t="str">
        <f>IFERROR(__xludf.DUMMYFUNCTION("""COMPUTED_VALUE"""),"NL8072")</f>
        <v>NL8072</v>
      </c>
      <c r="B364" s="5" t="str">
        <f>IFERROR(__xludf.DUMMYFUNCTION("""COMPUTED_VALUE"""),"V.64.120.5K.IP67")</f>
        <v>V.64.120.5K.IP67</v>
      </c>
      <c r="C364" s="2">
        <f>IFERROR(__xludf.DUMMYFUNCTION("""COMPUTED_VALUE"""),1.40175)</f>
        <v>1.40175</v>
      </c>
      <c r="D364" s="2">
        <f>IFERROR(__xludf.DUMMYFUNCTION("""COMPUTED_VALUE"""),0.00816)</f>
        <v>0.00816</v>
      </c>
      <c r="E364" s="2">
        <f>IFERROR(__xludf.DUMMYFUNCTION("""COMPUTED_VALUE"""),3720.0)</f>
        <v>3720</v>
      </c>
      <c r="F364" s="2">
        <f>IFERROR(__xludf.DUMMYFUNCTION("""COMPUTED_VALUE"""),5363.0)</f>
        <v>5363</v>
      </c>
      <c r="G364" s="2">
        <f>IFERROR(__xludf.DUMMYFUNCTION("""COMPUTED_VALUE"""),6190.0)</f>
        <v>6190</v>
      </c>
      <c r="H364" s="2">
        <f>IFERROR(__xludf.DUMMYFUNCTION("""COMPUTED_VALUE"""),7010.0)</f>
        <v>7010</v>
      </c>
      <c r="I364" s="2">
        <f>IFERROR(__xludf.DUMMYFUNCTION("""COMPUTED_VALUE"""),8250.0)</f>
        <v>8250</v>
      </c>
      <c r="J364" s="2">
        <f>IFERROR(__xludf.DUMMYFUNCTION("""COMPUTED_VALUE"""),4125.0)</f>
        <v>4125</v>
      </c>
      <c r="K364" s="2">
        <f>IFERROR(__xludf.DUMMYFUNCTION("""COMPUTED_VALUE"""),1.0)</f>
        <v>1</v>
      </c>
      <c r="L364" s="2" t="str">
        <f>IFERROR(__xludf.DUMMYFUNCTION("""COMPUTED_VALUE"""),"Серия V NEWLED")</f>
        <v>Серия V NEWLED</v>
      </c>
      <c r="M364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365">
      <c r="A365" s="5" t="str">
        <f>IFERROR(__xludf.DUMMYFUNCTION("""COMPUTED_VALUE"""),"GL8292")</f>
        <v>GL8292</v>
      </c>
      <c r="B365" s="5" t="str">
        <f>IFERROR(__xludf.DUMMYFUNCTION("""COMPUTED_VALUE"""),"GLERIO Line Ultra 48 Вт 4000К 94P-48D-4N-MP")</f>
        <v>GLERIO Line Ultra 48 Вт 4000К 94P-48D-4N-MP</v>
      </c>
      <c r="C365" s="2">
        <f>IFERROR(__xludf.DUMMYFUNCTION("""COMPUTED_VALUE"""),0.7200000000000001)</f>
        <v>0.72</v>
      </c>
      <c r="D365" s="2">
        <f>IFERROR(__xludf.DUMMYFUNCTION("""COMPUTED_VALUE"""),0.00485)</f>
        <v>0.00485</v>
      </c>
      <c r="E365" s="2">
        <f>IFERROR(__xludf.DUMMYFUNCTION("""COMPUTED_VALUE"""),2415.3)</f>
        <v>2415.3</v>
      </c>
      <c r="F365" s="2">
        <f>IFERROR(__xludf.DUMMYFUNCTION("""COMPUTED_VALUE"""),3060.0)</f>
        <v>3060</v>
      </c>
      <c r="G365" s="2">
        <f>IFERROR(__xludf.DUMMYFUNCTION("""COMPUTED_VALUE"""),3853.0)</f>
        <v>3853</v>
      </c>
      <c r="H365" s="2">
        <f>IFERROR(__xludf.DUMMYFUNCTION("""COMPUTED_VALUE"""),4327.0)</f>
        <v>4327</v>
      </c>
      <c r="I365" s="2">
        <f>IFERROR(__xludf.DUMMYFUNCTION("""COMPUTED_VALUE"""),4801.0)</f>
        <v>4801</v>
      </c>
      <c r="J365" s="2">
        <f>IFERROR(__xludf.DUMMYFUNCTION("""COMPUTED_VALUE"""),2401.0)</f>
        <v>2401</v>
      </c>
      <c r="K365" s="2">
        <f>IFERROR(__xludf.DUMMYFUNCTION("""COMPUTED_VALUE"""),4.0)</f>
        <v>4</v>
      </c>
      <c r="L365" s="2" t="str">
        <f>IFERROR(__xludf.DUMMYFUNCTION("""COMPUTED_VALUE"""),"Line Ultra (Сеть) до 10.2025")</f>
        <v>Line Ultra (Сеть) до 10.2025</v>
      </c>
      <c r="M365" s="2" t="str">
        <f>IFERROR(__xludf.DUMMYFUNCTION("""COMPUTED_VALUE"""),"Пластиковые (линейные), LED Светильники")</f>
        <v>Пластиковые (линейные), LED Светильники</v>
      </c>
    </row>
    <row r="366">
      <c r="A366" s="5" t="str">
        <f>IFERROR(__xludf.DUMMYFUNCTION("""COMPUTED_VALUE"""),"4690612029764")</f>
        <v>4690612029764</v>
      </c>
      <c r="B366" s="5" t="str">
        <f>IFERROR(__xludf.DUMMYFUNCTION("""COMPUTED_VALUE"""),"LPU-02 75Вт ПРИЗМА 230В 4000К 7125Лм 595х595х19мм IP40 IN HOME")</f>
        <v>LPU-02 75Вт ПРИЗМА 230В 4000К 7125Лм 595х595х19мм IP40 IN HOME</v>
      </c>
      <c r="C366" s="2">
        <f>IFERROR(__xludf.DUMMYFUNCTION("""COMPUTED_VALUE"""),1.1)</f>
        <v>1.1</v>
      </c>
      <c r="D366" s="2">
        <f>IFERROR(__xludf.DUMMYFUNCTION("""COMPUTED_VALUE"""),0.00825)</f>
        <v>0.00825</v>
      </c>
      <c r="E366" s="2">
        <f>IFERROR(__xludf.DUMMYFUNCTION("""COMPUTED_VALUE"""),923.4200000000001)</f>
        <v>923.42</v>
      </c>
      <c r="F366" s="2">
        <f>IFERROR(__xludf.DUMMYFUNCTION("""COMPUTED_VALUE"""),837.0)</f>
        <v>837</v>
      </c>
      <c r="G366" s="2">
        <f>IFERROR(__xludf.DUMMYFUNCTION("""COMPUTED_VALUE"""),941.0)</f>
        <v>941</v>
      </c>
      <c r="H366" s="2">
        <f>IFERROR(__xludf.DUMMYFUNCTION("""COMPUTED_VALUE"""),1092.0)</f>
        <v>1092</v>
      </c>
      <c r="I366" s="2">
        <f>IFERROR(__xludf.DUMMYFUNCTION("""COMPUTED_VALUE"""),1255.0)</f>
        <v>1255</v>
      </c>
      <c r="J366" s="2">
        <f>IFERROR(__xludf.DUMMYFUNCTION("""COMPUTED_VALUE"""),628.0)</f>
        <v>628</v>
      </c>
      <c r="K366" s="2">
        <f>IFERROR(__xludf.DUMMYFUNCTION("""COMPUTED_VALUE"""),3.0)</f>
        <v>3</v>
      </c>
      <c r="L366" s="2" t="str">
        <f>IFERROR(__xludf.DUMMYFUNCTION("""COMPUTED_VALUE"""),"Панели светодиодные LP серии ПРИЗМА")</f>
        <v>Панели светодиодные LP серии ПРИЗМА</v>
      </c>
      <c r="M366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367">
      <c r="A367" s="5" t="str">
        <f>IFERROR(__xludf.DUMMYFUNCTION("""COMPUTED_VALUE"""),"4260652195356")</f>
        <v>4260652195356</v>
      </c>
      <c r="B367" s="5" t="str">
        <f>IFERROR(__xludf.DUMMYFUNCTION("""COMPUTED_VALUE"""),"WTL-PI/02B")</f>
        <v>WTL-PI/02B</v>
      </c>
      <c r="C367" s="2">
        <f>IFERROR(__xludf.DUMMYFUNCTION("""COMPUTED_VALUE"""),0.056)</f>
        <v>0.056</v>
      </c>
      <c r="D367" s="2">
        <f>IFERROR(__xludf.DUMMYFUNCTION("""COMPUTED_VALUE"""),0.0153)</f>
        <v>0.0153</v>
      </c>
      <c r="E367" s="2">
        <f>IFERROR(__xludf.DUMMYFUNCTION("""COMPUTED_VALUE"""),69.78)</f>
        <v>69.78</v>
      </c>
      <c r="F367" s="2">
        <f>IFERROR(__xludf.DUMMYFUNCTION("""COMPUTED_VALUE"""),113.0)</f>
        <v>113</v>
      </c>
      <c r="G367" s="2">
        <f>IFERROR(__xludf.DUMMYFUNCTION("""COMPUTED_VALUE"""),117.0)</f>
        <v>117</v>
      </c>
      <c r="H367" s="2">
        <f>IFERROR(__xludf.DUMMYFUNCTION("""COMPUTED_VALUE"""),154.0)</f>
        <v>154</v>
      </c>
      <c r="I367" s="2">
        <f>IFERROR(__xludf.DUMMYFUNCTION("""COMPUTED_VALUE"""),192.0)</f>
        <v>192</v>
      </c>
      <c r="J367" s="2">
        <f>IFERROR(__xludf.DUMMYFUNCTION("""COMPUTED_VALUE"""),96.0)</f>
        <v>96</v>
      </c>
      <c r="K367" s="2">
        <f>IFERROR(__xludf.DUMMYFUNCTION("""COMPUTED_VALUE"""),7.0)</f>
        <v>7</v>
      </c>
      <c r="L367" s="2" t="str">
        <f>IFERROR(__xludf.DUMMYFUNCTION("""COMPUTED_VALUE"""),"Wolta трековые")</f>
        <v>Wolta трековые</v>
      </c>
      <c r="M367" s="2" t="str">
        <f>IFERROR(__xludf.DUMMYFUNCTION("""COMPUTED_VALUE"""),"Трековые, LED Светильники")</f>
        <v>Трековые, LED Светильники</v>
      </c>
    </row>
    <row r="368">
      <c r="A368" s="5" t="str">
        <f>IFERROR(__xludf.DUMMYFUNCTION("""COMPUTED_VALUE"""),"4690612004648")</f>
        <v>4690612004648</v>
      </c>
      <c r="B368" s="5" t="str">
        <f>IFERROR(__xludf.DUMMYFUNCTION("""COMPUTED_VALUE"""),"LED-JC-standard 3Вт 12В G4 4000К ASD")</f>
        <v>LED-JC-standard 3Вт 12В G4 4000К ASD</v>
      </c>
      <c r="C368" s="2">
        <f>IFERROR(__xludf.DUMMYFUNCTION("""COMPUTED_VALUE"""),0.01785)</f>
        <v>0.01785</v>
      </c>
      <c r="D368" s="2">
        <f>IFERROR(__xludf.DUMMYFUNCTION("""COMPUTED_VALUE"""),9.0E-5)</f>
        <v>0.00009</v>
      </c>
      <c r="E368" s="2">
        <f>IFERROR(__xludf.DUMMYFUNCTION("""COMPUTED_VALUE"""),52.7)</f>
        <v>52.7</v>
      </c>
      <c r="F368" s="2">
        <f>IFERROR(__xludf.DUMMYFUNCTION("""COMPUTED_VALUE"""),57.0)</f>
        <v>57</v>
      </c>
      <c r="G368" s="2">
        <f>IFERROR(__xludf.DUMMYFUNCTION("""COMPUTED_VALUE"""),64.0)</f>
        <v>64</v>
      </c>
      <c r="H368" s="2">
        <f>IFERROR(__xludf.DUMMYFUNCTION("""COMPUTED_VALUE"""),74.0)</f>
        <v>74</v>
      </c>
      <c r="I368" s="2">
        <f>IFERROR(__xludf.DUMMYFUNCTION("""COMPUTED_VALUE"""),85.5)</f>
        <v>85.5</v>
      </c>
      <c r="J368" s="2">
        <f>IFERROR(__xludf.DUMMYFUNCTION("""COMPUTED_VALUE"""),43.0)</f>
        <v>43</v>
      </c>
      <c r="K368" s="2">
        <f>IFERROR(__xludf.DUMMYFUNCTION("""COMPUTED_VALUE"""),2.0)</f>
        <v>2</v>
      </c>
      <c r="L368" s="2" t="str">
        <f>IFERROR(__xludf.DUMMYFUNCTION("""COMPUTED_VALUE"""),"Лампа светодиодная LED-JC-standard")</f>
        <v>Лампа светодиодная LED-JC-standard</v>
      </c>
      <c r="M368" s="2" t="str">
        <f>IFERROR(__xludf.DUMMYFUNCTION("""COMPUTED_VALUE"""),"Лампы")</f>
        <v>Лампы</v>
      </c>
    </row>
    <row r="369">
      <c r="A369" s="5" t="str">
        <f>IFERROR(__xludf.DUMMYFUNCTION("""COMPUTED_VALUE"""),"4690612037646")</f>
        <v>4690612037646</v>
      </c>
      <c r="B369" s="5" t="str">
        <f>IFERROR(__xludf.DUMMYFUNCTION("""COMPUTED_VALUE"""),"ДВО-02 4540-ПРИЗМА 45Вт 230В 4000К 4500Лм 100Лм/Вт 595х595х19 NEOX")</f>
        <v>ДВО-02 4540-ПРИЗМА 45Вт 230В 4000К 4500Лм 100Лм/Вт 595х595х19 NEOX</v>
      </c>
      <c r="C369" s="2">
        <f>IFERROR(__xludf.DUMMYFUNCTION("""COMPUTED_VALUE"""),4.30001)</f>
        <v>4.30001</v>
      </c>
      <c r="D369" s="2">
        <f>IFERROR(__xludf.DUMMYFUNCTION("""COMPUTED_VALUE"""),0.032)</f>
        <v>0.032</v>
      </c>
      <c r="E369" s="2">
        <f>IFERROR(__xludf.DUMMYFUNCTION("""COMPUTED_VALUE"""),519.63)</f>
        <v>519.63</v>
      </c>
      <c r="F369" s="2">
        <f>IFERROR(__xludf.DUMMYFUNCTION("""COMPUTED_VALUE"""),653.0)</f>
        <v>653</v>
      </c>
      <c r="G369" s="2">
        <f>IFERROR(__xludf.DUMMYFUNCTION("""COMPUTED_VALUE"""),735.0)</f>
        <v>735</v>
      </c>
      <c r="H369" s="2">
        <f>IFERROR(__xludf.DUMMYFUNCTION("""COMPUTED_VALUE"""),853.0)</f>
        <v>853</v>
      </c>
      <c r="I369" s="2">
        <f>IFERROR(__xludf.DUMMYFUNCTION("""COMPUTED_VALUE"""),980.0)</f>
        <v>980</v>
      </c>
      <c r="J369" s="2">
        <f>IFERROR(__xludf.DUMMYFUNCTION("""COMPUTED_VALUE"""),490.0)</f>
        <v>490</v>
      </c>
      <c r="K369" s="2">
        <f>IFERROR(__xludf.DUMMYFUNCTION("""COMPUTED_VALUE"""),3.0)</f>
        <v>3</v>
      </c>
      <c r="L369" s="2" t="str">
        <f>IFERROR(__xludf.DUMMYFUNCTION("""COMPUTED_VALUE"""),"NEOX Светильники LED ДВО")</f>
        <v>NEOX Светильники LED ДВО</v>
      </c>
      <c r="M369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370">
      <c r="A370" s="5" t="str">
        <f>IFERROR(__xludf.DUMMYFUNCTION("""COMPUTED_VALUE"""),"4690612034638")</f>
        <v>4690612034638</v>
      </c>
      <c r="B370" s="5" t="str">
        <f>IFERROR(__xludf.DUMMYFUNCTION("""COMPUTED_VALUE"""),"СДО-7 50Вт 230В 6500К IP65 черный IN HOME")</f>
        <v>СДО-7 50Вт 230В 6500К IP65 черный IN HOME</v>
      </c>
      <c r="C370" s="2">
        <f>IFERROR(__xludf.DUMMYFUNCTION("""COMPUTED_VALUE"""),0.4)</f>
        <v>0.4</v>
      </c>
      <c r="D370" s="2">
        <f>IFERROR(__xludf.DUMMYFUNCTION("""COMPUTED_VALUE"""),9.500000000000001E-4)</f>
        <v>0.00095</v>
      </c>
      <c r="E370" s="2">
        <f>IFERROR(__xludf.DUMMYFUNCTION("""COMPUTED_VALUE"""),312.66)</f>
        <v>312.66</v>
      </c>
      <c r="F370" s="2">
        <f>IFERROR(__xludf.DUMMYFUNCTION("""COMPUTED_VALUE"""),250.0)</f>
        <v>250</v>
      </c>
      <c r="G370" s="2">
        <f>IFERROR(__xludf.DUMMYFUNCTION("""COMPUTED_VALUE"""),281.0)</f>
        <v>281</v>
      </c>
      <c r="H370" s="2">
        <f>IFERROR(__xludf.DUMMYFUNCTION("""COMPUTED_VALUE"""),326.0)</f>
        <v>326</v>
      </c>
      <c r="I370" s="2">
        <f>IFERROR(__xludf.DUMMYFUNCTION("""COMPUTED_VALUE"""),375.0)</f>
        <v>375</v>
      </c>
      <c r="J370" s="2">
        <f>IFERROR(__xludf.DUMMYFUNCTION("""COMPUTED_VALUE"""),281.0)</f>
        <v>281</v>
      </c>
      <c r="K370" s="2">
        <f>IFERROR(__xludf.DUMMYFUNCTION("""COMPUTED_VALUE"""),2.0)</f>
        <v>2</v>
      </c>
      <c r="L370" s="2" t="str">
        <f>IFERROR(__xludf.DUMMYFUNCTION("""COMPUTED_VALUE"""),"Прожекторы светодиодные СДО-07")</f>
        <v>Прожекторы светодиодные СДО-07</v>
      </c>
      <c r="M370" s="2" t="str">
        <f>IFERROR(__xludf.DUMMYFUNCTION("""COMPUTED_VALUE"""),"Прожекторы (LED), Бытовые (недорогие), Без датчиков, LED Светильники")</f>
        <v>Прожекторы (LED), Бытовые (недорогие), Без датчиков, LED Светильники</v>
      </c>
    </row>
    <row r="371">
      <c r="A371" s="5" t="str">
        <f>IFERROR(__xludf.DUMMYFUNCTION("""COMPUTED_VALUE"""),"4690612020358")</f>
        <v>4690612020358</v>
      </c>
      <c r="B371" s="5" t="str">
        <f>IFERROR(__xludf.DUMMYFUNCTION("""COMPUTED_VALUE"""),"LED-JCDR-VC 11Вт 230В GU5.3 4000К 990Лм IN HOME")</f>
        <v>LED-JCDR-VC 11Вт 230В GU5.3 4000К 990Лм IN HOME</v>
      </c>
      <c r="C371" s="2">
        <f>IFERROR(__xludf.DUMMYFUNCTION("""COMPUTED_VALUE"""),0.03700000000000001)</f>
        <v>0.037</v>
      </c>
      <c r="D371" s="2">
        <f>IFERROR(__xludf.DUMMYFUNCTION("""COMPUTED_VALUE"""),2.1E-4)</f>
        <v>0.00021</v>
      </c>
      <c r="E371" s="2">
        <f>IFERROR(__xludf.DUMMYFUNCTION("""COMPUTED_VALUE"""),43.2)</f>
        <v>43.2</v>
      </c>
      <c r="F371" s="2">
        <f>IFERROR(__xludf.DUMMYFUNCTION("""COMPUTED_VALUE"""),48.0)</f>
        <v>48</v>
      </c>
      <c r="G371" s="2">
        <f>IFERROR(__xludf.DUMMYFUNCTION("""COMPUTED_VALUE"""),54.0)</f>
        <v>54</v>
      </c>
      <c r="H371" s="2">
        <f>IFERROR(__xludf.DUMMYFUNCTION("""COMPUTED_VALUE"""),63.0)</f>
        <v>63</v>
      </c>
      <c r="I371" s="2">
        <f>IFERROR(__xludf.DUMMYFUNCTION("""COMPUTED_VALUE"""),73.10000000000001)</f>
        <v>73.1</v>
      </c>
      <c r="J371" s="2">
        <f>IFERROR(__xludf.DUMMYFUNCTION("""COMPUTED_VALUE"""),37.0)</f>
        <v>37</v>
      </c>
      <c r="K371" s="2">
        <f>IFERROR(__xludf.DUMMYFUNCTION("""COMPUTED_VALUE"""),15.0)</f>
        <v>15</v>
      </c>
      <c r="L371" s="2" t="str">
        <f>IFERROR(__xludf.DUMMYFUNCTION("""COMPUTED_VALUE"""),"Лампа светодиодная LED-JCDR-standard")</f>
        <v>Лампа светодиодная LED-JCDR-standard</v>
      </c>
      <c r="M371" s="2" t="str">
        <f>IFERROR(__xludf.DUMMYFUNCTION("""COMPUTED_VALUE"""),"Лампы")</f>
        <v>Лампы</v>
      </c>
    </row>
    <row r="372">
      <c r="A372" s="5" t="str">
        <f>IFERROR(__xludf.DUMMYFUNCTION("""COMPUTED_VALUE"""),"4690626057722")</f>
        <v>4690626057722</v>
      </c>
      <c r="B372" s="5" t="str">
        <f>IFERROR(__xludf.DUMMYFUNCTION("""COMPUTED_VALUE"""),"sbl-ms-012")</f>
        <v>sbl-ms-012</v>
      </c>
      <c r="C372" s="2">
        <f>IFERROR(__xludf.DUMMYFUNCTION("""COMPUTED_VALUE"""),0.125)</f>
        <v>0.125</v>
      </c>
      <c r="D372" s="2">
        <f>IFERROR(__xludf.DUMMYFUNCTION("""COMPUTED_VALUE"""),5.8E-4)</f>
        <v>0.00058</v>
      </c>
      <c r="E372" s="2">
        <f>IFERROR(__xludf.DUMMYFUNCTION("""COMPUTED_VALUE"""),270.0)</f>
        <v>270</v>
      </c>
      <c r="F372" s="2">
        <f>IFERROR(__xludf.DUMMYFUNCTION("""COMPUTED_VALUE"""),523.0)</f>
        <v>523</v>
      </c>
      <c r="G372" s="2">
        <f>IFERROR(__xludf.DUMMYFUNCTION("""COMPUTED_VALUE"""),574.0)</f>
        <v>574</v>
      </c>
      <c r="H372" s="2">
        <f>IFERROR(__xludf.DUMMYFUNCTION("""COMPUTED_VALUE"""),638.0)</f>
        <v>638</v>
      </c>
      <c r="I372" s="2">
        <f>IFERROR(__xludf.DUMMYFUNCTION("""COMPUTED_VALUE"""),701.0)</f>
        <v>701</v>
      </c>
      <c r="J372" s="2">
        <f>IFERROR(__xludf.DUMMYFUNCTION("""COMPUTED_VALUE"""),351.0)</f>
        <v>351</v>
      </c>
      <c r="K372" s="2">
        <f>IFERROR(__xludf.DUMMYFUNCTION("""COMPUTED_VALUE"""),1.0)</f>
        <v>1</v>
      </c>
      <c r="L372" s="2" t="str">
        <f>IFERROR(__xludf.DUMMYFUNCTION("""COMPUTED_VALUE"""),"Smartbuy")</f>
        <v>Smartbuy</v>
      </c>
      <c r="M372" s="2" t="str">
        <f>IFERROR(__xludf.DUMMYFUNCTION("""COMPUTED_VALUE"""),"Прочие товары")</f>
        <v>Прочие товары</v>
      </c>
    </row>
    <row r="373">
      <c r="A373" s="5" t="str">
        <f>IFERROR(__xludf.DUMMYFUNCTION("""COMPUTED_VALUE"""),"GL51401")</f>
        <v>GL51401</v>
      </c>
      <c r="B373" s="5" t="str">
        <f>IFERROR(__xludf.DUMMYFUNCTION("""COMPUTED_VALUE"""),"GLERIO Practical 96 Вт 5000К 6A-96D-5U+")</f>
        <v>GLERIO Practical 96 Вт 5000К 6A-96D-5U+</v>
      </c>
      <c r="C373" s="2">
        <f>IFERROR(__xludf.DUMMYFUNCTION("""COMPUTED_VALUE"""),1.5)</f>
        <v>1.5</v>
      </c>
      <c r="D373" s="2">
        <f>IFERROR(__xludf.DUMMYFUNCTION("""COMPUTED_VALUE"""),0.005)</f>
        <v>0.005</v>
      </c>
      <c r="E373" s="2">
        <f>IFERROR(__xludf.DUMMYFUNCTION("""COMPUTED_VALUE"""),2793.6)</f>
        <v>2793.6</v>
      </c>
      <c r="F373" s="2">
        <f>IFERROR(__xludf.DUMMYFUNCTION("""COMPUTED_VALUE"""),3200.0)</f>
        <v>3200</v>
      </c>
      <c r="G373" s="2">
        <f>IFERROR(__xludf.DUMMYFUNCTION("""COMPUTED_VALUE"""),4000.0)</f>
        <v>4000</v>
      </c>
      <c r="H373" s="2">
        <f>IFERROR(__xludf.DUMMYFUNCTION("""COMPUTED_VALUE"""),4500.0)</f>
        <v>4500</v>
      </c>
      <c r="I373" s="2">
        <f>IFERROR(__xludf.DUMMYFUNCTION("""COMPUTED_VALUE"""),5000.0)</f>
        <v>5000</v>
      </c>
      <c r="J373" s="2">
        <f>IFERROR(__xludf.DUMMYFUNCTION("""COMPUTED_VALUE"""),5000.0)</f>
        <v>5000</v>
      </c>
      <c r="K373" s="2">
        <f>IFERROR(__xludf.DUMMYFUNCTION("""COMPUTED_VALUE"""),-33.0)</f>
        <v>-33</v>
      </c>
      <c r="L373" s="2" t="str">
        <f>IFERROR(__xludf.DUMMYFUNCTION("""COMPUTED_VALUE"""),"Practical+ Уличные GLERIO")</f>
        <v>Practical+ Уличные GLERIO</v>
      </c>
      <c r="M373" s="2" t="str">
        <f>IFERROR(__xludf.DUMMYFUNCTION("""COMPUTED_VALUE"""),"Для обычных дорог, LED Светильники")</f>
        <v>Для обычных дорог, LED Светильники</v>
      </c>
    </row>
    <row r="374">
      <c r="A374" s="5" t="str">
        <f>IFERROR(__xludf.DUMMYFUNCTION("""COMPUTED_VALUE"""),"R100701")</f>
        <v>R100701</v>
      </c>
      <c r="B374" s="5" t="str">
        <f>IFERROR(__xludf.DUMMYFUNCTION("""COMPUTED_VALUE"""),"RSV-SPO-02-40W-6500К, IP40 P")</f>
        <v>RSV-SPO-02-40W-6500К, IP40 P</v>
      </c>
      <c r="C374" s="2">
        <f>IFERROR(__xludf.DUMMYFUNCTION("""COMPUTED_VALUE"""),0.3733300000000001)</f>
        <v>0.37333</v>
      </c>
      <c r="D374" s="2">
        <f>IFERROR(__xludf.DUMMYFUNCTION("""COMPUTED_VALUE"""),0.00252)</f>
        <v>0.00252</v>
      </c>
      <c r="E374" s="2">
        <f>IFERROR(__xludf.DUMMYFUNCTION("""COMPUTED_VALUE"""),198.56)</f>
        <v>198.56</v>
      </c>
      <c r="F374" s="2">
        <f>IFERROR(__xludf.DUMMYFUNCTION("""COMPUTED_VALUE"""),268.0)</f>
        <v>268</v>
      </c>
      <c r="G374" s="2">
        <f>IFERROR(__xludf.DUMMYFUNCTION("""COMPUTED_VALUE"""),286.0)</f>
        <v>286</v>
      </c>
      <c r="H374" s="2">
        <f>IFERROR(__xludf.DUMMYFUNCTION("""COMPUTED_VALUE"""),321.0)</f>
        <v>321</v>
      </c>
      <c r="I374" s="2">
        <f>IFERROR(__xludf.DUMMYFUNCTION("""COMPUTED_VALUE"""),357.0)</f>
        <v>357</v>
      </c>
      <c r="J374" s="2">
        <f>IFERROR(__xludf.DUMMYFUNCTION("""COMPUTED_VALUE"""),179.0)</f>
        <v>179</v>
      </c>
      <c r="K374" s="2">
        <f>IFERROR(__xludf.DUMMYFUNCTION("""COMPUTED_VALUE"""),2.0)</f>
        <v>2</v>
      </c>
      <c r="L374" s="2" t="str">
        <f>IFERROR(__xludf.DUMMYFUNCTION("""COMPUTED_VALUE"""),"Архив (не производим)")</f>
        <v>Архив (не производим)</v>
      </c>
      <c r="M374" s="2" t="str">
        <f>IFERROR(__xludf.DUMMYFUNCTION("""COMPUTED_VALUE"""),"Для ЖКХ, дома, дачи, Без датчиков, LED Светильники")</f>
        <v>Для ЖКХ, дома, дачи, Без датчиков, LED Светильники</v>
      </c>
    </row>
    <row r="375">
      <c r="A375" s="5" t="str">
        <f>IFERROR(__xludf.DUMMYFUNCTION("""COMPUTED_VALUE"""),"4690612030975")</f>
        <v>4690612030975</v>
      </c>
      <c r="B375" s="5" t="str">
        <f>IFERROR(__xludf.DUMMYFUNCTION("""COMPUTED_VALUE"""),"LED-T8-М-PRO 20Вт 230В G13 4000К 2000Лм 1200мм матовая IN HOME")</f>
        <v>LED-T8-М-PRO 20Вт 230В G13 4000К 2000Лм 1200мм матовая IN HOME</v>
      </c>
      <c r="C375" s="2">
        <f>IFERROR(__xludf.DUMMYFUNCTION("""COMPUTED_VALUE"""),0.188)</f>
        <v>0.188</v>
      </c>
      <c r="D375" s="2">
        <f>IFERROR(__xludf.DUMMYFUNCTION("""COMPUTED_VALUE"""),0.00144)</f>
        <v>0.00144</v>
      </c>
      <c r="E375" s="2">
        <f>IFERROR(__xludf.DUMMYFUNCTION("""COMPUTED_VALUE"""),81.36)</f>
        <v>81.36</v>
      </c>
      <c r="F375" s="2">
        <f>IFERROR(__xludf.DUMMYFUNCTION("""COMPUTED_VALUE"""),111.0)</f>
        <v>111</v>
      </c>
      <c r="G375" s="2">
        <f>IFERROR(__xludf.DUMMYFUNCTION("""COMPUTED_VALUE"""),125.0)</f>
        <v>125</v>
      </c>
      <c r="H375" s="2">
        <f>IFERROR(__xludf.DUMMYFUNCTION("""COMPUTED_VALUE"""),145.0)</f>
        <v>145</v>
      </c>
      <c r="I375" s="2">
        <f>IFERROR(__xludf.DUMMYFUNCTION("""COMPUTED_VALUE"""),166.6)</f>
        <v>166.6</v>
      </c>
      <c r="J375" s="2">
        <f>IFERROR(__xludf.DUMMYFUNCTION("""COMPUTED_VALUE"""),83.0)</f>
        <v>83</v>
      </c>
      <c r="K375" s="2">
        <f>IFERROR(__xludf.DUMMYFUNCTION("""COMPUTED_VALUE"""),10.0)</f>
        <v>10</v>
      </c>
      <c r="L375" s="2" t="str">
        <f>IFERROR(__xludf.DUMMYFUNCTION("""COMPUTED_VALUE"""),"Лампа светодиодная LED-T8")</f>
        <v>Лампа светодиодная LED-T8</v>
      </c>
      <c r="M375" s="2" t="str">
        <f>IFERROR(__xludf.DUMMYFUNCTION("""COMPUTED_VALUE"""),"Лампы")</f>
        <v>Лампы</v>
      </c>
    </row>
    <row r="376">
      <c r="A376" s="5" t="str">
        <f>IFERROR(__xludf.DUMMYFUNCTION("""COMPUTED_VALUE"""),"4690612029894")</f>
        <v>4690612029894</v>
      </c>
      <c r="B376" s="5" t="str">
        <f>IFERROR(__xludf.DUMMYFUNCTION("""COMPUTED_VALUE"""),"LPU-02 40Вт ОПАЛ 230В 6500К 3600Лм 595х595х25мм IP40 IN HOME")</f>
        <v>LPU-02 40Вт ОПАЛ 230В 6500К 3600Лм 595х595х25мм IP40 IN HOME</v>
      </c>
      <c r="C376" s="2">
        <f>IFERROR(__xludf.DUMMYFUNCTION("""COMPUTED_VALUE"""),1.2)</f>
        <v>1.2</v>
      </c>
      <c r="D376" s="2">
        <f>IFERROR(__xludf.DUMMYFUNCTION("""COMPUTED_VALUE"""),0.00975)</f>
        <v>0.00975</v>
      </c>
      <c r="E376" s="2">
        <f>IFERROR(__xludf.DUMMYFUNCTION("""COMPUTED_VALUE"""),711.09)</f>
        <v>711.09</v>
      </c>
      <c r="F376" s="2">
        <f>IFERROR(__xludf.DUMMYFUNCTION("""COMPUTED_VALUE"""),690.0)</f>
        <v>690</v>
      </c>
      <c r="G376" s="2">
        <f>IFERROR(__xludf.DUMMYFUNCTION("""COMPUTED_VALUE"""),776.0)</f>
        <v>776</v>
      </c>
      <c r="H376" s="2">
        <f>IFERROR(__xludf.DUMMYFUNCTION("""COMPUTED_VALUE"""),900.0)</f>
        <v>900</v>
      </c>
      <c r="I376" s="2">
        <f>IFERROR(__xludf.DUMMYFUNCTION("""COMPUTED_VALUE"""),1035.0)</f>
        <v>1035</v>
      </c>
      <c r="J376" s="2">
        <f>IFERROR(__xludf.DUMMYFUNCTION("""COMPUTED_VALUE"""),776.0)</f>
        <v>776</v>
      </c>
      <c r="K376" s="2">
        <f>IFERROR(__xludf.DUMMYFUNCTION("""COMPUTED_VALUE"""),9.0)</f>
        <v>9</v>
      </c>
      <c r="L376" s="2" t="str">
        <f>IFERROR(__xludf.DUMMYFUNCTION("""COMPUTED_VALUE"""),"Панели светодиодные LP серии ОПАЛ")</f>
        <v>Панели светодиодные LP серии ОПАЛ</v>
      </c>
      <c r="M376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377">
      <c r="A377" s="5" t="str">
        <f>IFERROR(__xludf.DUMMYFUNCTION("""COMPUTED_VALUE"""),"4690612019161")</f>
        <v>4690612019161</v>
      </c>
      <c r="B377" s="5" t="str">
        <f>IFERROR(__xludf.DUMMYFUNCTION("""COMPUTED_VALUE"""),"LED-JCDRC-standard 5.5Вт 230В GU10 6500К 495Лм ASD")</f>
        <v>LED-JCDRC-standard 5.5Вт 230В GU10 6500К 495Лм ASD</v>
      </c>
      <c r="C377" s="2">
        <f>IFERROR(__xludf.DUMMYFUNCTION("""COMPUTED_VALUE"""),0.032)</f>
        <v>0.032</v>
      </c>
      <c r="D377" s="2">
        <f>IFERROR(__xludf.DUMMYFUNCTION("""COMPUTED_VALUE"""),2.2E-4)</f>
        <v>0.00022</v>
      </c>
      <c r="E377" s="2">
        <f>IFERROR(__xludf.DUMMYFUNCTION("""COMPUTED_VALUE"""),31.0)</f>
        <v>31</v>
      </c>
      <c r="F377" s="2">
        <f>IFERROR(__xludf.DUMMYFUNCTION("""COMPUTED_VALUE"""),26.0)</f>
        <v>26</v>
      </c>
      <c r="G377" s="2">
        <f>IFERROR(__xludf.DUMMYFUNCTION("""COMPUTED_VALUE"""),29.0)</f>
        <v>29</v>
      </c>
      <c r="H377" s="2">
        <f>IFERROR(__xludf.DUMMYFUNCTION("""COMPUTED_VALUE"""),34.0)</f>
        <v>34</v>
      </c>
      <c r="I377" s="2">
        <f>IFERROR(__xludf.DUMMYFUNCTION("""COMPUTED_VALUE"""),39.45)</f>
        <v>39.45</v>
      </c>
      <c r="J377" s="2">
        <f>IFERROR(__xludf.DUMMYFUNCTION("""COMPUTED_VALUE"""),20.0)</f>
        <v>20</v>
      </c>
      <c r="K377" s="2">
        <f>IFERROR(__xludf.DUMMYFUNCTION("""COMPUTED_VALUE"""),30.0)</f>
        <v>30</v>
      </c>
      <c r="L377" s="2" t="str">
        <f>IFERROR(__xludf.DUMMYFUNCTION("""COMPUTED_VALUE"""),"ASD лампы LED")</f>
        <v>ASD лампы LED</v>
      </c>
      <c r="M377" s="2" t="str">
        <f>IFERROR(__xludf.DUMMYFUNCTION("""COMPUTED_VALUE"""),"Лампы")</f>
        <v>Лампы</v>
      </c>
    </row>
    <row r="378">
      <c r="A378" s="5" t="str">
        <f>IFERROR(__xludf.DUMMYFUNCTION("""COMPUTED_VALUE"""),"4690612035321")</f>
        <v>4690612035321</v>
      </c>
      <c r="B378" s="5" t="str">
        <f>IFERROR(__xludf.DUMMYFUNCTION("""COMPUTED_VALUE"""),"ELEGANT ARIS-W 15Вт 230В 3000-6500К 1050Лм STEP COLOR белый IN HOME")</f>
        <v>ELEGANT ARIS-W 15Вт 230В 3000-6500К 1050Лм STEP COLOR белый IN HOME</v>
      </c>
      <c r="C378" s="2">
        <f>IFERROR(__xludf.DUMMYFUNCTION("""COMPUTED_VALUE"""),0.35)</f>
        <v>0.35</v>
      </c>
      <c r="D378" s="2">
        <f>IFERROR(__xludf.DUMMYFUNCTION("""COMPUTED_VALUE"""),0.0035)</f>
        <v>0.0035</v>
      </c>
      <c r="E378" s="2">
        <f>IFERROR(__xludf.DUMMYFUNCTION("""COMPUTED_VALUE"""),597.6)</f>
        <v>597.6</v>
      </c>
      <c r="F378" s="2">
        <f>IFERROR(__xludf.DUMMYFUNCTION("""COMPUTED_VALUE"""),627.0)</f>
        <v>627</v>
      </c>
      <c r="G378" s="2">
        <f>IFERROR(__xludf.DUMMYFUNCTION("""COMPUTED_VALUE"""),705.0)</f>
        <v>705</v>
      </c>
      <c r="H378" s="2">
        <f>IFERROR(__xludf.DUMMYFUNCTION("""COMPUTED_VALUE"""),818.0)</f>
        <v>818</v>
      </c>
      <c r="I378" s="2">
        <f>IFERROR(__xludf.DUMMYFUNCTION("""COMPUTED_VALUE"""),940.0)</f>
        <v>940</v>
      </c>
      <c r="J378" s="2">
        <f>IFERROR(__xludf.DUMMYFUNCTION("""COMPUTED_VALUE"""),470.0)</f>
        <v>470</v>
      </c>
      <c r="K378" s="2">
        <f>IFERROR(__xludf.DUMMYFUNCTION("""COMPUTED_VALUE"""),3.0)</f>
        <v>3</v>
      </c>
      <c r="L378" s="2" t="str">
        <f>IFERROR(__xludf.DUMMYFUNCTION("""COMPUTED_VALUE"""),"Светильники светодиодные серии ELEGANT IN HOME")</f>
        <v>Светильники светодиодные серии ELEGANT IN HOME</v>
      </c>
      <c r="M378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379">
      <c r="A379" s="5" t="str">
        <f>IFERROR(__xludf.DUMMYFUNCTION("""COMPUTED_VALUE"""),"4690612030777-10")</f>
        <v>4690612030777-10</v>
      </c>
      <c r="B379" s="5" t="str">
        <f>IFERROR(__xludf.DUMMYFUNCTION("""COMPUTED_VALUE"""),"10 шт. Лампа LED-GX53-VC 6Вт 230В 3000К 570Лм IN HOME (Комплект 10 шт)")</f>
        <v>10 шт. Лампа LED-GX53-VC 6Вт 230В 3000К 570Лм IN HOME (Комплект 10 шт)</v>
      </c>
      <c r="C379" s="2">
        <f>IFERROR(__xludf.DUMMYFUNCTION("""COMPUTED_VALUE"""),0.03)</f>
        <v>0.03</v>
      </c>
      <c r="D379" s="2">
        <f>IFERROR(__xludf.DUMMYFUNCTION("""COMPUTED_VALUE"""),0.0021)</f>
        <v>0.0021</v>
      </c>
      <c r="E379" s="2">
        <f>IFERROR(__xludf.DUMMYFUNCTION("""COMPUTED_VALUE"""),449.5)</f>
        <v>449.5</v>
      </c>
      <c r="F379" s="2">
        <f>IFERROR(__xludf.DUMMYFUNCTION("""COMPUTED_VALUE"""),493.0)</f>
        <v>493</v>
      </c>
      <c r="G379" s="2">
        <f>IFERROR(__xludf.DUMMYFUNCTION("""COMPUTED_VALUE"""),647.0)</f>
        <v>647</v>
      </c>
      <c r="H379" s="2">
        <f>IFERROR(__xludf.DUMMYFUNCTION("""COMPUTED_VALUE"""),728.0)</f>
        <v>728</v>
      </c>
      <c r="I379" s="2">
        <f>IFERROR(__xludf.DUMMYFUNCTION("""COMPUTED_VALUE"""),809.0)</f>
        <v>809</v>
      </c>
      <c r="J379" s="2">
        <f>IFERROR(__xludf.DUMMYFUNCTION("""COMPUTED_VALUE"""),405.0)</f>
        <v>405</v>
      </c>
      <c r="K379" s="2">
        <f>IFERROR(__xludf.DUMMYFUNCTION("""COMPUTED_VALUE"""),10.0)</f>
        <v>10</v>
      </c>
      <c r="L379" s="2" t="str">
        <f>IFERROR(__xludf.DUMMYFUNCTION("""COMPUTED_VALUE"""),"Лампы производство, упаковка")</f>
        <v>Лампы производство, упаковка</v>
      </c>
      <c r="M379" s="2" t="str">
        <f>IFERROR(__xludf.DUMMYFUNCTION("""COMPUTED_VALUE"""),"Лампы")</f>
        <v>Лампы</v>
      </c>
    </row>
    <row r="380">
      <c r="A380" s="5" t="str">
        <f>IFERROR(__xludf.DUMMYFUNCTION("""COMPUTED_VALUE"""),"14690612057276")</f>
        <v>14690612057276</v>
      </c>
      <c r="B380" s="5" t="str">
        <f>IFERROR(__xludf.DUMMYFUNCTION("""COMPUTED_VALUE"""),"ДВО-PRO 4040-ОПАЛ 40Вт 4000К 120лм/Вт CRI80 IP40 595х595х30мм NEOX (4 шт в упак.)")</f>
        <v>ДВО-PRO 4040-ОПАЛ 40Вт 4000К 120лм/Вт CRI80 IP40 595х595х30мм NEOX (4 шт в упак.)</v>
      </c>
      <c r="C380" s="2">
        <f>IFERROR(__xludf.DUMMYFUNCTION("""COMPUTED_VALUE"""),0.0)</f>
        <v>0</v>
      </c>
      <c r="D380" s="2">
        <f>IFERROR(__xludf.DUMMYFUNCTION("""COMPUTED_VALUE"""),0.0)</f>
        <v>0</v>
      </c>
      <c r="E380" s="2">
        <f>IFERROR(__xludf.DUMMYFUNCTION("""COMPUTED_VALUE"""),2832.0)</f>
        <v>2832</v>
      </c>
      <c r="F380" s="2">
        <f>IFERROR(__xludf.DUMMYFUNCTION("""COMPUTED_VALUE"""),3107.0)</f>
        <v>3107</v>
      </c>
      <c r="G380" s="2">
        <f>IFERROR(__xludf.DUMMYFUNCTION("""COMPUTED_VALUE"""),4078.0)</f>
        <v>4078</v>
      </c>
      <c r="H380" s="2">
        <f>IFERROR(__xludf.DUMMYFUNCTION("""COMPUTED_VALUE"""),4588.0)</f>
        <v>4588</v>
      </c>
      <c r="I380" s="2">
        <f>IFERROR(__xludf.DUMMYFUNCTION("""COMPUTED_VALUE"""),5098.0)</f>
        <v>5098</v>
      </c>
      <c r="J380" s="2">
        <f>IFERROR(__xludf.DUMMYFUNCTION("""COMPUTED_VALUE"""),2549.0)</f>
        <v>2549</v>
      </c>
      <c r="K380" s="2">
        <f>IFERROR(__xludf.DUMMYFUNCTION("""COMPUTED_VALUE"""),4.0)</f>
        <v>4</v>
      </c>
      <c r="L380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380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381">
      <c r="A381" s="5" t="str">
        <f>IFERROR(__xludf.DUMMYFUNCTION("""COMPUTED_VALUE"""),"13-3021")</f>
        <v>13-3021</v>
      </c>
      <c r="B381" s="5" t="str">
        <f>IFERROR(__xludf.DUMMYFUNCTION("""COMPUTED_VALUE"""),"Универсальный мультиметр MAS830L (DT850L) PROconnect")</f>
        <v>Универсальный мультиметр MAS830L (DT850L) PROconnect</v>
      </c>
      <c r="C381" s="2">
        <f>IFERROR(__xludf.DUMMYFUNCTION("""COMPUTED_VALUE"""),0.0)</f>
        <v>0</v>
      </c>
      <c r="D381" s="2">
        <f>IFERROR(__xludf.DUMMYFUNCTION("""COMPUTED_VALUE"""),0.0)</f>
        <v>0</v>
      </c>
      <c r="E381" s="2">
        <f>IFERROR(__xludf.DUMMYFUNCTION("""COMPUTED_VALUE"""),1.0)</f>
        <v>1</v>
      </c>
      <c r="F381" s="2">
        <f>IFERROR(__xludf.DUMMYFUNCTION("""COMPUTED_VALUE"""),962.0)</f>
        <v>962</v>
      </c>
      <c r="G381" s="2">
        <f>IFERROR(__xludf.DUMMYFUNCTION("""COMPUTED_VALUE"""),1026.0)</f>
        <v>1026</v>
      </c>
      <c r="H381" s="2">
        <f>IFERROR(__xludf.DUMMYFUNCTION("""COMPUTED_VALUE"""),1155.0)</f>
        <v>1155</v>
      </c>
      <c r="I381" s="2">
        <f>IFERROR(__xludf.DUMMYFUNCTION("""COMPUTED_VALUE"""),1282.99)</f>
        <v>1282.99</v>
      </c>
      <c r="J381" s="2">
        <f>IFERROR(__xludf.DUMMYFUNCTION("""COMPUTED_VALUE"""),641.0)</f>
        <v>641</v>
      </c>
      <c r="K381" s="2">
        <f>IFERROR(__xludf.DUMMYFUNCTION("""COMPUTED_VALUE"""),2.0)</f>
        <v>2</v>
      </c>
      <c r="L381" s="2" t="str">
        <f>IFERROR(__xludf.DUMMYFUNCTION("""COMPUTED_VALUE"""),"Rexant")</f>
        <v>Rexant</v>
      </c>
      <c r="M381" s="2" t="str">
        <f>IFERROR(__xludf.DUMMYFUNCTION("""COMPUTED_VALUE"""),"Прочие товары")</f>
        <v>Прочие товары</v>
      </c>
    </row>
    <row r="382">
      <c r="A382" s="5" t="str">
        <f>IFERROR(__xludf.DUMMYFUNCTION("""COMPUTED_VALUE"""),"ves2208")</f>
        <v>ves2208</v>
      </c>
      <c r="B382" s="5" t="str">
        <f>IFERROR(__xludf.DUMMYFUNCTION("""COMPUTED_VALUE"""),"Светильник светодиодный AM-PL-35W")</f>
        <v>Светильник светодиодный AM-PL-35W</v>
      </c>
      <c r="C382" s="2">
        <f>IFERROR(__xludf.DUMMYFUNCTION("""COMPUTED_VALUE"""),0.0)</f>
        <v>0</v>
      </c>
      <c r="D382" s="2">
        <f>IFERROR(__xludf.DUMMYFUNCTION("""COMPUTED_VALUE"""),0.0)</f>
        <v>0</v>
      </c>
      <c r="E382" s="2">
        <f>IFERROR(__xludf.DUMMYFUNCTION("""COMPUTED_VALUE"""),1400.0)</f>
        <v>1400</v>
      </c>
      <c r="F382" s="2">
        <f>IFERROR(__xludf.DUMMYFUNCTION("""COMPUTED_VALUE"""),1953.0)</f>
        <v>1953</v>
      </c>
      <c r="G382" s="2">
        <f>IFERROR(__xludf.DUMMYFUNCTION("""COMPUTED_VALUE"""),2084.0)</f>
        <v>2084</v>
      </c>
      <c r="H382" s="2">
        <f>IFERROR(__xludf.DUMMYFUNCTION("""COMPUTED_VALUE"""),2344.0)</f>
        <v>2344</v>
      </c>
      <c r="I382" s="2">
        <f>IFERROR(__xludf.DUMMYFUNCTION("""COMPUTED_VALUE"""),2604.56)</f>
        <v>2604.56</v>
      </c>
      <c r="J382" s="2">
        <f>IFERROR(__xludf.DUMMYFUNCTION("""COMPUTED_VALUE"""),1302.0)</f>
        <v>1302</v>
      </c>
      <c r="K382" s="2">
        <f>IFERROR(__xludf.DUMMYFUNCTION("""COMPUTED_VALUE"""),2.0)</f>
        <v>2</v>
      </c>
      <c r="L382" s="2" t="str">
        <f>IFERROR(__xludf.DUMMYFUNCTION("""COMPUTED_VALUE"""),"ves2 (тендер)")</f>
        <v>ves2 (тендер)</v>
      </c>
      <c r="M382" s="2" t="str">
        <f>IFERROR(__xludf.DUMMYFUNCTION("""COMPUTED_VALUE"""),"Прочие товары")</f>
        <v>Прочие товары</v>
      </c>
    </row>
    <row r="383">
      <c r="A383" s="5" t="str">
        <f>IFERROR(__xludf.DUMMYFUNCTION("""COMPUTED_VALUE"""),"4690612033839")</f>
        <v>4690612033839</v>
      </c>
      <c r="B383" s="5" t="str">
        <f>IFERROR(__xludf.DUMMYFUNCTION("""COMPUTED_VALUE"""),"ДД 008 1200Вт 180 гр.12м IP44 белый IN HOME")</f>
        <v>ДД 008 1200Вт 180 гр.12м IP44 белый IN HOME</v>
      </c>
      <c r="C383" s="2">
        <f>IFERROR(__xludf.DUMMYFUNCTION("""COMPUTED_VALUE"""),0.226)</f>
        <v>0.226</v>
      </c>
      <c r="D383" s="2">
        <f>IFERROR(__xludf.DUMMYFUNCTION("""COMPUTED_VALUE"""),0.0014)</f>
        <v>0.0014</v>
      </c>
      <c r="E383" s="2">
        <f>IFERROR(__xludf.DUMMYFUNCTION("""COMPUTED_VALUE"""),314.47)</f>
        <v>314.47</v>
      </c>
      <c r="F383" s="2">
        <f>IFERROR(__xludf.DUMMYFUNCTION("""COMPUTED_VALUE"""),437.0)</f>
        <v>437</v>
      </c>
      <c r="G383" s="2">
        <f>IFERROR(__xludf.DUMMYFUNCTION("""COMPUTED_VALUE"""),492.0)</f>
        <v>492</v>
      </c>
      <c r="H383" s="2">
        <f>IFERROR(__xludf.DUMMYFUNCTION("""COMPUTED_VALUE"""),571.0)</f>
        <v>571</v>
      </c>
      <c r="I383" s="2">
        <f>IFERROR(__xludf.DUMMYFUNCTION("""COMPUTED_VALUE"""),656.0)</f>
        <v>656</v>
      </c>
      <c r="J383" s="2">
        <f>IFERROR(__xludf.DUMMYFUNCTION("""COMPUTED_VALUE"""),314.0)</f>
        <v>314</v>
      </c>
      <c r="K383" s="2">
        <f>IFERROR(__xludf.DUMMYFUNCTION("""COMPUTED_VALUE"""),10.0)</f>
        <v>10</v>
      </c>
      <c r="L383" s="2" t="str">
        <f>IFERROR(__xludf.DUMMYFUNCTION("""COMPUTED_VALUE"""),"ASD Комплектующие")</f>
        <v>ASD Комплектующие</v>
      </c>
      <c r="M383" s="2" t="str">
        <f>IFERROR(__xludf.DUMMYFUNCTION("""COMPUTED_VALUE"""),"Прочие товары")</f>
        <v>Прочие товары</v>
      </c>
    </row>
    <row r="384">
      <c r="A384" s="5" t="str">
        <f>IFERROR(__xludf.DUMMYFUNCTION("""COMPUTED_VALUE"""),"V1013")</f>
        <v>V1013</v>
      </c>
      <c r="B384" s="5" t="str">
        <f>IFERROR(__xludf.DUMMYFUNCTION("""COMPUTED_VALUE"""),"VRN-UN-62-G50K67-U, 62Вт, Универсальный")</f>
        <v>VRN-UN-62-G50K67-U, 62Вт, Универсальный</v>
      </c>
      <c r="C384" s="2">
        <f>IFERROR(__xludf.DUMMYFUNCTION("""COMPUTED_VALUE"""),1.4)</f>
        <v>1.4</v>
      </c>
      <c r="D384" s="2">
        <f>IFERROR(__xludf.DUMMYFUNCTION("""COMPUTED_VALUE"""),0.00564)</f>
        <v>0.00564</v>
      </c>
      <c r="E384" s="2">
        <f>IFERROR(__xludf.DUMMYFUNCTION("""COMPUTED_VALUE"""),2666.86)</f>
        <v>2666.86</v>
      </c>
      <c r="F384" s="2">
        <f>IFERROR(__xludf.DUMMYFUNCTION("""COMPUTED_VALUE"""),3065.0)</f>
        <v>3065</v>
      </c>
      <c r="G384" s="2">
        <f>IFERROR(__xludf.DUMMYFUNCTION("""COMPUTED_VALUE"""),3985.0)</f>
        <v>3985</v>
      </c>
      <c r="H384" s="2">
        <f>IFERROR(__xludf.DUMMYFUNCTION("""COMPUTED_VALUE"""),4184.0)</f>
        <v>4184</v>
      </c>
      <c r="I384" s="2">
        <f>IFERROR(__xludf.DUMMYFUNCTION("""COMPUTED_VALUE"""),4383.0)</f>
        <v>4383</v>
      </c>
      <c r="J384" s="2">
        <f>IFERROR(__xludf.DUMMYFUNCTION("""COMPUTED_VALUE"""),4383.0)</f>
        <v>4383</v>
      </c>
      <c r="K384" s="2">
        <f>IFERROR(__xludf.DUMMYFUNCTION("""COMPUTED_VALUE"""),87.0)</f>
        <v>87</v>
      </c>
      <c r="L384" s="2" t="str">
        <f>IFERROR(__xludf.DUMMYFUNCTION("""COMPUTED_VALUE"""),"Универсал")</f>
        <v>Универсал</v>
      </c>
      <c r="M384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385">
      <c r="A385" s="5" t="str">
        <f>IFERROR(__xludf.DUMMYFUNCTION("""COMPUTED_VALUE"""),"4690612053196")</f>
        <v>4690612053196</v>
      </c>
      <c r="B385" s="5" t="str">
        <f>IFERROR(__xludf.DUMMYFUNCTION("""COMPUTED_VALUE"""),"ДПО-110 ОПАЛ 36Вт 4000К 1200мм IP40 NEOX")</f>
        <v>ДПО-110 ОПАЛ 36Вт 4000К 1200мм IP40 NEOX</v>
      </c>
      <c r="C385" s="2">
        <f>IFERROR(__xludf.DUMMYFUNCTION("""COMPUTED_VALUE"""),0.285)</f>
        <v>0.285</v>
      </c>
      <c r="D385" s="2">
        <f>IFERROR(__xludf.DUMMYFUNCTION("""COMPUTED_VALUE"""),0.00204)</f>
        <v>0.00204</v>
      </c>
      <c r="E385" s="2">
        <f>IFERROR(__xludf.DUMMYFUNCTION("""COMPUTED_VALUE"""),285.0)</f>
        <v>285</v>
      </c>
      <c r="F385" s="2">
        <f>IFERROR(__xludf.DUMMYFUNCTION("""COMPUTED_VALUE"""),369.0)</f>
        <v>369</v>
      </c>
      <c r="G385" s="2">
        <f>IFERROR(__xludf.DUMMYFUNCTION("""COMPUTED_VALUE"""),416.0)</f>
        <v>416</v>
      </c>
      <c r="H385" s="2">
        <f>IFERROR(__xludf.DUMMYFUNCTION("""COMPUTED_VALUE"""),482.0)</f>
        <v>482</v>
      </c>
      <c r="I385" s="2">
        <f>IFERROR(__xludf.DUMMYFUNCTION("""COMPUTED_VALUE"""),554.0)</f>
        <v>554</v>
      </c>
      <c r="J385" s="2">
        <f>IFERROR(__xludf.DUMMYFUNCTION("""COMPUTED_VALUE"""),416.0)</f>
        <v>416</v>
      </c>
      <c r="K385" s="2">
        <f>IFERROR(__xludf.DUMMYFUNCTION("""COMPUTED_VALUE"""),48.0)</f>
        <v>48</v>
      </c>
      <c r="L385" s="2" t="str">
        <f>IFERROR(__xludf.DUMMYFUNCTION("""COMPUTED_VALUE"""),"NEOX Светильники LED ДПО")</f>
        <v>NEOX Светильники LED ДПО</v>
      </c>
      <c r="M385" s="2" t="str">
        <f>IFERROR(__xludf.DUMMYFUNCTION("""COMPUTED_VALUE"""),"Пластиковые (линейные), Накладные, С равномерной засветкой, Для ЖКХ, дома, дачи, Линейные (проходные), LED Светильники")</f>
        <v>Пластиковые (линейные), Накладные, С равномерной засветкой, Для ЖКХ, дома, дачи, Линейные (проходные), LED Светильники</v>
      </c>
    </row>
    <row r="386">
      <c r="A386" s="5" t="str">
        <f>IFERROR(__xludf.DUMMYFUNCTION("""COMPUTED_VALUE"""),"4690612014838")</f>
        <v>4690612014838</v>
      </c>
      <c r="B386" s="5" t="str">
        <f>IFERROR(__xludf.DUMMYFUNCTION("""COMPUTED_VALUE"""),"ССП-158-Д 16Вт 6500К с датчиком движения IP65")</f>
        <v>ССП-158-Д 16Вт 6500К с датчиком движения IP65</v>
      </c>
      <c r="C386" s="2">
        <f>IFERROR(__xludf.DUMMYFUNCTION("""COMPUTED_VALUE"""),0.325)</f>
        <v>0.325</v>
      </c>
      <c r="D386" s="2">
        <f>IFERROR(__xludf.DUMMYFUNCTION("""COMPUTED_VALUE"""),0.00285)</f>
        <v>0.00285</v>
      </c>
      <c r="E386" s="2">
        <f>IFERROR(__xludf.DUMMYFUNCTION("""COMPUTED_VALUE"""),465.65)</f>
        <v>465.65</v>
      </c>
      <c r="F386" s="2">
        <f>IFERROR(__xludf.DUMMYFUNCTION("""COMPUTED_VALUE"""),463.0)</f>
        <v>463</v>
      </c>
      <c r="G386" s="2">
        <f>IFERROR(__xludf.DUMMYFUNCTION("""COMPUTED_VALUE"""),521.0)</f>
        <v>521</v>
      </c>
      <c r="H386" s="2">
        <f>IFERROR(__xludf.DUMMYFUNCTION("""COMPUTED_VALUE"""),605.0)</f>
        <v>605</v>
      </c>
      <c r="I386" s="2">
        <f>IFERROR(__xludf.DUMMYFUNCTION("""COMPUTED_VALUE"""),695.0)</f>
        <v>695</v>
      </c>
      <c r="J386" s="2">
        <f>IFERROR(__xludf.DUMMYFUNCTION("""COMPUTED_VALUE"""),348.0)</f>
        <v>348</v>
      </c>
      <c r="K386" s="2">
        <f>IFERROR(__xludf.DUMMYFUNCTION("""COMPUTED_VALUE"""),1.0)</f>
        <v>1</v>
      </c>
      <c r="L386" s="2" t="str">
        <f>IFERROR(__xludf.DUMMYFUNCTION("""COMPUTED_VALUE"""),"Светильники светодиодные ССП")</f>
        <v>Светильники светодиодные ССП</v>
      </c>
      <c r="M386" s="2" t="str">
        <f>IFERROR(__xludf.DUMMYFUNCTION("""COMPUTED_VALUE"""),"Пластиковые (линейные), LED Светильники")</f>
        <v>Пластиковые (линейные), LED Светильники</v>
      </c>
    </row>
    <row r="387">
      <c r="A387" s="5" t="str">
        <f>IFERROR(__xludf.DUMMYFUNCTION("""COMPUTED_VALUE"""),"4690612020518")</f>
        <v>4690612020518</v>
      </c>
      <c r="B387" s="5" t="str">
        <f>IFERROR(__xludf.DUMMYFUNCTION("""COMPUTED_VALUE"""),"LED-ШАР-VC 6Вт 230В Е14 4000К 570Лм IN HOME")</f>
        <v>LED-ШАР-VC 6Вт 230В Е14 4000К 570Лм IN HOME</v>
      </c>
      <c r="C387" s="2">
        <f>IFERROR(__xludf.DUMMYFUNCTION("""COMPUTED_VALUE"""),0.031)</f>
        <v>0.031</v>
      </c>
      <c r="D387" s="2">
        <f>IFERROR(__xludf.DUMMYFUNCTION("""COMPUTED_VALUE"""),2.3E-4)</f>
        <v>0.00023</v>
      </c>
      <c r="E387" s="2">
        <f>IFERROR(__xludf.DUMMYFUNCTION("""COMPUTED_VALUE"""),38.4)</f>
        <v>38.4</v>
      </c>
      <c r="F387" s="2">
        <f>IFERROR(__xludf.DUMMYFUNCTION("""COMPUTED_VALUE"""),44.0)</f>
        <v>44</v>
      </c>
      <c r="G387" s="2">
        <f>IFERROR(__xludf.DUMMYFUNCTION("""COMPUTED_VALUE"""),50.0)</f>
        <v>50</v>
      </c>
      <c r="H387" s="2">
        <f>IFERROR(__xludf.DUMMYFUNCTION("""COMPUTED_VALUE"""),57.0)</f>
        <v>57</v>
      </c>
      <c r="I387" s="2">
        <f>IFERROR(__xludf.DUMMYFUNCTION("""COMPUTED_VALUE"""),66.5)</f>
        <v>66.5</v>
      </c>
      <c r="J387" s="2">
        <f>IFERROR(__xludf.DUMMYFUNCTION("""COMPUTED_VALUE"""),33.0)</f>
        <v>33</v>
      </c>
      <c r="K387" s="2">
        <f>IFERROR(__xludf.DUMMYFUNCTION("""COMPUTED_VALUE"""),30.0)</f>
        <v>30</v>
      </c>
      <c r="L387" s="2" t="str">
        <f>IFERROR(__xludf.DUMMYFUNCTION("""COMPUTED_VALUE"""),"Лампа светодиодная LED-ШАР-standard")</f>
        <v>Лампа светодиодная LED-ШАР-standard</v>
      </c>
      <c r="M387" s="2" t="str">
        <f>IFERROR(__xludf.DUMMYFUNCTION("""COMPUTED_VALUE"""),"Лампы")</f>
        <v>Лампы</v>
      </c>
    </row>
    <row r="388">
      <c r="A388" s="5" t="str">
        <f>IFERROR(__xludf.DUMMYFUNCTION("""COMPUTED_VALUE"""),"4690612010236-5")</f>
        <v>4690612010236-5</v>
      </c>
      <c r="B388" s="5" t="str">
        <f>IFERROR(__xludf.DUMMYFUNCTION("""COMPUTED_VALUE"""),"(5 штук) Вилка прямая с заземлением каучук 16А IP44 черная Комплект 5 штук IN HOME")</f>
        <v>(5 штук) Вилка прямая с заземлением каучук 16А IP44 черная Комплект 5 штук IN HOME</v>
      </c>
      <c r="C388" s="2">
        <f>IFERROR(__xludf.DUMMYFUNCTION("""COMPUTED_VALUE"""),0.051)</f>
        <v>0.051</v>
      </c>
      <c r="D388" s="2">
        <f>IFERROR(__xludf.DUMMYFUNCTION("""COMPUTED_VALUE"""),2.0E-4)</f>
        <v>0.0002</v>
      </c>
      <c r="E388" s="2">
        <f>IFERROR(__xludf.DUMMYFUNCTION("""COMPUTED_VALUE"""),293.55)</f>
        <v>293.55</v>
      </c>
      <c r="F388" s="2">
        <f>IFERROR(__xludf.DUMMYFUNCTION("""COMPUTED_VALUE"""),322.0)</f>
        <v>322</v>
      </c>
      <c r="G388" s="2">
        <f>IFERROR(__xludf.DUMMYFUNCTION("""COMPUTED_VALUE"""),422.0)</f>
        <v>422</v>
      </c>
      <c r="H388" s="2">
        <f>IFERROR(__xludf.DUMMYFUNCTION("""COMPUTED_VALUE"""),475.0)</f>
        <v>475</v>
      </c>
      <c r="I388" s="2">
        <f>IFERROR(__xludf.DUMMYFUNCTION("""COMPUTED_VALUE"""),528.0)</f>
        <v>528</v>
      </c>
      <c r="J388" s="2">
        <f>IFERROR(__xludf.DUMMYFUNCTION("""COMPUTED_VALUE"""),264.0)</f>
        <v>264</v>
      </c>
      <c r="K388" s="2">
        <f>IFERROR(__xludf.DUMMYFUNCTION("""COMPUTED_VALUE"""),3.0)</f>
        <v>3</v>
      </c>
      <c r="L388" s="2" t="str">
        <f>IFERROR(__xludf.DUMMYFUNCTION("""COMPUTED_VALUE"""),"Розетки, вилки производство, упаковка")</f>
        <v>Розетки, вилки производство, упаковка</v>
      </c>
      <c r="M388" s="2" t="str">
        <f>IFERROR(__xludf.DUMMYFUNCTION("""COMPUTED_VALUE"""),"Прочие товары")</f>
        <v>Прочие товары</v>
      </c>
    </row>
    <row r="389">
      <c r="A389" s="5" t="str">
        <f>IFERROR(__xludf.DUMMYFUNCTION("""COMPUTED_VALUE"""),"4690612035772")</f>
        <v>4690612035772</v>
      </c>
      <c r="B389" s="5" t="str">
        <f>IFERROR(__xludf.DUMMYFUNCTION("""COMPUTED_VALUE"""),"GEO SUN 120Вт 230В 3000-6500К 8400Лм 500x50мм с пультом ДУ IN HOME")</f>
        <v>GEO SUN 120Вт 230В 3000-6500К 8400Лм 500x50мм с пультом ДУ IN HOME</v>
      </c>
      <c r="C389" s="2">
        <f>IFERROR(__xludf.DUMMYFUNCTION("""COMPUTED_VALUE"""),3.14)</f>
        <v>3.14</v>
      </c>
      <c r="D389" s="2">
        <f>IFERROR(__xludf.DUMMYFUNCTION("""COMPUTED_VALUE"""),0.024)</f>
        <v>0.024</v>
      </c>
      <c r="E389" s="2">
        <f>IFERROR(__xludf.DUMMYFUNCTION("""COMPUTED_VALUE"""),2174.0)</f>
        <v>2174</v>
      </c>
      <c r="F389" s="2">
        <f>IFERROR(__xludf.DUMMYFUNCTION("""COMPUTED_VALUE"""),3317.0)</f>
        <v>3317</v>
      </c>
      <c r="G389" s="2">
        <f>IFERROR(__xludf.DUMMYFUNCTION("""COMPUTED_VALUE"""),3731.0)</f>
        <v>3731</v>
      </c>
      <c r="H389" s="2">
        <f>IFERROR(__xludf.DUMMYFUNCTION("""COMPUTED_VALUE"""),4328.0)</f>
        <v>4328</v>
      </c>
      <c r="I389" s="2">
        <f>IFERROR(__xludf.DUMMYFUNCTION("""COMPUTED_VALUE"""),4975.0)</f>
        <v>4975</v>
      </c>
      <c r="J389" s="2">
        <f>IFERROR(__xludf.DUMMYFUNCTION("""COMPUTED_VALUE"""),2174.0)</f>
        <v>2174</v>
      </c>
      <c r="K389" s="2">
        <f>IFERROR(__xludf.DUMMYFUNCTION("""COMPUTED_VALUE"""),1.0)</f>
        <v>1</v>
      </c>
      <c r="L389" s="2" t="str">
        <f>IFERROR(__xludf.DUMMYFUNCTION("""COMPUTED_VALUE"""),"Светильники светодиодные GEO")</f>
        <v>Светильники светодиодные GEO</v>
      </c>
      <c r="M389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390">
      <c r="A390" s="5" t="str">
        <f>IFERROR(__xludf.DUMMYFUNCTION("""COMPUTED_VALUE"""),"GL8150")</f>
        <v>GL8150</v>
      </c>
      <c r="B390" s="5" t="str">
        <f>IFERROR(__xludf.DUMMYFUNCTION("""COMPUTED_VALUE"""),"GLERIO Office Special 48 Вт 4000К 82P-48D-4V-M")</f>
        <v>GLERIO Office Special 48 Вт 4000К 82P-48D-4V-M</v>
      </c>
      <c r="C390" s="2">
        <f>IFERROR(__xludf.DUMMYFUNCTION("""COMPUTED_VALUE"""),1.14)</f>
        <v>1.14</v>
      </c>
      <c r="D390" s="2">
        <f>IFERROR(__xludf.DUMMYFUNCTION("""COMPUTED_VALUE"""),0.008190000000000001)</f>
        <v>0.00819</v>
      </c>
      <c r="E390" s="2">
        <f>IFERROR(__xludf.DUMMYFUNCTION("""COMPUTED_VALUE"""),2095.2)</f>
        <v>2095.2</v>
      </c>
      <c r="F390" s="2">
        <f>IFERROR(__xludf.DUMMYFUNCTION("""COMPUTED_VALUE"""),2660.0)</f>
        <v>2660</v>
      </c>
      <c r="G390" s="2">
        <f>IFERROR(__xludf.DUMMYFUNCTION("""COMPUTED_VALUE"""),3349.0)</f>
        <v>3349</v>
      </c>
      <c r="H390" s="2">
        <f>IFERROR(__xludf.DUMMYFUNCTION("""COMPUTED_VALUE"""),3761.0)</f>
        <v>3761</v>
      </c>
      <c r="I390" s="2">
        <f>IFERROR(__xludf.DUMMYFUNCTION("""COMPUTED_VALUE"""),4173.0)</f>
        <v>4173</v>
      </c>
      <c r="J390" s="2">
        <f>IFERROR(__xludf.DUMMYFUNCTION("""COMPUTED_VALUE"""),2087.0)</f>
        <v>2087</v>
      </c>
      <c r="K390" s="2">
        <f>IFERROR(__xludf.DUMMYFUNCTION("""COMPUTED_VALUE"""),3.0)</f>
        <v>3</v>
      </c>
      <c r="L390" s="2" t="str">
        <f>IFERROR(__xludf.DUMMYFUNCTION("""COMPUTED_VALUE"""),"Office Special (Офис Премиум) до 10.2025")</f>
        <v>Office Special (Офис Премиум) до 10.2025</v>
      </c>
      <c r="M390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391">
      <c r="A391" s="5" t="str">
        <f>IFERROR(__xludf.DUMMYFUNCTION("""COMPUTED_VALUE"""),"4690612042589")</f>
        <v>4690612042589</v>
      </c>
      <c r="B391" s="5" t="str">
        <f>IFERROR(__xludf.DUMMYFUNCTION("""COMPUTED_VALUE"""),"ДСП-153Н 36Вт 230В 4000К 4500Лм 125лм/Вт 1200мм IP65 NEOX")</f>
        <v>ДСП-153Н 36Вт 230В 4000К 4500Лм 125лм/Вт 1200мм IP65 NEOX</v>
      </c>
      <c r="C391" s="2">
        <f>IFERROR(__xludf.DUMMYFUNCTION("""COMPUTED_VALUE"""),0.285)</f>
        <v>0.285</v>
      </c>
      <c r="D391" s="2">
        <f>IFERROR(__xludf.DUMMYFUNCTION("""COMPUTED_VALUE"""),0.0)</f>
        <v>0</v>
      </c>
      <c r="E391" s="2">
        <f>IFERROR(__xludf.DUMMYFUNCTION("""COMPUTED_VALUE"""),596.28)</f>
        <v>596.28</v>
      </c>
      <c r="F391" s="2">
        <f>IFERROR(__xludf.DUMMYFUNCTION("""COMPUTED_VALUE"""),463.0)</f>
        <v>463</v>
      </c>
      <c r="G391" s="2">
        <f>IFERROR(__xludf.DUMMYFUNCTION("""COMPUTED_VALUE"""),521.0)</f>
        <v>521</v>
      </c>
      <c r="H391" s="2">
        <f>IFERROR(__xludf.DUMMYFUNCTION("""COMPUTED_VALUE"""),605.0)</f>
        <v>605</v>
      </c>
      <c r="I391" s="2">
        <f>IFERROR(__xludf.DUMMYFUNCTION("""COMPUTED_VALUE"""),695.0)</f>
        <v>695</v>
      </c>
      <c r="J391" s="2">
        <f>IFERROR(__xludf.DUMMYFUNCTION("""COMPUTED_VALUE"""),348.0)</f>
        <v>348</v>
      </c>
      <c r="K391" s="2">
        <f>IFERROR(__xludf.DUMMYFUNCTION("""COMPUTED_VALUE"""),1.0)</f>
        <v>1</v>
      </c>
      <c r="L391" s="2" t="str">
        <f>IFERROR(__xludf.DUMMYFUNCTION("""COMPUTED_VALUE"""),"NEOX Светильники LED ДСП")</f>
        <v>NEOX Светильники LED ДСП</v>
      </c>
      <c r="M391" s="2" t="str">
        <f>IFERROR(__xludf.DUMMYFUNCTION("""COMPUTED_VALUE"""),"Пластиковые (линейные), LED Светильники")</f>
        <v>Пластиковые (линейные), LED Светильники</v>
      </c>
    </row>
    <row r="392">
      <c r="A392" s="5" t="str">
        <f>IFERROR(__xludf.DUMMYFUNCTION("""COMPUTED_VALUE"""),"4690612030081")</f>
        <v>4690612030081</v>
      </c>
      <c r="B392" s="5" t="str">
        <f>IFERROR(__xludf.DUMMYFUNCTION("""COMPUTED_VALUE"""),"СДО-8 200Вт 230В 6500К 17000Лм IP65 IN HOME")</f>
        <v>СДО-8 200Вт 230В 6500К 17000Лм IP65 IN HOME</v>
      </c>
      <c r="C392" s="2">
        <f>IFERROR(__xludf.DUMMYFUNCTION("""COMPUTED_VALUE"""),2.42)</f>
        <v>2.42</v>
      </c>
      <c r="D392" s="2">
        <f>IFERROR(__xludf.DUMMYFUNCTION("""COMPUTED_VALUE"""),0.005600000000000001)</f>
        <v>0.0056</v>
      </c>
      <c r="E392" s="2">
        <f>IFERROR(__xludf.DUMMYFUNCTION("""COMPUTED_VALUE"""),2686.41)</f>
        <v>2686.41</v>
      </c>
      <c r="F392" s="2">
        <f>IFERROR(__xludf.DUMMYFUNCTION("""COMPUTED_VALUE"""),2128.0)</f>
        <v>2128</v>
      </c>
      <c r="G392" s="2">
        <f>IFERROR(__xludf.DUMMYFUNCTION("""COMPUTED_VALUE"""),2394.0)</f>
        <v>2394</v>
      </c>
      <c r="H392" s="2">
        <f>IFERROR(__xludf.DUMMYFUNCTION("""COMPUTED_VALUE"""),2777.0)</f>
        <v>2777</v>
      </c>
      <c r="I392" s="2">
        <f>IFERROR(__xludf.DUMMYFUNCTION("""COMPUTED_VALUE"""),3192.0)</f>
        <v>3192</v>
      </c>
      <c r="J392" s="2">
        <f>IFERROR(__xludf.DUMMYFUNCTION("""COMPUTED_VALUE"""),1596.0)</f>
        <v>1596</v>
      </c>
      <c r="K392" s="2">
        <f>IFERROR(__xludf.DUMMYFUNCTION("""COMPUTED_VALUE"""),1.0)</f>
        <v>1</v>
      </c>
      <c r="L392" s="2" t="str">
        <f>IFERROR(__xludf.DUMMYFUNCTION("""COMPUTED_VALUE"""),"Прожекторы светодиодные СДО-8")</f>
        <v>Прожекторы светодиодные СДО-8</v>
      </c>
      <c r="M392" s="2" t="str">
        <f>IFERROR(__xludf.DUMMYFUNCTION("""COMPUTED_VALUE"""),"Без датчиков, LED Светильники")</f>
        <v>Без датчиков, LED Светильники</v>
      </c>
    </row>
    <row r="393">
      <c r="A393" s="5" t="str">
        <f>IFERROR(__xludf.DUMMYFUNCTION("""COMPUTED_VALUE"""),"GL8250")</f>
        <v>GL8250</v>
      </c>
      <c r="B393" s="5" t="str">
        <f>IFERROR(__xludf.DUMMYFUNCTION("""COMPUTED_VALUE"""),"GLERIO Line Shell 36 Вт 4000К 92P-36D-4P-M")</f>
        <v>GLERIO Line Shell 36 Вт 4000К 92P-36D-4P-M</v>
      </c>
      <c r="C393" s="2">
        <f>IFERROR(__xludf.DUMMYFUNCTION("""COMPUTED_VALUE"""),1.575)</f>
        <v>1.575</v>
      </c>
      <c r="D393" s="2">
        <f>IFERROR(__xludf.DUMMYFUNCTION("""COMPUTED_VALUE"""),0.00495)</f>
        <v>0.00495</v>
      </c>
      <c r="E393" s="2">
        <f>IFERROR(__xludf.DUMMYFUNCTION("""COMPUTED_VALUE"""),2590.04)</f>
        <v>2590.04</v>
      </c>
      <c r="F393" s="2">
        <f>IFERROR(__xludf.DUMMYFUNCTION("""COMPUTED_VALUE"""),3040.0)</f>
        <v>3040</v>
      </c>
      <c r="G393" s="2">
        <f>IFERROR(__xludf.DUMMYFUNCTION("""COMPUTED_VALUE"""),3827.0)</f>
        <v>3827</v>
      </c>
      <c r="H393" s="2">
        <f>IFERROR(__xludf.DUMMYFUNCTION("""COMPUTED_VALUE"""),4298.0)</f>
        <v>4298</v>
      </c>
      <c r="I393" s="2">
        <f>IFERROR(__xludf.DUMMYFUNCTION("""COMPUTED_VALUE"""),4769.0)</f>
        <v>4769</v>
      </c>
      <c r="J393" s="2">
        <f>IFERROR(__xludf.DUMMYFUNCTION("""COMPUTED_VALUE"""),2385.0)</f>
        <v>2385</v>
      </c>
      <c r="K393" s="2">
        <f>IFERROR(__xludf.DUMMYFUNCTION("""COMPUTED_VALUE"""),18.0)</f>
        <v>18</v>
      </c>
      <c r="L393" s="2" t="str">
        <f>IFERROR(__xludf.DUMMYFUNCTION("""COMPUTED_VALUE"""),"Line Shell, Free (Retail) до 10.2025")</f>
        <v>Line Shell, Free (Retail) до 10.2025</v>
      </c>
      <c r="M393" s="2" t="str">
        <f>IFERROR(__xludf.DUMMYFUNCTION("""COMPUTED_VALUE"""),"Металлические (линейные), LED Светильники")</f>
        <v>Металлические (линейные), LED Светильники</v>
      </c>
    </row>
    <row r="394">
      <c r="A394" s="5" t="str">
        <f>IFERROR(__xludf.DUMMYFUNCTION("""COMPUTED_VALUE"""),"ms2070")</f>
        <v>ms2070</v>
      </c>
      <c r="B394" s="5" t="str">
        <f>IFERROR(__xludf.DUMMYFUNCTION("""COMPUTED_VALUE"""),"Рассеиватель для светильника НСП02-200-021")</f>
        <v>Рассеиватель для светильника НСП02-200-021</v>
      </c>
      <c r="C394" s="2">
        <f>IFERROR(__xludf.DUMMYFUNCTION("""COMPUTED_VALUE"""),0.0)</f>
        <v>0</v>
      </c>
      <c r="D394" s="2">
        <f>IFERROR(__xludf.DUMMYFUNCTION("""COMPUTED_VALUE"""),0.0)</f>
        <v>0</v>
      </c>
      <c r="E394" s="2">
        <f>IFERROR(__xludf.DUMMYFUNCTION("""COMPUTED_VALUE"""),514.75)</f>
        <v>514.75</v>
      </c>
      <c r="F394" s="2">
        <f>IFERROR(__xludf.DUMMYFUNCTION("""COMPUTED_VALUE"""),161.0)</f>
        <v>161</v>
      </c>
      <c r="G394" s="2">
        <f>IFERROR(__xludf.DUMMYFUNCTION("""COMPUTED_VALUE"""),172.0)</f>
        <v>172</v>
      </c>
      <c r="H394" s="2">
        <f>IFERROR(__xludf.DUMMYFUNCTION("""COMPUTED_VALUE"""),194.0)</f>
        <v>194</v>
      </c>
      <c r="I394" s="2">
        <f>IFERROR(__xludf.DUMMYFUNCTION("""COMPUTED_VALUE"""),215.31)</f>
        <v>215.31</v>
      </c>
      <c r="J394" s="2">
        <f>IFERROR(__xludf.DUMMYFUNCTION("""COMPUTED_VALUE"""),108.0)</f>
        <v>108</v>
      </c>
      <c r="K394" s="2">
        <f>IFERROR(__xludf.DUMMYFUNCTION("""COMPUTED_VALUE"""),3.0)</f>
        <v>3</v>
      </c>
      <c r="L394" s="2" t="str">
        <f>IFERROR(__xludf.DUMMYFUNCTION("""COMPUTED_VALUE"""),"ms2 (тендер)")</f>
        <v>ms2 (тендер)</v>
      </c>
      <c r="M394" s="2" t="str">
        <f>IFERROR(__xludf.DUMMYFUNCTION("""COMPUTED_VALUE"""),"LED Светильники")</f>
        <v>LED Светильники</v>
      </c>
    </row>
    <row r="395">
      <c r="A395" s="5" t="str">
        <f>IFERROR(__xludf.DUMMYFUNCTION("""COMPUTED_VALUE"""),"4690612020600")</f>
        <v>4690612020600</v>
      </c>
      <c r="B395" s="5" t="str">
        <f>IFERROR(__xludf.DUMMYFUNCTION("""COMPUTED_VALUE"""),"LED-ШАР-VC 11Вт 230В Е27 3000К 1050Лм IN HOME")</f>
        <v>LED-ШАР-VC 11Вт 230В Е27 3000К 1050Лм IN HOME</v>
      </c>
      <c r="C395" s="2">
        <f>IFERROR(__xludf.DUMMYFUNCTION("""COMPUTED_VALUE"""),0.036)</f>
        <v>0.036</v>
      </c>
      <c r="D395" s="2">
        <f>IFERROR(__xludf.DUMMYFUNCTION("""COMPUTED_VALUE"""),2.4E-4)</f>
        <v>0.00024</v>
      </c>
      <c r="E395" s="2">
        <f>IFERROR(__xludf.DUMMYFUNCTION("""COMPUTED_VALUE"""),40.2)</f>
        <v>40.2</v>
      </c>
      <c r="F395" s="2">
        <f>IFERROR(__xludf.DUMMYFUNCTION("""COMPUTED_VALUE"""),46.0)</f>
        <v>46</v>
      </c>
      <c r="G395" s="2">
        <f>IFERROR(__xludf.DUMMYFUNCTION("""COMPUTED_VALUE"""),52.0)</f>
        <v>52</v>
      </c>
      <c r="H395" s="2">
        <f>IFERROR(__xludf.DUMMYFUNCTION("""COMPUTED_VALUE"""),60.0)</f>
        <v>60</v>
      </c>
      <c r="I395" s="2">
        <f>IFERROR(__xludf.DUMMYFUNCTION("""COMPUTED_VALUE"""),69.8)</f>
        <v>69.8</v>
      </c>
      <c r="J395" s="2">
        <f>IFERROR(__xludf.DUMMYFUNCTION("""COMPUTED_VALUE"""),35.0)</f>
        <v>35</v>
      </c>
      <c r="K395" s="2">
        <f>IFERROR(__xludf.DUMMYFUNCTION("""COMPUTED_VALUE"""),80.0)</f>
        <v>80</v>
      </c>
      <c r="L395" s="2" t="str">
        <f>IFERROR(__xludf.DUMMYFUNCTION("""COMPUTED_VALUE"""),"Лампа светодиодная LED-ШАР-standard")</f>
        <v>Лампа светодиодная LED-ШАР-standard</v>
      </c>
      <c r="M395" s="2" t="str">
        <f>IFERROR(__xludf.DUMMYFUNCTION("""COMPUTED_VALUE"""),"Лампы")</f>
        <v>Лампы</v>
      </c>
    </row>
    <row r="396">
      <c r="A396" s="5" t="str">
        <f>IFERROR(__xludf.DUMMYFUNCTION("""COMPUTED_VALUE"""),"4690612021843")</f>
        <v>4690612021843</v>
      </c>
      <c r="B396" s="5" t="str">
        <f>IFERROR(__xludf.DUMMYFUNCTION("""COMPUTED_VALUE"""),"DECO СОЗВЕЗДИЕ 24Вт 230В 4000К 2160Лм 330х55мм IN HOME")</f>
        <v>DECO СОЗВЕЗДИЕ 24Вт 230В 4000К 2160Лм 330х55мм IN HOME</v>
      </c>
      <c r="C396" s="2">
        <f>IFERROR(__xludf.DUMMYFUNCTION("""COMPUTED_VALUE"""),0.4400000000000001)</f>
        <v>0.44</v>
      </c>
      <c r="D396" s="2">
        <f>IFERROR(__xludf.DUMMYFUNCTION("""COMPUTED_VALUE"""),0.00725)</f>
        <v>0.00725</v>
      </c>
      <c r="E396" s="2">
        <f>IFERROR(__xludf.DUMMYFUNCTION("""COMPUTED_VALUE"""),410.89)</f>
        <v>410.89</v>
      </c>
      <c r="F396" s="2">
        <f>IFERROR(__xludf.DUMMYFUNCTION("""COMPUTED_VALUE"""),473.0)</f>
        <v>473</v>
      </c>
      <c r="G396" s="2">
        <f>IFERROR(__xludf.DUMMYFUNCTION("""COMPUTED_VALUE"""),533.0)</f>
        <v>533</v>
      </c>
      <c r="H396" s="2">
        <f>IFERROR(__xludf.DUMMYFUNCTION("""COMPUTED_VALUE"""),618.0)</f>
        <v>618</v>
      </c>
      <c r="I396" s="2">
        <f>IFERROR(__xludf.DUMMYFUNCTION("""COMPUTED_VALUE"""),710.0)</f>
        <v>710</v>
      </c>
      <c r="J396" s="2">
        <f>IFERROR(__xludf.DUMMYFUNCTION("""COMPUTED_VALUE"""),355.0)</f>
        <v>355</v>
      </c>
      <c r="K396" s="2">
        <f>IFERROR(__xludf.DUMMYFUNCTION("""COMPUTED_VALUE"""),6.0)</f>
        <v>6</v>
      </c>
      <c r="L396" s="2" t="str">
        <f>IFERROR(__xludf.DUMMYFUNCTION("""COMPUTED_VALUE"""),"Светильник светодиодный серии DECO")</f>
        <v>Светильник светодиодный серии DECO</v>
      </c>
      <c r="M396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397">
      <c r="A397" s="5" t="str">
        <f>IFERROR(__xludf.DUMMYFUNCTION("""COMPUTED_VALUE"""),"G33226")</f>
        <v>G33226</v>
      </c>
      <c r="B397" s="5" t="str">
        <f>IFERROR(__xludf.DUMMYFUNCTION("""COMPUTED_VALUE"""),"Elementary Candle 6W E27 4100K 1/10/50")</f>
        <v>Elementary Candle 6W E27 4100K 1/10/50</v>
      </c>
      <c r="C397" s="2">
        <f>IFERROR(__xludf.DUMMYFUNCTION("""COMPUTED_VALUE"""),0.0)</f>
        <v>0</v>
      </c>
      <c r="D397" s="2">
        <f>IFERROR(__xludf.DUMMYFUNCTION("""COMPUTED_VALUE"""),0.0)</f>
        <v>0</v>
      </c>
      <c r="E397" s="2">
        <f>IFERROR(__xludf.DUMMYFUNCTION("""COMPUTED_VALUE"""),53.17)</f>
        <v>53.17</v>
      </c>
      <c r="F397" s="2">
        <f>IFERROR(__xludf.DUMMYFUNCTION("""COMPUTED_VALUE"""),57.0)</f>
        <v>57</v>
      </c>
      <c r="G397" s="2">
        <f>IFERROR(__xludf.DUMMYFUNCTION("""COMPUTED_VALUE"""),63.0)</f>
        <v>63</v>
      </c>
      <c r="H397" s="2">
        <f>IFERROR(__xludf.DUMMYFUNCTION("""COMPUTED_VALUE"""),74.0)</f>
        <v>74</v>
      </c>
      <c r="I397" s="2">
        <f>IFERROR(__xludf.DUMMYFUNCTION("""COMPUTED_VALUE"""),93.0)</f>
        <v>93</v>
      </c>
      <c r="J397" s="2">
        <f>IFERROR(__xludf.DUMMYFUNCTION("""COMPUTED_VALUE"""),47.0)</f>
        <v>47</v>
      </c>
      <c r="K397" s="2">
        <f>IFERROR(__xludf.DUMMYFUNCTION("""COMPUTED_VALUE"""),12.0)</f>
        <v>12</v>
      </c>
      <c r="L397" s="2" t="str">
        <f>IFERROR(__xludf.DUMMYFUNCTION("""COMPUTED_VALUE"""),"Свечи")</f>
        <v>Свечи</v>
      </c>
      <c r="M397" s="2" t="str">
        <f>IFERROR(__xludf.DUMMYFUNCTION("""COMPUTED_VALUE"""),"Лампы")</f>
        <v>Лампы</v>
      </c>
    </row>
    <row r="398">
      <c r="A398" s="5" t="str">
        <f>IFERROR(__xludf.DUMMYFUNCTION("""COMPUTED_VALUE"""),"4690612038032")</f>
        <v>4690612038032</v>
      </c>
      <c r="B398" s="5" t="str">
        <f>IFERROR(__xludf.DUMMYFUNCTION("""COMPUTED_VALUE"""),"LED-MO-PRO 10Вт 12-48В Е27 4000К 900Лм IN HOME")</f>
        <v>LED-MO-PRO 10Вт 12-48В Е27 4000К 900Лм IN HOME</v>
      </c>
      <c r="C398" s="2">
        <f>IFERROR(__xludf.DUMMYFUNCTION("""COMPUTED_VALUE"""),0.036)</f>
        <v>0.036</v>
      </c>
      <c r="D398" s="2">
        <f>IFERROR(__xludf.DUMMYFUNCTION("""COMPUTED_VALUE"""),4.0E-4)</f>
        <v>0.0004</v>
      </c>
      <c r="E398" s="2">
        <f>IFERROR(__xludf.DUMMYFUNCTION("""COMPUTED_VALUE"""),99.60000000000001)</f>
        <v>99.6</v>
      </c>
      <c r="F398" s="2">
        <f>IFERROR(__xludf.DUMMYFUNCTION("""COMPUTED_VALUE"""),128.0)</f>
        <v>128</v>
      </c>
      <c r="G398" s="2">
        <f>IFERROR(__xludf.DUMMYFUNCTION("""COMPUTED_VALUE"""),144.0)</f>
        <v>144</v>
      </c>
      <c r="H398" s="2">
        <f>IFERROR(__xludf.DUMMYFUNCTION("""COMPUTED_VALUE"""),167.0)</f>
        <v>167</v>
      </c>
      <c r="I398" s="2">
        <f>IFERROR(__xludf.DUMMYFUNCTION("""COMPUTED_VALUE"""),191.9)</f>
        <v>191.9</v>
      </c>
      <c r="J398" s="2">
        <f>IFERROR(__xludf.DUMMYFUNCTION("""COMPUTED_VALUE"""),96.0)</f>
        <v>96</v>
      </c>
      <c r="K398" s="2">
        <f>IFERROR(__xludf.DUMMYFUNCTION("""COMPUTED_VALUE"""),7.0)</f>
        <v>7</v>
      </c>
      <c r="L398" s="2" t="str">
        <f>IFERROR(__xludf.DUMMYFUNCTION("""COMPUTED_VALUE"""),"Лампа светодиодная HP MO")</f>
        <v>Лампа светодиодная HP MO</v>
      </c>
      <c r="M398" s="2" t="str">
        <f>IFERROR(__xludf.DUMMYFUNCTION("""COMPUTED_VALUE"""),"Лампы")</f>
        <v>Лампы</v>
      </c>
    </row>
    <row r="399">
      <c r="A399" s="5" t="str">
        <f>IFERROR(__xludf.DUMMYFUNCTION("""COMPUTED_VALUE"""),"12-0150")</f>
        <v>12-0150</v>
      </c>
      <c r="B399" s="5" t="str">
        <f>IFERROR(__xludf.DUMMYFUNCTION("""COMPUTED_VALUE"""),"Паяльная станция (160-520 град.) цифровой дисплей 220 V/48 Вт REXANT")</f>
        <v>Паяльная станция (160-520 град.) цифровой дисплей 220 V/48 Вт REXANT</v>
      </c>
      <c r="C399" s="2">
        <f>IFERROR(__xludf.DUMMYFUNCTION("""COMPUTED_VALUE"""),0.0)</f>
        <v>0</v>
      </c>
      <c r="D399" s="2">
        <f>IFERROR(__xludf.DUMMYFUNCTION("""COMPUTED_VALUE"""),0.0)</f>
        <v>0</v>
      </c>
      <c r="E399" s="2">
        <f>IFERROR(__xludf.DUMMYFUNCTION("""COMPUTED_VALUE"""),1.0)</f>
        <v>1</v>
      </c>
      <c r="F399" s="2">
        <f>IFERROR(__xludf.DUMMYFUNCTION("""COMPUTED_VALUE"""),4056.0)</f>
        <v>4056</v>
      </c>
      <c r="G399" s="2">
        <f>IFERROR(__xludf.DUMMYFUNCTION("""COMPUTED_VALUE"""),4326.0)</f>
        <v>4326</v>
      </c>
      <c r="H399" s="2">
        <f>IFERROR(__xludf.DUMMYFUNCTION("""COMPUTED_VALUE"""),4867.0)</f>
        <v>4867</v>
      </c>
      <c r="I399" s="2">
        <f>IFERROR(__xludf.DUMMYFUNCTION("""COMPUTED_VALUE"""),5407.38)</f>
        <v>5407.38</v>
      </c>
      <c r="J399" s="2">
        <f>IFERROR(__xludf.DUMMYFUNCTION("""COMPUTED_VALUE"""),2704.0)</f>
        <v>2704</v>
      </c>
      <c r="K399" s="2">
        <f>IFERROR(__xludf.DUMMYFUNCTION("""COMPUTED_VALUE"""),5.0)</f>
        <v>5</v>
      </c>
      <c r="L399" s="2" t="str">
        <f>IFERROR(__xludf.DUMMYFUNCTION("""COMPUTED_VALUE"""),"Rexant")</f>
        <v>Rexant</v>
      </c>
      <c r="M399" s="2" t="str">
        <f>IFERROR(__xludf.DUMMYFUNCTION("""COMPUTED_VALUE"""),"Прочие товары")</f>
        <v>Прочие товары</v>
      </c>
    </row>
    <row r="400">
      <c r="A400" s="5" t="str">
        <f>IFERROR(__xludf.DUMMYFUNCTION("""COMPUTED_VALUE"""),"12-0151")</f>
        <v>12-0151</v>
      </c>
      <c r="B400" s="5" t="str">
        <f>IFERROR(__xludf.DUMMYFUNCTION("""COMPUTED_VALUE"""),"Паяльная станция (160-500 град.) 220 V/48 Вт REXANT")</f>
        <v>Паяльная станция (160-500 град.) 220 V/48 Вт REXANT</v>
      </c>
      <c r="C400" s="2">
        <f>IFERROR(__xludf.DUMMYFUNCTION("""COMPUTED_VALUE"""),0.0)</f>
        <v>0</v>
      </c>
      <c r="D400" s="2">
        <f>IFERROR(__xludf.DUMMYFUNCTION("""COMPUTED_VALUE"""),0.0)</f>
        <v>0</v>
      </c>
      <c r="E400" s="2">
        <f>IFERROR(__xludf.DUMMYFUNCTION("""COMPUTED_VALUE"""),1.0)</f>
        <v>1</v>
      </c>
      <c r="F400" s="2">
        <f>IFERROR(__xludf.DUMMYFUNCTION("""COMPUTED_VALUE"""),2062.0)</f>
        <v>2062</v>
      </c>
      <c r="G400" s="2">
        <f>IFERROR(__xludf.DUMMYFUNCTION("""COMPUTED_VALUE"""),2200.0)</f>
        <v>2200</v>
      </c>
      <c r="H400" s="2">
        <f>IFERROR(__xludf.DUMMYFUNCTION("""COMPUTED_VALUE"""),2475.0)</f>
        <v>2475</v>
      </c>
      <c r="I400" s="2">
        <f>IFERROR(__xludf.DUMMYFUNCTION("""COMPUTED_VALUE"""),2749.5)</f>
        <v>2749.5</v>
      </c>
      <c r="J400" s="2">
        <f>IFERROR(__xludf.DUMMYFUNCTION("""COMPUTED_VALUE"""),1375.0)</f>
        <v>1375</v>
      </c>
      <c r="K400" s="2">
        <f>IFERROR(__xludf.DUMMYFUNCTION("""COMPUTED_VALUE"""),3.0)</f>
        <v>3</v>
      </c>
      <c r="L400" s="2" t="str">
        <f>IFERROR(__xludf.DUMMYFUNCTION("""COMPUTED_VALUE"""),"Rexant")</f>
        <v>Rexant</v>
      </c>
      <c r="M400" s="2" t="str">
        <f>IFERROR(__xludf.DUMMYFUNCTION("""COMPUTED_VALUE"""),"Прочие товары")</f>
        <v>Прочие товары</v>
      </c>
    </row>
    <row r="401">
      <c r="A401" s="5" t="str">
        <f>IFERROR(__xludf.DUMMYFUNCTION("""COMPUTED_VALUE"""),"4690612036540")</f>
        <v>4690612036540</v>
      </c>
      <c r="B401" s="5" t="str">
        <f>IFERROR(__xludf.DUMMYFUNCTION("""COMPUTED_VALUE"""),"ССО 07Ч 12Вт 3000-6500К 600Лм сенсор-диммер, с адаптером ЧЕРНЫЙ IN HOME")</f>
        <v>ССО 07Ч 12Вт 3000-6500К 600Лм сенсор-диммер, с адаптером ЧЕРНЫЙ IN HOME</v>
      </c>
      <c r="C401" s="2">
        <f>IFERROR(__xludf.DUMMYFUNCTION("""COMPUTED_VALUE"""),0.7300000000000001)</f>
        <v>0.73</v>
      </c>
      <c r="D401" s="2">
        <f>IFERROR(__xludf.DUMMYFUNCTION("""COMPUTED_VALUE"""),0.004330000000000001)</f>
        <v>0.00433</v>
      </c>
      <c r="E401" s="2">
        <f>IFERROR(__xludf.DUMMYFUNCTION("""COMPUTED_VALUE"""),950.49)</f>
        <v>950.49</v>
      </c>
      <c r="F401" s="2">
        <f>IFERROR(__xludf.DUMMYFUNCTION("""COMPUTED_VALUE"""),1089.0)</f>
        <v>1089</v>
      </c>
      <c r="G401" s="2">
        <f>IFERROR(__xludf.DUMMYFUNCTION("""COMPUTED_VALUE"""),1225.0)</f>
        <v>1225</v>
      </c>
      <c r="H401" s="2">
        <f>IFERROR(__xludf.DUMMYFUNCTION("""COMPUTED_VALUE"""),1421.0)</f>
        <v>1421</v>
      </c>
      <c r="I401" s="2">
        <f>IFERROR(__xludf.DUMMYFUNCTION("""COMPUTED_VALUE"""),1634.0)</f>
        <v>1634</v>
      </c>
      <c r="J401" s="2">
        <f>IFERROR(__xludf.DUMMYFUNCTION("""COMPUTED_VALUE"""),817.0)</f>
        <v>817</v>
      </c>
      <c r="K401" s="2">
        <f>IFERROR(__xludf.DUMMYFUNCTION("""COMPUTED_VALUE"""),12.0)</f>
        <v>12</v>
      </c>
      <c r="L401" s="2" t="str">
        <f>IFERROR(__xludf.DUMMYFUNCTION("""COMPUTED_VALUE"""),"Светильники настольные светодиодные")</f>
        <v>Светильники настольные светодиодные</v>
      </c>
      <c r="M401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402">
      <c r="A402" s="5" t="str">
        <f>IFERROR(__xludf.DUMMYFUNCTION("""COMPUTED_VALUE"""),"4690612038117")</f>
        <v>4690612038117</v>
      </c>
      <c r="B402" s="5" t="str">
        <f>IFERROR(__xludf.DUMMYFUNCTION("""COMPUTED_VALUE"""),"ДСП-155 36Вт 230В 4000К 4500Лм 125Лм/Вт 1200мм линкаб. IP65 NEOX")</f>
        <v>ДСП-155 36Вт 230В 4000К 4500Лм 125Лм/Вт 1200мм линкаб. IP65 NEOX</v>
      </c>
      <c r="C402" s="2">
        <f>IFERROR(__xludf.DUMMYFUNCTION("""COMPUTED_VALUE"""),0.325)</f>
        <v>0.325</v>
      </c>
      <c r="D402" s="2">
        <f>IFERROR(__xludf.DUMMYFUNCTION("""COMPUTED_VALUE"""),0.0035)</f>
        <v>0.0035</v>
      </c>
      <c r="E402" s="2">
        <f>IFERROR(__xludf.DUMMYFUNCTION("""COMPUTED_VALUE"""),621.87)</f>
        <v>621.87</v>
      </c>
      <c r="F402" s="2">
        <f>IFERROR(__xludf.DUMMYFUNCTION("""COMPUTED_VALUE"""),765.0)</f>
        <v>765</v>
      </c>
      <c r="G402" s="2">
        <f>IFERROR(__xludf.DUMMYFUNCTION("""COMPUTED_VALUE"""),860.0)</f>
        <v>860</v>
      </c>
      <c r="H402" s="2">
        <f>IFERROR(__xludf.DUMMYFUNCTION("""COMPUTED_VALUE"""),998.0)</f>
        <v>998</v>
      </c>
      <c r="I402" s="2">
        <f>IFERROR(__xludf.DUMMYFUNCTION("""COMPUTED_VALUE"""),1147.0)</f>
        <v>1147</v>
      </c>
      <c r="J402" s="2">
        <f>IFERROR(__xludf.DUMMYFUNCTION("""COMPUTED_VALUE"""),574.0)</f>
        <v>574</v>
      </c>
      <c r="K402" s="2">
        <f>IFERROR(__xludf.DUMMYFUNCTION("""COMPUTED_VALUE"""),5.0)</f>
        <v>5</v>
      </c>
      <c r="L402" s="2" t="str">
        <f>IFERROR(__xludf.DUMMYFUNCTION("""COMPUTED_VALUE"""),"NEOX Светильники LED ДСП")</f>
        <v>NEOX Светильники LED ДСП</v>
      </c>
      <c r="M402" s="2" t="str">
        <f>IFERROR(__xludf.DUMMYFUNCTION("""COMPUTED_VALUE"""),"Пластиковые (линейные), LED Светильники")</f>
        <v>Пластиковые (линейные), LED Светильники</v>
      </c>
    </row>
    <row r="403">
      <c r="A403" s="5" t="str">
        <f>IFERROR(__xludf.DUMMYFUNCTION("""COMPUTED_VALUE"""),"GL8280-BAP")</f>
        <v>GL8280-BAP</v>
      </c>
      <c r="B403" s="5" t="str">
        <f>IFERROR(__xludf.DUMMYFUNCTION("""COMPUTED_VALUE"""),"GLERIO Line Ultra 36 Вт 94P-36D-4N-M с БАП")</f>
        <v>GLERIO Line Ultra 36 Вт 94P-36D-4N-M с БАП</v>
      </c>
      <c r="C403" s="2">
        <f>IFERROR(__xludf.DUMMYFUNCTION("""COMPUTED_VALUE"""),0.7200000000000001)</f>
        <v>0.72</v>
      </c>
      <c r="D403" s="2">
        <f>IFERROR(__xludf.DUMMYFUNCTION("""COMPUTED_VALUE"""),0.0048)</f>
        <v>0.0048</v>
      </c>
      <c r="E403" s="2">
        <f>IFERROR(__xludf.DUMMYFUNCTION("""COMPUTED_VALUE"""),5114.6)</f>
        <v>5114.6</v>
      </c>
      <c r="F403" s="2">
        <f>IFERROR(__xludf.DUMMYFUNCTION("""COMPUTED_VALUE"""),5530.0)</f>
        <v>5530</v>
      </c>
      <c r="G403" s="2">
        <f>IFERROR(__xludf.DUMMYFUNCTION("""COMPUTED_VALUE"""),6962.0)</f>
        <v>6962</v>
      </c>
      <c r="H403" s="2">
        <f>IFERROR(__xludf.DUMMYFUNCTION("""COMPUTED_VALUE"""),7819.0)</f>
        <v>7819</v>
      </c>
      <c r="I403" s="2">
        <f>IFERROR(__xludf.DUMMYFUNCTION("""COMPUTED_VALUE"""),8675.0)</f>
        <v>8675</v>
      </c>
      <c r="J403" s="2">
        <f>IFERROR(__xludf.DUMMYFUNCTION("""COMPUTED_VALUE"""),4338.0)</f>
        <v>4338</v>
      </c>
      <c r="K403" s="2">
        <f>IFERROR(__xludf.DUMMYFUNCTION("""COMPUTED_VALUE"""),1.0)</f>
        <v>1</v>
      </c>
      <c r="L403" s="2" t="str">
        <f>IFERROR(__xludf.DUMMYFUNCTION("""COMPUTED_VALUE"""),"Line Ultra (Сеть) до 10.2025")</f>
        <v>Line Ultra (Сеть) до 10.2025</v>
      </c>
      <c r="M403" s="2" t="str">
        <f>IFERROR(__xludf.DUMMYFUNCTION("""COMPUTED_VALUE"""),"Пластиковые (линейные), LED Светильники")</f>
        <v>Пластиковые (линейные), LED Светильники</v>
      </c>
    </row>
    <row r="404">
      <c r="A404" s="5" t="str">
        <f>IFERROR(__xludf.DUMMYFUNCTION("""COMPUTED_VALUE"""),"13-0003")</f>
        <v>13-0003</v>
      </c>
      <c r="B404" s="5" t="str">
        <f>IFERROR(__xludf.DUMMYFUNCTION("""COMPUTED_VALUE"""),"Токовые клещи UNI-T UT205")</f>
        <v>Токовые клещи UNI-T UT205</v>
      </c>
      <c r="C404" s="2">
        <f>IFERROR(__xludf.DUMMYFUNCTION("""COMPUTED_VALUE"""),0.0)</f>
        <v>0</v>
      </c>
      <c r="D404" s="2">
        <f>IFERROR(__xludf.DUMMYFUNCTION("""COMPUTED_VALUE"""),0.0)</f>
        <v>0</v>
      </c>
      <c r="E404" s="2">
        <f>IFERROR(__xludf.DUMMYFUNCTION("""COMPUTED_VALUE"""),1.0)</f>
        <v>1</v>
      </c>
      <c r="F404" s="2">
        <f>IFERROR(__xludf.DUMMYFUNCTION("""COMPUTED_VALUE"""),7602.0)</f>
        <v>7602</v>
      </c>
      <c r="G404" s="2">
        <f>IFERROR(__xludf.DUMMYFUNCTION("""COMPUTED_VALUE"""),8109.0)</f>
        <v>8109</v>
      </c>
      <c r="H404" s="2">
        <f>IFERROR(__xludf.DUMMYFUNCTION("""COMPUTED_VALUE"""),9123.0)</f>
        <v>9123</v>
      </c>
      <c r="I404" s="2">
        <f>IFERROR(__xludf.DUMMYFUNCTION("""COMPUTED_VALUE"""),10136.34)</f>
        <v>10136.34</v>
      </c>
      <c r="J404" s="2">
        <f>IFERROR(__xludf.DUMMYFUNCTION("""COMPUTED_VALUE"""),5068.0)</f>
        <v>5068</v>
      </c>
      <c r="K404" s="2">
        <f>IFERROR(__xludf.DUMMYFUNCTION("""COMPUTED_VALUE"""),1.0)</f>
        <v>1</v>
      </c>
      <c r="L404" s="2" t="str">
        <f>IFERROR(__xludf.DUMMYFUNCTION("""COMPUTED_VALUE"""),"Rexant")</f>
        <v>Rexant</v>
      </c>
      <c r="M404" s="2" t="str">
        <f>IFERROR(__xludf.DUMMYFUNCTION("""COMPUTED_VALUE"""),"Прочие товары")</f>
        <v>Прочие товары</v>
      </c>
    </row>
    <row r="405">
      <c r="A405" s="5" t="str">
        <f>IFERROR(__xludf.DUMMYFUNCTION("""COMPUTED_VALUE"""),"R100317")</f>
        <v>R100317</v>
      </c>
      <c r="B405" s="5" t="str">
        <f>IFERROR(__xludf.DUMMYFUNCTION("""COMPUTED_VALUE"""),"RSV-SPP-20W-4000K-IP65")</f>
        <v>RSV-SPP-20W-4000K-IP65</v>
      </c>
      <c r="C405" s="2">
        <f>IFERROR(__xludf.DUMMYFUNCTION("""COMPUTED_VALUE"""),0.405)</f>
        <v>0.405</v>
      </c>
      <c r="D405" s="2">
        <f>IFERROR(__xludf.DUMMYFUNCTION("""COMPUTED_VALUE"""),0.00608)</f>
        <v>0.00608</v>
      </c>
      <c r="E405" s="2">
        <f>IFERROR(__xludf.DUMMYFUNCTION("""COMPUTED_VALUE"""),242.68)</f>
        <v>242.68</v>
      </c>
      <c r="F405" s="2">
        <f>IFERROR(__xludf.DUMMYFUNCTION("""COMPUTED_VALUE"""),232.0)</f>
        <v>232</v>
      </c>
      <c r="G405" s="2">
        <f>IFERROR(__xludf.DUMMYFUNCTION("""COMPUTED_VALUE"""),273.0)</f>
        <v>273</v>
      </c>
      <c r="H405" s="2">
        <f>IFERROR(__xludf.DUMMYFUNCTION("""COMPUTED_VALUE"""),281.0)</f>
        <v>281</v>
      </c>
      <c r="I405" s="2">
        <f>IFERROR(__xludf.DUMMYFUNCTION("""COMPUTED_VALUE"""),324.0)</f>
        <v>324</v>
      </c>
      <c r="J405" s="2">
        <f>IFERROR(__xludf.DUMMYFUNCTION("""COMPUTED_VALUE"""),162.0)</f>
        <v>162</v>
      </c>
      <c r="K405" s="2">
        <f>IFERROR(__xludf.DUMMYFUNCTION("""COMPUTED_VALUE"""),5.0)</f>
        <v>5</v>
      </c>
      <c r="L405" s="2" t="str">
        <f>IFERROR(__xludf.DUMMYFUNCTION("""COMPUTED_VALUE"""),"ЖКХ светильники RSV")</f>
        <v>ЖКХ светильники RSV</v>
      </c>
      <c r="M405" s="2" t="str">
        <f>IFERROR(__xludf.DUMMYFUNCTION("""COMPUTED_VALUE"""),"Без датчиков, LED Светильники")</f>
        <v>Без датчиков, LED Светильники</v>
      </c>
    </row>
    <row r="406">
      <c r="A406" s="5" t="str">
        <f>IFERROR(__xludf.DUMMYFUNCTION("""COMPUTED_VALUE"""),"12-4901-2")</f>
        <v>12-4901-2</v>
      </c>
      <c r="B406" s="5" t="str">
        <f>IFERROR(__xludf.DUMMYFUNCTION("""COMPUTED_VALUE"""),"Мультитул 12 в 1 Rexant")</f>
        <v>Мультитул 12 в 1 Rexant</v>
      </c>
      <c r="C406" s="2">
        <f>IFERROR(__xludf.DUMMYFUNCTION("""COMPUTED_VALUE"""),0.0)</f>
        <v>0</v>
      </c>
      <c r="D406" s="2">
        <f>IFERROR(__xludf.DUMMYFUNCTION("""COMPUTED_VALUE"""),0.0)</f>
        <v>0</v>
      </c>
      <c r="E406" s="2">
        <f>IFERROR(__xludf.DUMMYFUNCTION("""COMPUTED_VALUE"""),1.0)</f>
        <v>1</v>
      </c>
      <c r="F406" s="2">
        <f>IFERROR(__xludf.DUMMYFUNCTION("""COMPUTED_VALUE"""),1126.0)</f>
        <v>1126</v>
      </c>
      <c r="G406" s="2">
        <f>IFERROR(__xludf.DUMMYFUNCTION("""COMPUTED_VALUE"""),1201.0)</f>
        <v>1201</v>
      </c>
      <c r="H406" s="2">
        <f>IFERROR(__xludf.DUMMYFUNCTION("""COMPUTED_VALUE"""),1351.0)</f>
        <v>1351</v>
      </c>
      <c r="I406" s="2">
        <f>IFERROR(__xludf.DUMMYFUNCTION("""COMPUTED_VALUE"""),1500.84)</f>
        <v>1500.84</v>
      </c>
      <c r="J406" s="2">
        <f>IFERROR(__xludf.DUMMYFUNCTION("""COMPUTED_VALUE"""),750.0)</f>
        <v>750</v>
      </c>
      <c r="K406" s="2">
        <f>IFERROR(__xludf.DUMMYFUNCTION("""COMPUTED_VALUE"""),3.0)</f>
        <v>3</v>
      </c>
      <c r="L406" s="2" t="str">
        <f>IFERROR(__xludf.DUMMYFUNCTION("""COMPUTED_VALUE"""),"Rexant")</f>
        <v>Rexant</v>
      </c>
      <c r="M406" s="2" t="str">
        <f>IFERROR(__xludf.DUMMYFUNCTION("""COMPUTED_VALUE"""),"Прочие товары")</f>
        <v>Прочие товары</v>
      </c>
    </row>
    <row r="407">
      <c r="A407" s="5" t="str">
        <f>IFERROR(__xludf.DUMMYFUNCTION("""COMPUTED_VALUE"""),"4690612052991")</f>
        <v>4690612052991</v>
      </c>
      <c r="B407" s="5" t="str">
        <f>IFERROR(__xludf.DUMMYFUNCTION("""COMPUTED_VALUE"""),"ДВО-01 4565-ПРИЗМА 45Вт 6500К 180х1195х19 NEOX")</f>
        <v>ДВО-01 4565-ПРИЗМА 45Вт 6500К 180х1195х19 NEOX</v>
      </c>
      <c r="C407" s="2">
        <f>IFERROR(__xludf.DUMMYFUNCTION("""COMPUTED_VALUE"""),1.21)</f>
        <v>1.21</v>
      </c>
      <c r="D407" s="2">
        <f>IFERROR(__xludf.DUMMYFUNCTION("""COMPUTED_VALUE"""),0.00525)</f>
        <v>0.00525</v>
      </c>
      <c r="E407" s="2">
        <f>IFERROR(__xludf.DUMMYFUNCTION("""COMPUTED_VALUE"""),654.26)</f>
        <v>654.26</v>
      </c>
      <c r="F407" s="2">
        <f>IFERROR(__xludf.DUMMYFUNCTION("""COMPUTED_VALUE"""),696.0)</f>
        <v>696</v>
      </c>
      <c r="G407" s="2">
        <f>IFERROR(__xludf.DUMMYFUNCTION("""COMPUTED_VALUE"""),783.0)</f>
        <v>783</v>
      </c>
      <c r="H407" s="2">
        <f>IFERROR(__xludf.DUMMYFUNCTION("""COMPUTED_VALUE"""),908.0)</f>
        <v>908</v>
      </c>
      <c r="I407" s="2">
        <f>IFERROR(__xludf.DUMMYFUNCTION("""COMPUTED_VALUE"""),1044.0)</f>
        <v>1044</v>
      </c>
      <c r="J407" s="2">
        <f>IFERROR(__xludf.DUMMYFUNCTION("""COMPUTED_VALUE"""),522.0)</f>
        <v>522</v>
      </c>
      <c r="K407" s="2">
        <f>IFERROR(__xludf.DUMMYFUNCTION("""COMPUTED_VALUE"""),7.0)</f>
        <v>7</v>
      </c>
      <c r="L407" s="2" t="str">
        <f>IFERROR(__xludf.DUMMYFUNCTION("""COMPUTED_VALUE"""),"NEOX Светильники LED ДВО")</f>
        <v>NEOX Светильники LED ДВО</v>
      </c>
      <c r="M407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408">
      <c r="A408" s="5" t="str">
        <f>IFERROR(__xludf.DUMMYFUNCTION("""COMPUTED_VALUE"""),"4690612053066-1")</f>
        <v>4690612053066-1</v>
      </c>
      <c r="B408" s="5" t="str">
        <f>IFERROR(__xludf.DUMMYFUNCTION("""COMPUTED_VALUE"""),"ДВО-02 5065-ОПАЛ 50Вт 6500К 595х595х25 NEOX (в индивид. упак.)")</f>
        <v>ДВО-02 5065-ОПАЛ 50Вт 6500К 595х595х25 NEOX (в индивид. упак.)</v>
      </c>
      <c r="C408" s="2">
        <f>IFERROR(__xludf.DUMMYFUNCTION("""COMPUTED_VALUE"""),0.0)</f>
        <v>0</v>
      </c>
      <c r="D408" s="2">
        <f>IFERROR(__xludf.DUMMYFUNCTION("""COMPUTED_VALUE"""),0.0)</f>
        <v>0</v>
      </c>
      <c r="E408" s="2">
        <f>IFERROR(__xludf.DUMMYFUNCTION("""COMPUTED_VALUE"""),1551.92)</f>
        <v>1551.92</v>
      </c>
      <c r="F408" s="2">
        <f>IFERROR(__xludf.DUMMYFUNCTION("""COMPUTED_VALUE"""),1703.0)</f>
        <v>1703</v>
      </c>
      <c r="G408" s="2">
        <f>IFERROR(__xludf.DUMMYFUNCTION("""COMPUTED_VALUE"""),2234.0)</f>
        <v>2234</v>
      </c>
      <c r="H408" s="2">
        <f>IFERROR(__xludf.DUMMYFUNCTION("""COMPUTED_VALUE"""),2514.0)</f>
        <v>2514</v>
      </c>
      <c r="I408" s="2">
        <f>IFERROR(__xludf.DUMMYFUNCTION("""COMPUTED_VALUE"""),2793.0)</f>
        <v>2793</v>
      </c>
      <c r="J408" s="2">
        <f>IFERROR(__xludf.DUMMYFUNCTION("""COMPUTED_VALUE"""),1397.0)</f>
        <v>1397</v>
      </c>
      <c r="K408" s="2">
        <f>IFERROR(__xludf.DUMMYFUNCTION("""COMPUTED_VALUE"""),2.0)</f>
        <v>2</v>
      </c>
      <c r="L408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408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409">
      <c r="A409" s="5" t="str">
        <f>IFERROR(__xludf.DUMMYFUNCTION("""COMPUTED_VALUE"""),"GL8440")</f>
        <v>GL8440</v>
      </c>
      <c r="B409" s="5" t="str">
        <f>IFERROR(__xludf.DUMMYFUNCTION("""COMPUTED_VALUE"""),"GLERIO Indoor 8 Вт 4000К 10P-8D-4N-M-S-PS")</f>
        <v>GLERIO Indoor 8 Вт 4000К 10P-8D-4N-M-S-PS</v>
      </c>
      <c r="C409" s="2">
        <f>IFERROR(__xludf.DUMMYFUNCTION("""COMPUTED_VALUE"""),0.15)</f>
        <v>0.15</v>
      </c>
      <c r="D409" s="2">
        <f>IFERROR(__xludf.DUMMYFUNCTION("""COMPUTED_VALUE"""),6.600000000000001E-4)</f>
        <v>0.00066</v>
      </c>
      <c r="E409" s="2">
        <f>IFERROR(__xludf.DUMMYFUNCTION("""COMPUTED_VALUE"""),620.8000000000001)</f>
        <v>620.8</v>
      </c>
      <c r="F409" s="2">
        <f>IFERROR(__xludf.DUMMYFUNCTION("""COMPUTED_VALUE"""),730.0)</f>
        <v>730</v>
      </c>
      <c r="G409" s="2">
        <f>IFERROR(__xludf.DUMMYFUNCTION("""COMPUTED_VALUE"""),919.0)</f>
        <v>919</v>
      </c>
      <c r="H409" s="2">
        <f>IFERROR(__xludf.DUMMYFUNCTION("""COMPUTED_VALUE"""),1032.0)</f>
        <v>1032</v>
      </c>
      <c r="I409" s="2">
        <f>IFERROR(__xludf.DUMMYFUNCTION("""COMPUTED_VALUE"""),1145.0)</f>
        <v>1145</v>
      </c>
      <c r="J409" s="2">
        <f>IFERROR(__xludf.DUMMYFUNCTION("""COMPUTED_VALUE"""),573.0)</f>
        <v>573</v>
      </c>
      <c r="K409" s="2">
        <f>IFERROR(__xludf.DUMMYFUNCTION("""COMPUTED_VALUE"""),8.0)</f>
        <v>8</v>
      </c>
      <c r="L409" s="2" t="str">
        <f>IFERROR(__xludf.DUMMYFUNCTION("""COMPUTED_VALUE"""),"Indoor GLERIO (ЖКХ) до 10.2025")</f>
        <v>Indoor GLERIO (ЖКХ) до 10.2025</v>
      </c>
      <c r="M409" s="2" t="str">
        <f>IFERROR(__xludf.DUMMYFUNCTION("""COMPUTED_VALUE"""),"С датчиками, LED Светильники")</f>
        <v>С датчиками, LED Светильники</v>
      </c>
    </row>
    <row r="410">
      <c r="A410" s="5" t="str">
        <f>IFERROR(__xludf.DUMMYFUNCTION("""COMPUTED_VALUE"""),"4690612016580")</f>
        <v>4690612016580</v>
      </c>
      <c r="B410" s="5" t="str">
        <f>IFERROR(__xludf.DUMMYFUNCTION("""COMPUTED_VALUE"""),"Е27-П-deco подвесной Черный IN HOME")</f>
        <v>Е27-П-deco подвесной Черный IN HOME</v>
      </c>
      <c r="C410" s="2">
        <f>IFERROR(__xludf.DUMMYFUNCTION("""COMPUTED_VALUE"""),0.112)</f>
        <v>0.112</v>
      </c>
      <c r="D410" s="2">
        <f>IFERROR(__xludf.DUMMYFUNCTION("""COMPUTED_VALUE"""),2.8E-4)</f>
        <v>0.00028</v>
      </c>
      <c r="E410" s="2">
        <f>IFERROR(__xludf.DUMMYFUNCTION("""COMPUTED_VALUE"""),144.05)</f>
        <v>144.05</v>
      </c>
      <c r="F410" s="2">
        <f>IFERROR(__xludf.DUMMYFUNCTION("""COMPUTED_VALUE"""),143.0)</f>
        <v>143</v>
      </c>
      <c r="G410" s="2">
        <f>IFERROR(__xludf.DUMMYFUNCTION("""COMPUTED_VALUE"""),161.0)</f>
        <v>161</v>
      </c>
      <c r="H410" s="2">
        <f>IFERROR(__xludf.DUMMYFUNCTION("""COMPUTED_VALUE"""),187.0)</f>
        <v>187</v>
      </c>
      <c r="I410" s="2">
        <f>IFERROR(__xludf.DUMMYFUNCTION("""COMPUTED_VALUE"""),215.0)</f>
        <v>215</v>
      </c>
      <c r="J410" s="2">
        <f>IFERROR(__xludf.DUMMYFUNCTION("""COMPUTED_VALUE"""),108.0)</f>
        <v>108</v>
      </c>
      <c r="K410" s="2">
        <f>IFERROR(__xludf.DUMMYFUNCTION("""COMPUTED_VALUE"""),1.0)</f>
        <v>1</v>
      </c>
      <c r="L410" s="2" t="str">
        <f>IFERROR(__xludf.DUMMYFUNCTION("""COMPUTED_VALUE"""),"ASD электромонтажные изделия")</f>
        <v>ASD электромонтажные изделия</v>
      </c>
      <c r="M410" s="2" t="str">
        <f>IFERROR(__xludf.DUMMYFUNCTION("""COMPUTED_VALUE"""),"Прочие товары")</f>
        <v>Прочие товары</v>
      </c>
    </row>
    <row r="411">
      <c r="A411" s="5" t="str">
        <f>IFERROR(__xludf.DUMMYFUNCTION("""COMPUTED_VALUE"""),"4690612035444")</f>
        <v>4690612035444</v>
      </c>
      <c r="B411" s="5" t="str">
        <f>IFERROR(__xludf.DUMMYFUNCTION("""COMPUTED_VALUE"""),"ELEGANT BLISS-W 90Вт 230В 3000-6500K 7000Лм 610х400х130мм c пультом ДУ белый IN HOME")</f>
        <v>ELEGANT BLISS-W 90Вт 230В 3000-6500K 7000Лм 610х400х130мм c пультом ДУ белый IN HOME</v>
      </c>
      <c r="C411" s="2">
        <f>IFERROR(__xludf.DUMMYFUNCTION("""COMPUTED_VALUE"""),1.4)</f>
        <v>1.4</v>
      </c>
      <c r="D411" s="2">
        <f>IFERROR(__xludf.DUMMYFUNCTION("""COMPUTED_VALUE"""),0.008)</f>
        <v>0.008</v>
      </c>
      <c r="E411" s="2">
        <f>IFERROR(__xludf.DUMMYFUNCTION("""COMPUTED_VALUE"""),2744.77)</f>
        <v>2744.77</v>
      </c>
      <c r="F411" s="2">
        <f>IFERROR(__xludf.DUMMYFUNCTION("""COMPUTED_VALUE"""),2032.0)</f>
        <v>2032</v>
      </c>
      <c r="G411" s="2">
        <f>IFERROR(__xludf.DUMMYFUNCTION("""COMPUTED_VALUE"""),2286.0)</f>
        <v>2286</v>
      </c>
      <c r="H411" s="2">
        <f>IFERROR(__xludf.DUMMYFUNCTION("""COMPUTED_VALUE"""),2652.0)</f>
        <v>2652</v>
      </c>
      <c r="I411" s="2">
        <f>IFERROR(__xludf.DUMMYFUNCTION("""COMPUTED_VALUE"""),3048.0)</f>
        <v>3048</v>
      </c>
      <c r="J411" s="2">
        <f>IFERROR(__xludf.DUMMYFUNCTION("""COMPUTED_VALUE"""),1524.0)</f>
        <v>1524</v>
      </c>
      <c r="K411" s="2">
        <f>IFERROR(__xludf.DUMMYFUNCTION("""COMPUTED_VALUE"""),4.0)</f>
        <v>4</v>
      </c>
      <c r="L411" s="2" t="str">
        <f>IFERROR(__xludf.DUMMYFUNCTION("""COMPUTED_VALUE"""),"Светильники светодиодные серии ELEGANT IN HOME")</f>
        <v>Светильники светодиодные серии ELEGANT IN HOME</v>
      </c>
      <c r="M411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412">
      <c r="A412" s="5" t="str">
        <f>IFERROR(__xludf.DUMMYFUNCTION("""COMPUTED_VALUE"""),"Fefco/0203-2")</f>
        <v>Fefco/0203-2</v>
      </c>
      <c r="B412" s="5" t="str">
        <f>IFERROR(__xludf.DUMMYFUNCTION("""COMPUTED_VALUE"""),"Короб Fefco/0203 605х65х605 (картон Т-24 ""В"" бурый)")</f>
        <v>Короб Fefco/0203 605х65х605 (картон Т-24 "В" бурый)</v>
      </c>
      <c r="C412" s="2">
        <f>IFERROR(__xludf.DUMMYFUNCTION("""COMPUTED_VALUE"""),0.4)</f>
        <v>0.4</v>
      </c>
      <c r="D412" s="2">
        <f>IFERROR(__xludf.DUMMYFUNCTION("""COMPUTED_VALUE"""),0.004)</f>
        <v>0.004</v>
      </c>
      <c r="E412" s="2">
        <f>IFERROR(__xludf.DUMMYFUNCTION("""COMPUTED_VALUE"""),69.9)</f>
        <v>69.9</v>
      </c>
      <c r="F412" s="2">
        <f>IFERROR(__xludf.DUMMYFUNCTION("""COMPUTED_VALUE"""),1.0)</f>
        <v>1</v>
      </c>
      <c r="G412" s="2">
        <f>IFERROR(__xludf.DUMMYFUNCTION("""COMPUTED_VALUE"""),1.0)</f>
        <v>1</v>
      </c>
      <c r="H412" s="2">
        <f>IFERROR(__xludf.DUMMYFUNCTION("""COMPUTED_VALUE"""),1.0)</f>
        <v>1</v>
      </c>
      <c r="I412" s="2">
        <f>IFERROR(__xludf.DUMMYFUNCTION("""COMPUTED_VALUE"""),1.5)</f>
        <v>1.5</v>
      </c>
      <c r="J412" s="2">
        <f>IFERROR(__xludf.DUMMYFUNCTION("""COMPUTED_VALUE"""),1.5)</f>
        <v>1.5</v>
      </c>
      <c r="K412" s="2">
        <f>IFERROR(__xludf.DUMMYFUNCTION("""COMPUTED_VALUE"""),-403.0)</f>
        <v>-403</v>
      </c>
      <c r="L412" s="2" t="str">
        <f>IFERROR(__xludf.DUMMYFUNCTION("""COMPUTED_VALUE"""),"Упаковка")</f>
        <v>Упаковка</v>
      </c>
      <c r="M412" s="2" t="str">
        <f>IFERROR(__xludf.DUMMYFUNCTION("""COMPUTED_VALUE"""),"Прочие товары")</f>
        <v>Прочие товары</v>
      </c>
    </row>
    <row r="413">
      <c r="A413" s="5" t="str">
        <f>IFERROR(__xludf.DUMMYFUNCTION("""COMPUTED_VALUE"""),"GL8131")</f>
        <v>GL8131</v>
      </c>
      <c r="B413" s="5" t="str">
        <f>IFERROR(__xludf.DUMMYFUNCTION("""COMPUTED_VALUE"""),"GLERIO Office Casual 48 Вт 4000К 81P-48D-4V-P")</f>
        <v>GLERIO Office Casual 48 Вт 4000К 81P-48D-4V-P</v>
      </c>
      <c r="C413" s="2">
        <f>IFERROR(__xludf.DUMMYFUNCTION("""COMPUTED_VALUE"""),1.14)</f>
        <v>1.14</v>
      </c>
      <c r="D413" s="2">
        <f>IFERROR(__xludf.DUMMYFUNCTION("""COMPUTED_VALUE"""),0.008190000000000001)</f>
        <v>0.00819</v>
      </c>
      <c r="E413" s="2">
        <f>IFERROR(__xludf.DUMMYFUNCTION("""COMPUTED_VALUE"""),2142.07)</f>
        <v>2142.07</v>
      </c>
      <c r="F413" s="2">
        <f>IFERROR(__xludf.DUMMYFUNCTION("""COMPUTED_VALUE"""),2660.0)</f>
        <v>2660</v>
      </c>
      <c r="G413" s="2">
        <f>IFERROR(__xludf.DUMMYFUNCTION("""COMPUTED_VALUE"""),3349.0)</f>
        <v>3349</v>
      </c>
      <c r="H413" s="2">
        <f>IFERROR(__xludf.DUMMYFUNCTION("""COMPUTED_VALUE"""),3761.0)</f>
        <v>3761</v>
      </c>
      <c r="I413" s="2">
        <f>IFERROR(__xludf.DUMMYFUNCTION("""COMPUTED_VALUE"""),4173.0)</f>
        <v>4173</v>
      </c>
      <c r="J413" s="2">
        <f>IFERROR(__xludf.DUMMYFUNCTION("""COMPUTED_VALUE"""),2087.0)</f>
        <v>2087</v>
      </c>
      <c r="K413" s="2">
        <f>IFERROR(__xludf.DUMMYFUNCTION("""COMPUTED_VALUE"""),2.0)</f>
        <v>2</v>
      </c>
      <c r="L413" s="2" t="str">
        <f>IFERROR(__xludf.DUMMYFUNCTION("""COMPUTED_VALUE"""),"Office Casual (Офис) до 10.2025")</f>
        <v>Office Casual (Офис) до 10.2025</v>
      </c>
      <c r="M413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414">
      <c r="A414" s="5" t="str">
        <f>IFERROR(__xludf.DUMMYFUNCTION("""COMPUTED_VALUE"""),"12-4002")</f>
        <v>12-4002</v>
      </c>
      <c r="B414" s="5" t="str">
        <f>IFERROR(__xludf.DUMMYFUNCTION("""COMPUTED_VALUE"""),"Инструмент для зачистки кабеля 0.5 - 2.0 мм2 (ht-369 А) REXANT")</f>
        <v>Инструмент для зачистки кабеля 0.5 - 2.0 мм2 (ht-369 А) REXANT</v>
      </c>
      <c r="C414" s="2">
        <f>IFERROR(__xludf.DUMMYFUNCTION("""COMPUTED_VALUE"""),0.0)</f>
        <v>0</v>
      </c>
      <c r="D414" s="2">
        <f>IFERROR(__xludf.DUMMYFUNCTION("""COMPUTED_VALUE"""),0.0)</f>
        <v>0</v>
      </c>
      <c r="E414" s="2">
        <f>IFERROR(__xludf.DUMMYFUNCTION("""COMPUTED_VALUE"""),1.0)</f>
        <v>1</v>
      </c>
      <c r="F414" s="2">
        <f>IFERROR(__xludf.DUMMYFUNCTION("""COMPUTED_VALUE"""),742.0)</f>
        <v>742</v>
      </c>
      <c r="G414" s="2">
        <f>IFERROR(__xludf.DUMMYFUNCTION("""COMPUTED_VALUE"""),792.0)</f>
        <v>792</v>
      </c>
      <c r="H414" s="2">
        <f>IFERROR(__xludf.DUMMYFUNCTION("""COMPUTED_VALUE"""),891.0)</f>
        <v>891</v>
      </c>
      <c r="I414" s="2">
        <f>IFERROR(__xludf.DUMMYFUNCTION("""COMPUTED_VALUE"""),989.5)</f>
        <v>989.5</v>
      </c>
      <c r="J414" s="2">
        <f>IFERROR(__xludf.DUMMYFUNCTION("""COMPUTED_VALUE"""),495.0)</f>
        <v>495</v>
      </c>
      <c r="K414" s="2">
        <f>IFERROR(__xludf.DUMMYFUNCTION("""COMPUTED_VALUE"""),2.0)</f>
        <v>2</v>
      </c>
      <c r="L414" s="2" t="str">
        <f>IFERROR(__xludf.DUMMYFUNCTION("""COMPUTED_VALUE"""),"Rexant")</f>
        <v>Rexant</v>
      </c>
      <c r="M414" s="2" t="str">
        <f>IFERROR(__xludf.DUMMYFUNCTION("""COMPUTED_VALUE"""),"Прочие товары")</f>
        <v>Прочие товары</v>
      </c>
    </row>
    <row r="415">
      <c r="A415" s="5" t="str">
        <f>IFERROR(__xludf.DUMMYFUNCTION("""COMPUTED_VALUE"""),"4690612001456")</f>
        <v>4690612001456</v>
      </c>
      <c r="B415" s="5" t="str">
        <f>IFERROR(__xludf.DUMMYFUNCTION("""COMPUTED_VALUE"""),"LED-JCDR-standard 7.5Вт 160-260В GU5.3 4000К 600Лм ASD")</f>
        <v>LED-JCDR-standard 7.5Вт 160-260В GU5.3 4000К 600Лм ASD</v>
      </c>
      <c r="C415" s="2">
        <f>IFERROR(__xludf.DUMMYFUNCTION("""COMPUTED_VALUE"""),0.042)</f>
        <v>0.042</v>
      </c>
      <c r="D415" s="2">
        <f>IFERROR(__xludf.DUMMYFUNCTION("""COMPUTED_VALUE"""),1.9E-4)</f>
        <v>0.00019</v>
      </c>
      <c r="E415" s="2">
        <f>IFERROR(__xludf.DUMMYFUNCTION("""COMPUTED_VALUE"""),34.84)</f>
        <v>34.84</v>
      </c>
      <c r="F415" s="2">
        <f>IFERROR(__xludf.DUMMYFUNCTION("""COMPUTED_VALUE"""),33.0)</f>
        <v>33</v>
      </c>
      <c r="G415" s="2">
        <f>IFERROR(__xludf.DUMMYFUNCTION("""COMPUTED_VALUE"""),37.0)</f>
        <v>37</v>
      </c>
      <c r="H415" s="2">
        <f>IFERROR(__xludf.DUMMYFUNCTION("""COMPUTED_VALUE"""),43.0)</f>
        <v>43</v>
      </c>
      <c r="I415" s="2">
        <f>IFERROR(__xludf.DUMMYFUNCTION("""COMPUTED_VALUE"""),49.5)</f>
        <v>49.5</v>
      </c>
      <c r="J415" s="2">
        <f>IFERROR(__xludf.DUMMYFUNCTION("""COMPUTED_VALUE"""),25.0)</f>
        <v>25</v>
      </c>
      <c r="K415" s="2">
        <f>IFERROR(__xludf.DUMMYFUNCTION("""COMPUTED_VALUE"""),4.0)</f>
        <v>4</v>
      </c>
      <c r="L415" s="2" t="str">
        <f>IFERROR(__xludf.DUMMYFUNCTION("""COMPUTED_VALUE"""),"Лампа светодиодная LED-JCDR-standard")</f>
        <v>Лампа светодиодная LED-JCDR-standard</v>
      </c>
      <c r="M415" s="2" t="str">
        <f>IFERROR(__xludf.DUMMYFUNCTION("""COMPUTED_VALUE"""),"Лампы")</f>
        <v>Лампы</v>
      </c>
    </row>
    <row r="416">
      <c r="A416" s="5" t="str">
        <f>IFERROR(__xludf.DUMMYFUNCTION("""COMPUTED_VALUE"""),"4260652193260")</f>
        <v>4260652193260</v>
      </c>
      <c r="B416" s="5" t="str">
        <f>IFERROR(__xludf.DUMMYFUNCTION("""COMPUTED_VALUE"""),"LCL04-8W-R11-4K-SOA")</f>
        <v>LCL04-8W-R11-4K-SOA</v>
      </c>
      <c r="C416" s="2">
        <f>IFERROR(__xludf.DUMMYFUNCTION("""COMPUTED_VALUE"""),0.09000000000000001)</f>
        <v>0.09</v>
      </c>
      <c r="D416" s="2">
        <f>IFERROR(__xludf.DUMMYFUNCTION("""COMPUTED_VALUE"""),0.035)</f>
        <v>0.035</v>
      </c>
      <c r="E416" s="2">
        <f>IFERROR(__xludf.DUMMYFUNCTION("""COMPUTED_VALUE"""),300.77)</f>
        <v>300.77</v>
      </c>
      <c r="F416" s="2">
        <f>IFERROR(__xludf.DUMMYFUNCTION("""COMPUTED_VALUE"""),291.0)</f>
        <v>291</v>
      </c>
      <c r="G416" s="2">
        <f>IFERROR(__xludf.DUMMYFUNCTION("""COMPUTED_VALUE"""),301.0)</f>
        <v>301</v>
      </c>
      <c r="H416" s="2">
        <f>IFERROR(__xludf.DUMMYFUNCTION("""COMPUTED_VALUE"""),394.0)</f>
        <v>394</v>
      </c>
      <c r="I416" s="2">
        <f>IFERROR(__xludf.DUMMYFUNCTION("""COMPUTED_VALUE"""),493.0)</f>
        <v>493</v>
      </c>
      <c r="J416" s="2">
        <f>IFERROR(__xludf.DUMMYFUNCTION("""COMPUTED_VALUE"""),247.0)</f>
        <v>247</v>
      </c>
      <c r="K416" s="2">
        <f>IFERROR(__xludf.DUMMYFUNCTION("""COMPUTED_VALUE"""),37.0)</f>
        <v>37</v>
      </c>
      <c r="L416" s="2" t="str">
        <f>IFERROR(__xludf.DUMMYFUNCTION("""COMPUTED_VALUE"""),"Wolta ЖКХ")</f>
        <v>Wolta ЖКХ</v>
      </c>
      <c r="M416" s="2" t="str">
        <f>IFERROR(__xludf.DUMMYFUNCTION("""COMPUTED_VALUE"""),"Для ЖКХ, дома, дачи, LED Светильники")</f>
        <v>Для ЖКХ, дома, дачи, LED Светильники</v>
      </c>
    </row>
    <row r="417">
      <c r="A417" s="5" t="str">
        <f>IFERROR(__xludf.DUMMYFUNCTION("""COMPUTED_VALUE"""),"4690612025049")</f>
        <v>4690612025049</v>
      </c>
      <c r="B417" s="5" t="str">
        <f>IFERROR(__xludf.DUMMYFUNCTION("""COMPUTED_VALUE"""),"DECO 36Вт 230В 4000К 2340Лм 350х55мм БАМБУК IN HOME")</f>
        <v>DECO 36Вт 230В 4000К 2340Лм 350х55мм БАМБУК IN HOME</v>
      </c>
      <c r="C417" s="2">
        <f>IFERROR(__xludf.DUMMYFUNCTION("""COMPUTED_VALUE"""),0.5800000000000001)</f>
        <v>0.58</v>
      </c>
      <c r="D417" s="2">
        <f>IFERROR(__xludf.DUMMYFUNCTION("""COMPUTED_VALUE"""),0.009000000000000001)</f>
        <v>0.009</v>
      </c>
      <c r="E417" s="2">
        <f>IFERROR(__xludf.DUMMYFUNCTION("""COMPUTED_VALUE"""),493.19)</f>
        <v>493.19</v>
      </c>
      <c r="F417" s="2">
        <f>IFERROR(__xludf.DUMMYFUNCTION("""COMPUTED_VALUE"""),600.0)</f>
        <v>600</v>
      </c>
      <c r="G417" s="2">
        <f>IFERROR(__xludf.DUMMYFUNCTION("""COMPUTED_VALUE"""),675.0)</f>
        <v>675</v>
      </c>
      <c r="H417" s="2">
        <f>IFERROR(__xludf.DUMMYFUNCTION("""COMPUTED_VALUE"""),783.0)</f>
        <v>783</v>
      </c>
      <c r="I417" s="2">
        <f>IFERROR(__xludf.DUMMYFUNCTION("""COMPUTED_VALUE"""),900.0)</f>
        <v>900</v>
      </c>
      <c r="J417" s="2">
        <f>IFERROR(__xludf.DUMMYFUNCTION("""COMPUTED_VALUE"""),450.0)</f>
        <v>450</v>
      </c>
      <c r="K417" s="2">
        <f>IFERROR(__xludf.DUMMYFUNCTION("""COMPUTED_VALUE"""),28.0)</f>
        <v>28</v>
      </c>
      <c r="L417" s="2" t="str">
        <f>IFERROR(__xludf.DUMMYFUNCTION("""COMPUTED_VALUE"""),"Светильник светодиодный серии DECO")</f>
        <v>Светильник светодиодный серии DECO</v>
      </c>
      <c r="M417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418">
      <c r="A418" s="5" t="str">
        <f>IFERROR(__xludf.DUMMYFUNCTION("""COMPUTED_VALUE"""),"4690612010199")</f>
        <v>4690612010199</v>
      </c>
      <c r="B418" s="5" t="str">
        <f>IFERROR(__xludf.DUMMYFUNCTION("""COMPUTED_VALUE"""),"РШ/ВШ карболитовый 32А 250В черный 9114 IN HOME")</f>
        <v>РШ/ВШ карболитовый 32А 250В черный 9114 IN HOME</v>
      </c>
      <c r="C418" s="2">
        <f>IFERROR(__xludf.DUMMYFUNCTION("""COMPUTED_VALUE"""),0.18611)</f>
        <v>0.18611</v>
      </c>
      <c r="D418" s="2">
        <f>IFERROR(__xludf.DUMMYFUNCTION("""COMPUTED_VALUE"""),5.1E-4)</f>
        <v>0.00051</v>
      </c>
      <c r="E418" s="2">
        <f>IFERROR(__xludf.DUMMYFUNCTION("""COMPUTED_VALUE"""),132.7)</f>
        <v>132.7</v>
      </c>
      <c r="F418" s="2">
        <f>IFERROR(__xludf.DUMMYFUNCTION("""COMPUTED_VALUE"""),164.0)</f>
        <v>164</v>
      </c>
      <c r="G418" s="2">
        <f>IFERROR(__xludf.DUMMYFUNCTION("""COMPUTED_VALUE"""),185.0)</f>
        <v>185</v>
      </c>
      <c r="H418" s="2">
        <f>IFERROR(__xludf.DUMMYFUNCTION("""COMPUTED_VALUE"""),214.0)</f>
        <v>214</v>
      </c>
      <c r="I418" s="2">
        <f>IFERROR(__xludf.DUMMYFUNCTION("""COMPUTED_VALUE"""),246.0)</f>
        <v>246</v>
      </c>
      <c r="J418" s="2">
        <f>IFERROR(__xludf.DUMMYFUNCTION("""COMPUTED_VALUE"""),123.0)</f>
        <v>123</v>
      </c>
      <c r="K418" s="2">
        <f>IFERROR(__xludf.DUMMYFUNCTION("""COMPUTED_VALUE"""),4.0)</f>
        <v>4</v>
      </c>
      <c r="L418" s="2" t="str">
        <f>IFERROR(__xludf.DUMMYFUNCTION("""COMPUTED_VALUE"""),"Розетки, вилки и колодки")</f>
        <v>Розетки, вилки и колодки</v>
      </c>
      <c r="M418" s="2" t="str">
        <f>IFERROR(__xludf.DUMMYFUNCTION("""COMPUTED_VALUE"""),"Прочие товары")</f>
        <v>Прочие товары</v>
      </c>
    </row>
    <row r="419">
      <c r="A419" s="5" t="str">
        <f>IFERROR(__xludf.DUMMYFUNCTION("""COMPUTED_VALUE"""),"4690612023427")</f>
        <v>4690612023427</v>
      </c>
      <c r="B419" s="5" t="str">
        <f>IFERROR(__xludf.DUMMYFUNCTION("""COMPUTED_VALUE"""),"LED-JCDRC-VC 8Вт 230В GU10 3000К 720Лм IN HOME")</f>
        <v>LED-JCDRC-VC 8Вт 230В GU10 3000К 720Лм IN HOME</v>
      </c>
      <c r="C419" s="2">
        <f>IFERROR(__xludf.DUMMYFUNCTION("""COMPUTED_VALUE"""),0.035)</f>
        <v>0.035</v>
      </c>
      <c r="D419" s="2">
        <f>IFERROR(__xludf.DUMMYFUNCTION("""COMPUTED_VALUE"""),2.1E-4)</f>
        <v>0.00021</v>
      </c>
      <c r="E419" s="2">
        <f>IFERROR(__xludf.DUMMYFUNCTION("""COMPUTED_VALUE"""),31.34)</f>
        <v>31.34</v>
      </c>
      <c r="F419" s="2">
        <f>IFERROR(__xludf.DUMMYFUNCTION("""COMPUTED_VALUE"""),45.0)</f>
        <v>45</v>
      </c>
      <c r="G419" s="2">
        <f>IFERROR(__xludf.DUMMYFUNCTION("""COMPUTED_VALUE"""),51.0)</f>
        <v>51</v>
      </c>
      <c r="H419" s="2">
        <f>IFERROR(__xludf.DUMMYFUNCTION("""COMPUTED_VALUE"""),59.0)</f>
        <v>59</v>
      </c>
      <c r="I419" s="2">
        <f>IFERROR(__xludf.DUMMYFUNCTION("""COMPUTED_VALUE"""),68.7)</f>
        <v>68.7</v>
      </c>
      <c r="J419" s="2">
        <f>IFERROR(__xludf.DUMMYFUNCTION("""COMPUTED_VALUE"""),34.0)</f>
        <v>34</v>
      </c>
      <c r="K419" s="2">
        <f>IFERROR(__xludf.DUMMYFUNCTION("""COMPUTED_VALUE"""),14.0)</f>
        <v>14</v>
      </c>
      <c r="L419" s="2" t="str">
        <f>IFERROR(__xludf.DUMMYFUNCTION("""COMPUTED_VALUE"""),"Лампа светодиодная LED-JCDR-standard")</f>
        <v>Лампа светодиодная LED-JCDR-standard</v>
      </c>
      <c r="M419" s="2" t="str">
        <f>IFERROR(__xludf.DUMMYFUNCTION("""COMPUTED_VALUE"""),"Лампы")</f>
        <v>Лампы</v>
      </c>
    </row>
    <row r="420">
      <c r="A420" s="5" t="str">
        <f>IFERROR(__xludf.DUMMYFUNCTION("""COMPUTED_VALUE"""),"4690626076143")</f>
        <v>4690626076143</v>
      </c>
      <c r="B420" s="5" t="str">
        <f>IFERROR(__xludf.DUMMYFUNCTION("""COMPUTED_VALUE"""),"Кабельный коннектор I-образный (клеммник 3PIN) IP68 0,5-2,0 мм2 (SBE-ccl2-3)")</f>
        <v>Кабельный коннектор I-образный (клеммник 3PIN) IP68 0,5-2,0 мм2 (SBE-ccl2-3)</v>
      </c>
      <c r="C420" s="2">
        <f>IFERROR(__xludf.DUMMYFUNCTION("""COMPUTED_VALUE"""),0.0)</f>
        <v>0</v>
      </c>
      <c r="D420" s="2">
        <f>IFERROR(__xludf.DUMMYFUNCTION("""COMPUTED_VALUE"""),0.0)</f>
        <v>0</v>
      </c>
      <c r="E420" s="2">
        <f>IFERROR(__xludf.DUMMYFUNCTION("""COMPUTED_VALUE"""),78.54)</f>
        <v>78.54</v>
      </c>
      <c r="F420" s="2">
        <f>IFERROR(__xludf.DUMMYFUNCTION("""COMPUTED_VALUE"""),81.0)</f>
        <v>81</v>
      </c>
      <c r="G420" s="2">
        <f>IFERROR(__xludf.DUMMYFUNCTION("""COMPUTED_VALUE"""),89.0)</f>
        <v>89</v>
      </c>
      <c r="H420" s="2">
        <f>IFERROR(__xludf.DUMMYFUNCTION("""COMPUTED_VALUE"""),99.0)</f>
        <v>99</v>
      </c>
      <c r="I420" s="2">
        <f>IFERROR(__xludf.DUMMYFUNCTION("""COMPUTED_VALUE"""),109.0)</f>
        <v>109</v>
      </c>
      <c r="J420" s="2">
        <f>IFERROR(__xludf.DUMMYFUNCTION("""COMPUTED_VALUE"""),55.0)</f>
        <v>55</v>
      </c>
      <c r="K420" s="2">
        <f>IFERROR(__xludf.DUMMYFUNCTION("""COMPUTED_VALUE"""),10.0)</f>
        <v>10</v>
      </c>
      <c r="L420" s="2" t="str">
        <f>IFERROR(__xludf.DUMMYFUNCTION("""COMPUTED_VALUE"""),"Smartbuy")</f>
        <v>Smartbuy</v>
      </c>
      <c r="M420" s="2" t="str">
        <f>IFERROR(__xludf.DUMMYFUNCTION("""COMPUTED_VALUE"""),"Прочие товары")</f>
        <v>Прочие товары</v>
      </c>
    </row>
    <row r="421">
      <c r="A421" s="5" t="str">
        <f>IFERROR(__xludf.DUMMYFUNCTION("""COMPUTED_VALUE"""),"4680005959938")</f>
        <v>4680005959938</v>
      </c>
      <c r="B421" s="5" t="str">
        <f>IFERROR(__xludf.DUMMYFUNCTION("""COMPUTED_VALUE"""),"CLASSICO Рамка белая 2302H IN HOME")</f>
        <v>CLASSICO Рамка белая 2302H IN HOME</v>
      </c>
      <c r="C421" s="2">
        <f>IFERROR(__xludf.DUMMYFUNCTION("""COMPUTED_VALUE"""),0.025)</f>
        <v>0.025</v>
      </c>
      <c r="D421" s="2">
        <f>IFERROR(__xludf.DUMMYFUNCTION("""COMPUTED_VALUE"""),2.0E-4)</f>
        <v>0.0002</v>
      </c>
      <c r="E421" s="2">
        <f>IFERROR(__xludf.DUMMYFUNCTION("""COMPUTED_VALUE"""),20.62)</f>
        <v>20.62</v>
      </c>
      <c r="F421" s="2">
        <f>IFERROR(__xludf.DUMMYFUNCTION("""COMPUTED_VALUE"""),34.0)</f>
        <v>34</v>
      </c>
      <c r="G421" s="2">
        <f>IFERROR(__xludf.DUMMYFUNCTION("""COMPUTED_VALUE"""),39.0)</f>
        <v>39</v>
      </c>
      <c r="H421" s="2">
        <f>IFERROR(__xludf.DUMMYFUNCTION("""COMPUTED_VALUE"""),45.0)</f>
        <v>45</v>
      </c>
      <c r="I421" s="2">
        <f>IFERROR(__xludf.DUMMYFUNCTION("""COMPUTED_VALUE"""),52.0)</f>
        <v>52</v>
      </c>
      <c r="J421" s="2">
        <f>IFERROR(__xludf.DUMMYFUNCTION("""COMPUTED_VALUE"""),26.0)</f>
        <v>26</v>
      </c>
      <c r="K421" s="2">
        <f>IFERROR(__xludf.DUMMYFUNCTION("""COMPUTED_VALUE"""),47.0)</f>
        <v>47</v>
      </c>
      <c r="L421" s="2" t="str">
        <f>IFERROR(__xludf.DUMMYFUNCTION("""COMPUTED_VALUE"""),"Розетки, вилки и колодки")</f>
        <v>Розетки, вилки и колодки</v>
      </c>
      <c r="M421" s="2" t="str">
        <f>IFERROR(__xludf.DUMMYFUNCTION("""COMPUTED_VALUE"""),"Прочие товары")</f>
        <v>Прочие товары</v>
      </c>
    </row>
    <row r="422">
      <c r="A422" s="5" t="str">
        <f>IFERROR(__xludf.DUMMYFUNCTION("""COMPUTED_VALUE"""),"4690612035062")</f>
        <v>4690612035062</v>
      </c>
      <c r="B422" s="5" t="str">
        <f>IFERROR(__xludf.DUMMYFUNCTION("""COMPUTED_VALUE"""),"COMFORT GALAXY 55Вт 230В 3000-6500K 4400Лм 450x70мм с пультом ДУ IN HOME")</f>
        <v>COMFORT GALAXY 55Вт 230В 3000-6500K 4400Лм 450x70мм с пультом ДУ IN HOME</v>
      </c>
      <c r="C422" s="2">
        <f>IFERROR(__xludf.DUMMYFUNCTION("""COMPUTED_VALUE"""),1.32)</f>
        <v>1.32</v>
      </c>
      <c r="D422" s="2">
        <f>IFERROR(__xludf.DUMMYFUNCTION("""COMPUTED_VALUE"""),0.0202)</f>
        <v>0.0202</v>
      </c>
      <c r="E422" s="2">
        <f>IFERROR(__xludf.DUMMYFUNCTION("""COMPUTED_VALUE"""),1164.79)</f>
        <v>1164.79</v>
      </c>
      <c r="F422" s="2">
        <f>IFERROR(__xludf.DUMMYFUNCTION("""COMPUTED_VALUE"""),1473.0)</f>
        <v>1473</v>
      </c>
      <c r="G422" s="2">
        <f>IFERROR(__xludf.DUMMYFUNCTION("""COMPUTED_VALUE"""),1658.0)</f>
        <v>1658</v>
      </c>
      <c r="H422" s="2">
        <f>IFERROR(__xludf.DUMMYFUNCTION("""COMPUTED_VALUE"""),1923.0)</f>
        <v>1923</v>
      </c>
      <c r="I422" s="2">
        <f>IFERROR(__xludf.DUMMYFUNCTION("""COMPUTED_VALUE"""),2210.0)</f>
        <v>2210</v>
      </c>
      <c r="J422" s="2">
        <f>IFERROR(__xludf.DUMMYFUNCTION("""COMPUTED_VALUE"""),1105.0)</f>
        <v>1105</v>
      </c>
      <c r="K422" s="2">
        <f>IFERROR(__xludf.DUMMYFUNCTION("""COMPUTED_VALUE"""),5.0)</f>
        <v>5</v>
      </c>
      <c r="L422" s="2" t="str">
        <f>IFERROR(__xludf.DUMMYFUNCTION("""COMPUTED_VALUE"""),"Светильники светодиодные COMFORT")</f>
        <v>Светильники светодиодные COMFORT</v>
      </c>
      <c r="M422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423">
      <c r="A423" s="5" t="str">
        <f>IFERROR(__xludf.DUMMYFUNCTION("""COMPUTED_VALUE"""),"4630015264881")</f>
        <v>4630015264881</v>
      </c>
      <c r="B423" s="5" t="str">
        <f>IFERROR(__xludf.DUMMYFUNCTION("""COMPUTED_VALUE"""),"MOD03WH-DL50GU5.3")</f>
        <v>MOD03WH-DL50GU5.3</v>
      </c>
      <c r="C423" s="2">
        <f>IFERROR(__xludf.DUMMYFUNCTION("""COMPUTED_VALUE"""),0.0)</f>
        <v>0</v>
      </c>
      <c r="D423" s="2">
        <f>IFERROR(__xludf.DUMMYFUNCTION("""COMPUTED_VALUE"""),0.0)</f>
        <v>0</v>
      </c>
      <c r="E423" s="2">
        <f>IFERROR(__xludf.DUMMYFUNCTION("""COMPUTED_VALUE"""),20.03)</f>
        <v>20.03</v>
      </c>
      <c r="F423" s="2">
        <f>IFERROR(__xludf.DUMMYFUNCTION("""COMPUTED_VALUE"""),148.0)</f>
        <v>148</v>
      </c>
      <c r="G423" s="2">
        <f>IFERROR(__xludf.DUMMYFUNCTION("""COMPUTED_VALUE"""),153.0)</f>
        <v>153</v>
      </c>
      <c r="H423" s="2">
        <f>IFERROR(__xludf.DUMMYFUNCTION("""COMPUTED_VALUE"""),200.0)</f>
        <v>200</v>
      </c>
      <c r="I423" s="2">
        <f>IFERROR(__xludf.DUMMYFUNCTION("""COMPUTED_VALUE"""),250.0)</f>
        <v>250</v>
      </c>
      <c r="J423" s="2">
        <f>IFERROR(__xludf.DUMMYFUNCTION("""COMPUTED_VALUE"""),125.0)</f>
        <v>125</v>
      </c>
      <c r="K423" s="2">
        <f>IFERROR(__xludf.DUMMYFUNCTION("""COMPUTED_VALUE"""),15.0)</f>
        <v>15</v>
      </c>
      <c r="L423" s="2" t="str">
        <f>IFERROR(__xludf.DUMMYFUNCTION("""COMPUTED_VALUE"""),"Wolta декоративные")</f>
        <v>Wolta декоративные</v>
      </c>
      <c r="M423" s="2" t="str">
        <f>IFERROR(__xludf.DUMMYFUNCTION("""COMPUTED_VALUE"""),"Светильники общего назначения (LED), Встраиваемые, Декоративные, LED Светильники")</f>
        <v>Светильники общего назначения (LED), Встраиваемые, Декоративные, LED Светильники</v>
      </c>
    </row>
    <row r="424">
      <c r="A424" s="5" t="str">
        <f>IFERROR(__xludf.DUMMYFUNCTION("""COMPUTED_VALUE"""),"Fefco/0201-5")</f>
        <v>Fefco/0201-5</v>
      </c>
      <c r="B424" s="5" t="str">
        <f>IFERROR(__xludf.DUMMYFUNCTION("""COMPUTED_VALUE"""),"Короб 1275х380х175 (картон Т-24 ""В"" бурый)")</f>
        <v>Короб 1275х380х175 (картон Т-24 "В" бурый)</v>
      </c>
      <c r="C424" s="2">
        <f>IFERROR(__xludf.DUMMYFUNCTION("""COMPUTED_VALUE"""),0.0)</f>
        <v>0</v>
      </c>
      <c r="D424" s="2">
        <f>IFERROR(__xludf.DUMMYFUNCTION("""COMPUTED_VALUE"""),0.0)</f>
        <v>0</v>
      </c>
      <c r="E424" s="2">
        <f>IFERROR(__xludf.DUMMYFUNCTION("""COMPUTED_VALUE"""),169.0)</f>
        <v>169</v>
      </c>
      <c r="F424" s="2">
        <f>IFERROR(__xludf.DUMMYFUNCTION("""COMPUTED_VALUE"""),1.0)</f>
        <v>1</v>
      </c>
      <c r="G424" s="2">
        <f>IFERROR(__xludf.DUMMYFUNCTION("""COMPUTED_VALUE"""),1.0)</f>
        <v>1</v>
      </c>
      <c r="H424" s="2">
        <f>IFERROR(__xludf.DUMMYFUNCTION("""COMPUTED_VALUE"""),1.0)</f>
        <v>1</v>
      </c>
      <c r="I424" s="2">
        <f>IFERROR(__xludf.DUMMYFUNCTION("""COMPUTED_VALUE"""),1.5)</f>
        <v>1.5</v>
      </c>
      <c r="J424" s="2">
        <f>IFERROR(__xludf.DUMMYFUNCTION("""COMPUTED_VALUE"""),1.5)</f>
        <v>1.5</v>
      </c>
      <c r="K424" s="2">
        <f>IFERROR(__xludf.DUMMYFUNCTION("""COMPUTED_VALUE"""),10.0)</f>
        <v>10</v>
      </c>
      <c r="L424" s="2" t="str">
        <f>IFERROR(__xludf.DUMMYFUNCTION("""COMPUTED_VALUE"""),"Упаковка")</f>
        <v>Упаковка</v>
      </c>
      <c r="M424" s="2" t="str">
        <f>IFERROR(__xludf.DUMMYFUNCTION("""COMPUTED_VALUE"""),"Прочие товары")</f>
        <v>Прочие товары</v>
      </c>
    </row>
    <row r="425">
      <c r="A425" s="5" t="str">
        <f>IFERROR(__xludf.DUMMYFUNCTION("""COMPUTED_VALUE"""),"ves2013")</f>
        <v>ves2013</v>
      </c>
      <c r="B425" s="5" t="str">
        <f>IFERROR(__xludf.DUMMYFUNCTION("""COMPUTED_VALUE"""),"Вилка переносная 015 3Р+РЕ+N 16А 380В IP44")</f>
        <v>Вилка переносная 015 3Р+РЕ+N 16А 380В IP44</v>
      </c>
      <c r="C425" s="2">
        <f>IFERROR(__xludf.DUMMYFUNCTION("""COMPUTED_VALUE"""),0.0)</f>
        <v>0</v>
      </c>
      <c r="D425" s="2">
        <f>IFERROR(__xludf.DUMMYFUNCTION("""COMPUTED_VALUE"""),0.0)</f>
        <v>0</v>
      </c>
      <c r="E425" s="2">
        <f>IFERROR(__xludf.DUMMYFUNCTION("""COMPUTED_VALUE"""),161.46)</f>
        <v>161.46</v>
      </c>
      <c r="F425" s="2">
        <f>IFERROR(__xludf.DUMMYFUNCTION("""COMPUTED_VALUE"""),253.0)</f>
        <v>253</v>
      </c>
      <c r="G425" s="2">
        <f>IFERROR(__xludf.DUMMYFUNCTION("""COMPUTED_VALUE"""),270.0)</f>
        <v>270</v>
      </c>
      <c r="H425" s="2">
        <f>IFERROR(__xludf.DUMMYFUNCTION("""COMPUTED_VALUE"""),304.0)</f>
        <v>304</v>
      </c>
      <c r="I425" s="2">
        <f>IFERROR(__xludf.DUMMYFUNCTION("""COMPUTED_VALUE"""),337.45)</f>
        <v>337.45</v>
      </c>
      <c r="J425" s="2">
        <f>IFERROR(__xludf.DUMMYFUNCTION("""COMPUTED_VALUE"""),161.0)</f>
        <v>161</v>
      </c>
      <c r="K425" s="2">
        <f>IFERROR(__xludf.DUMMYFUNCTION("""COMPUTED_VALUE"""),4.0)</f>
        <v>4</v>
      </c>
      <c r="L425" s="2" t="str">
        <f>IFERROR(__xludf.DUMMYFUNCTION("""COMPUTED_VALUE"""),"ves2 (тендер)")</f>
        <v>ves2 (тендер)</v>
      </c>
      <c r="M425" s="2" t="str">
        <f>IFERROR(__xludf.DUMMYFUNCTION("""COMPUTED_VALUE"""),"Прочие товары")</f>
        <v>Прочие товары</v>
      </c>
    </row>
    <row r="426">
      <c r="A426" s="5" t="str">
        <f>IFERROR(__xludf.DUMMYFUNCTION("""COMPUTED_VALUE"""),"GL814191")</f>
        <v>GL814191</v>
      </c>
      <c r="B426" s="5" t="str">
        <f>IFERROR(__xludf.DUMMYFUNCTION("""COMPUTED_VALUE"""),"GLERIO Office Special 20 Вт 4000K 82P-20D-4G-P")</f>
        <v>GLERIO Office Special 20 Вт 4000K 82P-20D-4G-P</v>
      </c>
      <c r="C426" s="2">
        <f>IFERROR(__xludf.DUMMYFUNCTION("""COMPUTED_VALUE"""),1.04)</f>
        <v>1.04</v>
      </c>
      <c r="D426" s="2">
        <f>IFERROR(__xludf.DUMMYFUNCTION("""COMPUTED_VALUE"""),0.008190000000000001)</f>
        <v>0.00819</v>
      </c>
      <c r="E426" s="2">
        <f>IFERROR(__xludf.DUMMYFUNCTION("""COMPUTED_VALUE"""),1522.9)</f>
        <v>1522.9</v>
      </c>
      <c r="F426" s="2">
        <f>IFERROR(__xludf.DUMMYFUNCTION("""COMPUTED_VALUE"""),1760.0)</f>
        <v>1760</v>
      </c>
      <c r="G426" s="2">
        <f>IFERROR(__xludf.DUMMYFUNCTION("""COMPUTED_VALUE"""),2216.0)</f>
        <v>2216</v>
      </c>
      <c r="H426" s="2">
        <f>IFERROR(__xludf.DUMMYFUNCTION("""COMPUTED_VALUE"""),2488.0)</f>
        <v>2488</v>
      </c>
      <c r="I426" s="2">
        <f>IFERROR(__xludf.DUMMYFUNCTION("""COMPUTED_VALUE"""),2761.0)</f>
        <v>2761</v>
      </c>
      <c r="J426" s="2">
        <f>IFERROR(__xludf.DUMMYFUNCTION("""COMPUTED_VALUE"""),1381.0)</f>
        <v>1381</v>
      </c>
      <c r="K426" s="2">
        <f>IFERROR(__xludf.DUMMYFUNCTION("""COMPUTED_VALUE"""),30.0)</f>
        <v>30</v>
      </c>
      <c r="L426" s="2" t="str">
        <f>IFERROR(__xludf.DUMMYFUNCTION("""COMPUTED_VALUE"""),"Office Special+ GLERIO (Офис Премиум)")</f>
        <v>Office Special+ GLERIO (Офис Премиум)</v>
      </c>
      <c r="M426" s="2" t="str">
        <f>IFERROR(__xludf.DUMMYFUNCTION("""COMPUTED_VALUE"""),"С равномерной засветкой, LED Светильники")</f>
        <v>С равномерной засветкой, LED Светильники</v>
      </c>
    </row>
    <row r="427">
      <c r="A427" s="5" t="str">
        <f>IFERROR(__xludf.DUMMYFUNCTION("""COMPUTED_VALUE"""),"4630015264829")</f>
        <v>4630015264829</v>
      </c>
      <c r="B427" s="5" t="str">
        <f>IFERROR(__xludf.DUMMYFUNCTION("""COMPUTED_VALUE"""),"LUM01WH-DL50GU5.3")</f>
        <v>LUM01WH-DL50GU5.3</v>
      </c>
      <c r="C427" s="2">
        <f>IFERROR(__xludf.DUMMYFUNCTION("""COMPUTED_VALUE"""),0.0)</f>
        <v>0</v>
      </c>
      <c r="D427" s="2">
        <f>IFERROR(__xludf.DUMMYFUNCTION("""COMPUTED_VALUE"""),0.0)</f>
        <v>0</v>
      </c>
      <c r="E427" s="2">
        <f>IFERROR(__xludf.DUMMYFUNCTION("""COMPUTED_VALUE"""),16.45)</f>
        <v>16.45</v>
      </c>
      <c r="F427" s="2">
        <f>IFERROR(__xludf.DUMMYFUNCTION("""COMPUTED_VALUE"""),148.0)</f>
        <v>148</v>
      </c>
      <c r="G427" s="2">
        <f>IFERROR(__xludf.DUMMYFUNCTION("""COMPUTED_VALUE"""),153.0)</f>
        <v>153</v>
      </c>
      <c r="H427" s="2">
        <f>IFERROR(__xludf.DUMMYFUNCTION("""COMPUTED_VALUE"""),200.0)</f>
        <v>200</v>
      </c>
      <c r="I427" s="2">
        <f>IFERROR(__xludf.DUMMYFUNCTION("""COMPUTED_VALUE"""),250.0)</f>
        <v>250</v>
      </c>
      <c r="J427" s="2">
        <f>IFERROR(__xludf.DUMMYFUNCTION("""COMPUTED_VALUE"""),16.0)</f>
        <v>16</v>
      </c>
      <c r="K427" s="2">
        <f>IFERROR(__xludf.DUMMYFUNCTION("""COMPUTED_VALUE"""),1.0)</f>
        <v>1</v>
      </c>
      <c r="L427" s="2" t="str">
        <f>IFERROR(__xludf.DUMMYFUNCTION("""COMPUTED_VALUE"""),"Wolta декоративные")</f>
        <v>Wolta декоративные</v>
      </c>
      <c r="M427" s="2" t="str">
        <f>IFERROR(__xludf.DUMMYFUNCTION("""COMPUTED_VALUE"""),"LED Светильники")</f>
        <v>LED Светильники</v>
      </c>
    </row>
    <row r="428">
      <c r="A428" s="5" t="str">
        <f>IFERROR(__xludf.DUMMYFUNCTION("""COMPUTED_VALUE"""),"4690626033047")</f>
        <v>4690626033047</v>
      </c>
      <c r="B428" s="5" t="str">
        <f>IFERROR(__xludf.DUMMYFUNCTION("""COMPUTED_VALUE"""),"Аккумуляторный фонарь-прожектор 2 в 1 1W+18 SMD, черный (SBF-303-K)")</f>
        <v>Аккумуляторный фонарь-прожектор 2 в 1 1W+18 SMD, черный (SBF-303-K)</v>
      </c>
      <c r="C428" s="2">
        <f>IFERROR(__xludf.DUMMYFUNCTION("""COMPUTED_VALUE"""),0.0)</f>
        <v>0</v>
      </c>
      <c r="D428" s="2">
        <f>IFERROR(__xludf.DUMMYFUNCTION("""COMPUTED_VALUE"""),0.0)</f>
        <v>0</v>
      </c>
      <c r="E428" s="2">
        <f>IFERROR(__xludf.DUMMYFUNCTION("""COMPUTED_VALUE"""),420.0)</f>
        <v>420</v>
      </c>
      <c r="F428" s="2">
        <f>IFERROR(__xludf.DUMMYFUNCTION("""COMPUTED_VALUE"""),459.0)</f>
        <v>459</v>
      </c>
      <c r="G428" s="2">
        <f>IFERROR(__xludf.DUMMYFUNCTION("""COMPUTED_VALUE"""),504.0)</f>
        <v>504</v>
      </c>
      <c r="H428" s="2">
        <f>IFERROR(__xludf.DUMMYFUNCTION("""COMPUTED_VALUE"""),560.0)</f>
        <v>560</v>
      </c>
      <c r="I428" s="2">
        <f>IFERROR(__xludf.DUMMYFUNCTION("""COMPUTED_VALUE"""),616.0)</f>
        <v>616</v>
      </c>
      <c r="J428" s="2">
        <f>IFERROR(__xludf.DUMMYFUNCTION("""COMPUTED_VALUE"""),308.0)</f>
        <v>308</v>
      </c>
      <c r="K428" s="2">
        <f>IFERROR(__xludf.DUMMYFUNCTION("""COMPUTED_VALUE"""),2.0)</f>
        <v>2</v>
      </c>
      <c r="L428" s="2" t="str">
        <f>IFERROR(__xludf.DUMMYFUNCTION("""COMPUTED_VALUE"""),"Smartbuy фонари")</f>
        <v>Smartbuy фонари</v>
      </c>
      <c r="M428" s="2" t="str">
        <f>IFERROR(__xludf.DUMMYFUNCTION("""COMPUTED_VALUE"""),"Прочие товары")</f>
        <v>Прочие товары</v>
      </c>
    </row>
    <row r="429">
      <c r="A429" s="5" t="str">
        <f>IFERROR(__xludf.DUMMYFUNCTION("""COMPUTED_VALUE"""),"4690612029788")</f>
        <v>4690612029788</v>
      </c>
      <c r="B429" s="5" t="str">
        <f>IFERROR(__xludf.DUMMYFUNCTION("""COMPUTED_VALUE"""),"LPU-02 100Вт ПРИЗМА 230В 4000К 8500Лм 595х595х19мм IP40 IN HOME")</f>
        <v>LPU-02 100Вт ПРИЗМА 230В 4000К 8500Лм 595х595х19мм IP40 IN HOME</v>
      </c>
      <c r="C429" s="2">
        <f>IFERROR(__xludf.DUMMYFUNCTION("""COMPUTED_VALUE"""),1.3)</f>
        <v>1.3</v>
      </c>
      <c r="D429" s="2">
        <f>IFERROR(__xludf.DUMMYFUNCTION("""COMPUTED_VALUE"""),0.00875)</f>
        <v>0.00875</v>
      </c>
      <c r="E429" s="2">
        <f>IFERROR(__xludf.DUMMYFUNCTION("""COMPUTED_VALUE"""),1266.16)</f>
        <v>1266.16</v>
      </c>
      <c r="F429" s="2">
        <f>IFERROR(__xludf.DUMMYFUNCTION("""COMPUTED_VALUE"""),1150.0)</f>
        <v>1150</v>
      </c>
      <c r="G429" s="2">
        <f>IFERROR(__xludf.DUMMYFUNCTION("""COMPUTED_VALUE"""),1294.0)</f>
        <v>1294</v>
      </c>
      <c r="H429" s="2">
        <f>IFERROR(__xludf.DUMMYFUNCTION("""COMPUTED_VALUE"""),1501.0)</f>
        <v>1501</v>
      </c>
      <c r="I429" s="2">
        <f>IFERROR(__xludf.DUMMYFUNCTION("""COMPUTED_VALUE"""),1725.0)</f>
        <v>1725</v>
      </c>
      <c r="J429" s="2">
        <f>IFERROR(__xludf.DUMMYFUNCTION("""COMPUTED_VALUE"""),863.0)</f>
        <v>863</v>
      </c>
      <c r="K429" s="2">
        <f>IFERROR(__xludf.DUMMYFUNCTION("""COMPUTED_VALUE"""),1.0)</f>
        <v>1</v>
      </c>
      <c r="L429" s="2" t="str">
        <f>IFERROR(__xludf.DUMMYFUNCTION("""COMPUTED_VALUE"""),"Панели светодиодные LP серии ПРИЗМА")</f>
        <v>Панели светодиодные LP серии ПРИЗМА</v>
      </c>
      <c r="M429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430">
      <c r="A430" s="5" t="str">
        <f>IFERROR(__xludf.DUMMYFUNCTION("""COMPUTED_VALUE"""),"G103101107")</f>
        <v>G103101107</v>
      </c>
      <c r="B430" s="5" t="str">
        <f>IFERROR(__xludf.DUMMYFUNCTION("""COMPUTED_VALUE"""),"Candle E14 6.5W 3000К 1/10/100")</f>
        <v>Candle E14 6.5W 3000К 1/10/100</v>
      </c>
      <c r="C430" s="2">
        <f>IFERROR(__xludf.DUMMYFUNCTION("""COMPUTED_VALUE"""),0.0)</f>
        <v>0</v>
      </c>
      <c r="D430" s="2">
        <f>IFERROR(__xludf.DUMMYFUNCTION("""COMPUTED_VALUE"""),0.0)</f>
        <v>0</v>
      </c>
      <c r="E430" s="2">
        <f>IFERROR(__xludf.DUMMYFUNCTION("""COMPUTED_VALUE"""),78.87)</f>
        <v>78.87</v>
      </c>
      <c r="F430" s="2">
        <f>IFERROR(__xludf.DUMMYFUNCTION("""COMPUTED_VALUE"""),82.0)</f>
        <v>82</v>
      </c>
      <c r="G430" s="2">
        <f>IFERROR(__xludf.DUMMYFUNCTION("""COMPUTED_VALUE"""),90.0)</f>
        <v>90</v>
      </c>
      <c r="H430" s="2">
        <f>IFERROR(__xludf.DUMMYFUNCTION("""COMPUTED_VALUE"""),106.0)</f>
        <v>106</v>
      </c>
      <c r="I430" s="2">
        <f>IFERROR(__xludf.DUMMYFUNCTION("""COMPUTED_VALUE"""),134.0)</f>
        <v>134</v>
      </c>
      <c r="J430" s="2">
        <f>IFERROR(__xludf.DUMMYFUNCTION("""COMPUTED_VALUE"""),67.0)</f>
        <v>67</v>
      </c>
      <c r="K430" s="2">
        <f>IFERROR(__xludf.DUMMYFUNCTION("""COMPUTED_VALUE"""),7.0)</f>
        <v>7</v>
      </c>
      <c r="L430" s="2" t="str">
        <f>IFERROR(__xludf.DUMMYFUNCTION("""COMPUTED_VALUE"""),"Свечи")</f>
        <v>Свечи</v>
      </c>
      <c r="M430" s="2" t="str">
        <f>IFERROR(__xludf.DUMMYFUNCTION("""COMPUTED_VALUE"""),"Лампы")</f>
        <v>Лампы</v>
      </c>
    </row>
    <row r="431">
      <c r="A431" s="5" t="str">
        <f>IFERROR(__xludf.DUMMYFUNCTION("""COMPUTED_VALUE"""),"4690612031354")</f>
        <v>4690612031354</v>
      </c>
      <c r="B431" s="5" t="str">
        <f>IFERROR(__xludf.DUMMYFUNCTION("""COMPUTED_VALUE"""),"ССП-159М 18Вт 230В 4000К 1350Лм 600мм нелинкаб. матовый IP65 IN HOME")</f>
        <v>ССП-159М 18Вт 230В 4000К 1350Лм 600мм нелинкаб. матовый IP65 IN HOME</v>
      </c>
      <c r="C431" s="2">
        <f>IFERROR(__xludf.DUMMYFUNCTION("""COMPUTED_VALUE"""),0.75333)</f>
        <v>0.75333</v>
      </c>
      <c r="D431" s="2">
        <f>IFERROR(__xludf.DUMMYFUNCTION("""COMPUTED_VALUE"""),0.00417)</f>
        <v>0.00417</v>
      </c>
      <c r="E431" s="2">
        <f>IFERROR(__xludf.DUMMYFUNCTION("""COMPUTED_VALUE"""),495.7)</f>
        <v>495.7</v>
      </c>
      <c r="F431" s="2">
        <f>IFERROR(__xludf.DUMMYFUNCTION("""COMPUTED_VALUE"""),600.0)</f>
        <v>600</v>
      </c>
      <c r="G431" s="2">
        <f>IFERROR(__xludf.DUMMYFUNCTION("""COMPUTED_VALUE"""),675.0)</f>
        <v>675</v>
      </c>
      <c r="H431" s="2">
        <f>IFERROR(__xludf.DUMMYFUNCTION("""COMPUTED_VALUE"""),783.0)</f>
        <v>783</v>
      </c>
      <c r="I431" s="2">
        <f>IFERROR(__xludf.DUMMYFUNCTION("""COMPUTED_VALUE"""),900.0)</f>
        <v>900</v>
      </c>
      <c r="J431" s="2">
        <f>IFERROR(__xludf.DUMMYFUNCTION("""COMPUTED_VALUE"""),450.0)</f>
        <v>450</v>
      </c>
      <c r="K431" s="2">
        <f>IFERROR(__xludf.DUMMYFUNCTION("""COMPUTED_VALUE"""),3.0)</f>
        <v>3</v>
      </c>
      <c r="L431" s="2" t="str">
        <f>IFERROR(__xludf.DUMMYFUNCTION("""COMPUTED_VALUE"""),"Светильники светодиодные ССП")</f>
        <v>Светильники светодиодные ССП</v>
      </c>
      <c r="M431" s="2" t="str">
        <f>IFERROR(__xludf.DUMMYFUNCTION("""COMPUTED_VALUE"""),"Для ЖКХ, дома, дачи, Без датчиков, LED Светильники")</f>
        <v>Для ЖКХ, дома, дачи, Без датчиков, LED Светильники</v>
      </c>
    </row>
    <row r="432">
      <c r="A432" s="5" t="str">
        <f>IFERROR(__xludf.DUMMYFUNCTION("""COMPUTED_VALUE"""),"V11025")</f>
        <v>V11025</v>
      </c>
      <c r="B432" s="5" t="str">
        <f>IFERROR(__xludf.DUMMYFUNCTION("""COMPUTED_VALUE"""),"VRN-LPE60-64-A50K67-U, 64Вт, Универсальный")</f>
        <v>VRN-LPE60-64-A50K67-U, 64Вт, Универсальный</v>
      </c>
      <c r="C432" s="2">
        <f>IFERROR(__xludf.DUMMYFUNCTION("""COMPUTED_VALUE"""),2.0)</f>
        <v>2</v>
      </c>
      <c r="D432" s="2">
        <f>IFERROR(__xludf.DUMMYFUNCTION("""COMPUTED_VALUE"""),0.8700000000000001)</f>
        <v>0.87</v>
      </c>
      <c r="E432" s="2">
        <f>IFERROR(__xludf.DUMMYFUNCTION("""COMPUTED_VALUE"""),3250.0)</f>
        <v>3250</v>
      </c>
      <c r="F432" s="2">
        <f>IFERROR(__xludf.DUMMYFUNCTION("""COMPUTED_VALUE"""),3760.0)</f>
        <v>3760</v>
      </c>
      <c r="G432" s="2">
        <f>IFERROR(__xludf.DUMMYFUNCTION("""COMPUTED_VALUE"""),4888.0)</f>
        <v>4888</v>
      </c>
      <c r="H432" s="2">
        <f>IFERROR(__xludf.DUMMYFUNCTION("""COMPUTED_VALUE"""),5132.0)</f>
        <v>5132</v>
      </c>
      <c r="I432" s="2">
        <f>IFERROR(__xludf.DUMMYFUNCTION("""COMPUTED_VALUE"""),5377.0)</f>
        <v>5377</v>
      </c>
      <c r="J432" s="2">
        <f>IFERROR(__xludf.DUMMYFUNCTION("""COMPUTED_VALUE"""),2689.0)</f>
        <v>2689</v>
      </c>
      <c r="K432" s="2">
        <f>IFERROR(__xludf.DUMMYFUNCTION("""COMPUTED_VALUE"""),1.0)</f>
        <v>1</v>
      </c>
      <c r="L432" s="2" t="str">
        <f>IFERROR(__xludf.DUMMYFUNCTION("""COMPUTED_VALUE"""),"Прожектор Эконом")</f>
        <v>Прожектор Эконом</v>
      </c>
      <c r="M432" s="2" t="str">
        <f>IFERROR(__xludf.DUMMYFUNCTION("""COMPUTED_VALUE"""),"Для обычных дорог, Профессиональные, Модульные, LED Светильники")</f>
        <v>Для обычных дорог, Профессиональные, Модульные, LED Светильники</v>
      </c>
    </row>
    <row r="433">
      <c r="A433" s="5" t="str">
        <f>IFERROR(__xludf.DUMMYFUNCTION("""COMPUTED_VALUE"""),"4690612010229-5")</f>
        <v>4690612010229-5</v>
      </c>
      <c r="B433" s="5" t="str">
        <f>IFERROR(__xludf.DUMMYFUNCTION("""COMPUTED_VALUE"""),"(5 штук) Вилка угловая с заземлением каучук 16А IP44 черная Комплект 5 шт IN HOME")</f>
        <v>(5 штук) Вилка угловая с заземлением каучук 16А IP44 черная Комплект 5 шт IN HOME</v>
      </c>
      <c r="C433" s="2">
        <f>IFERROR(__xludf.DUMMYFUNCTION("""COMPUTED_VALUE"""),0.067)</f>
        <v>0.067</v>
      </c>
      <c r="D433" s="2">
        <f>IFERROR(__xludf.DUMMYFUNCTION("""COMPUTED_VALUE"""),2.0E-4)</f>
        <v>0.0002</v>
      </c>
      <c r="E433" s="2">
        <f>IFERROR(__xludf.DUMMYFUNCTION("""COMPUTED_VALUE"""),334.75)</f>
        <v>334.75</v>
      </c>
      <c r="F433" s="2">
        <f>IFERROR(__xludf.DUMMYFUNCTION("""COMPUTED_VALUE"""),367.0)</f>
        <v>367</v>
      </c>
      <c r="G433" s="2">
        <f>IFERROR(__xludf.DUMMYFUNCTION("""COMPUTED_VALUE"""),482.0)</f>
        <v>482</v>
      </c>
      <c r="H433" s="2">
        <f>IFERROR(__xludf.DUMMYFUNCTION("""COMPUTED_VALUE"""),543.0)</f>
        <v>543</v>
      </c>
      <c r="I433" s="2">
        <f>IFERROR(__xludf.DUMMYFUNCTION("""COMPUTED_VALUE"""),603.0)</f>
        <v>603</v>
      </c>
      <c r="J433" s="2">
        <f>IFERROR(__xludf.DUMMYFUNCTION("""COMPUTED_VALUE"""),302.0)</f>
        <v>302</v>
      </c>
      <c r="K433" s="2">
        <f>IFERROR(__xludf.DUMMYFUNCTION("""COMPUTED_VALUE"""),27.0)</f>
        <v>27</v>
      </c>
      <c r="L433" s="2" t="str">
        <f>IFERROR(__xludf.DUMMYFUNCTION("""COMPUTED_VALUE"""),"Розетки, вилки производство, упаковка")</f>
        <v>Розетки, вилки производство, упаковка</v>
      </c>
      <c r="M433" s="2" t="str">
        <f>IFERROR(__xludf.DUMMYFUNCTION("""COMPUTED_VALUE"""),"Прочие товары")</f>
        <v>Прочие товары</v>
      </c>
    </row>
    <row r="434">
      <c r="A434" s="5" t="str">
        <f>IFERROR(__xludf.DUMMYFUNCTION("""COMPUTED_VALUE"""),"G106001204")</f>
        <v>G106001204</v>
      </c>
      <c r="B434" s="5" t="str">
        <f>IFERROR(__xludf.DUMMYFUNCTION("""COMPUTED_VALUE"""),"Reflector R39 E14 4W 4100K 1/10/100")</f>
        <v>Reflector R39 E14 4W 4100K 1/10/100</v>
      </c>
      <c r="C434" s="2">
        <f>IFERROR(__xludf.DUMMYFUNCTION("""COMPUTED_VALUE"""),0.0)</f>
        <v>0</v>
      </c>
      <c r="D434" s="2">
        <f>IFERROR(__xludf.DUMMYFUNCTION("""COMPUTED_VALUE"""),0.0)</f>
        <v>0</v>
      </c>
      <c r="E434" s="2">
        <f>IFERROR(__xludf.DUMMYFUNCTION("""COMPUTED_VALUE"""),109.0)</f>
        <v>109</v>
      </c>
      <c r="F434" s="2">
        <f>IFERROR(__xludf.DUMMYFUNCTION("""COMPUTED_VALUE"""),131.0)</f>
        <v>131</v>
      </c>
      <c r="G434" s="2">
        <f>IFERROR(__xludf.DUMMYFUNCTION("""COMPUTED_VALUE"""),144.0)</f>
        <v>144</v>
      </c>
      <c r="H434" s="2">
        <f>IFERROR(__xludf.DUMMYFUNCTION("""COMPUTED_VALUE"""),170.0)</f>
        <v>170</v>
      </c>
      <c r="I434" s="2">
        <f>IFERROR(__xludf.DUMMYFUNCTION("""COMPUTED_VALUE"""),215.0)</f>
        <v>215</v>
      </c>
      <c r="J434" s="2">
        <f>IFERROR(__xludf.DUMMYFUNCTION("""COMPUTED_VALUE"""),108.0)</f>
        <v>108</v>
      </c>
      <c r="K434" s="2">
        <f>IFERROR(__xludf.DUMMYFUNCTION("""COMPUTED_VALUE"""),2.0)</f>
        <v>2</v>
      </c>
      <c r="L434" s="2" t="str">
        <f>IFERROR(__xludf.DUMMYFUNCTION("""COMPUTED_VALUE"""),"Зеркальные Лампы")</f>
        <v>Зеркальные Лампы</v>
      </c>
      <c r="M434" s="2" t="str">
        <f>IFERROR(__xludf.DUMMYFUNCTION("""COMPUTED_VALUE"""),"Лампы")</f>
        <v>Лампы</v>
      </c>
    </row>
    <row r="435">
      <c r="A435" s="5" t="str">
        <f>IFERROR(__xludf.DUMMYFUNCTION("""COMPUTED_VALUE"""),"GL8242")</f>
        <v>GL8242</v>
      </c>
      <c r="B435" s="5" t="str">
        <f>IFERROR(__xludf.DUMMYFUNCTION("""COMPUTED_VALUE"""),"GLERIO Line Shell 24 Вт 4000К 92P-24D-4P-MP")</f>
        <v>GLERIO Line Shell 24 Вт 4000К 92P-24D-4P-MP</v>
      </c>
      <c r="C435" s="2">
        <f>IFERROR(__xludf.DUMMYFUNCTION("""COMPUTED_VALUE"""),1.575)</f>
        <v>1.575</v>
      </c>
      <c r="D435" s="2">
        <f>IFERROR(__xludf.DUMMYFUNCTION("""COMPUTED_VALUE"""),0.00495)</f>
        <v>0.00495</v>
      </c>
      <c r="E435" s="2">
        <f>IFERROR(__xludf.DUMMYFUNCTION("""COMPUTED_VALUE"""),1687.8)</f>
        <v>1687.8</v>
      </c>
      <c r="F435" s="2">
        <f>IFERROR(__xludf.DUMMYFUNCTION("""COMPUTED_VALUE"""),2150.0)</f>
        <v>2150</v>
      </c>
      <c r="G435" s="2">
        <f>IFERROR(__xludf.DUMMYFUNCTION("""COMPUTED_VALUE"""),2707.0)</f>
        <v>2707</v>
      </c>
      <c r="H435" s="2">
        <f>IFERROR(__xludf.DUMMYFUNCTION("""COMPUTED_VALUE"""),3040.0)</f>
        <v>3040</v>
      </c>
      <c r="I435" s="2">
        <f>IFERROR(__xludf.DUMMYFUNCTION("""COMPUTED_VALUE"""),3373.0)</f>
        <v>3373</v>
      </c>
      <c r="J435" s="2">
        <f>IFERROR(__xludf.DUMMYFUNCTION("""COMPUTED_VALUE"""),2707.0)</f>
        <v>2707</v>
      </c>
      <c r="K435" s="2">
        <f>IFERROR(__xludf.DUMMYFUNCTION("""COMPUTED_VALUE"""),2.0)</f>
        <v>2</v>
      </c>
      <c r="L435" s="2" t="str">
        <f>IFERROR(__xludf.DUMMYFUNCTION("""COMPUTED_VALUE"""),"Line Shell, Free (Retail) до 10.2025")</f>
        <v>Line Shell, Free (Retail) до 10.2025</v>
      </c>
      <c r="M435" s="2" t="str">
        <f>IFERROR(__xludf.DUMMYFUNCTION("""COMPUTED_VALUE"""),"Металлические (линейные), LED Светильники")</f>
        <v>Металлические (линейные), LED Светильники</v>
      </c>
    </row>
    <row r="436">
      <c r="A436" s="5" t="str">
        <f>IFERROR(__xludf.DUMMYFUNCTION("""COMPUTED_VALUE"""),"GL8230")</f>
        <v>GL8230</v>
      </c>
      <c r="B436" s="5" t="str">
        <f>IFERROR(__xludf.DUMMYFUNCTION("""COMPUTED_VALUE"""),"GLERIO Line 36 Вт 4000К 91P-36D-4N-M")</f>
        <v>GLERIO Line 36 Вт 4000К 91P-36D-4N-M</v>
      </c>
      <c r="C436" s="2">
        <f>IFERROR(__xludf.DUMMYFUNCTION("""COMPUTED_VALUE"""),0.5)</f>
        <v>0.5</v>
      </c>
      <c r="D436" s="2">
        <f>IFERROR(__xludf.DUMMYFUNCTION("""COMPUTED_VALUE"""),0.00396)</f>
        <v>0.00396</v>
      </c>
      <c r="E436" s="2">
        <f>IFERROR(__xludf.DUMMYFUNCTION("""COMPUTED_VALUE"""),1971.37)</f>
        <v>1971.37</v>
      </c>
      <c r="F436" s="2">
        <f>IFERROR(__xludf.DUMMYFUNCTION("""COMPUTED_VALUE"""),2310.0)</f>
        <v>2310</v>
      </c>
      <c r="G436" s="2">
        <f>IFERROR(__xludf.DUMMYFUNCTION("""COMPUTED_VALUE"""),2908.0)</f>
        <v>2908</v>
      </c>
      <c r="H436" s="2">
        <f>IFERROR(__xludf.DUMMYFUNCTION("""COMPUTED_VALUE"""),3266.0)</f>
        <v>3266</v>
      </c>
      <c r="I436" s="2">
        <f>IFERROR(__xludf.DUMMYFUNCTION("""COMPUTED_VALUE"""),3624.0)</f>
        <v>3624</v>
      </c>
      <c r="J436" s="2">
        <f>IFERROR(__xludf.DUMMYFUNCTION("""COMPUTED_VALUE"""),2310.0)</f>
        <v>2310</v>
      </c>
      <c r="K436" s="2">
        <f>IFERROR(__xludf.DUMMYFUNCTION("""COMPUTED_VALUE"""),17.0)</f>
        <v>17</v>
      </c>
      <c r="L436" s="2" t="str">
        <f>IFERROR(__xludf.DUMMYFUNCTION("""COMPUTED_VALUE"""),"Line (Айсберг) до 10.2025")</f>
        <v>Line (Айсберг) до 10.2025</v>
      </c>
      <c r="M436" s="2" t="str">
        <f>IFERROR(__xludf.DUMMYFUNCTION("""COMPUTED_VALUE"""),"Пластиковые (линейные), LED Светильники")</f>
        <v>Пластиковые (линейные), LED Светильники</v>
      </c>
    </row>
    <row r="437">
      <c r="A437" s="5" t="str">
        <f>IFERROR(__xludf.DUMMYFUNCTION("""COMPUTED_VALUE"""),"4690612026121")</f>
        <v>4690612026121</v>
      </c>
      <c r="B437" s="5" t="str">
        <f>IFERROR(__xludf.DUMMYFUNCTION("""COMPUTED_VALUE"""),"LED-A60-deco 11Вт 230В Е27 3000К 1160Лм прозрачная IN HOME")</f>
        <v>LED-A60-deco 11Вт 230В Е27 3000К 1160Лм прозрачная IN HOME</v>
      </c>
      <c r="C437" s="2">
        <f>IFERROR(__xludf.DUMMYFUNCTION("""COMPUTED_VALUE"""),0.044)</f>
        <v>0.044</v>
      </c>
      <c r="D437" s="2">
        <f>IFERROR(__xludf.DUMMYFUNCTION("""COMPUTED_VALUE"""),5.600000000000001E-4)</f>
        <v>0.00056</v>
      </c>
      <c r="E437" s="2">
        <f>IFERROR(__xludf.DUMMYFUNCTION("""COMPUTED_VALUE"""),84.29)</f>
        <v>84.29</v>
      </c>
      <c r="F437" s="2">
        <f>IFERROR(__xludf.DUMMYFUNCTION("""COMPUTED_VALUE"""),98.0)</f>
        <v>98</v>
      </c>
      <c r="G437" s="2">
        <f>IFERROR(__xludf.DUMMYFUNCTION("""COMPUTED_VALUE"""),110.0)</f>
        <v>110</v>
      </c>
      <c r="H437" s="2">
        <f>IFERROR(__xludf.DUMMYFUNCTION("""COMPUTED_VALUE"""),128.0)</f>
        <v>128</v>
      </c>
      <c r="I437" s="2">
        <f>IFERROR(__xludf.DUMMYFUNCTION("""COMPUTED_VALUE"""),147.5)</f>
        <v>147.5</v>
      </c>
      <c r="J437" s="2">
        <f>IFERROR(__xludf.DUMMYFUNCTION("""COMPUTED_VALUE"""),74.0)</f>
        <v>74</v>
      </c>
      <c r="K437" s="2">
        <f>IFERROR(__xludf.DUMMYFUNCTION("""COMPUTED_VALUE"""),26.0)</f>
        <v>26</v>
      </c>
      <c r="L437" s="2" t="str">
        <f>IFERROR(__xludf.DUMMYFUNCTION("""COMPUTED_VALUE"""),"Лампа светодиодная LED-A60 DECO")</f>
        <v>Лампа светодиодная LED-A60 DECO</v>
      </c>
      <c r="M437" s="2" t="str">
        <f>IFERROR(__xludf.DUMMYFUNCTION("""COMPUTED_VALUE"""),"Лампы")</f>
        <v>Лампы</v>
      </c>
    </row>
    <row r="438">
      <c r="A438" s="5" t="str">
        <f>IFERROR(__xludf.DUMMYFUNCTION("""COMPUTED_VALUE"""),"4690612035383")</f>
        <v>4690612035383</v>
      </c>
      <c r="B438" s="5" t="str">
        <f>IFERROR(__xludf.DUMMYFUNCTION("""COMPUTED_VALUE"""),"ELEGANT SANSA-W 120Вт 230В 3000-6500K 8400Лм 650х650х130мм c пультом ДУ белый IN HOME")</f>
        <v>ELEGANT SANSA-W 120Вт 230В 3000-6500K 8400Лм 650х650х130мм c пультом ДУ белый IN HOME</v>
      </c>
      <c r="C438" s="2">
        <f>IFERROR(__xludf.DUMMYFUNCTION("""COMPUTED_VALUE"""),2.4)</f>
        <v>2.4</v>
      </c>
      <c r="D438" s="2">
        <f>IFERROR(__xludf.DUMMYFUNCTION("""COMPUTED_VALUE"""),0.018)</f>
        <v>0.018</v>
      </c>
      <c r="E438" s="2">
        <f>IFERROR(__xludf.DUMMYFUNCTION("""COMPUTED_VALUE"""),5048.150000000001)</f>
        <v>5048.15</v>
      </c>
      <c r="F438" s="2">
        <f>IFERROR(__xludf.DUMMYFUNCTION("""COMPUTED_VALUE"""),3231.0)</f>
        <v>3231</v>
      </c>
      <c r="G438" s="2">
        <f>IFERROR(__xludf.DUMMYFUNCTION("""COMPUTED_VALUE"""),3635.0)</f>
        <v>3635</v>
      </c>
      <c r="H438" s="2">
        <f>IFERROR(__xludf.DUMMYFUNCTION("""COMPUTED_VALUE"""),4216.0)</f>
        <v>4216</v>
      </c>
      <c r="I438" s="2">
        <f>IFERROR(__xludf.DUMMYFUNCTION("""COMPUTED_VALUE"""),4846.0)</f>
        <v>4846</v>
      </c>
      <c r="J438" s="2">
        <f>IFERROR(__xludf.DUMMYFUNCTION("""COMPUTED_VALUE"""),2423.0)</f>
        <v>2423</v>
      </c>
      <c r="K438" s="2">
        <f>IFERROR(__xludf.DUMMYFUNCTION("""COMPUTED_VALUE"""),2.0)</f>
        <v>2</v>
      </c>
      <c r="L438" s="2" t="str">
        <f>IFERROR(__xludf.DUMMYFUNCTION("""COMPUTED_VALUE"""),"Светильники светодиодные серии ELEGANT IN HOME")</f>
        <v>Светильники светодиодные серии ELEGANT IN HOME</v>
      </c>
      <c r="M438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439">
      <c r="A439" s="5" t="str">
        <f>IFERROR(__xludf.DUMMYFUNCTION("""COMPUTED_VALUE"""),"4690612016399")</f>
        <v>4690612016399</v>
      </c>
      <c r="B439" s="5" t="str">
        <f>IFERROR(__xludf.DUMMYFUNCTION("""COMPUTED_VALUE"""),"LED-СВЕЧА-deco 7Вт 230В Е27 4000К 630Лм прозрачная IN HOME")</f>
        <v>LED-СВЕЧА-deco 7Вт 230В Е27 4000К 630Лм прозрачная IN HOME</v>
      </c>
      <c r="C439" s="2">
        <f>IFERROR(__xludf.DUMMYFUNCTION("""COMPUTED_VALUE"""),0.025)</f>
        <v>0.025</v>
      </c>
      <c r="D439" s="2">
        <f>IFERROR(__xludf.DUMMYFUNCTION("""COMPUTED_VALUE"""),2.6E-4)</f>
        <v>0.00026</v>
      </c>
      <c r="E439" s="2">
        <f>IFERROR(__xludf.DUMMYFUNCTION("""COMPUTED_VALUE"""),52.0)</f>
        <v>52</v>
      </c>
      <c r="F439" s="2">
        <f>IFERROR(__xludf.DUMMYFUNCTION("""COMPUTED_VALUE"""),53.0)</f>
        <v>53</v>
      </c>
      <c r="G439" s="2">
        <f>IFERROR(__xludf.DUMMYFUNCTION("""COMPUTED_VALUE"""),60.0)</f>
        <v>60</v>
      </c>
      <c r="H439" s="2">
        <f>IFERROR(__xludf.DUMMYFUNCTION("""COMPUTED_VALUE"""),70.0)</f>
        <v>70</v>
      </c>
      <c r="I439" s="2">
        <f>IFERROR(__xludf.DUMMYFUNCTION("""COMPUTED_VALUE"""),80.5)</f>
        <v>80.5</v>
      </c>
      <c r="J439" s="2">
        <f>IFERROR(__xludf.DUMMYFUNCTION("""COMPUTED_VALUE"""),40.0)</f>
        <v>40</v>
      </c>
      <c r="K439" s="2">
        <f>IFERROR(__xludf.DUMMYFUNCTION("""COMPUTED_VALUE"""),2.0)</f>
        <v>2</v>
      </c>
      <c r="L439" s="2" t="str">
        <f>IFERROR(__xludf.DUMMYFUNCTION("""COMPUTED_VALUE"""),"Лампа светодиодная LED-СВЕЧА-DECO")</f>
        <v>Лампа светодиодная LED-СВЕЧА-DECO</v>
      </c>
      <c r="M439" s="2" t="str">
        <f>IFERROR(__xludf.DUMMYFUNCTION("""COMPUTED_VALUE"""),"Лампы")</f>
        <v>Лампы</v>
      </c>
    </row>
    <row r="440">
      <c r="A440" s="5" t="str">
        <f>IFERROR(__xludf.DUMMYFUNCTION("""COMPUTED_VALUE"""),"4690612018737")</f>
        <v>4690612018737</v>
      </c>
      <c r="B440" s="5" t="str">
        <f>IFERROR(__xludf.DUMMYFUNCTION("""COMPUTED_VALUE"""),"Лампа сд LED-GX53-std 16Вт 230В 4000К 1440Лм ASD")</f>
        <v>Лампа сд LED-GX53-std 16Вт 230В 4000К 1440Лм ASD</v>
      </c>
      <c r="C440" s="2">
        <f>IFERROR(__xludf.DUMMYFUNCTION("""COMPUTED_VALUE"""),0.0)</f>
        <v>0</v>
      </c>
      <c r="D440" s="2">
        <f>IFERROR(__xludf.DUMMYFUNCTION("""COMPUTED_VALUE"""),0.0)</f>
        <v>0</v>
      </c>
      <c r="E440" s="2">
        <f>IFERROR(__xludf.DUMMYFUNCTION("""COMPUTED_VALUE"""),90.75)</f>
        <v>90.75</v>
      </c>
      <c r="F440" s="2">
        <f>IFERROR(__xludf.DUMMYFUNCTION("""COMPUTED_VALUE"""),104.0)</f>
        <v>104</v>
      </c>
      <c r="G440" s="2">
        <f>IFERROR(__xludf.DUMMYFUNCTION("""COMPUTED_VALUE"""),117.0)</f>
        <v>117</v>
      </c>
      <c r="H440" s="2">
        <f>IFERROR(__xludf.DUMMYFUNCTION("""COMPUTED_VALUE"""),136.0)</f>
        <v>136</v>
      </c>
      <c r="I440" s="2">
        <f>IFERROR(__xludf.DUMMYFUNCTION("""COMPUTED_VALUE"""),156.5)</f>
        <v>156.5</v>
      </c>
      <c r="J440" s="2">
        <f>IFERROR(__xludf.DUMMYFUNCTION("""COMPUTED_VALUE"""),78.0)</f>
        <v>78</v>
      </c>
      <c r="K440" s="2">
        <f>IFERROR(__xludf.DUMMYFUNCTION("""COMPUTED_VALUE"""),5.0)</f>
        <v>5</v>
      </c>
      <c r="L440" s="2" t="str">
        <f>IFERROR(__xludf.DUMMYFUNCTION("""COMPUTED_VALUE"""),"Лампа светодиодная LED-GX53-standard")</f>
        <v>Лампа светодиодная LED-GX53-standard</v>
      </c>
      <c r="M440" s="2" t="str">
        <f>IFERROR(__xludf.DUMMYFUNCTION("""COMPUTED_VALUE"""),"Точечные круглые Downlight, Лампы")</f>
        <v>Точечные круглые Downlight, Лампы</v>
      </c>
    </row>
    <row r="441">
      <c r="A441" s="5" t="str">
        <f>IFERROR(__xludf.DUMMYFUNCTION("""COMPUTED_VALUE"""),"KRAS021")</f>
        <v>KRAS021</v>
      </c>
      <c r="B441" s="5" t="str">
        <f>IFERROR(__xludf.DUMMYFUNCTION("""COMPUTED_VALUE"""),"Светильник СДБ12Н-2101М-П/К-62")</f>
        <v>Светильник СДБ12Н-2101М-П/К-62</v>
      </c>
      <c r="C441" s="2">
        <f>IFERROR(__xludf.DUMMYFUNCTION("""COMPUTED_VALUE"""),0.0)</f>
        <v>0</v>
      </c>
      <c r="D441" s="2">
        <f>IFERROR(__xludf.DUMMYFUNCTION("""COMPUTED_VALUE"""),0.0)</f>
        <v>0</v>
      </c>
      <c r="E441" s="2">
        <f>IFERROR(__xludf.DUMMYFUNCTION("""COMPUTED_VALUE"""),1127.22)</f>
        <v>1127.22</v>
      </c>
      <c r="F441" s="2">
        <f>IFERROR(__xludf.DUMMYFUNCTION("""COMPUTED_VALUE"""),1305.0)</f>
        <v>1305</v>
      </c>
      <c r="G441" s="2">
        <f>IFERROR(__xludf.DUMMYFUNCTION("""COMPUTED_VALUE"""),1392.0)</f>
        <v>1392</v>
      </c>
      <c r="H441" s="2">
        <f>IFERROR(__xludf.DUMMYFUNCTION("""COMPUTED_VALUE"""),1566.0)</f>
        <v>1566</v>
      </c>
      <c r="I441" s="2">
        <f>IFERROR(__xludf.DUMMYFUNCTION("""COMPUTED_VALUE"""),1740.0)</f>
        <v>1740</v>
      </c>
      <c r="J441" s="2">
        <f>IFERROR(__xludf.DUMMYFUNCTION("""COMPUTED_VALUE"""),870.0)</f>
        <v>870</v>
      </c>
      <c r="K441" s="2">
        <f>IFERROR(__xludf.DUMMYFUNCTION("""COMPUTED_VALUE"""),2.0)</f>
        <v>2</v>
      </c>
      <c r="L441" s="2" t="str">
        <f>IFERROR(__xludf.DUMMYFUNCTION("""COMPUTED_VALUE"""),"KRAS (тендер)")</f>
        <v>KRAS (тендер)</v>
      </c>
      <c r="M441" s="2" t="str">
        <f>IFERROR(__xludf.DUMMYFUNCTION("""COMPUTED_VALUE"""),"LED Светильники")</f>
        <v>LED Светильники</v>
      </c>
    </row>
    <row r="442">
      <c r="A442" s="5" t="str">
        <f>IFERROR(__xludf.DUMMYFUNCTION("""COMPUTED_VALUE"""),"4262356474690")</f>
        <v>4262356474690</v>
      </c>
      <c r="B442" s="5" t="str">
        <f>IFERROR(__xludf.DUMMYFUNCTION("""COMPUTED_VALUE"""),"WFL-30W/07")</f>
        <v>WFL-30W/07</v>
      </c>
      <c r="C442" s="2">
        <f>IFERROR(__xludf.DUMMYFUNCTION("""COMPUTED_VALUE"""),0.3)</f>
        <v>0.3</v>
      </c>
      <c r="D442" s="2">
        <f>IFERROR(__xludf.DUMMYFUNCTION("""COMPUTED_VALUE"""),0.015)</f>
        <v>0.015</v>
      </c>
      <c r="E442" s="2">
        <f>IFERROR(__xludf.DUMMYFUNCTION("""COMPUTED_VALUE"""),547.07)</f>
        <v>547.07</v>
      </c>
      <c r="F442" s="2">
        <f>IFERROR(__xludf.DUMMYFUNCTION("""COMPUTED_VALUE"""),470.0)</f>
        <v>470</v>
      </c>
      <c r="G442" s="2">
        <f>IFERROR(__xludf.DUMMYFUNCTION("""COMPUTED_VALUE"""),486.0)</f>
        <v>486</v>
      </c>
      <c r="H442" s="2">
        <f>IFERROR(__xludf.DUMMYFUNCTION("""COMPUTED_VALUE"""),638.0)</f>
        <v>638</v>
      </c>
      <c r="I442" s="2">
        <f>IFERROR(__xludf.DUMMYFUNCTION("""COMPUTED_VALUE"""),797.0)</f>
        <v>797</v>
      </c>
      <c r="J442" s="2">
        <f>IFERROR(__xludf.DUMMYFUNCTION("""COMPUTED_VALUE"""),399.0)</f>
        <v>399</v>
      </c>
      <c r="K442" s="2">
        <f>IFERROR(__xludf.DUMMYFUNCTION("""COMPUTED_VALUE"""),8.0)</f>
        <v>8</v>
      </c>
      <c r="L442" s="2" t="str">
        <f>IFERROR(__xludf.DUMMYFUNCTION("""COMPUTED_VALUE"""),"Wolta прожекторы")</f>
        <v>Wolta прожекторы</v>
      </c>
      <c r="M442" s="2" t="str">
        <f>IFERROR(__xludf.DUMMYFUNCTION("""COMPUTED_VALUE"""),"Прожекторы (LED), LED Светильники")</f>
        <v>Прожекторы (LED), LED Светильники</v>
      </c>
    </row>
    <row r="443">
      <c r="A443" s="5" t="str">
        <f>IFERROR(__xludf.DUMMYFUNCTION("""COMPUTED_VALUE"""),"14690612053025")</f>
        <v>14690612053025</v>
      </c>
      <c r="B443" s="5" t="str">
        <f>IFERROR(__xludf.DUMMYFUNCTION("""COMPUTED_VALUE"""),"ДВО-02-EMERGENCY 3665-ПРИЗМА 36Вт 6500К 595х595х19 NEOX без БАП-10W90 (4 шт в упак.)")</f>
        <v>ДВО-02-EMERGENCY 3665-ПРИЗМА 36Вт 6500К 595х595х19 NEOX без БАП-10W90 (4 шт в упак.)</v>
      </c>
      <c r="C443" s="2">
        <f>IFERROR(__xludf.DUMMYFUNCTION("""COMPUTED_VALUE"""),1.075)</f>
        <v>1.075</v>
      </c>
      <c r="D443" s="2">
        <f>IFERROR(__xludf.DUMMYFUNCTION("""COMPUTED_VALUE"""),0.0)</f>
        <v>0</v>
      </c>
      <c r="E443" s="2">
        <f>IFERROR(__xludf.DUMMYFUNCTION("""COMPUTED_VALUE"""),2207.64)</f>
        <v>2207.64</v>
      </c>
      <c r="F443" s="2">
        <f>IFERROR(__xludf.DUMMYFUNCTION("""COMPUTED_VALUE"""),2422.0)</f>
        <v>2422</v>
      </c>
      <c r="G443" s="2">
        <f>IFERROR(__xludf.DUMMYFUNCTION("""COMPUTED_VALUE"""),3179.0)</f>
        <v>3179</v>
      </c>
      <c r="H443" s="2">
        <f>IFERROR(__xludf.DUMMYFUNCTION("""COMPUTED_VALUE"""),3577.0)</f>
        <v>3577</v>
      </c>
      <c r="I443" s="2">
        <f>IFERROR(__xludf.DUMMYFUNCTION("""COMPUTED_VALUE"""),3974.0)</f>
        <v>3974</v>
      </c>
      <c r="J443" s="2">
        <f>IFERROR(__xludf.DUMMYFUNCTION("""COMPUTED_VALUE"""),1987.0)</f>
        <v>1987</v>
      </c>
      <c r="K443" s="2">
        <f>IFERROR(__xludf.DUMMYFUNCTION("""COMPUTED_VALUE"""),1.0)</f>
        <v>1</v>
      </c>
      <c r="L443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443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444">
      <c r="A444" s="5" t="str">
        <f>IFERROR(__xludf.DUMMYFUNCTION("""COMPUTED_VALUE"""),"4690612032153-10")</f>
        <v>4690612032153-10</v>
      </c>
      <c r="B444" s="5" t="str">
        <f>IFERROR(__xludf.DUMMYFUNCTION("""COMPUTED_VALUE"""),"10 шт. Е27 Д-002 Патрон керамический накладной IN HOME (упаковка 10 шт.)")</f>
        <v>10 шт. Е27 Д-002 Патрон керамический накладной IN HOME (упаковка 10 шт.)</v>
      </c>
      <c r="C444" s="2">
        <f>IFERROR(__xludf.DUMMYFUNCTION("""COMPUTED_VALUE"""),0.05)</f>
        <v>0.05</v>
      </c>
      <c r="D444" s="2">
        <f>IFERROR(__xludf.DUMMYFUNCTION("""COMPUTED_VALUE"""),8.0E-5)</f>
        <v>0.00008</v>
      </c>
      <c r="E444" s="2">
        <f>IFERROR(__xludf.DUMMYFUNCTION("""COMPUTED_VALUE"""),101.3)</f>
        <v>101.3</v>
      </c>
      <c r="F444" s="2">
        <f>IFERROR(__xludf.DUMMYFUNCTION("""COMPUTED_VALUE"""),13.0)</f>
        <v>13</v>
      </c>
      <c r="G444" s="2">
        <f>IFERROR(__xludf.DUMMYFUNCTION("""COMPUTED_VALUE"""),14.0)</f>
        <v>14</v>
      </c>
      <c r="H444" s="2">
        <f>IFERROR(__xludf.DUMMYFUNCTION("""COMPUTED_VALUE"""),17.0)</f>
        <v>17</v>
      </c>
      <c r="I444" s="2">
        <f>IFERROR(__xludf.DUMMYFUNCTION("""COMPUTED_VALUE"""),19.0)</f>
        <v>19</v>
      </c>
      <c r="J444" s="2">
        <f>IFERROR(__xludf.DUMMYFUNCTION("""COMPUTED_VALUE"""),10.0)</f>
        <v>10</v>
      </c>
      <c r="K444" s="2">
        <f>IFERROR(__xludf.DUMMYFUNCTION("""COMPUTED_VALUE"""),29.0)</f>
        <v>29</v>
      </c>
      <c r="L444" s="2" t="str">
        <f>IFERROR(__xludf.DUMMYFUNCTION("""COMPUTED_VALUE"""),"ASD электромонтажные изделия")</f>
        <v>ASD электромонтажные изделия</v>
      </c>
      <c r="M444" s="2" t="str">
        <f>IFERROR(__xludf.DUMMYFUNCTION("""COMPUTED_VALUE"""),"Прочие товары")</f>
        <v>Прочие товары</v>
      </c>
    </row>
    <row r="445">
      <c r="A445" s="5" t="str">
        <f>IFERROR(__xludf.DUMMYFUNCTION("""COMPUTED_VALUE"""),"4690612030029")</f>
        <v>4690612030029</v>
      </c>
      <c r="B445" s="5" t="str">
        <f>IFERROR(__xludf.DUMMYFUNCTION("""COMPUTED_VALUE"""),"СДО-8 20Вт 230В 6500К 1900Лм IP65 IN HOME")</f>
        <v>СДО-8 20Вт 230В 6500К 1900Лм IP65 IN HOME</v>
      </c>
      <c r="C445" s="2">
        <f>IFERROR(__xludf.DUMMYFUNCTION("""COMPUTED_VALUE"""),0.28)</f>
        <v>0.28</v>
      </c>
      <c r="D445" s="2">
        <f>IFERROR(__xludf.DUMMYFUNCTION("""COMPUTED_VALUE"""),7.5E-4)</f>
        <v>0.00075</v>
      </c>
      <c r="E445" s="2">
        <f>IFERROR(__xludf.DUMMYFUNCTION("""COMPUTED_VALUE"""),194.94)</f>
        <v>194.94</v>
      </c>
      <c r="F445" s="2">
        <f>IFERROR(__xludf.DUMMYFUNCTION("""COMPUTED_VALUE"""),214.0)</f>
        <v>214</v>
      </c>
      <c r="G445" s="2">
        <f>IFERROR(__xludf.DUMMYFUNCTION("""COMPUTED_VALUE"""),241.0)</f>
        <v>241</v>
      </c>
      <c r="H445" s="2">
        <f>IFERROR(__xludf.DUMMYFUNCTION("""COMPUTED_VALUE"""),279.0)</f>
        <v>279</v>
      </c>
      <c r="I445" s="2">
        <f>IFERROR(__xludf.DUMMYFUNCTION("""COMPUTED_VALUE"""),321.0)</f>
        <v>321</v>
      </c>
      <c r="J445" s="2">
        <f>IFERROR(__xludf.DUMMYFUNCTION("""COMPUTED_VALUE"""),161.0)</f>
        <v>161</v>
      </c>
      <c r="K445" s="2">
        <f>IFERROR(__xludf.DUMMYFUNCTION("""COMPUTED_VALUE"""),5.0)</f>
        <v>5</v>
      </c>
      <c r="L445" s="2" t="str">
        <f>IFERROR(__xludf.DUMMYFUNCTION("""COMPUTED_VALUE"""),"Прожекторы светодиодные СДО-8")</f>
        <v>Прожекторы светодиодные СДО-8</v>
      </c>
      <c r="M445" s="2" t="str">
        <f>IFERROR(__xludf.DUMMYFUNCTION("""COMPUTED_VALUE"""),"Бытовые (недорогие), Без датчиков, LED Светильники")</f>
        <v>Бытовые (недорогие), Без датчиков, LED Светильники</v>
      </c>
    </row>
    <row r="446">
      <c r="A446" s="5" t="str">
        <f>IFERROR(__xludf.DUMMYFUNCTION("""COMPUTED_VALUE"""),"GL8291")</f>
        <v>GL8291</v>
      </c>
      <c r="B446" s="5" t="str">
        <f>IFERROR(__xludf.DUMMYFUNCTION("""COMPUTED_VALUE"""),"GLERIO Line Ultra 48 Вт 4000К 94P-48D-4N-P")</f>
        <v>GLERIO Line Ultra 48 Вт 4000К 94P-48D-4N-P</v>
      </c>
      <c r="C446" s="2">
        <f>IFERROR(__xludf.DUMMYFUNCTION("""COMPUTED_VALUE"""),0.7200000000000001)</f>
        <v>0.72</v>
      </c>
      <c r="D446" s="2">
        <f>IFERROR(__xludf.DUMMYFUNCTION("""COMPUTED_VALUE"""),0.00485)</f>
        <v>0.00485</v>
      </c>
      <c r="E446" s="2">
        <f>IFERROR(__xludf.DUMMYFUNCTION("""COMPUTED_VALUE"""),2617.38)</f>
        <v>2617.38</v>
      </c>
      <c r="F446" s="2">
        <f>IFERROR(__xludf.DUMMYFUNCTION("""COMPUTED_VALUE"""),3060.0)</f>
        <v>3060</v>
      </c>
      <c r="G446" s="2">
        <f>IFERROR(__xludf.DUMMYFUNCTION("""COMPUTED_VALUE"""),3853.0)</f>
        <v>3853</v>
      </c>
      <c r="H446" s="2">
        <f>IFERROR(__xludf.DUMMYFUNCTION("""COMPUTED_VALUE"""),4327.0)</f>
        <v>4327</v>
      </c>
      <c r="I446" s="2">
        <f>IFERROR(__xludf.DUMMYFUNCTION("""COMPUTED_VALUE"""),4801.0)</f>
        <v>4801</v>
      </c>
      <c r="J446" s="2">
        <f>IFERROR(__xludf.DUMMYFUNCTION("""COMPUTED_VALUE"""),2401.0)</f>
        <v>2401</v>
      </c>
      <c r="K446" s="2">
        <f>IFERROR(__xludf.DUMMYFUNCTION("""COMPUTED_VALUE"""),2.0)</f>
        <v>2</v>
      </c>
      <c r="L446" s="2" t="str">
        <f>IFERROR(__xludf.DUMMYFUNCTION("""COMPUTED_VALUE"""),"Line Ultra (Сеть) до 10.2025")</f>
        <v>Line Ultra (Сеть) до 10.2025</v>
      </c>
      <c r="M446" s="2" t="str">
        <f>IFERROR(__xludf.DUMMYFUNCTION("""COMPUTED_VALUE"""),"Пластиковые (линейные), LED Светильники")</f>
        <v>Пластиковые (линейные), LED Светильники</v>
      </c>
    </row>
    <row r="447">
      <c r="A447" s="5" t="str">
        <f>IFERROR(__xludf.DUMMYFUNCTION("""COMPUTED_VALUE"""),"4690612020587")</f>
        <v>4690612020587</v>
      </c>
      <c r="B447" s="5" t="str">
        <f>IFERROR(__xludf.DUMMYFUNCTION("""COMPUTED_VALUE"""),"LED-ШАР-VC 11Вт 230В Е14 3000К 1050Лм IN HOME")</f>
        <v>LED-ШАР-VC 11Вт 230В Е14 3000К 1050Лм IN HOME</v>
      </c>
      <c r="C447" s="2">
        <f>IFERROR(__xludf.DUMMYFUNCTION("""COMPUTED_VALUE"""),0.036)</f>
        <v>0.036</v>
      </c>
      <c r="D447" s="2">
        <f>IFERROR(__xludf.DUMMYFUNCTION("""COMPUTED_VALUE"""),2.4E-4)</f>
        <v>0.00024</v>
      </c>
      <c r="E447" s="2">
        <f>IFERROR(__xludf.DUMMYFUNCTION("""COMPUTED_VALUE"""),39.23)</f>
        <v>39.23</v>
      </c>
      <c r="F447" s="2">
        <f>IFERROR(__xludf.DUMMYFUNCTION("""COMPUTED_VALUE"""),46.0)</f>
        <v>46</v>
      </c>
      <c r="G447" s="2">
        <f>IFERROR(__xludf.DUMMYFUNCTION("""COMPUTED_VALUE"""),52.0)</f>
        <v>52</v>
      </c>
      <c r="H447" s="2">
        <f>IFERROR(__xludf.DUMMYFUNCTION("""COMPUTED_VALUE"""),60.0)</f>
        <v>60</v>
      </c>
      <c r="I447" s="2">
        <f>IFERROR(__xludf.DUMMYFUNCTION("""COMPUTED_VALUE"""),69.8)</f>
        <v>69.8</v>
      </c>
      <c r="J447" s="2">
        <f>IFERROR(__xludf.DUMMYFUNCTION("""COMPUTED_VALUE"""),35.0)</f>
        <v>35</v>
      </c>
      <c r="K447" s="2">
        <f>IFERROR(__xludf.DUMMYFUNCTION("""COMPUTED_VALUE"""),61.0)</f>
        <v>61</v>
      </c>
      <c r="L447" s="2" t="str">
        <f>IFERROR(__xludf.DUMMYFUNCTION("""COMPUTED_VALUE"""),"Лампа светодиодная LED-ШАР-standard")</f>
        <v>Лампа светодиодная LED-ШАР-standard</v>
      </c>
      <c r="M447" s="2" t="str">
        <f>IFERROR(__xludf.DUMMYFUNCTION("""COMPUTED_VALUE"""),"Лампы")</f>
        <v>Лампы</v>
      </c>
    </row>
    <row r="448">
      <c r="A448" s="5" t="str">
        <f>IFERROR(__xludf.DUMMYFUNCTION("""COMPUTED_VALUE"""),"4690612057293")</f>
        <v>4690612057293</v>
      </c>
      <c r="B448" s="5" t="str">
        <f>IFERROR(__xludf.DUMMYFUNCTION("""COMPUTED_VALUE"""),"ДВО-PRO 5040-ОПАЛ 50Вт 4000К 120лм/Вт CRI80 IP40 595х595х30мм NEOX")</f>
        <v>ДВО-PRO 5040-ОПАЛ 50Вт 4000К 120лм/Вт CRI80 IP40 595х595х30мм NEOX</v>
      </c>
      <c r="C448" s="2">
        <f>IFERROR(__xludf.DUMMYFUNCTION("""COMPUTED_VALUE"""),0.9750000000000001)</f>
        <v>0.975</v>
      </c>
      <c r="D448" s="2">
        <f>IFERROR(__xludf.DUMMYFUNCTION("""COMPUTED_VALUE"""),0.01625)</f>
        <v>0.01625</v>
      </c>
      <c r="E448" s="2">
        <f>IFERROR(__xludf.DUMMYFUNCTION("""COMPUTED_VALUE"""),798.0)</f>
        <v>798</v>
      </c>
      <c r="F448" s="2">
        <f>IFERROR(__xludf.DUMMYFUNCTION("""COMPUTED_VALUE"""),1098.0)</f>
        <v>1098</v>
      </c>
      <c r="G448" s="2">
        <f>IFERROR(__xludf.DUMMYFUNCTION("""COMPUTED_VALUE"""),1235.0)</f>
        <v>1235</v>
      </c>
      <c r="H448" s="2">
        <f>IFERROR(__xludf.DUMMYFUNCTION("""COMPUTED_VALUE"""),1433.0)</f>
        <v>1433</v>
      </c>
      <c r="I448" s="2">
        <f>IFERROR(__xludf.DUMMYFUNCTION("""COMPUTED_VALUE"""),1647.0)</f>
        <v>1647</v>
      </c>
      <c r="J448" s="2">
        <f>IFERROR(__xludf.DUMMYFUNCTION("""COMPUTED_VALUE"""),824.0)</f>
        <v>824</v>
      </c>
      <c r="K448" s="2">
        <f>IFERROR(__xludf.DUMMYFUNCTION("""COMPUTED_VALUE"""),21.0)</f>
        <v>21</v>
      </c>
      <c r="L448" s="2" t="str">
        <f>IFERROR(__xludf.DUMMYFUNCTION("""COMPUTED_VALUE"""),"NEOX Светильники LED ДВО")</f>
        <v>NEOX Светильники LED ДВО</v>
      </c>
      <c r="M448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449">
      <c r="A449" s="5" t="str">
        <f>IFERROR(__xludf.DUMMYFUNCTION("""COMPUTED_VALUE"""),"4690612029009")</f>
        <v>4690612029009</v>
      </c>
      <c r="B449" s="5" t="str">
        <f>IFERROR(__xludf.DUMMYFUNCTION("""COMPUTED_VALUE"""),"NLA 04-TG ЧЕРЕПАШКА зелёная с выкл 230В IN HOME")</f>
        <v>NLA 04-TG ЧЕРЕПАШКА зелёная с выкл 230В IN HOME</v>
      </c>
      <c r="C449" s="2">
        <f>IFERROR(__xludf.DUMMYFUNCTION("""COMPUTED_VALUE"""),0.084)</f>
        <v>0.084</v>
      </c>
      <c r="D449" s="2">
        <f>IFERROR(__xludf.DUMMYFUNCTION("""COMPUTED_VALUE"""),0.00108)</f>
        <v>0.00108</v>
      </c>
      <c r="E449" s="2">
        <f>IFERROR(__xludf.DUMMYFUNCTION("""COMPUTED_VALUE"""),114.23)</f>
        <v>114.23</v>
      </c>
      <c r="F449" s="2">
        <f>IFERROR(__xludf.DUMMYFUNCTION("""COMPUTED_VALUE"""),106.0)</f>
        <v>106</v>
      </c>
      <c r="G449" s="2">
        <f>IFERROR(__xludf.DUMMYFUNCTION("""COMPUTED_VALUE"""),119.0)</f>
        <v>119</v>
      </c>
      <c r="H449" s="2">
        <f>IFERROR(__xludf.DUMMYFUNCTION("""COMPUTED_VALUE"""),138.0)</f>
        <v>138</v>
      </c>
      <c r="I449" s="2">
        <f>IFERROR(__xludf.DUMMYFUNCTION("""COMPUTED_VALUE"""),159.0)</f>
        <v>159</v>
      </c>
      <c r="J449" s="2">
        <f>IFERROR(__xludf.DUMMYFUNCTION("""COMPUTED_VALUE"""),80.0)</f>
        <v>80</v>
      </c>
      <c r="K449" s="2">
        <f>IFERROR(__xludf.DUMMYFUNCTION("""COMPUTED_VALUE"""),33.0)</f>
        <v>33</v>
      </c>
      <c r="L449" s="2" t="str">
        <f>IFERROR(__xludf.DUMMYFUNCTION("""COMPUTED_VALUE"""),"Светильники ночники")</f>
        <v>Светильники ночники</v>
      </c>
      <c r="M449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450">
      <c r="A450" s="5" t="str">
        <f>IFERROR(__xludf.DUMMYFUNCTION("""COMPUTED_VALUE"""),"V5019")</f>
        <v>V5019</v>
      </c>
      <c r="B450" s="5" t="str">
        <f>IFERROR(__xludf.DUMMYFUNCTION("""COMPUTED_VALUE"""),"VRN-LUX30-76-A50K67-U")</f>
        <v>VRN-LUX30-76-A50K67-U</v>
      </c>
      <c r="C450" s="2">
        <f>IFERROR(__xludf.DUMMYFUNCTION("""COMPUTED_VALUE"""),2.4)</f>
        <v>2.4</v>
      </c>
      <c r="D450" s="2">
        <f>IFERROR(__xludf.DUMMYFUNCTION("""COMPUTED_VALUE"""),0.0088)</f>
        <v>0.0088</v>
      </c>
      <c r="E450" s="2">
        <f>IFERROR(__xludf.DUMMYFUNCTION("""COMPUTED_VALUE"""),7172.5)</f>
        <v>7172.5</v>
      </c>
      <c r="F450" s="2">
        <f>IFERROR(__xludf.DUMMYFUNCTION("""COMPUTED_VALUE"""),7430.0)</f>
        <v>7430</v>
      </c>
      <c r="G450" s="2">
        <f>IFERROR(__xludf.DUMMYFUNCTION("""COMPUTED_VALUE"""),9659.0)</f>
        <v>9659</v>
      </c>
      <c r="H450" s="2">
        <f>IFERROR(__xludf.DUMMYFUNCTION("""COMPUTED_VALUE"""),10142.0)</f>
        <v>10142</v>
      </c>
      <c r="I450" s="2">
        <f>IFERROR(__xludf.DUMMYFUNCTION("""COMPUTED_VALUE"""),10625.0)</f>
        <v>10625</v>
      </c>
      <c r="J450" s="2">
        <f>IFERROR(__xludf.DUMMYFUNCTION("""COMPUTED_VALUE"""),5313.0)</f>
        <v>5313</v>
      </c>
      <c r="K450" s="2">
        <f>IFERROR(__xludf.DUMMYFUNCTION("""COMPUTED_VALUE"""),1.0)</f>
        <v>1</v>
      </c>
      <c r="L450" s="2" t="str">
        <f>IFERROR(__xludf.DUMMYFUNCTION("""COMPUTED_VALUE"""),"Премиум")</f>
        <v>Премиум</v>
      </c>
      <c r="M450" s="2" t="str">
        <f>IFERROR(__xludf.DUMMYFUNCTION("""COMPUTED_VALUE"""),"Профессиональные, LED Светильники")</f>
        <v>Профессиональные, LED Светильники</v>
      </c>
    </row>
    <row r="451">
      <c r="A451" s="5" t="str">
        <f>IFERROR(__xludf.DUMMYFUNCTION("""COMPUTED_VALUE"""),"4690612020549-10")</f>
        <v>4690612020549-10</v>
      </c>
      <c r="B451" s="5" t="str">
        <f>IFERROR(__xludf.DUMMYFUNCTION("""COMPUTED_VALUE"""),"10 шт. Лампа LED-ШАР-VC 8Вт 230В Е14 3000К 760Лм IN HOME (Комплект 10 шт)")</f>
        <v>10 шт. Лампа LED-ШАР-VC 8Вт 230В Е14 3000К 760Лм IN HOME (Комплект 10 шт)</v>
      </c>
      <c r="C451" s="2">
        <f>IFERROR(__xludf.DUMMYFUNCTION("""COMPUTED_VALUE"""),0.03)</f>
        <v>0.03</v>
      </c>
      <c r="D451" s="2">
        <f>IFERROR(__xludf.DUMMYFUNCTION("""COMPUTED_VALUE"""),0.0023)</f>
        <v>0.0023</v>
      </c>
      <c r="E451" s="2">
        <f>IFERROR(__xludf.DUMMYFUNCTION("""COMPUTED_VALUE"""),390.0)</f>
        <v>390</v>
      </c>
      <c r="F451" s="2">
        <f>IFERROR(__xludf.DUMMYFUNCTION("""COMPUTED_VALUE"""),428.0)</f>
        <v>428</v>
      </c>
      <c r="G451" s="2">
        <f>IFERROR(__xludf.DUMMYFUNCTION("""COMPUTED_VALUE"""),562.0)</f>
        <v>562</v>
      </c>
      <c r="H451" s="2">
        <f>IFERROR(__xludf.DUMMYFUNCTION("""COMPUTED_VALUE"""),632.0)</f>
        <v>632</v>
      </c>
      <c r="I451" s="2">
        <f>IFERROR(__xludf.DUMMYFUNCTION("""COMPUTED_VALUE"""),702.0)</f>
        <v>702</v>
      </c>
      <c r="J451" s="2">
        <f>IFERROR(__xludf.DUMMYFUNCTION("""COMPUTED_VALUE"""),351.0)</f>
        <v>351</v>
      </c>
      <c r="K451" s="2">
        <f>IFERROR(__xludf.DUMMYFUNCTION("""COMPUTED_VALUE"""),10.0)</f>
        <v>10</v>
      </c>
      <c r="L451" s="2" t="str">
        <f>IFERROR(__xludf.DUMMYFUNCTION("""COMPUTED_VALUE"""),"Лампы производство, упаковка")</f>
        <v>Лампы производство, упаковка</v>
      </c>
      <c r="M451" s="2" t="str">
        <f>IFERROR(__xludf.DUMMYFUNCTION("""COMPUTED_VALUE"""),"Лампы")</f>
        <v>Лампы</v>
      </c>
    </row>
    <row r="452">
      <c r="A452" s="5" t="str">
        <f>IFERROR(__xludf.DUMMYFUNCTION("""COMPUTED_VALUE"""),"12-4703")</f>
        <v>12-4703</v>
      </c>
      <c r="B452" s="5" t="str">
        <f>IFERROR(__xludf.DUMMYFUNCTION("""COMPUTED_VALUE"""),"Набор отверток 7 предметов (крестовые и шлицевые) REXANT")</f>
        <v>Набор отверток 7 предметов (крестовые и шлицевые) REXANT</v>
      </c>
      <c r="C452" s="2">
        <f>IFERROR(__xludf.DUMMYFUNCTION("""COMPUTED_VALUE"""),0.0)</f>
        <v>0</v>
      </c>
      <c r="D452" s="2">
        <f>IFERROR(__xludf.DUMMYFUNCTION("""COMPUTED_VALUE"""),0.0)</f>
        <v>0</v>
      </c>
      <c r="E452" s="2">
        <f>IFERROR(__xludf.DUMMYFUNCTION("""COMPUTED_VALUE"""),1.0)</f>
        <v>1</v>
      </c>
      <c r="F452" s="2">
        <f>IFERROR(__xludf.DUMMYFUNCTION("""COMPUTED_VALUE"""),904.0)</f>
        <v>904</v>
      </c>
      <c r="G452" s="2">
        <f>IFERROR(__xludf.DUMMYFUNCTION("""COMPUTED_VALUE"""),965.0)</f>
        <v>965</v>
      </c>
      <c r="H452" s="2">
        <f>IFERROR(__xludf.DUMMYFUNCTION("""COMPUTED_VALUE"""),1085.0)</f>
        <v>1085</v>
      </c>
      <c r="I452" s="2">
        <f>IFERROR(__xludf.DUMMYFUNCTION("""COMPUTED_VALUE"""),1205.77)</f>
        <v>1205.77</v>
      </c>
      <c r="J452" s="2">
        <f>IFERROR(__xludf.DUMMYFUNCTION("""COMPUTED_VALUE"""),603.0)</f>
        <v>603</v>
      </c>
      <c r="K452" s="2">
        <f>IFERROR(__xludf.DUMMYFUNCTION("""COMPUTED_VALUE"""),1.0)</f>
        <v>1</v>
      </c>
      <c r="L452" s="2" t="str">
        <f>IFERROR(__xludf.DUMMYFUNCTION("""COMPUTED_VALUE"""),"Rexant")</f>
        <v>Rexant</v>
      </c>
      <c r="M452" s="2" t="str">
        <f>IFERROR(__xludf.DUMMYFUNCTION("""COMPUTED_VALUE"""),"Прочие товары")</f>
        <v>Прочие товары</v>
      </c>
    </row>
    <row r="453">
      <c r="A453" s="5" t="str">
        <f>IFERROR(__xludf.DUMMYFUNCTION("""COMPUTED_VALUE"""),"4690612038803-2")</f>
        <v>4690612038803-2</v>
      </c>
      <c r="B453" s="5" t="str">
        <f>IFERROR(__xludf.DUMMYFUNCTION("""COMPUTED_VALUE"""),"ДВО-02 4040-ОПАЛ 40Вт 230В 4000К 3600Лм 595х595х25 NEOX (2 шт в упак.)")</f>
        <v>ДВО-02 4040-ОПАЛ 40Вт 230В 4000К 3600Лм 595х595х25 NEOX (2 шт в упак.)</v>
      </c>
      <c r="C453" s="2">
        <f>IFERROR(__xludf.DUMMYFUNCTION("""COMPUTED_VALUE"""),1.35)</f>
        <v>1.35</v>
      </c>
      <c r="D453" s="2">
        <f>IFERROR(__xludf.DUMMYFUNCTION("""COMPUTED_VALUE"""),0.0)</f>
        <v>0</v>
      </c>
      <c r="E453" s="2">
        <f>IFERROR(__xludf.DUMMYFUNCTION("""COMPUTED_VALUE"""),1452.96)</f>
        <v>1452.96</v>
      </c>
      <c r="F453" s="2">
        <f>IFERROR(__xludf.DUMMYFUNCTION("""COMPUTED_VALUE"""),1594.0)</f>
        <v>1594</v>
      </c>
      <c r="G453" s="2">
        <f>IFERROR(__xludf.DUMMYFUNCTION("""COMPUTED_VALUE"""),2092.0)</f>
        <v>2092</v>
      </c>
      <c r="H453" s="2">
        <f>IFERROR(__xludf.DUMMYFUNCTION("""COMPUTED_VALUE"""),2354.0)</f>
        <v>2354</v>
      </c>
      <c r="I453" s="2">
        <f>IFERROR(__xludf.DUMMYFUNCTION("""COMPUTED_VALUE"""),2615.0)</f>
        <v>2615</v>
      </c>
      <c r="J453" s="2">
        <f>IFERROR(__xludf.DUMMYFUNCTION("""COMPUTED_VALUE"""),1308.0)</f>
        <v>1308</v>
      </c>
      <c r="K453" s="2">
        <f>IFERROR(__xludf.DUMMYFUNCTION("""COMPUTED_VALUE"""),5.0)</f>
        <v>5</v>
      </c>
      <c r="L453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453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454">
      <c r="A454" s="5" t="str">
        <f>IFERROR(__xludf.DUMMYFUNCTION("""COMPUTED_VALUE"""),"4690612057309")</f>
        <v>4690612057309</v>
      </c>
      <c r="B454" s="5" t="str">
        <f>IFERROR(__xludf.DUMMYFUNCTION("""COMPUTED_VALUE"""),"ДВО-PRO 5065-ОПАЛ 50Вт 6500К 120лм/Вт CRI80 IP40 595х595х30мм NEOX")</f>
        <v>ДВО-PRO 5065-ОПАЛ 50Вт 6500К 120лм/Вт CRI80 IP40 595х595х30мм NEOX</v>
      </c>
      <c r="C454" s="2">
        <f>IFERROR(__xludf.DUMMYFUNCTION("""COMPUTED_VALUE"""),0.9750000000000001)</f>
        <v>0.975</v>
      </c>
      <c r="D454" s="2">
        <f>IFERROR(__xludf.DUMMYFUNCTION("""COMPUTED_VALUE"""),0.01625)</f>
        <v>0.01625</v>
      </c>
      <c r="E454" s="2">
        <f>IFERROR(__xludf.DUMMYFUNCTION("""COMPUTED_VALUE"""),996.36)</f>
        <v>996.36</v>
      </c>
      <c r="F454" s="2">
        <f>IFERROR(__xludf.DUMMYFUNCTION("""COMPUTED_VALUE"""),1098.0)</f>
        <v>1098</v>
      </c>
      <c r="G454" s="2">
        <f>IFERROR(__xludf.DUMMYFUNCTION("""COMPUTED_VALUE"""),1235.0)</f>
        <v>1235</v>
      </c>
      <c r="H454" s="2">
        <f>IFERROR(__xludf.DUMMYFUNCTION("""COMPUTED_VALUE"""),1433.0)</f>
        <v>1433</v>
      </c>
      <c r="I454" s="2">
        <f>IFERROR(__xludf.DUMMYFUNCTION("""COMPUTED_VALUE"""),1647.0)</f>
        <v>1647</v>
      </c>
      <c r="J454" s="2">
        <f>IFERROR(__xludf.DUMMYFUNCTION("""COMPUTED_VALUE"""),824.0)</f>
        <v>824</v>
      </c>
      <c r="K454" s="2">
        <f>IFERROR(__xludf.DUMMYFUNCTION("""COMPUTED_VALUE"""),9.0)</f>
        <v>9</v>
      </c>
      <c r="L454" s="2" t="str">
        <f>IFERROR(__xludf.DUMMYFUNCTION("""COMPUTED_VALUE"""),"NEOX Светильники LED ДВО")</f>
        <v>NEOX Светильники LED ДВО</v>
      </c>
      <c r="M454" s="2" t="str">
        <f>IFERROR(__xludf.DUMMYFUNCTION("""COMPUTED_VALUE"""),"С равномерной засветкой, С равномерной засветкой, LED Светильники")</f>
        <v>С равномерной засветкой, С равномерной засветкой, LED Светильники</v>
      </c>
    </row>
    <row r="455">
      <c r="A455" s="5" t="str">
        <f>IFERROR(__xludf.DUMMYFUNCTION("""COMPUTED_VALUE"""),"12021")</f>
        <v>12021</v>
      </c>
      <c r="B455" s="5" t="str">
        <f>IFERROR(__xludf.DUMMYFUNCTION("""COMPUTED_VALUE"""),"Защитная решетка для светильников TLWP06/236/228/254")</f>
        <v>Защитная решетка для светильников TLWP06/236/228/254</v>
      </c>
      <c r="C455" s="2">
        <f>IFERROR(__xludf.DUMMYFUNCTION("""COMPUTED_VALUE"""),0.9)</f>
        <v>0.9</v>
      </c>
      <c r="D455" s="2">
        <f>IFERROR(__xludf.DUMMYFUNCTION("""COMPUTED_VALUE"""),0.015)</f>
        <v>0.015</v>
      </c>
      <c r="E455" s="2">
        <f>IFERROR(__xludf.DUMMYFUNCTION("""COMPUTED_VALUE"""),601.66)</f>
        <v>601.66</v>
      </c>
      <c r="F455" s="2">
        <f>IFERROR(__xludf.DUMMYFUNCTION("""COMPUTED_VALUE"""),1321.0)</f>
        <v>1321</v>
      </c>
      <c r="G455" s="2">
        <f>IFERROR(__xludf.DUMMYFUNCTION("""COMPUTED_VALUE"""),1491.0)</f>
        <v>1491</v>
      </c>
      <c r="H455" s="2">
        <f>IFERROR(__xludf.DUMMYFUNCTION("""COMPUTED_VALUE"""),1525.0)</f>
        <v>1525</v>
      </c>
      <c r="I455" s="2">
        <f>IFERROR(__xludf.DUMMYFUNCTION("""COMPUTED_VALUE"""),1860.0)</f>
        <v>1860</v>
      </c>
      <c r="J455" s="2">
        <f>IFERROR(__xludf.DUMMYFUNCTION("""COMPUTED_VALUE"""),930.0)</f>
        <v>930</v>
      </c>
      <c r="K455" s="2">
        <f>IFERROR(__xludf.DUMMYFUNCTION("""COMPUTED_VALUE"""),6.0)</f>
        <v>6</v>
      </c>
      <c r="L455" s="2" t="str">
        <f>IFERROR(__xludf.DUMMYFUNCTION("""COMPUTED_VALUE"""),"Комплектующие и аксессуары")</f>
        <v>Комплектующие и аксессуары</v>
      </c>
      <c r="M455" s="2" t="str">
        <f>IFERROR(__xludf.DUMMYFUNCTION("""COMPUTED_VALUE"""),"Прочие товары")</f>
        <v>Прочие товары</v>
      </c>
    </row>
    <row r="456">
      <c r="A456" s="5" t="str">
        <f>IFERROR(__xludf.DUMMYFUNCTION("""COMPUTED_VALUE"""),"4690612016337")</f>
        <v>4690612016337</v>
      </c>
      <c r="B456" s="5" t="str">
        <f>IFERROR(__xludf.DUMMYFUNCTION("""COMPUTED_VALUE"""),"LED-ШАР-deco 7Вт 230В Е27 4000К 810Лм прозрачная IN HOME")</f>
        <v>LED-ШАР-deco 7Вт 230В Е27 4000К 810Лм прозрачная IN HOME</v>
      </c>
      <c r="C456" s="2">
        <f>IFERROR(__xludf.DUMMYFUNCTION("""COMPUTED_VALUE"""),0.043)</f>
        <v>0.043</v>
      </c>
      <c r="D456" s="2">
        <f>IFERROR(__xludf.DUMMYFUNCTION("""COMPUTED_VALUE"""),2.4E-4)</f>
        <v>0.00024</v>
      </c>
      <c r="E456" s="2">
        <f>IFERROR(__xludf.DUMMYFUNCTION("""COMPUTED_VALUE"""),63.5)</f>
        <v>63.5</v>
      </c>
      <c r="F456" s="2">
        <f>IFERROR(__xludf.DUMMYFUNCTION("""COMPUTED_VALUE"""),68.0)</f>
        <v>68</v>
      </c>
      <c r="G456" s="2">
        <f>IFERROR(__xludf.DUMMYFUNCTION("""COMPUTED_VALUE"""),77.0)</f>
        <v>77</v>
      </c>
      <c r="H456" s="2">
        <f>IFERROR(__xludf.DUMMYFUNCTION("""COMPUTED_VALUE"""),89.0)</f>
        <v>89</v>
      </c>
      <c r="I456" s="2">
        <f>IFERROR(__xludf.DUMMYFUNCTION("""COMPUTED_VALUE"""),102.5)</f>
        <v>102.5</v>
      </c>
      <c r="J456" s="2">
        <f>IFERROR(__xludf.DUMMYFUNCTION("""COMPUTED_VALUE"""),51.0)</f>
        <v>51</v>
      </c>
      <c r="K456" s="2">
        <f>IFERROR(__xludf.DUMMYFUNCTION("""COMPUTED_VALUE"""),53.0)</f>
        <v>53</v>
      </c>
      <c r="L456" s="2" t="str">
        <f>IFERROR(__xludf.DUMMYFUNCTION("""COMPUTED_VALUE"""),"Лампа светодиодная LED-ШАР-DECO")</f>
        <v>Лампа светодиодная LED-ШАР-DECO</v>
      </c>
      <c r="M456" s="2" t="str">
        <f>IFERROR(__xludf.DUMMYFUNCTION("""COMPUTED_VALUE"""),"Лампы")</f>
        <v>Лампы</v>
      </c>
    </row>
    <row r="457">
      <c r="A457" s="5" t="str">
        <f>IFERROR(__xludf.DUMMYFUNCTION("""COMPUTED_VALUE"""),"51-0616")</f>
        <v>51-0616</v>
      </c>
      <c r="B457" s="5" t="str">
        <f>IFERROR(__xludf.DUMMYFUNCTION("""COMPUTED_VALUE"""),"Греющий саморегулирующийся кабель на трубу 15MSR-PB 2M (2м/30Вт) REXANT")</f>
        <v>Греющий саморегулирующийся кабель на трубу 15MSR-PB 2M (2м/30Вт) REXANT</v>
      </c>
      <c r="C457" s="2">
        <f>IFERROR(__xludf.DUMMYFUNCTION("""COMPUTED_VALUE"""),0.0)</f>
        <v>0</v>
      </c>
      <c r="D457" s="2">
        <f>IFERROR(__xludf.DUMMYFUNCTION("""COMPUTED_VALUE"""),0.0)</f>
        <v>0</v>
      </c>
      <c r="E457" s="2">
        <f>IFERROR(__xludf.DUMMYFUNCTION("""COMPUTED_VALUE"""),1.0)</f>
        <v>1</v>
      </c>
      <c r="F457" s="2">
        <f>IFERROR(__xludf.DUMMYFUNCTION("""COMPUTED_VALUE"""),1551.0)</f>
        <v>1551</v>
      </c>
      <c r="G457" s="2">
        <f>IFERROR(__xludf.DUMMYFUNCTION("""COMPUTED_VALUE"""),1655.0)</f>
        <v>1655</v>
      </c>
      <c r="H457" s="2">
        <f>IFERROR(__xludf.DUMMYFUNCTION("""COMPUTED_VALUE"""),1861.0)</f>
        <v>1861</v>
      </c>
      <c r="I457" s="2">
        <f>IFERROR(__xludf.DUMMYFUNCTION("""COMPUTED_VALUE"""),2068.31)</f>
        <v>2068.31</v>
      </c>
      <c r="J457" s="2">
        <f>IFERROR(__xludf.DUMMYFUNCTION("""COMPUTED_VALUE"""),1034.0)</f>
        <v>1034</v>
      </c>
      <c r="K457" s="2">
        <f>IFERROR(__xludf.DUMMYFUNCTION("""COMPUTED_VALUE"""),3.0)</f>
        <v>3</v>
      </c>
      <c r="L457" s="2" t="str">
        <f>IFERROR(__xludf.DUMMYFUNCTION("""COMPUTED_VALUE"""),"Rexant")</f>
        <v>Rexant</v>
      </c>
      <c r="M457" s="2" t="str">
        <f>IFERROR(__xludf.DUMMYFUNCTION("""COMPUTED_VALUE"""),"Прочие товары")</f>
        <v>Прочие товары</v>
      </c>
    </row>
    <row r="458">
      <c r="A458" s="5" t="str">
        <f>IFERROR(__xludf.DUMMYFUNCTION("""COMPUTED_VALUE"""),"4690612029627-1")</f>
        <v>4690612029627-1</v>
      </c>
      <c r="B458" s="5" t="str">
        <f>IFERROR(__xludf.DUMMYFUNCTION("""COMPUTED_VALUE"""),"LPU-02 36Вт ПРИЗМА 230В 4000К 3420Лм IP40 (в индивидуальной упаковке)")</f>
        <v>LPU-02 36Вт ПРИЗМА 230В 4000К 3420Лм IP40 (в индивидуальной упаковке)</v>
      </c>
      <c r="C458" s="2">
        <f>IFERROR(__xludf.DUMMYFUNCTION("""COMPUTED_VALUE"""),0.9500000000000001)</f>
        <v>0.95</v>
      </c>
      <c r="D458" s="2">
        <f>IFERROR(__xludf.DUMMYFUNCTION("""COMPUTED_VALUE"""),0.006730000000000001)</f>
        <v>0.00673</v>
      </c>
      <c r="E458" s="2">
        <f>IFERROR(__xludf.DUMMYFUNCTION("""COMPUTED_VALUE"""),540.96)</f>
        <v>540.96</v>
      </c>
      <c r="F458" s="2">
        <f>IFERROR(__xludf.DUMMYFUNCTION("""COMPUTED_VALUE"""),594.0)</f>
        <v>594</v>
      </c>
      <c r="G458" s="2">
        <f>IFERROR(__xludf.DUMMYFUNCTION("""COMPUTED_VALUE"""),779.0)</f>
        <v>779</v>
      </c>
      <c r="H458" s="2">
        <f>IFERROR(__xludf.DUMMYFUNCTION("""COMPUTED_VALUE"""),877.0)</f>
        <v>877</v>
      </c>
      <c r="I458" s="2">
        <f>IFERROR(__xludf.DUMMYFUNCTION("""COMPUTED_VALUE"""),974.0)</f>
        <v>974</v>
      </c>
      <c r="J458" s="2">
        <f>IFERROR(__xludf.DUMMYFUNCTION("""COMPUTED_VALUE"""),487.0)</f>
        <v>487</v>
      </c>
      <c r="K458" s="2">
        <f>IFERROR(__xludf.DUMMYFUNCTION("""COMPUTED_VALUE"""),1.0)</f>
        <v>1</v>
      </c>
      <c r="L458" s="2" t="str">
        <f>IFERROR(__xludf.DUMMYFUNCTION("""COMPUTED_VALUE"""),"InHome Светильники LED LPU-02 производство, упаковка")</f>
        <v>InHome Светильники LED LPU-02 производство, упаковка</v>
      </c>
      <c r="M458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459">
      <c r="A459" s="5" t="str">
        <f>IFERROR(__xludf.DUMMYFUNCTION("""COMPUTED_VALUE"""),"14690612053001")</f>
        <v>14690612053001</v>
      </c>
      <c r="B459" s="5" t="str">
        <f>IFERROR(__xludf.DUMMYFUNCTION("""COMPUTED_VALUE"""),"ДВО-01 7565-ПРИЗМА 75Вт 6500К 180х1195х19 NEOX (4 шт в упак.)")</f>
        <v>ДВО-01 7565-ПРИЗМА 75Вт 6500К 180х1195х19 NEOX (4 шт в упак.)</v>
      </c>
      <c r="C459" s="2">
        <f>IFERROR(__xludf.DUMMYFUNCTION("""COMPUTED_VALUE"""),1.375)</f>
        <v>1.375</v>
      </c>
      <c r="D459" s="2">
        <f>IFERROR(__xludf.DUMMYFUNCTION("""COMPUTED_VALUE"""),0.0)</f>
        <v>0</v>
      </c>
      <c r="E459" s="2">
        <f>IFERROR(__xludf.DUMMYFUNCTION("""COMPUTED_VALUE"""),3020.73)</f>
        <v>3020.73</v>
      </c>
      <c r="F459" s="2">
        <f>IFERROR(__xludf.DUMMYFUNCTION("""COMPUTED_VALUE"""),3314.0)</f>
        <v>3314</v>
      </c>
      <c r="G459" s="2">
        <f>IFERROR(__xludf.DUMMYFUNCTION("""COMPUTED_VALUE"""),4350.0)</f>
        <v>4350</v>
      </c>
      <c r="H459" s="2">
        <f>IFERROR(__xludf.DUMMYFUNCTION("""COMPUTED_VALUE"""),4893.0)</f>
        <v>4893</v>
      </c>
      <c r="I459" s="2">
        <f>IFERROR(__xludf.DUMMYFUNCTION("""COMPUTED_VALUE"""),5437.0)</f>
        <v>5437</v>
      </c>
      <c r="J459" s="2">
        <f>IFERROR(__xludf.DUMMYFUNCTION("""COMPUTED_VALUE"""),4350.0)</f>
        <v>4350</v>
      </c>
      <c r="K459" s="2">
        <f>IFERROR(__xludf.DUMMYFUNCTION("""COMPUTED_VALUE"""),2.0)</f>
        <v>2</v>
      </c>
      <c r="L459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459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460">
      <c r="A460" s="5" t="str">
        <f>IFERROR(__xludf.DUMMYFUNCTION("""COMPUTED_VALUE"""),"4690612007199")</f>
        <v>4690612007199</v>
      </c>
      <c r="B460" s="5" t="str">
        <f>IFERROR(__xludf.DUMMYFUNCTION("""COMPUTED_VALUE"""),"LED-СВЕЧА ВИТАЯ-deco 5Вт 230В Е14 3000К 450Лм золотистая IN HOME")</f>
        <v>LED-СВЕЧА ВИТАЯ-deco 5Вт 230В Е14 3000К 450Лм золотистая IN HOME</v>
      </c>
      <c r="C460" s="2">
        <f>IFERROR(__xludf.DUMMYFUNCTION("""COMPUTED_VALUE"""),0.029)</f>
        <v>0.029</v>
      </c>
      <c r="D460" s="2">
        <f>IFERROR(__xludf.DUMMYFUNCTION("""COMPUTED_VALUE"""),2.4E-4)</f>
        <v>0.00024</v>
      </c>
      <c r="E460" s="2">
        <f>IFERROR(__xludf.DUMMYFUNCTION("""COMPUTED_VALUE"""),56.95)</f>
        <v>56.95</v>
      </c>
      <c r="F460" s="2">
        <f>IFERROR(__xludf.DUMMYFUNCTION("""COMPUTED_VALUE"""),57.0)</f>
        <v>57</v>
      </c>
      <c r="G460" s="2">
        <f>IFERROR(__xludf.DUMMYFUNCTION("""COMPUTED_VALUE"""),64.0)</f>
        <v>64</v>
      </c>
      <c r="H460" s="2">
        <f>IFERROR(__xludf.DUMMYFUNCTION("""COMPUTED_VALUE"""),74.0)</f>
        <v>74</v>
      </c>
      <c r="I460" s="2">
        <f>IFERROR(__xludf.DUMMYFUNCTION("""COMPUTED_VALUE"""),85.5)</f>
        <v>85.5</v>
      </c>
      <c r="J460" s="2">
        <f>IFERROR(__xludf.DUMMYFUNCTION("""COMPUTED_VALUE"""),43.0)</f>
        <v>43</v>
      </c>
      <c r="K460" s="2">
        <f>IFERROR(__xludf.DUMMYFUNCTION("""COMPUTED_VALUE"""),48.0)</f>
        <v>48</v>
      </c>
      <c r="L460" s="2" t="str">
        <f>IFERROR(__xludf.DUMMYFUNCTION("""COMPUTED_VALUE"""),"Лампа светодиодная LED-СВЕЧА-DECO")</f>
        <v>Лампа светодиодная LED-СВЕЧА-DECO</v>
      </c>
      <c r="M460" s="2" t="str">
        <f>IFERROR(__xludf.DUMMYFUNCTION("""COMPUTED_VALUE"""),"Лампы")</f>
        <v>Лампы</v>
      </c>
    </row>
    <row r="461">
      <c r="A461" s="5" t="str">
        <f>IFERROR(__xludf.DUMMYFUNCTION("""COMPUTED_VALUE"""),"4690612035741")</f>
        <v>4690612035741</v>
      </c>
      <c r="B461" s="5" t="str">
        <f>IFERROR(__xludf.DUMMYFUNCTION("""COMPUTED_VALUE"""),"COMFORT AURORA 75Вт 230В 3000-6500K 6000Лм 480x80мм с пультом ДУ IN HOME")</f>
        <v>COMFORT AURORA 75Вт 230В 3000-6500K 6000Лм 480x80мм с пультом ДУ IN HOME</v>
      </c>
      <c r="C461" s="2">
        <f>IFERROR(__xludf.DUMMYFUNCTION("""COMPUTED_VALUE"""),1.52)</f>
        <v>1.52</v>
      </c>
      <c r="D461" s="2">
        <f>IFERROR(__xludf.DUMMYFUNCTION("""COMPUTED_VALUE"""),0.026)</f>
        <v>0.026</v>
      </c>
      <c r="E461" s="2">
        <f>IFERROR(__xludf.DUMMYFUNCTION("""COMPUTED_VALUE"""),1427.5)</f>
        <v>1427.5</v>
      </c>
      <c r="F461" s="2">
        <f>IFERROR(__xludf.DUMMYFUNCTION("""COMPUTED_VALUE"""),2037.0)</f>
        <v>2037</v>
      </c>
      <c r="G461" s="2">
        <f>IFERROR(__xludf.DUMMYFUNCTION("""COMPUTED_VALUE"""),2291.0)</f>
        <v>2291</v>
      </c>
      <c r="H461" s="2">
        <f>IFERROR(__xludf.DUMMYFUNCTION("""COMPUTED_VALUE"""),2658.0)</f>
        <v>2658</v>
      </c>
      <c r="I461" s="2">
        <f>IFERROR(__xludf.DUMMYFUNCTION("""COMPUTED_VALUE"""),3055.0)</f>
        <v>3055</v>
      </c>
      <c r="J461" s="2">
        <f>IFERROR(__xludf.DUMMYFUNCTION("""COMPUTED_VALUE"""),1428.0)</f>
        <v>1428</v>
      </c>
      <c r="K461" s="2">
        <f>IFERROR(__xludf.DUMMYFUNCTION("""COMPUTED_VALUE"""),1.0)</f>
        <v>1</v>
      </c>
      <c r="L461" s="2" t="str">
        <f>IFERROR(__xludf.DUMMYFUNCTION("""COMPUTED_VALUE"""),"Светильники светодиодные COMFORT")</f>
        <v>Светильники светодиодные COMFORT</v>
      </c>
      <c r="M461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462">
      <c r="A462" s="5" t="str">
        <f>IFERROR(__xludf.DUMMYFUNCTION("""COMPUTED_VALUE"""),"4690612020280")</f>
        <v>4690612020280</v>
      </c>
      <c r="B462" s="5" t="str">
        <f>IFERROR(__xludf.DUMMYFUNCTION("""COMPUTED_VALUE"""),"LED-A60-VC 15Вт 230В Е27 6500К 1430Лм IN HOME")</f>
        <v>LED-A60-VC 15Вт 230В Е27 6500К 1430Лм IN HOME</v>
      </c>
      <c r="C462" s="2">
        <f>IFERROR(__xludf.DUMMYFUNCTION("""COMPUTED_VALUE"""),0.05500000000000001)</f>
        <v>0.055</v>
      </c>
      <c r="D462" s="2">
        <f>IFERROR(__xludf.DUMMYFUNCTION("""COMPUTED_VALUE"""),4.0E-4)</f>
        <v>0.0004</v>
      </c>
      <c r="E462" s="2">
        <f>IFERROR(__xludf.DUMMYFUNCTION("""COMPUTED_VALUE"""),36.6)</f>
        <v>36.6</v>
      </c>
      <c r="F462" s="2">
        <f>IFERROR(__xludf.DUMMYFUNCTION("""COMPUTED_VALUE"""),54.0)</f>
        <v>54</v>
      </c>
      <c r="G462" s="2">
        <f>IFERROR(__xludf.DUMMYFUNCTION("""COMPUTED_VALUE"""),60.0)</f>
        <v>60</v>
      </c>
      <c r="H462" s="2">
        <f>IFERROR(__xludf.DUMMYFUNCTION("""COMPUTED_VALUE"""),70.0)</f>
        <v>70</v>
      </c>
      <c r="I462" s="2">
        <f>IFERROR(__xludf.DUMMYFUNCTION("""COMPUTED_VALUE"""),80.8)</f>
        <v>80.8</v>
      </c>
      <c r="J462" s="2">
        <f>IFERROR(__xludf.DUMMYFUNCTION("""COMPUTED_VALUE"""),40.0)</f>
        <v>40</v>
      </c>
      <c r="K462" s="2">
        <f>IFERROR(__xludf.DUMMYFUNCTION("""COMPUTED_VALUE"""),5.0)</f>
        <v>5</v>
      </c>
      <c r="L462" s="2" t="str">
        <f>IFERROR(__xludf.DUMMYFUNCTION("""COMPUTED_VALUE"""),"Лампа светодиодная LED-A60-standard")</f>
        <v>Лампа светодиодная LED-A60-standard</v>
      </c>
      <c r="M462" s="2" t="str">
        <f>IFERROR(__xludf.DUMMYFUNCTION("""COMPUTED_VALUE"""),"Лампы")</f>
        <v>Лампы</v>
      </c>
    </row>
    <row r="463">
      <c r="A463" s="5" t="str">
        <f>IFERROR(__xludf.DUMMYFUNCTION("""COMPUTED_VALUE"""),"4690612048505")</f>
        <v>4690612048505</v>
      </c>
      <c r="B463" s="5" t="str">
        <f>IFERROR(__xludf.DUMMYFUNCTION("""COMPUTED_VALUE"""),"НБУ ART-PT-A60-GR алюминиевый под лампу А60 Е27 600мм серый IP65 IN HOME")</f>
        <v>НБУ ART-PT-A60-GR алюминиевый под лампу А60 Е27 600мм серый IP65 IN HOME</v>
      </c>
      <c r="C463" s="2">
        <f>IFERROR(__xludf.DUMMYFUNCTION("""COMPUTED_VALUE"""),1.0)</f>
        <v>1</v>
      </c>
      <c r="D463" s="2">
        <f>IFERROR(__xludf.DUMMYFUNCTION("""COMPUTED_VALUE"""),0.0156)</f>
        <v>0.0156</v>
      </c>
      <c r="E463" s="2">
        <f>IFERROR(__xludf.DUMMYFUNCTION("""COMPUTED_VALUE"""),1.0)</f>
        <v>1</v>
      </c>
      <c r="F463" s="2">
        <f>IFERROR(__xludf.DUMMYFUNCTION("""COMPUTED_VALUE"""),1407.0)</f>
        <v>1407</v>
      </c>
      <c r="G463" s="2">
        <f>IFERROR(__xludf.DUMMYFUNCTION("""COMPUTED_VALUE"""),1583.0)</f>
        <v>1583</v>
      </c>
      <c r="H463" s="2">
        <f>IFERROR(__xludf.DUMMYFUNCTION("""COMPUTED_VALUE"""),1837.0)</f>
        <v>1837</v>
      </c>
      <c r="I463" s="2">
        <f>IFERROR(__xludf.DUMMYFUNCTION("""COMPUTED_VALUE"""),2111.0)</f>
        <v>2111</v>
      </c>
      <c r="J463" s="2">
        <f>IFERROR(__xludf.DUMMYFUNCTION("""COMPUTED_VALUE"""),1056.0)</f>
        <v>1056</v>
      </c>
      <c r="K463" s="2">
        <f>IFERROR(__xludf.DUMMYFUNCTION("""COMPUTED_VALUE"""),1.0)</f>
        <v>1</v>
      </c>
      <c r="L463" s="2" t="str">
        <f>IFERROR(__xludf.DUMMYFUNCTION("""COMPUTED_VALUE"""),"Напольные под лампу")</f>
        <v>Напольные под лампу</v>
      </c>
      <c r="M463" s="2" t="str">
        <f>IFERROR(__xludf.DUMMYFUNCTION("""COMPUTED_VALUE"""),"Ламповые светильники")</f>
        <v>Ламповые светильники</v>
      </c>
    </row>
    <row r="464">
      <c r="A464" s="5" t="str">
        <f>IFERROR(__xludf.DUMMYFUNCTION("""COMPUTED_VALUE"""),"R100004")</f>
        <v>R100004</v>
      </c>
      <c r="B464" s="5" t="str">
        <f>IFERROR(__xludf.DUMMYFUNCTION("""COMPUTED_VALUE"""),"RSV-SPP-8W-4000K-IP65")</f>
        <v>RSV-SPP-8W-4000K-IP65</v>
      </c>
      <c r="C464" s="2">
        <f>IFERROR(__xludf.DUMMYFUNCTION("""COMPUTED_VALUE"""),0.175)</f>
        <v>0.175</v>
      </c>
      <c r="D464" s="2">
        <f>IFERROR(__xludf.DUMMYFUNCTION("""COMPUTED_VALUE"""),0.00111)</f>
        <v>0.00111</v>
      </c>
      <c r="E464" s="2">
        <f>IFERROR(__xludf.DUMMYFUNCTION("""COMPUTED_VALUE"""),158.99)</f>
        <v>158.99</v>
      </c>
      <c r="F464" s="2">
        <f>IFERROR(__xludf.DUMMYFUNCTION("""COMPUTED_VALUE"""),78.0)</f>
        <v>78</v>
      </c>
      <c r="G464" s="2">
        <f>IFERROR(__xludf.DUMMYFUNCTION("""COMPUTED_VALUE"""),92.0)</f>
        <v>92</v>
      </c>
      <c r="H464" s="2">
        <f>IFERROR(__xludf.DUMMYFUNCTION("""COMPUTED_VALUE"""),95.0)</f>
        <v>95</v>
      </c>
      <c r="I464" s="2">
        <f>IFERROR(__xludf.DUMMYFUNCTION("""COMPUTED_VALUE"""),109.0)</f>
        <v>109</v>
      </c>
      <c r="J464" s="2">
        <f>IFERROR(__xludf.DUMMYFUNCTION("""COMPUTED_VALUE"""),55.0)</f>
        <v>55</v>
      </c>
      <c r="K464" s="2">
        <f>IFERROR(__xludf.DUMMYFUNCTION("""COMPUTED_VALUE"""),18.0)</f>
        <v>18</v>
      </c>
      <c r="L464" s="2" t="str">
        <f>IFERROR(__xludf.DUMMYFUNCTION("""COMPUTED_VALUE"""),"ЖКХ светильники RSV")</f>
        <v>ЖКХ светильники RSV</v>
      </c>
      <c r="M464" s="2" t="str">
        <f>IFERROR(__xludf.DUMMYFUNCTION("""COMPUTED_VALUE"""),"Без датчиков, LED Светильники")</f>
        <v>Без датчиков, LED Светильники</v>
      </c>
    </row>
    <row r="465">
      <c r="A465" s="5" t="str">
        <f>IFERROR(__xludf.DUMMYFUNCTION("""COMPUTED_VALUE"""),"4690612029825")</f>
        <v>4690612029825</v>
      </c>
      <c r="B465" s="5" t="str">
        <f>IFERROR(__xludf.DUMMYFUNCTION("""COMPUTED_VALUE"""),"LPU-01 50Вт ПРИЗМА 230В 4000K 4750Лм 180х1195х19мм IP40 IN HOME")</f>
        <v>LPU-01 50Вт ПРИЗМА 230В 4000K 4750Лм 180х1195х19мм IP40 IN HOME</v>
      </c>
      <c r="C465" s="2">
        <f>IFERROR(__xludf.DUMMYFUNCTION("""COMPUTED_VALUE"""),0.925)</f>
        <v>0.925</v>
      </c>
      <c r="D465" s="2">
        <f>IFERROR(__xludf.DUMMYFUNCTION("""COMPUTED_VALUE"""),0.00525)</f>
        <v>0.00525</v>
      </c>
      <c r="E465" s="2">
        <f>IFERROR(__xludf.DUMMYFUNCTION("""COMPUTED_VALUE"""),596.37)</f>
        <v>596.37</v>
      </c>
      <c r="F465" s="2">
        <f>IFERROR(__xludf.DUMMYFUNCTION("""COMPUTED_VALUE"""),660.0)</f>
        <v>660</v>
      </c>
      <c r="G465" s="2">
        <f>IFERROR(__xludf.DUMMYFUNCTION("""COMPUTED_VALUE"""),743.0)</f>
        <v>743</v>
      </c>
      <c r="H465" s="2">
        <f>IFERROR(__xludf.DUMMYFUNCTION("""COMPUTED_VALUE"""),861.0)</f>
        <v>861</v>
      </c>
      <c r="I465" s="2">
        <f>IFERROR(__xludf.DUMMYFUNCTION("""COMPUTED_VALUE"""),990.0)</f>
        <v>990</v>
      </c>
      <c r="J465" s="2">
        <f>IFERROR(__xludf.DUMMYFUNCTION("""COMPUTED_VALUE"""),495.0)</f>
        <v>495</v>
      </c>
      <c r="K465" s="2">
        <f>IFERROR(__xludf.DUMMYFUNCTION("""COMPUTED_VALUE"""),2.0)</f>
        <v>2</v>
      </c>
      <c r="L465" s="2" t="str">
        <f>IFERROR(__xludf.DUMMYFUNCTION("""COMPUTED_VALUE"""),"Панели светодиодные LP серии ПРИЗМА")</f>
        <v>Панели светодиодные LP серии ПРИЗМА</v>
      </c>
      <c r="M465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466">
      <c r="A466" s="5" t="str">
        <f>IFERROR(__xludf.DUMMYFUNCTION("""COMPUTED_VALUE"""),"DVO01-27-003-4K-90")</f>
        <v>DVO01-27-003-4K-90</v>
      </c>
      <c r="B466" s="5" t="str">
        <f>IFERROR(__xludf.DUMMYFUNCTION("""COMPUTED_VALUE"""),"ДВО01-27-003-4К-90")</f>
        <v>ДВО01-27-003-4К-90</v>
      </c>
      <c r="C466" s="2">
        <f>IFERROR(__xludf.DUMMYFUNCTION("""COMPUTED_VALUE"""),2.45)</f>
        <v>2.45</v>
      </c>
      <c r="D466" s="2">
        <f>IFERROR(__xludf.DUMMYFUNCTION("""COMPUTED_VALUE"""),0.01485)</f>
        <v>0.01485</v>
      </c>
      <c r="E466" s="2">
        <f>IFERROR(__xludf.DUMMYFUNCTION("""COMPUTED_VALUE"""),4529.52)</f>
        <v>4529.52</v>
      </c>
      <c r="F466" s="2">
        <f>IFERROR(__xludf.DUMMYFUNCTION("""COMPUTED_VALUE"""),5310.0)</f>
        <v>5310</v>
      </c>
      <c r="G466" s="2">
        <f>IFERROR(__xludf.DUMMYFUNCTION("""COMPUTED_VALUE"""),5490.0)</f>
        <v>5490</v>
      </c>
      <c r="H466" s="2">
        <f>IFERROR(__xludf.DUMMYFUNCTION("""COMPUTED_VALUE"""),7200.0)</f>
        <v>7200</v>
      </c>
      <c r="I466" s="2">
        <f>IFERROR(__xludf.DUMMYFUNCTION("""COMPUTED_VALUE"""),9000.0)</f>
        <v>9000</v>
      </c>
      <c r="J466" s="2">
        <f>IFERROR(__xludf.DUMMYFUNCTION("""COMPUTED_VALUE"""),4500.0)</f>
        <v>4500</v>
      </c>
      <c r="K466" s="2">
        <f>IFERROR(__xludf.DUMMYFUNCTION("""COMPUTED_VALUE"""),1.0)</f>
        <v>1</v>
      </c>
      <c r="L466" s="2" t="str">
        <f>IFERROR(__xludf.DUMMYFUNCTION("""COMPUTED_VALUE"""),"Wolta офисные")</f>
        <v>Wolta офисные</v>
      </c>
      <c r="M466" s="2" t="str">
        <f>IFERROR(__xludf.DUMMYFUNCTION("""COMPUTED_VALUE"""),"Светильники общего назначения (LED), Встраиваемые, С равномерной засветкой, Накладные, Светильники для торговых помещений (LED), LED Светильники")</f>
        <v>Светильники общего назначения (LED), Встраиваемые, С равномерной засветкой, Накладные, Светильники для торговых помещений (LED), LED Светильники</v>
      </c>
    </row>
    <row r="467">
      <c r="A467" s="5" t="str">
        <f>IFERROR(__xludf.DUMMYFUNCTION("""COMPUTED_VALUE"""),"4690612025148")</f>
        <v>4690612025148</v>
      </c>
      <c r="B467" s="5" t="str">
        <f>IFERROR(__xludf.DUMMYFUNCTION("""COMPUTED_VALUE"""),"DECO 24Вт 230В 6500К 1560Лм 300х55мм КАРУСЕЛЬ IN HOME")</f>
        <v>DECO 24Вт 230В 6500К 1560Лм 300х55мм КАРУСЕЛЬ IN HOME</v>
      </c>
      <c r="C467" s="2">
        <f>IFERROR(__xludf.DUMMYFUNCTION("""COMPUTED_VALUE"""),0.43333)</f>
        <v>0.43333</v>
      </c>
      <c r="D467" s="2">
        <f>IFERROR(__xludf.DUMMYFUNCTION("""COMPUTED_VALUE"""),0.006670000000000001)</f>
        <v>0.00667</v>
      </c>
      <c r="E467" s="2">
        <f>IFERROR(__xludf.DUMMYFUNCTION("""COMPUTED_VALUE"""),400.8)</f>
        <v>400.8</v>
      </c>
      <c r="F467" s="2">
        <f>IFERROR(__xludf.DUMMYFUNCTION("""COMPUTED_VALUE"""),421.0)</f>
        <v>421</v>
      </c>
      <c r="G467" s="2">
        <f>IFERROR(__xludf.DUMMYFUNCTION("""COMPUTED_VALUE"""),474.0)</f>
        <v>474</v>
      </c>
      <c r="H467" s="2">
        <f>IFERROR(__xludf.DUMMYFUNCTION("""COMPUTED_VALUE"""),550.0)</f>
        <v>550</v>
      </c>
      <c r="I467" s="2">
        <f>IFERROR(__xludf.DUMMYFUNCTION("""COMPUTED_VALUE"""),632.0)</f>
        <v>632</v>
      </c>
      <c r="J467" s="2">
        <f>IFERROR(__xludf.DUMMYFUNCTION("""COMPUTED_VALUE"""),316.0)</f>
        <v>316</v>
      </c>
      <c r="K467" s="2">
        <f>IFERROR(__xludf.DUMMYFUNCTION("""COMPUTED_VALUE"""),1.0)</f>
        <v>1</v>
      </c>
      <c r="L467" s="2" t="str">
        <f>IFERROR(__xludf.DUMMYFUNCTION("""COMPUTED_VALUE"""),"Светильник светодиодный серии DECO")</f>
        <v>Светильник светодиодный серии DECO</v>
      </c>
      <c r="M467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468">
      <c r="A468" s="5" t="str">
        <f>IFERROR(__xludf.DUMMYFUNCTION("""COMPUTED_VALUE"""),"4690612012728")</f>
        <v>4690612012728</v>
      </c>
      <c r="B468" s="5" t="str">
        <f>IFERROR(__xludf.DUMMYFUNCTION("""COMPUTED_VALUE"""),"СНС 13Б 60Вт E27 230В БЕЛЫЙ (коробка) IN HOME")</f>
        <v>СНС 13Б 60Вт E27 230В БЕЛЫЙ (коробка) IN HOME</v>
      </c>
      <c r="C468" s="2">
        <f>IFERROR(__xludf.DUMMYFUNCTION("""COMPUTED_VALUE"""),0.9)</f>
        <v>0.9</v>
      </c>
      <c r="D468" s="2">
        <f>IFERROR(__xludf.DUMMYFUNCTION("""COMPUTED_VALUE"""),0.007500000000000001)</f>
        <v>0.0075</v>
      </c>
      <c r="E468" s="2">
        <f>IFERROR(__xludf.DUMMYFUNCTION("""COMPUTED_VALUE"""),545.58)</f>
        <v>545.58</v>
      </c>
      <c r="F468" s="2">
        <f>IFERROR(__xludf.DUMMYFUNCTION("""COMPUTED_VALUE"""),932.0)</f>
        <v>932</v>
      </c>
      <c r="G468" s="2">
        <f>IFERROR(__xludf.DUMMYFUNCTION("""COMPUTED_VALUE"""),1049.0)</f>
        <v>1049</v>
      </c>
      <c r="H468" s="2">
        <f>IFERROR(__xludf.DUMMYFUNCTION("""COMPUTED_VALUE"""),1216.0)</f>
        <v>1216</v>
      </c>
      <c r="I468" s="2">
        <f>IFERROR(__xludf.DUMMYFUNCTION("""COMPUTED_VALUE"""),1398.0)</f>
        <v>1398</v>
      </c>
      <c r="J468" s="2">
        <f>IFERROR(__xludf.DUMMYFUNCTION("""COMPUTED_VALUE"""),699.0)</f>
        <v>699</v>
      </c>
      <c r="K468" s="2">
        <f>IFERROR(__xludf.DUMMYFUNCTION("""COMPUTED_VALUE"""),1.0)</f>
        <v>1</v>
      </c>
      <c r="L468" s="2" t="str">
        <f>IFERROR(__xludf.DUMMYFUNCTION("""COMPUTED_VALUE"""),"Настольные под лампу")</f>
        <v>Настольные под лампу</v>
      </c>
      <c r="M468" s="2" t="str">
        <f>IFERROR(__xludf.DUMMYFUNCTION("""COMPUTED_VALUE"""),"Ламповые светильники")</f>
        <v>Ламповые светильники</v>
      </c>
    </row>
    <row r="469">
      <c r="A469" s="5" t="str">
        <f>IFERROR(__xludf.DUMMYFUNCTION("""COMPUTED_VALUE"""),"4690612045481")</f>
        <v>4690612045481</v>
      </c>
      <c r="B469" s="5" t="str">
        <f>IFERROR(__xludf.DUMMYFUNCTION("""COMPUTED_VALUE"""),"НПБ ЦИЛИНДР-GX53-TB-WH под лампу GX53 90х90мм белый IN HOME")</f>
        <v>НПБ ЦИЛИНДР-GX53-TB-WH под лампу GX53 90х90мм белый IN HOME</v>
      </c>
      <c r="C469" s="2">
        <f>IFERROR(__xludf.DUMMYFUNCTION("""COMPUTED_VALUE"""),0.16)</f>
        <v>0.16</v>
      </c>
      <c r="D469" s="2">
        <f>IFERROR(__xludf.DUMMYFUNCTION("""COMPUTED_VALUE"""),8.600000000000001E-4)</f>
        <v>0.00086</v>
      </c>
      <c r="E469" s="2">
        <f>IFERROR(__xludf.DUMMYFUNCTION("""COMPUTED_VALUE"""),202.0)</f>
        <v>202</v>
      </c>
      <c r="F469" s="2">
        <f>IFERROR(__xludf.DUMMYFUNCTION("""COMPUTED_VALUE"""),271.0)</f>
        <v>271</v>
      </c>
      <c r="G469" s="2">
        <f>IFERROR(__xludf.DUMMYFUNCTION("""COMPUTED_VALUE"""),305.0)</f>
        <v>305</v>
      </c>
      <c r="H469" s="2">
        <f>IFERROR(__xludf.DUMMYFUNCTION("""COMPUTED_VALUE"""),353.0)</f>
        <v>353</v>
      </c>
      <c r="I469" s="2">
        <f>IFERROR(__xludf.DUMMYFUNCTION("""COMPUTED_VALUE"""),406.0)</f>
        <v>406</v>
      </c>
      <c r="J469" s="2">
        <f>IFERROR(__xludf.DUMMYFUNCTION("""COMPUTED_VALUE"""),202.0)</f>
        <v>202</v>
      </c>
      <c r="K469" s="2">
        <f>IFERROR(__xludf.DUMMYFUNCTION("""COMPUTED_VALUE"""),1.0)</f>
        <v>1</v>
      </c>
      <c r="L469" s="2" t="str">
        <f>IFERROR(__xludf.DUMMYFUNCTION("""COMPUTED_VALUE"""),"НБУ, НПБ под лампу")</f>
        <v>НБУ, НПБ под лампу</v>
      </c>
      <c r="M469" s="2" t="str">
        <f>IFERROR(__xludf.DUMMYFUNCTION("""COMPUTED_VALUE"""),"Ламповые светильники")</f>
        <v>Ламповые светильники</v>
      </c>
    </row>
    <row r="470">
      <c r="A470" s="5" t="str">
        <f>IFERROR(__xludf.DUMMYFUNCTION("""COMPUTED_VALUE"""),"4690612020396")</f>
        <v>4690612020396</v>
      </c>
      <c r="B470" s="5" t="str">
        <f>IFERROR(__xludf.DUMMYFUNCTION("""COMPUTED_VALUE"""),"LED-СВЕЧА-VC 6Вт 230В Е14 4000К 570Лм IN HOME")</f>
        <v>LED-СВЕЧА-VC 6Вт 230В Е14 4000К 570Лм IN HOME</v>
      </c>
      <c r="C470" s="2">
        <f>IFERROR(__xludf.DUMMYFUNCTION("""COMPUTED_VALUE"""),0.03)</f>
        <v>0.03</v>
      </c>
      <c r="D470" s="2">
        <f>IFERROR(__xludf.DUMMYFUNCTION("""COMPUTED_VALUE"""),1.9E-4)</f>
        <v>0.00019</v>
      </c>
      <c r="E470" s="2">
        <f>IFERROR(__xludf.DUMMYFUNCTION("""COMPUTED_VALUE"""),37.2)</f>
        <v>37.2</v>
      </c>
      <c r="F470" s="2">
        <f>IFERROR(__xludf.DUMMYFUNCTION("""COMPUTED_VALUE"""),44.0)</f>
        <v>44</v>
      </c>
      <c r="G470" s="2">
        <f>IFERROR(__xludf.DUMMYFUNCTION("""COMPUTED_VALUE"""),50.0)</f>
        <v>50</v>
      </c>
      <c r="H470" s="2">
        <f>IFERROR(__xludf.DUMMYFUNCTION("""COMPUTED_VALUE"""),57.0)</f>
        <v>57</v>
      </c>
      <c r="I470" s="2">
        <f>IFERROR(__xludf.DUMMYFUNCTION("""COMPUTED_VALUE"""),66.5)</f>
        <v>66.5</v>
      </c>
      <c r="J470" s="2">
        <f>IFERROR(__xludf.DUMMYFUNCTION("""COMPUTED_VALUE"""),33.0)</f>
        <v>33</v>
      </c>
      <c r="K470" s="2">
        <f>IFERROR(__xludf.DUMMYFUNCTION("""COMPUTED_VALUE"""),2.0)</f>
        <v>2</v>
      </c>
      <c r="L470" s="2" t="str">
        <f>IFERROR(__xludf.DUMMYFUNCTION("""COMPUTED_VALUE"""),"Лампа светодиодная LED-СВЕЧА-standard")</f>
        <v>Лампа светодиодная LED-СВЕЧА-standard</v>
      </c>
      <c r="M470" s="2" t="str">
        <f>IFERROR(__xludf.DUMMYFUNCTION("""COMPUTED_VALUE"""),"Лампы")</f>
        <v>Лампы</v>
      </c>
    </row>
    <row r="471">
      <c r="A471" s="5" t="str">
        <f>IFERROR(__xludf.DUMMYFUNCTION("""COMPUTED_VALUE"""),"R100729-2-pvh")</f>
        <v>R100729-2-pvh</v>
      </c>
      <c r="B471" s="5" t="str">
        <f>IFERROR(__xludf.DUMMYFUNCTION("""COMPUTED_VALUE"""),"RSV-SPO-02-56W-6500К, IP40 OPL P опал (2 штуки в упаковке тубус ПВХ)")</f>
        <v>RSV-SPO-02-56W-6500К, IP40 OPL P опал (2 штуки в упаковке тубус ПВХ)</v>
      </c>
      <c r="C471" s="2">
        <f>IFERROR(__xludf.DUMMYFUNCTION("""COMPUTED_VALUE"""),0.0)</f>
        <v>0</v>
      </c>
      <c r="D471" s="2">
        <f>IFERROR(__xludf.DUMMYFUNCTION("""COMPUTED_VALUE"""),0.0)</f>
        <v>0</v>
      </c>
      <c r="E471" s="2">
        <f>IFERROR(__xludf.DUMMYFUNCTION("""COMPUTED_VALUE"""),754.89)</f>
        <v>754.89</v>
      </c>
      <c r="F471" s="2">
        <f>IFERROR(__xludf.DUMMYFUNCTION("""COMPUTED_VALUE"""),1019.0)</f>
        <v>1019</v>
      </c>
      <c r="G471" s="2">
        <f>IFERROR(__xludf.DUMMYFUNCTION("""COMPUTED_VALUE"""),1087.0)</f>
        <v>1087</v>
      </c>
      <c r="H471" s="2">
        <f>IFERROR(__xludf.DUMMYFUNCTION("""COMPUTED_VALUE"""),1223.0)</f>
        <v>1223</v>
      </c>
      <c r="I471" s="2">
        <f>IFERROR(__xludf.DUMMYFUNCTION("""COMPUTED_VALUE"""),1359.0)</f>
        <v>1359</v>
      </c>
      <c r="J471" s="2">
        <f>IFERROR(__xludf.DUMMYFUNCTION("""COMPUTED_VALUE"""),680.0)</f>
        <v>680</v>
      </c>
      <c r="K471" s="2">
        <f>IFERROR(__xludf.DUMMYFUNCTION("""COMPUTED_VALUE"""),1.0)</f>
        <v>1</v>
      </c>
      <c r="L471" s="2" t="str">
        <f>IFERROR(__xludf.DUMMYFUNCTION("""COMPUTED_VALUE"""),"RSV-SPO Светильники Производство, упаковка тубус ПВХ")</f>
        <v>RSV-SPO Светильники Производство, упаковка тубус ПВХ</v>
      </c>
      <c r="M471" s="2" t="str">
        <f>IFERROR(__xludf.DUMMYFUNCTION("""COMPUTED_VALUE"""),"Пластиковые (линейные), Светильники общего назначения (LED), Накладные, Линейные (проходные), LED Светильники")</f>
        <v>Пластиковые (линейные), Светильники общего назначения (LED), Накладные, Линейные (проходные), LED Светильники</v>
      </c>
    </row>
    <row r="472">
      <c r="A472" s="5" t="str">
        <f>IFERROR(__xludf.DUMMYFUNCTION("""COMPUTED_VALUE"""),"4690612042329-1")</f>
        <v>4690612042329-1</v>
      </c>
      <c r="B472" s="5" t="str">
        <f>IFERROR(__xludf.DUMMYFUNCTION("""COMPUTED_VALUE"""),"ДВО-01 3665-ПРИЗМА 36Вт 230В 6500K 3600Лм 180х1195х19мм NEOX (в индивидуальной упаковке)")</f>
        <v>ДВО-01 3665-ПРИЗМА 36Вт 230В 6500K 3600Лм 180х1195х19мм NEOX (в индивидуальной упаковке)</v>
      </c>
      <c r="C472" s="2">
        <f>IFERROR(__xludf.DUMMYFUNCTION("""COMPUTED_VALUE"""),0.0)</f>
        <v>0</v>
      </c>
      <c r="D472" s="2">
        <f>IFERROR(__xludf.DUMMYFUNCTION("""COMPUTED_VALUE"""),0.0)</f>
        <v>0</v>
      </c>
      <c r="E472" s="2">
        <f>IFERROR(__xludf.DUMMYFUNCTION("""COMPUTED_VALUE"""),553.84)</f>
        <v>553.84</v>
      </c>
      <c r="F472" s="2">
        <f>IFERROR(__xludf.DUMMYFUNCTION("""COMPUTED_VALUE"""),608.0)</f>
        <v>608</v>
      </c>
      <c r="G472" s="2">
        <f>IFERROR(__xludf.DUMMYFUNCTION("""COMPUTED_VALUE"""),798.0)</f>
        <v>798</v>
      </c>
      <c r="H472" s="2">
        <f>IFERROR(__xludf.DUMMYFUNCTION("""COMPUTED_VALUE"""),897.0)</f>
        <v>897</v>
      </c>
      <c r="I472" s="2">
        <f>IFERROR(__xludf.DUMMYFUNCTION("""COMPUTED_VALUE"""),997.0)</f>
        <v>997</v>
      </c>
      <c r="J472" s="2">
        <f>IFERROR(__xludf.DUMMYFUNCTION("""COMPUTED_VALUE"""),499.0)</f>
        <v>499</v>
      </c>
      <c r="K472" s="2">
        <f>IFERROR(__xludf.DUMMYFUNCTION("""COMPUTED_VALUE"""),15.0)</f>
        <v>15</v>
      </c>
      <c r="L472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472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473">
      <c r="A473" s="5" t="str">
        <f>IFERROR(__xludf.DUMMYFUNCTION("""COMPUTED_VALUE"""),"V90491")</f>
        <v>V90491</v>
      </c>
      <c r="B473" s="5" t="str">
        <f>IFERROR(__xludf.DUMMYFUNCTION("""COMPUTED_VALUE"""),"VRN-UNE-160D-G40K67-UV, 160Вт, Галочка")</f>
        <v>VRN-UNE-160D-G40K67-UV, 160Вт, Галочка</v>
      </c>
      <c r="C473" s="2">
        <f>IFERROR(__xludf.DUMMYFUNCTION("""COMPUTED_VALUE"""),3.5)</f>
        <v>3.5</v>
      </c>
      <c r="D473" s="2">
        <f>IFERROR(__xludf.DUMMYFUNCTION("""COMPUTED_VALUE"""),0.0366)</f>
        <v>0.0366</v>
      </c>
      <c r="E473" s="2">
        <f>IFERROR(__xludf.DUMMYFUNCTION("""COMPUTED_VALUE"""),7000.0)</f>
        <v>7000</v>
      </c>
      <c r="F473" s="2">
        <f>IFERROR(__xludf.DUMMYFUNCTION("""COMPUTED_VALUE"""),7855.0)</f>
        <v>7855</v>
      </c>
      <c r="G473" s="2">
        <f>IFERROR(__xludf.DUMMYFUNCTION("""COMPUTED_VALUE"""),10212.0)</f>
        <v>10212</v>
      </c>
      <c r="H473" s="2">
        <f>IFERROR(__xludf.DUMMYFUNCTION("""COMPUTED_VALUE"""),10722.0)</f>
        <v>10722</v>
      </c>
      <c r="I473" s="2">
        <f>IFERROR(__xludf.DUMMYFUNCTION("""COMPUTED_VALUE"""),11233.0)</f>
        <v>11233</v>
      </c>
      <c r="J473" s="2">
        <f>IFERROR(__xludf.DUMMYFUNCTION("""COMPUTED_VALUE"""),5617.0)</f>
        <v>5617</v>
      </c>
      <c r="K473" s="2">
        <f>IFERROR(__xludf.DUMMYFUNCTION("""COMPUTED_VALUE"""),1.0)</f>
        <v>1</v>
      </c>
      <c r="L473" s="2" t="str">
        <f>IFERROR(__xludf.DUMMYFUNCTION("""COMPUTED_VALUE"""),"Универсал Эконом")</f>
        <v>Универсал Эконом</v>
      </c>
      <c r="M473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474">
      <c r="A474" s="5" t="str">
        <f>IFERROR(__xludf.DUMMYFUNCTION("""COMPUTED_VALUE"""),"4690612051987")</f>
        <v>4690612051987</v>
      </c>
      <c r="B474" s="5" t="str">
        <f>IFERROR(__xludf.DUMMYFUNCTION("""COMPUTED_VALUE"""),"ДБУ ROMB-1230BL 12Вт 3000К IP54 черный IN HOME")</f>
        <v>ДБУ ROMB-1230BL 12Вт 3000К IP54 черный IN HOME</v>
      </c>
      <c r="C474" s="2">
        <f>IFERROR(__xludf.DUMMYFUNCTION("""COMPUTED_VALUE"""),0.388)</f>
        <v>0.388</v>
      </c>
      <c r="D474" s="2">
        <f>IFERROR(__xludf.DUMMYFUNCTION("""COMPUTED_VALUE"""),0.00233)</f>
        <v>0.00233</v>
      </c>
      <c r="E474" s="2">
        <f>IFERROR(__xludf.DUMMYFUNCTION("""COMPUTED_VALUE"""),754.2)</f>
        <v>754.2</v>
      </c>
      <c r="F474" s="2">
        <f>IFERROR(__xludf.DUMMYFUNCTION("""COMPUTED_VALUE"""),817.0)</f>
        <v>817</v>
      </c>
      <c r="G474" s="2">
        <f>IFERROR(__xludf.DUMMYFUNCTION("""COMPUTED_VALUE"""),920.0)</f>
        <v>920</v>
      </c>
      <c r="H474" s="2">
        <f>IFERROR(__xludf.DUMMYFUNCTION("""COMPUTED_VALUE"""),1067.0)</f>
        <v>1067</v>
      </c>
      <c r="I474" s="2">
        <f>IFERROR(__xludf.DUMMYFUNCTION("""COMPUTED_VALUE"""),1226.0)</f>
        <v>1226</v>
      </c>
      <c r="J474" s="2">
        <f>IFERROR(__xludf.DUMMYFUNCTION("""COMPUTED_VALUE"""),613.0)</f>
        <v>613</v>
      </c>
      <c r="K474" s="2">
        <f>IFERROR(__xludf.DUMMYFUNCTION("""COMPUTED_VALUE"""),11.0)</f>
        <v>11</v>
      </c>
      <c r="L474" s="2" t="str">
        <f>IFERROR(__xludf.DUMMYFUNCTION("""COMPUTED_VALUE"""),"Светильники светодиодные уличные ДБУ")</f>
        <v>Светильники светодиодные уличные ДБУ</v>
      </c>
      <c r="M474" s="2" t="str">
        <f>IFERROR(__xludf.DUMMYFUNCTION("""COMPUTED_VALUE"""),"Садово-парковые, ландшафтные, LED Светильники")</f>
        <v>Садово-парковые, ландшафтные, LED Светильники</v>
      </c>
    </row>
    <row r="475">
      <c r="A475" s="5" t="str">
        <f>IFERROR(__xludf.DUMMYFUNCTION("""COMPUTED_VALUE"""),"4690612008431")</f>
        <v>4690612008431</v>
      </c>
      <c r="B475" s="5" t="str">
        <f>IFERROR(__xludf.DUMMYFUNCTION("""COMPUTED_VALUE"""),"GX53R-mini RW ультратонкий металл под лампу GX53 230В белый IN HOME")</f>
        <v>GX53R-mini RW ультратонкий металл под лампу GX53 230В белый IN HOME</v>
      </c>
      <c r="C475" s="2">
        <f>IFERROR(__xludf.DUMMYFUNCTION("""COMPUTED_VALUE"""),0.05300000000000001)</f>
        <v>0.053</v>
      </c>
      <c r="D475" s="2">
        <f>IFERROR(__xludf.DUMMYFUNCTION("""COMPUTED_VALUE"""),2.5E-4)</f>
        <v>0.00025</v>
      </c>
      <c r="E475" s="2">
        <f>IFERROR(__xludf.DUMMYFUNCTION("""COMPUTED_VALUE"""),42.73)</f>
        <v>42.73</v>
      </c>
      <c r="F475" s="2">
        <f>IFERROR(__xludf.DUMMYFUNCTION("""COMPUTED_VALUE"""),47.0)</f>
        <v>47</v>
      </c>
      <c r="G475" s="2">
        <f>IFERROR(__xludf.DUMMYFUNCTION("""COMPUTED_VALUE"""),53.0)</f>
        <v>53</v>
      </c>
      <c r="H475" s="2">
        <f>IFERROR(__xludf.DUMMYFUNCTION("""COMPUTED_VALUE"""),62.0)</f>
        <v>62</v>
      </c>
      <c r="I475" s="2">
        <f>IFERROR(__xludf.DUMMYFUNCTION("""COMPUTED_VALUE"""),71.0)</f>
        <v>71</v>
      </c>
      <c r="J475" s="2">
        <f>IFERROR(__xludf.DUMMYFUNCTION("""COMPUTED_VALUE"""),36.0)</f>
        <v>36</v>
      </c>
      <c r="K475" s="2">
        <f>IFERROR(__xludf.DUMMYFUNCTION("""COMPUTED_VALUE"""),2.0)</f>
        <v>2</v>
      </c>
      <c r="L475" s="2" t="str">
        <f>IFERROR(__xludf.DUMMYFUNCTION("""COMPUTED_VALUE"""),"Под лампу GX53")</f>
        <v>Под лампу GX53</v>
      </c>
      <c r="M475" s="2" t="str">
        <f>IFERROR(__xludf.DUMMYFUNCTION("""COMPUTED_VALUE"""),"Точечные круглые Downlight, Ламповые светильники")</f>
        <v>Точечные круглые Downlight, Ламповые светильники</v>
      </c>
    </row>
    <row r="476">
      <c r="A476" s="5" t="str">
        <f>IFERROR(__xludf.DUMMYFUNCTION("""COMPUTED_VALUE"""),"4690612020495")</f>
        <v>4690612020495</v>
      </c>
      <c r="B476" s="5" t="str">
        <f>IFERROR(__xludf.DUMMYFUNCTION("""COMPUTED_VALUE"""),"LED-СВЕЧА-VC 11Вт 230В Е27 4000К 1050Лм IN HOME")</f>
        <v>LED-СВЕЧА-VC 11Вт 230В Е27 4000К 1050Лм IN HOME</v>
      </c>
      <c r="C476" s="2">
        <f>IFERROR(__xludf.DUMMYFUNCTION("""COMPUTED_VALUE"""),0.036)</f>
        <v>0.036</v>
      </c>
      <c r="D476" s="2">
        <f>IFERROR(__xludf.DUMMYFUNCTION("""COMPUTED_VALUE"""),1.9E-4)</f>
        <v>0.00019</v>
      </c>
      <c r="E476" s="2">
        <f>IFERROR(__xludf.DUMMYFUNCTION("""COMPUTED_VALUE"""),40.2)</f>
        <v>40.2</v>
      </c>
      <c r="F476" s="2">
        <f>IFERROR(__xludf.DUMMYFUNCTION("""COMPUTED_VALUE"""),46.0)</f>
        <v>46</v>
      </c>
      <c r="G476" s="2">
        <f>IFERROR(__xludf.DUMMYFUNCTION("""COMPUTED_VALUE"""),52.0)</f>
        <v>52</v>
      </c>
      <c r="H476" s="2">
        <f>IFERROR(__xludf.DUMMYFUNCTION("""COMPUTED_VALUE"""),60.0)</f>
        <v>60</v>
      </c>
      <c r="I476" s="2">
        <f>IFERROR(__xludf.DUMMYFUNCTION("""COMPUTED_VALUE"""),69.8)</f>
        <v>69.8</v>
      </c>
      <c r="J476" s="2">
        <f>IFERROR(__xludf.DUMMYFUNCTION("""COMPUTED_VALUE"""),35.0)</f>
        <v>35</v>
      </c>
      <c r="K476" s="2">
        <f>IFERROR(__xludf.DUMMYFUNCTION("""COMPUTED_VALUE"""),12.0)</f>
        <v>12</v>
      </c>
      <c r="L476" s="2" t="str">
        <f>IFERROR(__xludf.DUMMYFUNCTION("""COMPUTED_VALUE"""),"Лампа светодиодная LED-СВЕЧА-standard")</f>
        <v>Лампа светодиодная LED-СВЕЧА-standard</v>
      </c>
      <c r="M476" s="2" t="str">
        <f>IFERROR(__xludf.DUMMYFUNCTION("""COMPUTED_VALUE"""),"Лампы")</f>
        <v>Лампы</v>
      </c>
    </row>
    <row r="477">
      <c r="A477" s="5" t="str">
        <f>IFERROR(__xludf.DUMMYFUNCTION("""COMPUTED_VALUE"""),"4690612033853")</f>
        <v>4690612033853</v>
      </c>
      <c r="B477" s="5" t="str">
        <f>IFERROR(__xludf.DUMMYFUNCTION("""COMPUTED_VALUE"""),"ДД 009 1200Вт 180 гр.12м IP44 белый IN HOME")</f>
        <v>ДД 009 1200Вт 180 гр.12м IP44 белый IN HOME</v>
      </c>
      <c r="C477" s="2">
        <f>IFERROR(__xludf.DUMMYFUNCTION("""COMPUTED_VALUE"""),0.184)</f>
        <v>0.184</v>
      </c>
      <c r="D477" s="2">
        <f>IFERROR(__xludf.DUMMYFUNCTION("""COMPUTED_VALUE"""),8.0E-4)</f>
        <v>0.0008</v>
      </c>
      <c r="E477" s="2">
        <f>IFERROR(__xludf.DUMMYFUNCTION("""COMPUTED_VALUE"""),260.5)</f>
        <v>260.5</v>
      </c>
      <c r="F477" s="2">
        <f>IFERROR(__xludf.DUMMYFUNCTION("""COMPUTED_VALUE"""),397.0)</f>
        <v>397</v>
      </c>
      <c r="G477" s="2">
        <f>IFERROR(__xludf.DUMMYFUNCTION("""COMPUTED_VALUE"""),446.0)</f>
        <v>446</v>
      </c>
      <c r="H477" s="2">
        <f>IFERROR(__xludf.DUMMYFUNCTION("""COMPUTED_VALUE"""),518.0)</f>
        <v>518</v>
      </c>
      <c r="I477" s="2">
        <f>IFERROR(__xludf.DUMMYFUNCTION("""COMPUTED_VALUE"""),595.0)</f>
        <v>595</v>
      </c>
      <c r="J477" s="2">
        <f>IFERROR(__xludf.DUMMYFUNCTION("""COMPUTED_VALUE"""),261.0)</f>
        <v>261</v>
      </c>
      <c r="K477" s="2">
        <f>IFERROR(__xludf.DUMMYFUNCTION("""COMPUTED_VALUE"""),1.0)</f>
        <v>1</v>
      </c>
      <c r="L477" s="2" t="str">
        <f>IFERROR(__xludf.DUMMYFUNCTION("""COMPUTED_VALUE"""),"ASD Комплектующие")</f>
        <v>ASD Комплектующие</v>
      </c>
      <c r="M477" s="2" t="str">
        <f>IFERROR(__xludf.DUMMYFUNCTION("""COMPUTED_VALUE"""),"Прочие товары")</f>
        <v>Прочие товары</v>
      </c>
    </row>
    <row r="478">
      <c r="A478" s="5" t="str">
        <f>IFERROR(__xludf.DUMMYFUNCTION("""COMPUTED_VALUE"""),"GL8361")</f>
        <v>GL8361</v>
      </c>
      <c r="B478" s="5" t="str">
        <f>IFERROR(__xludf.DUMMYFUNCTION("""COMPUTED_VALUE"""),"GLERIO Line Fito+ 24 Вт 4000К 97P-24D-4P-P")</f>
        <v>GLERIO Line Fito+ 24 Вт 4000К 97P-24D-4P-P</v>
      </c>
      <c r="C478" s="2">
        <f>IFERROR(__xludf.DUMMYFUNCTION("""COMPUTED_VALUE"""),1.575)</f>
        <v>1.575</v>
      </c>
      <c r="D478" s="2">
        <f>IFERROR(__xludf.DUMMYFUNCTION("""COMPUTED_VALUE"""),0.004410000000000001)</f>
        <v>0.00441</v>
      </c>
      <c r="E478" s="2">
        <f>IFERROR(__xludf.DUMMYFUNCTION("""COMPUTED_VALUE"""),1940.0)</f>
        <v>1940</v>
      </c>
      <c r="F478" s="2">
        <f>IFERROR(__xludf.DUMMYFUNCTION("""COMPUTED_VALUE"""),2470.0)</f>
        <v>2470</v>
      </c>
      <c r="G478" s="2">
        <f>IFERROR(__xludf.DUMMYFUNCTION("""COMPUTED_VALUE"""),3110.0)</f>
        <v>3110</v>
      </c>
      <c r="H478" s="2">
        <f>IFERROR(__xludf.DUMMYFUNCTION("""COMPUTED_VALUE"""),3492.0)</f>
        <v>3492</v>
      </c>
      <c r="I478" s="2">
        <f>IFERROR(__xludf.DUMMYFUNCTION("""COMPUTED_VALUE"""),3875.0)</f>
        <v>3875</v>
      </c>
      <c r="J478" s="2">
        <f>IFERROR(__xludf.DUMMYFUNCTION("""COMPUTED_VALUE"""),1938.0)</f>
        <v>1938</v>
      </c>
      <c r="K478" s="2">
        <f>IFERROR(__xludf.DUMMYFUNCTION("""COMPUTED_VALUE"""),1.0)</f>
        <v>1</v>
      </c>
      <c r="L478" s="2" t="str">
        <f>IFERROR(__xludf.DUMMYFUNCTION("""COMPUTED_VALUE"""),"Line Fito до 10.2025")</f>
        <v>Line Fito до 10.2025</v>
      </c>
      <c r="M478" s="2" t="str">
        <f>IFERROR(__xludf.DUMMYFUNCTION("""COMPUTED_VALUE"""),"Фито светильники (для растений), LED Светильники")</f>
        <v>Фито светильники (для растений), LED Светильники</v>
      </c>
    </row>
    <row r="479">
      <c r="A479" s="5" t="str">
        <f>IFERROR(__xludf.DUMMYFUNCTION("""COMPUTED_VALUE"""),"13-2060")</f>
        <v>13-2060</v>
      </c>
      <c r="B479" s="5" t="str">
        <f>IFERROR(__xludf.DUMMYFUNCTION("""COMPUTED_VALUE"""),"Профессиональный мультиметр MS8265 MASTECH")</f>
        <v>Профессиональный мультиметр MS8265 MASTECH</v>
      </c>
      <c r="C479" s="2">
        <f>IFERROR(__xludf.DUMMYFUNCTION("""COMPUTED_VALUE"""),0.0)</f>
        <v>0</v>
      </c>
      <c r="D479" s="2">
        <f>IFERROR(__xludf.DUMMYFUNCTION("""COMPUTED_VALUE"""),0.0)</f>
        <v>0</v>
      </c>
      <c r="E479" s="2">
        <f>IFERROR(__xludf.DUMMYFUNCTION("""COMPUTED_VALUE"""),1.0)</f>
        <v>1</v>
      </c>
      <c r="F479" s="2">
        <f>IFERROR(__xludf.DUMMYFUNCTION("""COMPUTED_VALUE"""),6300.0)</f>
        <v>6300</v>
      </c>
      <c r="G479" s="2">
        <f>IFERROR(__xludf.DUMMYFUNCTION("""COMPUTED_VALUE"""),6720.0)</f>
        <v>6720</v>
      </c>
      <c r="H479" s="2">
        <f>IFERROR(__xludf.DUMMYFUNCTION("""COMPUTED_VALUE"""),7560.0)</f>
        <v>7560</v>
      </c>
      <c r="I479" s="2">
        <f>IFERROR(__xludf.DUMMYFUNCTION("""COMPUTED_VALUE"""),8400.5)</f>
        <v>8400.5</v>
      </c>
      <c r="J479" s="2">
        <f>IFERROR(__xludf.DUMMYFUNCTION("""COMPUTED_VALUE"""),6720.0)</f>
        <v>6720</v>
      </c>
      <c r="K479" s="2">
        <f>IFERROR(__xludf.DUMMYFUNCTION("""COMPUTED_VALUE"""),1.0)</f>
        <v>1</v>
      </c>
      <c r="L479" s="2" t="str">
        <f>IFERROR(__xludf.DUMMYFUNCTION("""COMPUTED_VALUE"""),"Rexant")</f>
        <v>Rexant</v>
      </c>
      <c r="M479" s="2" t="str">
        <f>IFERROR(__xludf.DUMMYFUNCTION("""COMPUTED_VALUE"""),"Прочие товары")</f>
        <v>Прочие товары</v>
      </c>
    </row>
    <row r="480">
      <c r="A480" s="5" t="str">
        <f>IFERROR(__xludf.DUMMYFUNCTION("""COMPUTED_VALUE"""),"14690612042708")</f>
        <v>14690612042708</v>
      </c>
      <c r="B480" s="5" t="str">
        <f>IFERROR(__xludf.DUMMYFUNCTION("""COMPUTED_VALUE"""),"ДВО-01 3640-ПРИЗМА 36 Вт 230В 4000K 3600Лм 180х1195х19мм NEOX (4 шт в упак.)")</f>
        <v>ДВО-01 3640-ПРИЗМА 36 Вт 230В 4000K 3600Лм 180х1195х19мм NEOX (4 шт в упак.)</v>
      </c>
      <c r="C480" s="2">
        <f>IFERROR(__xludf.DUMMYFUNCTION("""COMPUTED_VALUE"""),1.275)</f>
        <v>1.275</v>
      </c>
      <c r="D480" s="2">
        <f>IFERROR(__xludf.DUMMYFUNCTION("""COMPUTED_VALUE"""),0.0)</f>
        <v>0</v>
      </c>
      <c r="E480" s="2">
        <f>IFERROR(__xludf.DUMMYFUNCTION("""COMPUTED_VALUE"""),2223.28)</f>
        <v>2223.28</v>
      </c>
      <c r="F480" s="2">
        <f>IFERROR(__xludf.DUMMYFUNCTION("""COMPUTED_VALUE"""),2439.0)</f>
        <v>2439</v>
      </c>
      <c r="G480" s="2">
        <f>IFERROR(__xludf.DUMMYFUNCTION("""COMPUTED_VALUE"""),3202.0)</f>
        <v>3202</v>
      </c>
      <c r="H480" s="2">
        <f>IFERROR(__xludf.DUMMYFUNCTION("""COMPUTED_VALUE"""),3602.0)</f>
        <v>3602</v>
      </c>
      <c r="I480" s="2">
        <f>IFERROR(__xludf.DUMMYFUNCTION("""COMPUTED_VALUE"""),4002.0)</f>
        <v>4002</v>
      </c>
      <c r="J480" s="2">
        <f>IFERROR(__xludf.DUMMYFUNCTION("""COMPUTED_VALUE"""),2001.0)</f>
        <v>2001</v>
      </c>
      <c r="K480" s="2">
        <f>IFERROR(__xludf.DUMMYFUNCTION("""COMPUTED_VALUE"""),8.0)</f>
        <v>8</v>
      </c>
      <c r="L480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480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481">
      <c r="A481" s="5" t="str">
        <f>IFERROR(__xludf.DUMMYFUNCTION("""COMPUTED_VALUE"""),"GL8271")</f>
        <v>GL8271</v>
      </c>
      <c r="B481" s="5" t="str">
        <f>IFERROR(__xludf.DUMMYFUNCTION("""COMPUTED_VALUE"""),"GLERIO Line Free 36 Вт 4000К 93P-36D-4P-P")</f>
        <v>GLERIO Line Free 36 Вт 4000К 93P-36D-4P-P</v>
      </c>
      <c r="C481" s="2">
        <f>IFERROR(__xludf.DUMMYFUNCTION("""COMPUTED_VALUE"""),0.5)</f>
        <v>0.5</v>
      </c>
      <c r="D481" s="2">
        <f>IFERROR(__xludf.DUMMYFUNCTION("""COMPUTED_VALUE"""),0.00396)</f>
        <v>0.00396</v>
      </c>
      <c r="E481" s="2">
        <f>IFERROR(__xludf.DUMMYFUNCTION("""COMPUTED_VALUE"""),1687.8)</f>
        <v>1687.8</v>
      </c>
      <c r="F481" s="2">
        <f>IFERROR(__xludf.DUMMYFUNCTION("""COMPUTED_VALUE"""),2150.0)</f>
        <v>2150</v>
      </c>
      <c r="G481" s="2">
        <f>IFERROR(__xludf.DUMMYFUNCTION("""COMPUTED_VALUE"""),2707.0)</f>
        <v>2707</v>
      </c>
      <c r="H481" s="2">
        <f>IFERROR(__xludf.DUMMYFUNCTION("""COMPUTED_VALUE"""),3040.0)</f>
        <v>3040</v>
      </c>
      <c r="I481" s="2">
        <f>IFERROR(__xludf.DUMMYFUNCTION("""COMPUTED_VALUE"""),3373.0)</f>
        <v>3373</v>
      </c>
      <c r="J481" s="2">
        <f>IFERROR(__xludf.DUMMYFUNCTION("""COMPUTED_VALUE"""),1687.0)</f>
        <v>1687</v>
      </c>
      <c r="K481" s="2">
        <f>IFERROR(__xludf.DUMMYFUNCTION("""COMPUTED_VALUE"""),1.0)</f>
        <v>1</v>
      </c>
      <c r="L481" s="2" t="str">
        <f>IFERROR(__xludf.DUMMYFUNCTION("""COMPUTED_VALUE"""),"Line Shell, Free (Retail) до 10.2025")</f>
        <v>Line Shell, Free (Retail) до 10.2025</v>
      </c>
      <c r="M481" s="2" t="str">
        <f>IFERROR(__xludf.DUMMYFUNCTION("""COMPUTED_VALUE"""),"Пластиковые (линейные), LED Светильники")</f>
        <v>Пластиковые (линейные), LED Светильники</v>
      </c>
    </row>
    <row r="482">
      <c r="A482" s="5" t="str">
        <f>IFERROR(__xludf.DUMMYFUNCTION("""COMPUTED_VALUE"""),"V9047")</f>
        <v>V9047</v>
      </c>
      <c r="B482" s="5" t="str">
        <f>IFERROR(__xludf.DUMMYFUNCTION("""COMPUTED_VALUE"""),"VRN-UNE-64D-G40K67-UV, 64Вт, Галочка")</f>
        <v>VRN-UNE-64D-G40K67-UV, 64Вт, Галочка</v>
      </c>
      <c r="C482" s="2">
        <f>IFERROR(__xludf.DUMMYFUNCTION("""COMPUTED_VALUE"""),2.0)</f>
        <v>2</v>
      </c>
      <c r="D482" s="2">
        <f>IFERROR(__xludf.DUMMYFUNCTION("""COMPUTED_VALUE"""),0.00842)</f>
        <v>0.00842</v>
      </c>
      <c r="E482" s="2">
        <f>IFERROR(__xludf.DUMMYFUNCTION("""COMPUTED_VALUE"""),3595.31)</f>
        <v>3595.31</v>
      </c>
      <c r="F482" s="2">
        <f>IFERROR(__xludf.DUMMYFUNCTION("""COMPUTED_VALUE"""),4050.0)</f>
        <v>4050</v>
      </c>
      <c r="G482" s="2">
        <f>IFERROR(__xludf.DUMMYFUNCTION("""COMPUTED_VALUE"""),5265.0)</f>
        <v>5265</v>
      </c>
      <c r="H482" s="2">
        <f>IFERROR(__xludf.DUMMYFUNCTION("""COMPUTED_VALUE"""),5528.0)</f>
        <v>5528</v>
      </c>
      <c r="I482" s="2">
        <f>IFERROR(__xludf.DUMMYFUNCTION("""COMPUTED_VALUE"""),5792.0)</f>
        <v>5792</v>
      </c>
      <c r="J482" s="2">
        <f>IFERROR(__xludf.DUMMYFUNCTION("""COMPUTED_VALUE"""),5792.0)</f>
        <v>5792</v>
      </c>
      <c r="K482" s="2">
        <f>IFERROR(__xludf.DUMMYFUNCTION("""COMPUTED_VALUE"""),21.0)</f>
        <v>21</v>
      </c>
      <c r="L482" s="2" t="str">
        <f>IFERROR(__xludf.DUMMYFUNCTION("""COMPUTED_VALUE"""),"Универсал Эконом")</f>
        <v>Универсал Эконом</v>
      </c>
      <c r="M482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483">
      <c r="A483" s="5" t="str">
        <f>IFERROR(__xludf.DUMMYFUNCTION("""COMPUTED_VALUE"""),"4690626002869")</f>
        <v>4690626002869</v>
      </c>
      <c r="B483" s="5" t="str">
        <f>IFERROR(__xludf.DUMMYFUNCTION("""COMPUTED_VALUE"""),"SBL-UFO-18-4K-E27")</f>
        <v>SBL-UFO-18-4K-E27</v>
      </c>
      <c r="C483" s="2">
        <f>IFERROR(__xludf.DUMMYFUNCTION("""COMPUTED_VALUE"""),0.2)</f>
        <v>0.2</v>
      </c>
      <c r="D483" s="2">
        <f>IFERROR(__xludf.DUMMYFUNCTION("""COMPUTED_VALUE"""),0.00211)</f>
        <v>0.00211</v>
      </c>
      <c r="E483" s="2">
        <f>IFERROR(__xludf.DUMMYFUNCTION("""COMPUTED_VALUE"""),176.98)</f>
        <v>176.98</v>
      </c>
      <c r="F483" s="2">
        <f>IFERROR(__xludf.DUMMYFUNCTION("""COMPUTED_VALUE"""),203.0)</f>
        <v>203</v>
      </c>
      <c r="G483" s="2">
        <f>IFERROR(__xludf.DUMMYFUNCTION("""COMPUTED_VALUE"""),223.0)</f>
        <v>223</v>
      </c>
      <c r="H483" s="2">
        <f>IFERROR(__xludf.DUMMYFUNCTION("""COMPUTED_VALUE"""),248.0)</f>
        <v>248</v>
      </c>
      <c r="I483" s="2">
        <f>IFERROR(__xludf.DUMMYFUNCTION("""COMPUTED_VALUE"""),273.0)</f>
        <v>273</v>
      </c>
      <c r="J483" s="2">
        <f>IFERROR(__xludf.DUMMYFUNCTION("""COMPUTED_VALUE"""),137.0)</f>
        <v>137</v>
      </c>
      <c r="K483" s="2">
        <f>IFERROR(__xludf.DUMMYFUNCTION("""COMPUTED_VALUE"""),7.0)</f>
        <v>7</v>
      </c>
      <c r="L483" s="2" t="str">
        <f>IFERROR(__xludf.DUMMYFUNCTION("""COMPUTED_VALUE"""),"Smartbuy лампы LED")</f>
        <v>Smartbuy лампы LED</v>
      </c>
      <c r="M483" s="2" t="str">
        <f>IFERROR(__xludf.DUMMYFUNCTION("""COMPUTED_VALUE"""),"Лампы")</f>
        <v>Лампы</v>
      </c>
    </row>
    <row r="484">
      <c r="A484" s="5" t="str">
        <f>IFERROR(__xludf.DUMMYFUNCTION("""COMPUTED_VALUE"""),"4690612035406")</f>
        <v>4690612035406</v>
      </c>
      <c r="B484" s="5" t="str">
        <f>IFERROR(__xludf.DUMMYFUNCTION("""COMPUTED_VALUE"""),"ELEGANT ARIS-W 90Вт 230В 3000-6500K 7000Лм 590х590х130мм c пультом ДУ белый IN HOME")</f>
        <v>ELEGANT ARIS-W 90Вт 230В 3000-6500K 7000Лм 590х590х130мм c пультом ДУ белый IN HOME</v>
      </c>
      <c r="C484" s="2">
        <f>IFERROR(__xludf.DUMMYFUNCTION("""COMPUTED_VALUE"""),2.24)</f>
        <v>2.24</v>
      </c>
      <c r="D484" s="2">
        <f>IFERROR(__xludf.DUMMYFUNCTION("""COMPUTED_VALUE"""),0.012)</f>
        <v>0.012</v>
      </c>
      <c r="E484" s="2">
        <f>IFERROR(__xludf.DUMMYFUNCTION("""COMPUTED_VALUE"""),3856.6)</f>
        <v>3856.6</v>
      </c>
      <c r="F484" s="2">
        <f>IFERROR(__xludf.DUMMYFUNCTION("""COMPUTED_VALUE"""),2482.0)</f>
        <v>2482</v>
      </c>
      <c r="G484" s="2">
        <f>IFERROR(__xludf.DUMMYFUNCTION("""COMPUTED_VALUE"""),2792.0)</f>
        <v>2792</v>
      </c>
      <c r="H484" s="2">
        <f>IFERROR(__xludf.DUMMYFUNCTION("""COMPUTED_VALUE"""),3239.0)</f>
        <v>3239</v>
      </c>
      <c r="I484" s="2">
        <f>IFERROR(__xludf.DUMMYFUNCTION("""COMPUTED_VALUE"""),3723.0)</f>
        <v>3723</v>
      </c>
      <c r="J484" s="2">
        <f>IFERROR(__xludf.DUMMYFUNCTION("""COMPUTED_VALUE"""),1862.0)</f>
        <v>1862</v>
      </c>
      <c r="K484" s="2">
        <f>IFERROR(__xludf.DUMMYFUNCTION("""COMPUTED_VALUE"""),5.0)</f>
        <v>5</v>
      </c>
      <c r="L484" s="2" t="str">
        <f>IFERROR(__xludf.DUMMYFUNCTION("""COMPUTED_VALUE"""),"Светильники светодиодные серии ELEGANT IN HOME")</f>
        <v>Светильники светодиодные серии ELEGANT IN HOME</v>
      </c>
      <c r="M484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485">
      <c r="A485" s="5" t="str">
        <f>IFERROR(__xludf.DUMMYFUNCTION("""COMPUTED_VALUE"""),"ves018")</f>
        <v>ves018</v>
      </c>
      <c r="B485" s="5" t="str">
        <f>IFERROR(__xludf.DUMMYFUNCTION("""COMPUTED_VALUE"""),"Фонарь светодиодный аккумуляторный NPT-CP15-ACCU")</f>
        <v>Фонарь светодиодный аккумуляторный NPT-CP15-ACCU</v>
      </c>
      <c r="C485" s="2">
        <f>IFERROR(__xludf.DUMMYFUNCTION("""COMPUTED_VALUE"""),0.0)</f>
        <v>0</v>
      </c>
      <c r="D485" s="2">
        <f>IFERROR(__xludf.DUMMYFUNCTION("""COMPUTED_VALUE"""),0.0)</f>
        <v>0</v>
      </c>
      <c r="E485" s="2">
        <f>IFERROR(__xludf.DUMMYFUNCTION("""COMPUTED_VALUE"""),207.97)</f>
        <v>207.97</v>
      </c>
      <c r="F485" s="2">
        <f>IFERROR(__xludf.DUMMYFUNCTION("""COMPUTED_VALUE"""),218.0)</f>
        <v>218</v>
      </c>
      <c r="G485" s="2">
        <f>IFERROR(__xludf.DUMMYFUNCTION("""COMPUTED_VALUE"""),232.0)</f>
        <v>232</v>
      </c>
      <c r="H485" s="2">
        <f>IFERROR(__xludf.DUMMYFUNCTION("""COMPUTED_VALUE"""),261.0)</f>
        <v>261</v>
      </c>
      <c r="I485" s="2">
        <f>IFERROR(__xludf.DUMMYFUNCTION("""COMPUTED_VALUE"""),290.0)</f>
        <v>290</v>
      </c>
      <c r="J485" s="2">
        <f>IFERROR(__xludf.DUMMYFUNCTION("""COMPUTED_VALUE"""),145.0)</f>
        <v>145</v>
      </c>
      <c r="K485" s="2">
        <f>IFERROR(__xludf.DUMMYFUNCTION("""COMPUTED_VALUE"""),2.0)</f>
        <v>2</v>
      </c>
      <c r="L485" s="2" t="str">
        <f>IFERROR(__xludf.DUMMYFUNCTION("""COMPUTED_VALUE"""),"ves")</f>
        <v>ves</v>
      </c>
      <c r="M485" s="2" t="str">
        <f>IFERROR(__xludf.DUMMYFUNCTION("""COMPUTED_VALUE"""),"LED Светильники")</f>
        <v>LED Светильники</v>
      </c>
    </row>
    <row r="486">
      <c r="A486" s="5" t="str">
        <f>IFERROR(__xludf.DUMMYFUNCTION("""COMPUTED_VALUE"""),"4690612056135")</f>
        <v>4690612056135</v>
      </c>
      <c r="B486" s="5" t="str">
        <f>IFERROR(__xludf.DUMMYFUNCTION("""COMPUTED_VALUE"""),"ДБУ HALO-S1530BL 15Вт 3000К IP54 150x50мм квадратный черный IN HOME")</f>
        <v>ДБУ HALO-S1530BL 15Вт 3000К IP54 150x50мм квадратный черный IN HOME</v>
      </c>
      <c r="C486" s="2">
        <f>IFERROR(__xludf.DUMMYFUNCTION("""COMPUTED_VALUE"""),0.62)</f>
        <v>0.62</v>
      </c>
      <c r="D486" s="2">
        <f>IFERROR(__xludf.DUMMYFUNCTION("""COMPUTED_VALUE"""),0.00174)</f>
        <v>0.00174</v>
      </c>
      <c r="E486" s="2">
        <f>IFERROR(__xludf.DUMMYFUNCTION("""COMPUTED_VALUE"""),1.0)</f>
        <v>1</v>
      </c>
      <c r="F486" s="2">
        <f>IFERROR(__xludf.DUMMYFUNCTION("""COMPUTED_VALUE"""),1041.0)</f>
        <v>1041</v>
      </c>
      <c r="G486" s="2">
        <f>IFERROR(__xludf.DUMMYFUNCTION("""COMPUTED_VALUE"""),1171.0)</f>
        <v>1171</v>
      </c>
      <c r="H486" s="2">
        <f>IFERROR(__xludf.DUMMYFUNCTION("""COMPUTED_VALUE"""),1358.0)</f>
        <v>1358</v>
      </c>
      <c r="I486" s="2">
        <f>IFERROR(__xludf.DUMMYFUNCTION("""COMPUTED_VALUE"""),1561.0)</f>
        <v>1561</v>
      </c>
      <c r="J486" s="2">
        <f>IFERROR(__xludf.DUMMYFUNCTION("""COMPUTED_VALUE"""),781.0)</f>
        <v>781</v>
      </c>
      <c r="K486" s="2">
        <f>IFERROR(__xludf.DUMMYFUNCTION("""COMPUTED_VALUE"""),1.0)</f>
        <v>1</v>
      </c>
      <c r="L486" s="2" t="str">
        <f>IFERROR(__xludf.DUMMYFUNCTION("""COMPUTED_VALUE"""),"Светильники светодиодные уличные ДБУ")</f>
        <v>Светильники светодиодные уличные ДБУ</v>
      </c>
      <c r="M486" s="2" t="str">
        <f>IFERROR(__xludf.DUMMYFUNCTION("""COMPUTED_VALUE"""),"Садово-парковые, ландшафтные, LED Светильники")</f>
        <v>Садово-парковые, ландшафтные, LED Светильники</v>
      </c>
    </row>
    <row r="487">
      <c r="A487" s="5" t="str">
        <f>IFERROR(__xludf.DUMMYFUNCTION("""COMPUTED_VALUE"""),"4690612022239")</f>
        <v>4690612022239</v>
      </c>
      <c r="B487" s="5" t="str">
        <f>IFERROR(__xludf.DUMMYFUNCTION("""COMPUTED_VALUE"""),"DECO 18Вт 230В 6500К 1170Лм 230х55мм СОЗВЕЗДИЕ IN HOME")</f>
        <v>DECO 18Вт 230В 6500К 1170Лм 230х55мм СОЗВЕЗДИЕ IN HOME</v>
      </c>
      <c r="C487" s="2">
        <f>IFERROR(__xludf.DUMMYFUNCTION("""COMPUTED_VALUE"""),0.30833)</f>
        <v>0.30833</v>
      </c>
      <c r="D487" s="2">
        <f>IFERROR(__xludf.DUMMYFUNCTION("""COMPUTED_VALUE"""),0.00417)</f>
        <v>0.00417</v>
      </c>
      <c r="E487" s="2">
        <f>IFERROR(__xludf.DUMMYFUNCTION("""COMPUTED_VALUE"""),296.21)</f>
        <v>296.21</v>
      </c>
      <c r="F487" s="2">
        <f>IFERROR(__xludf.DUMMYFUNCTION("""COMPUTED_VALUE"""),365.0)</f>
        <v>365</v>
      </c>
      <c r="G487" s="2">
        <f>IFERROR(__xludf.DUMMYFUNCTION("""COMPUTED_VALUE"""),411.0)</f>
        <v>411</v>
      </c>
      <c r="H487" s="2">
        <f>IFERROR(__xludf.DUMMYFUNCTION("""COMPUTED_VALUE"""),477.0)</f>
        <v>477</v>
      </c>
      <c r="I487" s="2">
        <f>IFERROR(__xludf.DUMMYFUNCTION("""COMPUTED_VALUE"""),548.0)</f>
        <v>548</v>
      </c>
      <c r="J487" s="2">
        <f>IFERROR(__xludf.DUMMYFUNCTION("""COMPUTED_VALUE"""),274.0)</f>
        <v>274</v>
      </c>
      <c r="K487" s="2">
        <f>IFERROR(__xludf.DUMMYFUNCTION("""COMPUTED_VALUE"""),11.0)</f>
        <v>11</v>
      </c>
      <c r="L487" s="2" t="str">
        <f>IFERROR(__xludf.DUMMYFUNCTION("""COMPUTED_VALUE"""),"Светильник светодиодный серии DECO")</f>
        <v>Светильник светодиодный серии DECO</v>
      </c>
      <c r="M487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488">
      <c r="A488" s="5" t="str">
        <f>IFERROR(__xludf.DUMMYFUNCTION("""COMPUTED_VALUE"""),"4260652195332")</f>
        <v>4260652195332</v>
      </c>
      <c r="B488" s="5" t="str">
        <f>IFERROR(__xludf.DUMMYFUNCTION("""COMPUTED_VALUE"""),"WTL-PI/02W")</f>
        <v>WTL-PI/02W</v>
      </c>
      <c r="C488" s="2">
        <f>IFERROR(__xludf.DUMMYFUNCTION("""COMPUTED_VALUE"""),0.056)</f>
        <v>0.056</v>
      </c>
      <c r="D488" s="2">
        <f>IFERROR(__xludf.DUMMYFUNCTION("""COMPUTED_VALUE"""),2.5E-4)</f>
        <v>0.00025</v>
      </c>
      <c r="E488" s="2">
        <f>IFERROR(__xludf.DUMMYFUNCTION("""COMPUTED_VALUE"""),91.3)</f>
        <v>91.3</v>
      </c>
      <c r="F488" s="2">
        <f>IFERROR(__xludf.DUMMYFUNCTION("""COMPUTED_VALUE"""),113.0)</f>
        <v>113</v>
      </c>
      <c r="G488" s="2">
        <f>IFERROR(__xludf.DUMMYFUNCTION("""COMPUTED_VALUE"""),117.0)</f>
        <v>117</v>
      </c>
      <c r="H488" s="2">
        <f>IFERROR(__xludf.DUMMYFUNCTION("""COMPUTED_VALUE"""),154.0)</f>
        <v>154</v>
      </c>
      <c r="I488" s="2">
        <f>IFERROR(__xludf.DUMMYFUNCTION("""COMPUTED_VALUE"""),192.0)</f>
        <v>192</v>
      </c>
      <c r="J488" s="2">
        <f>IFERROR(__xludf.DUMMYFUNCTION("""COMPUTED_VALUE"""),96.0)</f>
        <v>96</v>
      </c>
      <c r="K488" s="2">
        <f>IFERROR(__xludf.DUMMYFUNCTION("""COMPUTED_VALUE"""),4.0)</f>
        <v>4</v>
      </c>
      <c r="L488" s="2" t="str">
        <f>IFERROR(__xludf.DUMMYFUNCTION("""COMPUTED_VALUE"""),"Wolta трековые")</f>
        <v>Wolta трековые</v>
      </c>
      <c r="M488" s="2" t="str">
        <f>IFERROR(__xludf.DUMMYFUNCTION("""COMPUTED_VALUE"""),"Трековые, LED Светильники")</f>
        <v>Трековые, LED Светильники</v>
      </c>
    </row>
    <row r="489">
      <c r="A489" s="5" t="str">
        <f>IFERROR(__xludf.DUMMYFUNCTION("""COMPUTED_VALUE"""),"GL8270")</f>
        <v>GL8270</v>
      </c>
      <c r="B489" s="5" t="str">
        <f>IFERROR(__xludf.DUMMYFUNCTION("""COMPUTED_VALUE"""),"GLERIO Line Free 36 Вт 4000К 93P-36D-4P-M")</f>
        <v>GLERIO Line Free 36 Вт 4000К 93P-36D-4P-M</v>
      </c>
      <c r="C489" s="2">
        <f>IFERROR(__xludf.DUMMYFUNCTION("""COMPUTED_VALUE"""),0.5)</f>
        <v>0.5</v>
      </c>
      <c r="D489" s="2">
        <f>IFERROR(__xludf.DUMMYFUNCTION("""COMPUTED_VALUE"""),0.00396)</f>
        <v>0.00396</v>
      </c>
      <c r="E489" s="2">
        <f>IFERROR(__xludf.DUMMYFUNCTION("""COMPUTED_VALUE"""),1687.8)</f>
        <v>1687.8</v>
      </c>
      <c r="F489" s="2">
        <f>IFERROR(__xludf.DUMMYFUNCTION("""COMPUTED_VALUE"""),2150.0)</f>
        <v>2150</v>
      </c>
      <c r="G489" s="2">
        <f>IFERROR(__xludf.DUMMYFUNCTION("""COMPUTED_VALUE"""),2707.0)</f>
        <v>2707</v>
      </c>
      <c r="H489" s="2">
        <f>IFERROR(__xludf.DUMMYFUNCTION("""COMPUTED_VALUE"""),3040.0)</f>
        <v>3040</v>
      </c>
      <c r="I489" s="2">
        <f>IFERROR(__xludf.DUMMYFUNCTION("""COMPUTED_VALUE"""),3373.0)</f>
        <v>3373</v>
      </c>
      <c r="J489" s="2">
        <f>IFERROR(__xludf.DUMMYFUNCTION("""COMPUTED_VALUE"""),1687.0)</f>
        <v>1687</v>
      </c>
      <c r="K489" s="2">
        <f>IFERROR(__xludf.DUMMYFUNCTION("""COMPUTED_VALUE"""),2.0)</f>
        <v>2</v>
      </c>
      <c r="L489" s="2" t="str">
        <f>IFERROR(__xludf.DUMMYFUNCTION("""COMPUTED_VALUE"""),"Line Shell, Free (Retail) до 10.2025")</f>
        <v>Line Shell, Free (Retail) до 10.2025</v>
      </c>
      <c r="M489" s="2" t="str">
        <f>IFERROR(__xludf.DUMMYFUNCTION("""COMPUTED_VALUE"""),"Пластиковые (линейные), LED Светильники")</f>
        <v>Пластиковые (линейные), LED Светильники</v>
      </c>
    </row>
    <row r="490">
      <c r="A490" s="5" t="str">
        <f>IFERROR(__xludf.DUMMYFUNCTION("""COMPUTED_VALUE"""),"4690612031002")</f>
        <v>4690612031002</v>
      </c>
      <c r="B490" s="5" t="str">
        <f>IFERROR(__xludf.DUMMYFUNCTION("""COMPUTED_VALUE"""),"LED-T8-П-PRO 20Вт 230В G13 6500К 2000Лм 1200мм прозрачная IN HOME")</f>
        <v>LED-T8-П-PRO 20Вт 230В G13 6500К 2000Лм 1200мм прозрачная IN HOME</v>
      </c>
      <c r="C490" s="2">
        <f>IFERROR(__xludf.DUMMYFUNCTION("""COMPUTED_VALUE"""),0.188)</f>
        <v>0.188</v>
      </c>
      <c r="D490" s="2">
        <f>IFERROR(__xludf.DUMMYFUNCTION("""COMPUTED_VALUE"""),0.00144)</f>
        <v>0.00144</v>
      </c>
      <c r="E490" s="2">
        <f>IFERROR(__xludf.DUMMYFUNCTION("""COMPUTED_VALUE"""),84.0)</f>
        <v>84</v>
      </c>
      <c r="F490" s="2">
        <f>IFERROR(__xludf.DUMMYFUNCTION("""COMPUTED_VALUE"""),109.0)</f>
        <v>109</v>
      </c>
      <c r="G490" s="2">
        <f>IFERROR(__xludf.DUMMYFUNCTION("""COMPUTED_VALUE"""),123.0)</f>
        <v>123</v>
      </c>
      <c r="H490" s="2">
        <f>IFERROR(__xludf.DUMMYFUNCTION("""COMPUTED_VALUE"""),143.0)</f>
        <v>143</v>
      </c>
      <c r="I490" s="2">
        <f>IFERROR(__xludf.DUMMYFUNCTION("""COMPUTED_VALUE"""),164.4)</f>
        <v>164.4</v>
      </c>
      <c r="J490" s="2">
        <f>IFERROR(__xludf.DUMMYFUNCTION("""COMPUTED_VALUE"""),82.0)</f>
        <v>82</v>
      </c>
      <c r="K490" s="2">
        <f>IFERROR(__xludf.DUMMYFUNCTION("""COMPUTED_VALUE"""),15.0)</f>
        <v>15</v>
      </c>
      <c r="L490" s="2" t="str">
        <f>IFERROR(__xludf.DUMMYFUNCTION("""COMPUTED_VALUE"""),"Лампа светодиодная LED-T8")</f>
        <v>Лампа светодиодная LED-T8</v>
      </c>
      <c r="M490" s="2" t="str">
        <f>IFERROR(__xludf.DUMMYFUNCTION("""COMPUTED_VALUE"""),"Лампы")</f>
        <v>Лампы</v>
      </c>
    </row>
    <row r="491">
      <c r="A491" s="5" t="str">
        <f>IFERROR(__xludf.DUMMYFUNCTION("""COMPUTED_VALUE"""),"4690612027227")</f>
        <v>4690612027227</v>
      </c>
      <c r="B491" s="5" t="str">
        <f>IFERROR(__xludf.DUMMYFUNCTION("""COMPUTED_VALUE"""),"СМК 222-412 (25шт./упак.) IN HOME")</f>
        <v>СМК 222-412 (25шт./упак.) IN HOME</v>
      </c>
      <c r="C491" s="2">
        <f>IFERROR(__xludf.DUMMYFUNCTION("""COMPUTED_VALUE"""),0.09300000000000001)</f>
        <v>0.093</v>
      </c>
      <c r="D491" s="2">
        <f>IFERROR(__xludf.DUMMYFUNCTION("""COMPUTED_VALUE"""),2.5E-4)</f>
        <v>0.00025</v>
      </c>
      <c r="E491" s="2">
        <f>IFERROR(__xludf.DUMMYFUNCTION("""COMPUTED_VALUE"""),161.69)</f>
        <v>161.69</v>
      </c>
      <c r="F491" s="2">
        <f>IFERROR(__xludf.DUMMYFUNCTION("""COMPUTED_VALUE"""),194.0)</f>
        <v>194</v>
      </c>
      <c r="G491" s="2">
        <f>IFERROR(__xludf.DUMMYFUNCTION("""COMPUTED_VALUE"""),218.0)</f>
        <v>218</v>
      </c>
      <c r="H491" s="2">
        <f>IFERROR(__xludf.DUMMYFUNCTION("""COMPUTED_VALUE"""),253.0)</f>
        <v>253</v>
      </c>
      <c r="I491" s="2">
        <f>IFERROR(__xludf.DUMMYFUNCTION("""COMPUTED_VALUE"""),290.0)</f>
        <v>290</v>
      </c>
      <c r="J491" s="2">
        <f>IFERROR(__xludf.DUMMYFUNCTION("""COMPUTED_VALUE"""),218.0)</f>
        <v>218</v>
      </c>
      <c r="K491" s="2">
        <f>IFERROR(__xludf.DUMMYFUNCTION("""COMPUTED_VALUE"""),19.0)</f>
        <v>19</v>
      </c>
      <c r="L491" s="2" t="str">
        <f>IFERROR(__xludf.DUMMYFUNCTION("""COMPUTED_VALUE"""),"ASD электромонтажные изделия")</f>
        <v>ASD электромонтажные изделия</v>
      </c>
      <c r="M491" s="2" t="str">
        <f>IFERROR(__xludf.DUMMYFUNCTION("""COMPUTED_VALUE"""),"Прочие товары")</f>
        <v>Прочие товары</v>
      </c>
    </row>
    <row r="492">
      <c r="A492" s="5" t="str">
        <f>IFERROR(__xludf.DUMMYFUNCTION("""COMPUTED_VALUE"""),"12-4832")</f>
        <v>12-4832</v>
      </c>
      <c r="B492" s="5" t="str">
        <f>IFERROR(__xludf.DUMMYFUNCTION("""COMPUTED_VALUE"""),"Магнитный угольник-держатель для сварки на 6 углов усилие 22,6 кг REXANT")</f>
        <v>Магнитный угольник-держатель для сварки на 6 углов усилие 22,6 кг REXANT</v>
      </c>
      <c r="C492" s="2">
        <f>IFERROR(__xludf.DUMMYFUNCTION("""COMPUTED_VALUE"""),0.0)</f>
        <v>0</v>
      </c>
      <c r="D492" s="2">
        <f>IFERROR(__xludf.DUMMYFUNCTION("""COMPUTED_VALUE"""),0.0)</f>
        <v>0</v>
      </c>
      <c r="E492" s="2">
        <f>IFERROR(__xludf.DUMMYFUNCTION("""COMPUTED_VALUE"""),1.0)</f>
        <v>1</v>
      </c>
      <c r="F492" s="2">
        <f>IFERROR(__xludf.DUMMYFUNCTION("""COMPUTED_VALUE"""),568.0)</f>
        <v>568</v>
      </c>
      <c r="G492" s="2">
        <f>IFERROR(__xludf.DUMMYFUNCTION("""COMPUTED_VALUE"""),605.0)</f>
        <v>605</v>
      </c>
      <c r="H492" s="2">
        <f>IFERROR(__xludf.DUMMYFUNCTION("""COMPUTED_VALUE"""),681.0)</f>
        <v>681</v>
      </c>
      <c r="I492" s="2">
        <f>IFERROR(__xludf.DUMMYFUNCTION("""COMPUTED_VALUE"""),756.71)</f>
        <v>756.71</v>
      </c>
      <c r="J492" s="2">
        <f>IFERROR(__xludf.DUMMYFUNCTION("""COMPUTED_VALUE"""),568.0)</f>
        <v>568</v>
      </c>
      <c r="K492" s="2">
        <f>IFERROR(__xludf.DUMMYFUNCTION("""COMPUTED_VALUE"""),6.0)</f>
        <v>6</v>
      </c>
      <c r="L492" s="2" t="str">
        <f>IFERROR(__xludf.DUMMYFUNCTION("""COMPUTED_VALUE"""),"Rexant")</f>
        <v>Rexant</v>
      </c>
      <c r="M492" s="2" t="str">
        <f>IFERROR(__xludf.DUMMYFUNCTION("""COMPUTED_VALUE"""),"Прочие товары")</f>
        <v>Прочие товары</v>
      </c>
    </row>
    <row r="493">
      <c r="A493" s="5" t="str">
        <f>IFERROR(__xludf.DUMMYFUNCTION("""COMPUTED_VALUE"""),"14690612052998")</f>
        <v>14690612052998</v>
      </c>
      <c r="B493" s="5" t="str">
        <f>IFERROR(__xludf.DUMMYFUNCTION("""COMPUTED_VALUE"""),"ДВО-01 4565-ПРИЗМА 45Вт 6500К 180х1195х19 NEOX (4 шт в упак.)")</f>
        <v>ДВО-01 4565-ПРИЗМА 45Вт 6500К 180х1195х19 NEOX (4 шт в упак.)</v>
      </c>
      <c r="C493" s="2">
        <f>IFERROR(__xludf.DUMMYFUNCTION("""COMPUTED_VALUE"""),1.275)</f>
        <v>1.275</v>
      </c>
      <c r="D493" s="2">
        <f>IFERROR(__xludf.DUMMYFUNCTION("""COMPUTED_VALUE"""),0.0)</f>
        <v>0</v>
      </c>
      <c r="E493" s="2">
        <f>IFERROR(__xludf.DUMMYFUNCTION("""COMPUTED_VALUE"""),2568.52)</f>
        <v>2568.52</v>
      </c>
      <c r="F493" s="2">
        <f>IFERROR(__xludf.DUMMYFUNCTION("""COMPUTED_VALUE"""),2818.0)</f>
        <v>2818</v>
      </c>
      <c r="G493" s="2">
        <f>IFERROR(__xludf.DUMMYFUNCTION("""COMPUTED_VALUE"""),3698.0)</f>
        <v>3698</v>
      </c>
      <c r="H493" s="2">
        <f>IFERROR(__xludf.DUMMYFUNCTION("""COMPUTED_VALUE"""),4161.0)</f>
        <v>4161</v>
      </c>
      <c r="I493" s="2">
        <f>IFERROR(__xludf.DUMMYFUNCTION("""COMPUTED_VALUE"""),4623.0)</f>
        <v>4623</v>
      </c>
      <c r="J493" s="2">
        <f>IFERROR(__xludf.DUMMYFUNCTION("""COMPUTED_VALUE"""),2312.0)</f>
        <v>2312</v>
      </c>
      <c r="K493" s="2">
        <f>IFERROR(__xludf.DUMMYFUNCTION("""COMPUTED_VALUE"""),5.0)</f>
        <v>5</v>
      </c>
      <c r="L493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493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494">
      <c r="A494" s="5" t="str">
        <f>IFERROR(__xludf.DUMMYFUNCTION("""COMPUTED_VALUE"""),"Fefco/0201-2")</f>
        <v>Fefco/0201-2</v>
      </c>
      <c r="B494" s="5" t="str">
        <f>IFERROR(__xludf.DUMMYFUNCTION("""COMPUTED_VALUE"""),"Короб 1220х80х60 (картон Т-24 бурый 3мм)")</f>
        <v>Короб 1220х80х60 (картон Т-24 бурый 3мм)</v>
      </c>
      <c r="C494" s="2">
        <f>IFERROR(__xludf.DUMMYFUNCTION("""COMPUTED_VALUE"""),0.0)</f>
        <v>0</v>
      </c>
      <c r="D494" s="2">
        <f>IFERROR(__xludf.DUMMYFUNCTION("""COMPUTED_VALUE"""),0.0)</f>
        <v>0</v>
      </c>
      <c r="E494" s="2">
        <f>IFERROR(__xludf.DUMMYFUNCTION("""COMPUTED_VALUE"""),44.3)</f>
        <v>44.3</v>
      </c>
      <c r="F494" s="2">
        <f>IFERROR(__xludf.DUMMYFUNCTION("""COMPUTED_VALUE"""),1.0)</f>
        <v>1</v>
      </c>
      <c r="G494" s="2">
        <f>IFERROR(__xludf.DUMMYFUNCTION("""COMPUTED_VALUE"""),1.0)</f>
        <v>1</v>
      </c>
      <c r="H494" s="2">
        <f>IFERROR(__xludf.DUMMYFUNCTION("""COMPUTED_VALUE"""),1.0)</f>
        <v>1</v>
      </c>
      <c r="I494" s="2">
        <f>IFERROR(__xludf.DUMMYFUNCTION("""COMPUTED_VALUE"""),1.5)</f>
        <v>1.5</v>
      </c>
      <c r="J494" s="2">
        <f>IFERROR(__xludf.DUMMYFUNCTION("""COMPUTED_VALUE"""),1.5)</f>
        <v>1.5</v>
      </c>
      <c r="K494" s="2">
        <f>IFERROR(__xludf.DUMMYFUNCTION("""COMPUTED_VALUE"""),97.0)</f>
        <v>97</v>
      </c>
      <c r="L494" s="2" t="str">
        <f>IFERROR(__xludf.DUMMYFUNCTION("""COMPUTED_VALUE"""),"Упаковка")</f>
        <v>Упаковка</v>
      </c>
      <c r="M494" s="2" t="str">
        <f>IFERROR(__xludf.DUMMYFUNCTION("""COMPUTED_VALUE"""),"Прочие товары")</f>
        <v>Прочие товары</v>
      </c>
    </row>
    <row r="495">
      <c r="A495" s="5" t="str">
        <f>IFERROR(__xludf.DUMMYFUNCTION("""COMPUTED_VALUE"""),"4690612020525")</f>
        <v>4690612020525</v>
      </c>
      <c r="B495" s="5" t="str">
        <f>IFERROR(__xludf.DUMMYFUNCTION("""COMPUTED_VALUE"""),"LED-ШАР-VC 6Вт 230В Е27 3000К 570Лм IN HOME")</f>
        <v>LED-ШАР-VC 6Вт 230В Е27 3000К 570Лм IN HOME</v>
      </c>
      <c r="C495" s="2">
        <f>IFERROR(__xludf.DUMMYFUNCTION("""COMPUTED_VALUE"""),0.031)</f>
        <v>0.031</v>
      </c>
      <c r="D495" s="2">
        <f>IFERROR(__xludf.DUMMYFUNCTION("""COMPUTED_VALUE"""),2.3E-4)</f>
        <v>0.00023</v>
      </c>
      <c r="E495" s="2">
        <f>IFERROR(__xludf.DUMMYFUNCTION("""COMPUTED_VALUE"""),38.4)</f>
        <v>38.4</v>
      </c>
      <c r="F495" s="2">
        <f>IFERROR(__xludf.DUMMYFUNCTION("""COMPUTED_VALUE"""),44.0)</f>
        <v>44</v>
      </c>
      <c r="G495" s="2">
        <f>IFERROR(__xludf.DUMMYFUNCTION("""COMPUTED_VALUE"""),50.0)</f>
        <v>50</v>
      </c>
      <c r="H495" s="2">
        <f>IFERROR(__xludf.DUMMYFUNCTION("""COMPUTED_VALUE"""),57.0)</f>
        <v>57</v>
      </c>
      <c r="I495" s="2">
        <f>IFERROR(__xludf.DUMMYFUNCTION("""COMPUTED_VALUE"""),66.5)</f>
        <v>66.5</v>
      </c>
      <c r="J495" s="2">
        <f>IFERROR(__xludf.DUMMYFUNCTION("""COMPUTED_VALUE"""),33.0)</f>
        <v>33</v>
      </c>
      <c r="K495" s="2">
        <f>IFERROR(__xludf.DUMMYFUNCTION("""COMPUTED_VALUE"""),7.0)</f>
        <v>7</v>
      </c>
      <c r="L495" s="2" t="str">
        <f>IFERROR(__xludf.DUMMYFUNCTION("""COMPUTED_VALUE"""),"Лампа светодиодная LED-ШАР-standard")</f>
        <v>Лампа светодиодная LED-ШАР-standard</v>
      </c>
      <c r="M495" s="2" t="str">
        <f>IFERROR(__xludf.DUMMYFUNCTION("""COMPUTED_VALUE"""),"Лампы")</f>
        <v>Лампы</v>
      </c>
    </row>
    <row r="496">
      <c r="A496" s="5" t="str">
        <f>IFERROR(__xludf.DUMMYFUNCTION("""COMPUTED_VALUE"""),"4690612035130")</f>
        <v>4690612035130</v>
      </c>
      <c r="B496" s="5" t="str">
        <f>IFERROR(__xludf.DUMMYFUNCTION("""COMPUTED_VALUE"""),"COMFORT MIRAGE 75Вт 230В 3000-6500K 6000Лм 500x105мм с пультом ДУ IN HOME")</f>
        <v>COMFORT MIRAGE 75Вт 230В 3000-6500K 6000Лм 500x105мм с пультом ДУ IN HOME</v>
      </c>
      <c r="C496" s="2">
        <f>IFERROR(__xludf.DUMMYFUNCTION("""COMPUTED_VALUE"""),1.5)</f>
        <v>1.5</v>
      </c>
      <c r="D496" s="2">
        <f>IFERROR(__xludf.DUMMYFUNCTION("""COMPUTED_VALUE"""),0.03)</f>
        <v>0.03</v>
      </c>
      <c r="E496" s="2">
        <f>IFERROR(__xludf.DUMMYFUNCTION("""COMPUTED_VALUE"""),1355.5)</f>
        <v>1355.5</v>
      </c>
      <c r="F496" s="2">
        <f>IFERROR(__xludf.DUMMYFUNCTION("""COMPUTED_VALUE"""),1844.0)</f>
        <v>1844</v>
      </c>
      <c r="G496" s="2">
        <f>IFERROR(__xludf.DUMMYFUNCTION("""COMPUTED_VALUE"""),2075.0)</f>
        <v>2075</v>
      </c>
      <c r="H496" s="2">
        <f>IFERROR(__xludf.DUMMYFUNCTION("""COMPUTED_VALUE"""),2406.0)</f>
        <v>2406</v>
      </c>
      <c r="I496" s="2">
        <f>IFERROR(__xludf.DUMMYFUNCTION("""COMPUTED_VALUE"""),2766.0)</f>
        <v>2766</v>
      </c>
      <c r="J496" s="2">
        <f>IFERROR(__xludf.DUMMYFUNCTION("""COMPUTED_VALUE"""),1356.0)</f>
        <v>1356</v>
      </c>
      <c r="K496" s="2">
        <f>IFERROR(__xludf.DUMMYFUNCTION("""COMPUTED_VALUE"""),1.0)</f>
        <v>1</v>
      </c>
      <c r="L496" s="2" t="str">
        <f>IFERROR(__xludf.DUMMYFUNCTION("""COMPUTED_VALUE"""),"Светильники светодиодные COMFORT")</f>
        <v>Светильники светодиодные COMFORT</v>
      </c>
      <c r="M496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497">
      <c r="A497" s="5" t="str">
        <f>IFERROR(__xludf.DUMMYFUNCTION("""COMPUTED_VALUE"""),"Fefco/0203-3")</f>
        <v>Fefco/0203-3</v>
      </c>
      <c r="B497" s="5" t="str">
        <f>IFERROR(__xludf.DUMMYFUNCTION("""COMPUTED_VALUE"""),"Короб Fefco/0203 1205х40х185 Короб (картон Т-24 ""В"" бурый)")</f>
        <v>Короб Fefco/0203 1205х40х185 Короб (картон Т-24 "В" бурый)</v>
      </c>
      <c r="C497" s="2">
        <f>IFERROR(__xludf.DUMMYFUNCTION("""COMPUTED_VALUE"""),0.28)</f>
        <v>0.28</v>
      </c>
      <c r="D497" s="2">
        <f>IFERROR(__xludf.DUMMYFUNCTION("""COMPUTED_VALUE"""),0.002)</f>
        <v>0.002</v>
      </c>
      <c r="E497" s="2">
        <f>IFERROR(__xludf.DUMMYFUNCTION("""COMPUTED_VALUE"""),48.41)</f>
        <v>48.41</v>
      </c>
      <c r="F497" s="2">
        <f>IFERROR(__xludf.DUMMYFUNCTION("""COMPUTED_VALUE"""),1.0)</f>
        <v>1</v>
      </c>
      <c r="G497" s="2">
        <f>IFERROR(__xludf.DUMMYFUNCTION("""COMPUTED_VALUE"""),1.0)</f>
        <v>1</v>
      </c>
      <c r="H497" s="2">
        <f>IFERROR(__xludf.DUMMYFUNCTION("""COMPUTED_VALUE"""),1.0)</f>
        <v>1</v>
      </c>
      <c r="I497" s="2">
        <f>IFERROR(__xludf.DUMMYFUNCTION("""COMPUTED_VALUE"""),1.5)</f>
        <v>1.5</v>
      </c>
      <c r="J497" s="2">
        <f>IFERROR(__xludf.DUMMYFUNCTION("""COMPUTED_VALUE"""),1.5)</f>
        <v>1.5</v>
      </c>
      <c r="K497" s="2">
        <f>IFERROR(__xludf.DUMMYFUNCTION("""COMPUTED_VALUE"""),-41.0)</f>
        <v>-41</v>
      </c>
      <c r="L497" s="2" t="str">
        <f>IFERROR(__xludf.DUMMYFUNCTION("""COMPUTED_VALUE"""),"Упаковка")</f>
        <v>Упаковка</v>
      </c>
      <c r="M497" s="2" t="str">
        <f>IFERROR(__xludf.DUMMYFUNCTION("""COMPUTED_VALUE"""),"Прочие товары")</f>
        <v>Прочие товары</v>
      </c>
    </row>
    <row r="498">
      <c r="A498" s="5" t="str">
        <f>IFERROR(__xludf.DUMMYFUNCTION("""COMPUTED_VALUE"""),"4690612005089")</f>
        <v>4690612005089</v>
      </c>
      <c r="B498" s="5" t="str">
        <f>IFERROR(__xludf.DUMMYFUNCTION("""COMPUTED_VALUE"""),"LED-GX53-standard 6Вт 160-260В 4000К 480Лм ASD")</f>
        <v>LED-GX53-standard 6Вт 160-260В 4000К 480Лм ASD</v>
      </c>
      <c r="C498" s="2">
        <f>IFERROR(__xludf.DUMMYFUNCTION("""COMPUTED_VALUE"""),0.03700000000000001)</f>
        <v>0.037</v>
      </c>
      <c r="D498" s="2">
        <f>IFERROR(__xludf.DUMMYFUNCTION("""COMPUTED_VALUE"""),1.8E-4)</f>
        <v>0.00018</v>
      </c>
      <c r="E498" s="2">
        <f>IFERROR(__xludf.DUMMYFUNCTION("""COMPUTED_VALUE"""),37.52)</f>
        <v>37.52</v>
      </c>
      <c r="F498" s="2">
        <f>IFERROR(__xludf.DUMMYFUNCTION("""COMPUTED_VALUE"""),27.0)</f>
        <v>27</v>
      </c>
      <c r="G498" s="2">
        <f>IFERROR(__xludf.DUMMYFUNCTION("""COMPUTED_VALUE"""),31.0)</f>
        <v>31</v>
      </c>
      <c r="H498" s="2">
        <f>IFERROR(__xludf.DUMMYFUNCTION("""COMPUTED_VALUE"""),36.0)</f>
        <v>36</v>
      </c>
      <c r="I498" s="2">
        <f>IFERROR(__xludf.DUMMYFUNCTION("""COMPUTED_VALUE"""),41.35)</f>
        <v>41.35</v>
      </c>
      <c r="J498" s="2">
        <f>IFERROR(__xludf.DUMMYFUNCTION("""COMPUTED_VALUE"""),21.0)</f>
        <v>21</v>
      </c>
      <c r="K498" s="2">
        <f>IFERROR(__xludf.DUMMYFUNCTION("""COMPUTED_VALUE"""),1.0)</f>
        <v>1</v>
      </c>
      <c r="L498" s="2" t="str">
        <f>IFERROR(__xludf.DUMMYFUNCTION("""COMPUTED_VALUE"""),"Лампа светодиодная LED-GX53-standard")</f>
        <v>Лампа светодиодная LED-GX53-standard</v>
      </c>
      <c r="M498" s="2" t="str">
        <f>IFERROR(__xludf.DUMMYFUNCTION("""COMPUTED_VALUE"""),"Лампы")</f>
        <v>Лампы</v>
      </c>
    </row>
    <row r="499">
      <c r="A499" s="5" t="str">
        <f>IFERROR(__xludf.DUMMYFUNCTION("""COMPUTED_VALUE"""),"14690612057283")</f>
        <v>14690612057283</v>
      </c>
      <c r="B499" s="5" t="str">
        <f>IFERROR(__xludf.DUMMYFUNCTION("""COMPUTED_VALUE"""),"ДВО-PRO 4065-ОПАЛ 40Вт 6500К 120лм/Вт CRI80 IP40 595х595х30мм NEOX (4 шт в упак.)")</f>
        <v>ДВО-PRO 4065-ОПАЛ 40Вт 6500К 120лм/Вт CRI80 IP40 595х595х30мм NEOX (4 шт в упак.)</v>
      </c>
      <c r="C499" s="2">
        <f>IFERROR(__xludf.DUMMYFUNCTION("""COMPUTED_VALUE"""),0.0)</f>
        <v>0</v>
      </c>
      <c r="D499" s="2">
        <f>IFERROR(__xludf.DUMMYFUNCTION("""COMPUTED_VALUE"""),0.0)</f>
        <v>0</v>
      </c>
      <c r="E499" s="2">
        <f>IFERROR(__xludf.DUMMYFUNCTION("""COMPUTED_VALUE"""),3300.66)</f>
        <v>3300.66</v>
      </c>
      <c r="F499" s="2">
        <f>IFERROR(__xludf.DUMMYFUNCTION("""COMPUTED_VALUE"""),3621.0)</f>
        <v>3621</v>
      </c>
      <c r="G499" s="2">
        <f>IFERROR(__xludf.DUMMYFUNCTION("""COMPUTED_VALUE"""),4753.0)</f>
        <v>4753</v>
      </c>
      <c r="H499" s="2">
        <f>IFERROR(__xludf.DUMMYFUNCTION("""COMPUTED_VALUE"""),5347.0)</f>
        <v>5347</v>
      </c>
      <c r="I499" s="2">
        <f>IFERROR(__xludf.DUMMYFUNCTION("""COMPUTED_VALUE"""),5941.0)</f>
        <v>5941</v>
      </c>
      <c r="J499" s="2">
        <f>IFERROR(__xludf.DUMMYFUNCTION("""COMPUTED_VALUE"""),2971.0)</f>
        <v>2971</v>
      </c>
      <c r="K499" s="2">
        <f>IFERROR(__xludf.DUMMYFUNCTION("""COMPUTED_VALUE"""),5.0)</f>
        <v>5</v>
      </c>
      <c r="L499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499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500">
      <c r="A500" s="5" t="str">
        <f>IFERROR(__xludf.DUMMYFUNCTION("""COMPUTED_VALUE"""),"4690612021546")</f>
        <v>4690612021546</v>
      </c>
      <c r="B500" s="5" t="str">
        <f>IFERROR(__xludf.DUMMYFUNCTION("""COMPUTED_VALUE"""),"LED-GX70-VC 16Вт 230В 4000К 1520Лм IN HOME")</f>
        <v>LED-GX70-VC 16Вт 230В 4000К 1520Лм IN HOME</v>
      </c>
      <c r="C500" s="2">
        <f>IFERROR(__xludf.DUMMYFUNCTION("""COMPUTED_VALUE"""),0.15)</f>
        <v>0.15</v>
      </c>
      <c r="D500" s="2">
        <f>IFERROR(__xludf.DUMMYFUNCTION("""COMPUTED_VALUE"""),7.000000000000001E-4)</f>
        <v>0.0007</v>
      </c>
      <c r="E500" s="2">
        <f>IFERROR(__xludf.DUMMYFUNCTION("""COMPUTED_VALUE"""),167.0)</f>
        <v>167</v>
      </c>
      <c r="F500" s="2">
        <f>IFERROR(__xludf.DUMMYFUNCTION("""COMPUTED_VALUE"""),147.0)</f>
        <v>147</v>
      </c>
      <c r="G500" s="2">
        <f>IFERROR(__xludf.DUMMYFUNCTION("""COMPUTED_VALUE"""),166.0)</f>
        <v>166</v>
      </c>
      <c r="H500" s="2">
        <f>IFERROR(__xludf.DUMMYFUNCTION("""COMPUTED_VALUE"""),192.0)</f>
        <v>192</v>
      </c>
      <c r="I500" s="2">
        <f>IFERROR(__xludf.DUMMYFUNCTION("""COMPUTED_VALUE"""),221.5)</f>
        <v>221.5</v>
      </c>
      <c r="J500" s="2">
        <f>IFERROR(__xludf.DUMMYFUNCTION("""COMPUTED_VALUE"""),111.0)</f>
        <v>111</v>
      </c>
      <c r="K500" s="2">
        <f>IFERROR(__xludf.DUMMYFUNCTION("""COMPUTED_VALUE"""),4.0)</f>
        <v>4</v>
      </c>
      <c r="L500" s="2" t="str">
        <f>IFERROR(__xludf.DUMMYFUNCTION("""COMPUTED_VALUE"""),"ASD лампы LED")</f>
        <v>ASD лампы LED</v>
      </c>
      <c r="M500" s="2" t="str">
        <f>IFERROR(__xludf.DUMMYFUNCTION("""COMPUTED_VALUE"""),"Лампы")</f>
        <v>Лампы</v>
      </c>
    </row>
    <row r="501">
      <c r="A501" s="5" t="str">
        <f>IFERROR(__xludf.DUMMYFUNCTION("""COMPUTED_VALUE"""),"4690612053332")</f>
        <v>4690612053332</v>
      </c>
      <c r="B501" s="5" t="str">
        <f>IFERROR(__xludf.DUMMYFUNCTION("""COMPUTED_VALUE"""),"ДД 08Ч 1200Вт 180 гр.12м IP44 черный")</f>
        <v>ДД 08Ч 1200Вт 180 гр.12м IP44 черный</v>
      </c>
      <c r="C501" s="2">
        <f>IFERROR(__xludf.DUMMYFUNCTION("""COMPUTED_VALUE"""),0.0)</f>
        <v>0</v>
      </c>
      <c r="D501" s="2">
        <f>IFERROR(__xludf.DUMMYFUNCTION("""COMPUTED_VALUE"""),0.0)</f>
        <v>0</v>
      </c>
      <c r="E501" s="2">
        <f>IFERROR(__xludf.DUMMYFUNCTION("""COMPUTED_VALUE"""),420.6)</f>
        <v>420.6</v>
      </c>
      <c r="F501" s="2">
        <f>IFERROR(__xludf.DUMMYFUNCTION("""COMPUTED_VALUE"""),475.0)</f>
        <v>475</v>
      </c>
      <c r="G501" s="2">
        <f>IFERROR(__xludf.DUMMYFUNCTION("""COMPUTED_VALUE"""),535.0)</f>
        <v>535</v>
      </c>
      <c r="H501" s="2">
        <f>IFERROR(__xludf.DUMMYFUNCTION("""COMPUTED_VALUE"""),620.0)</f>
        <v>620</v>
      </c>
      <c r="I501" s="2">
        <f>IFERROR(__xludf.DUMMYFUNCTION("""COMPUTED_VALUE"""),713.0)</f>
        <v>713</v>
      </c>
      <c r="J501" s="2">
        <f>IFERROR(__xludf.DUMMYFUNCTION("""COMPUTED_VALUE"""),357.0)</f>
        <v>357</v>
      </c>
      <c r="K501" s="2">
        <f>IFERROR(__xludf.DUMMYFUNCTION("""COMPUTED_VALUE"""),1.0)</f>
        <v>1</v>
      </c>
      <c r="L501" s="2" t="str">
        <f>IFERROR(__xludf.DUMMYFUNCTION("""COMPUTED_VALUE"""),"ASD электромонтажные изделия")</f>
        <v>ASD электромонтажные изделия</v>
      </c>
      <c r="M501" s="2" t="str">
        <f>IFERROR(__xludf.DUMMYFUNCTION("""COMPUTED_VALUE"""),"Прочие товары")</f>
        <v>Прочие товары</v>
      </c>
    </row>
    <row r="502">
      <c r="A502" s="5" t="str">
        <f>IFERROR(__xludf.DUMMYFUNCTION("""COMPUTED_VALUE"""),"4690612010205")</f>
        <v>4690612010205</v>
      </c>
      <c r="B502" s="5" t="str">
        <f>IFERROR(__xludf.DUMMYFUNCTION("""COMPUTED_VALUE"""),"РШ/ВШ 32А 250В пластиковый накладной белый 9123 IN HOME")</f>
        <v>РШ/ВШ 32А 250В пластиковый накладной белый 9123 IN HOME</v>
      </c>
      <c r="C502" s="2">
        <f>IFERROR(__xludf.DUMMYFUNCTION("""COMPUTED_VALUE"""),0.13903)</f>
        <v>0.13903</v>
      </c>
      <c r="D502" s="2">
        <f>IFERROR(__xludf.DUMMYFUNCTION("""COMPUTED_VALUE"""),4.900000000000001E-4)</f>
        <v>0.00049</v>
      </c>
      <c r="E502" s="2">
        <f>IFERROR(__xludf.DUMMYFUNCTION("""COMPUTED_VALUE"""),107.63)</f>
        <v>107.63</v>
      </c>
      <c r="F502" s="2">
        <f>IFERROR(__xludf.DUMMYFUNCTION("""COMPUTED_VALUE"""),158.0)</f>
        <v>158</v>
      </c>
      <c r="G502" s="2">
        <f>IFERROR(__xludf.DUMMYFUNCTION("""COMPUTED_VALUE"""),178.0)</f>
        <v>178</v>
      </c>
      <c r="H502" s="2">
        <f>IFERROR(__xludf.DUMMYFUNCTION("""COMPUTED_VALUE"""),206.0)</f>
        <v>206</v>
      </c>
      <c r="I502" s="2">
        <f>IFERROR(__xludf.DUMMYFUNCTION("""COMPUTED_VALUE"""),237.0)</f>
        <v>237</v>
      </c>
      <c r="J502" s="2">
        <f>IFERROR(__xludf.DUMMYFUNCTION("""COMPUTED_VALUE"""),119.0)</f>
        <v>119</v>
      </c>
      <c r="K502" s="2">
        <f>IFERROR(__xludf.DUMMYFUNCTION("""COMPUTED_VALUE"""),4.0)</f>
        <v>4</v>
      </c>
      <c r="L502" s="2" t="str">
        <f>IFERROR(__xludf.DUMMYFUNCTION("""COMPUTED_VALUE"""),"Розетки, вилки и колодки")</f>
        <v>Розетки, вилки и колодки</v>
      </c>
      <c r="M502" s="2" t="str">
        <f>IFERROR(__xludf.DUMMYFUNCTION("""COMPUTED_VALUE"""),"Прочие товары")</f>
        <v>Прочие товары</v>
      </c>
    </row>
    <row r="503">
      <c r="A503" s="5" t="str">
        <f>IFERROR(__xludf.DUMMYFUNCTION("""COMPUTED_VALUE"""),"ves013")</f>
        <v>ves013</v>
      </c>
      <c r="B503" s="5" t="str">
        <f>IFERROR(__xludf.DUMMYFUNCTION("""COMPUTED_VALUE"""),"Фонарь налобный NPT-H04-3AAA")</f>
        <v>Фонарь налобный NPT-H04-3AAA</v>
      </c>
      <c r="C503" s="2">
        <f>IFERROR(__xludf.DUMMYFUNCTION("""COMPUTED_VALUE"""),0.0)</f>
        <v>0</v>
      </c>
      <c r="D503" s="2">
        <f>IFERROR(__xludf.DUMMYFUNCTION("""COMPUTED_VALUE"""),0.0)</f>
        <v>0</v>
      </c>
      <c r="E503" s="2">
        <f>IFERROR(__xludf.DUMMYFUNCTION("""COMPUTED_VALUE"""),203.8)</f>
        <v>203.8</v>
      </c>
      <c r="F503" s="2">
        <f>IFERROR(__xludf.DUMMYFUNCTION("""COMPUTED_VALUE"""),203.0)</f>
        <v>203</v>
      </c>
      <c r="G503" s="2">
        <f>IFERROR(__xludf.DUMMYFUNCTION("""COMPUTED_VALUE"""),216.0)</f>
        <v>216</v>
      </c>
      <c r="H503" s="2">
        <f>IFERROR(__xludf.DUMMYFUNCTION("""COMPUTED_VALUE"""),243.0)</f>
        <v>243</v>
      </c>
      <c r="I503" s="2">
        <f>IFERROR(__xludf.DUMMYFUNCTION("""COMPUTED_VALUE"""),270.0)</f>
        <v>270</v>
      </c>
      <c r="J503" s="2">
        <f>IFERROR(__xludf.DUMMYFUNCTION("""COMPUTED_VALUE"""),135.0)</f>
        <v>135</v>
      </c>
      <c r="K503" s="2">
        <f>IFERROR(__xludf.DUMMYFUNCTION("""COMPUTED_VALUE"""),4.0)</f>
        <v>4</v>
      </c>
      <c r="L503" s="2" t="str">
        <f>IFERROR(__xludf.DUMMYFUNCTION("""COMPUTED_VALUE"""),"ves")</f>
        <v>ves</v>
      </c>
      <c r="M503" s="2" t="str">
        <f>IFERROR(__xludf.DUMMYFUNCTION("""COMPUTED_VALUE"""),"LED Светильники")</f>
        <v>LED Светильники</v>
      </c>
    </row>
    <row r="504">
      <c r="A504" s="5" t="str">
        <f>IFERROR(__xludf.DUMMYFUNCTION("""COMPUTED_VALUE"""),"GL81509")</f>
        <v>GL81509</v>
      </c>
      <c r="B504" s="5" t="str">
        <f>IFERROR(__xludf.DUMMYFUNCTION("""COMPUTED_VALUE"""),"GLERIO Office Special 48 Вт 4000К 82P-48D-4G-M")</f>
        <v>GLERIO Office Special 48 Вт 4000К 82P-48D-4G-M</v>
      </c>
      <c r="C504" s="2">
        <f>IFERROR(__xludf.DUMMYFUNCTION("""COMPUTED_VALUE"""),1.14)</f>
        <v>1.14</v>
      </c>
      <c r="D504" s="2">
        <f>IFERROR(__xludf.DUMMYFUNCTION("""COMPUTED_VALUE"""),0.008190000000000001)</f>
        <v>0.00819</v>
      </c>
      <c r="E504" s="2">
        <f>IFERROR(__xludf.DUMMYFUNCTION("""COMPUTED_VALUE"""),2366.8)</f>
        <v>2366.8</v>
      </c>
      <c r="F504" s="2">
        <f>IFERROR(__xludf.DUMMYFUNCTION("""COMPUTED_VALUE"""),2730.0)</f>
        <v>2730</v>
      </c>
      <c r="G504" s="2">
        <f>IFERROR(__xludf.DUMMYFUNCTION("""COMPUTED_VALUE"""),3437.0)</f>
        <v>3437</v>
      </c>
      <c r="H504" s="2">
        <f>IFERROR(__xludf.DUMMYFUNCTION("""COMPUTED_VALUE"""),3860.0)</f>
        <v>3860</v>
      </c>
      <c r="I504" s="2">
        <f>IFERROR(__xludf.DUMMYFUNCTION("""COMPUTED_VALUE"""),4283.0)</f>
        <v>4283</v>
      </c>
      <c r="J504" s="2">
        <f>IFERROR(__xludf.DUMMYFUNCTION("""COMPUTED_VALUE"""),4283.0)</f>
        <v>4283</v>
      </c>
      <c r="K504" s="2">
        <f>IFERROR(__xludf.DUMMYFUNCTION("""COMPUTED_VALUE"""),22.0)</f>
        <v>22</v>
      </c>
      <c r="L504" s="2" t="str">
        <f>IFERROR(__xludf.DUMMYFUNCTION("""COMPUTED_VALUE"""),"Office Special (Офис Премиум) до 10.2025")</f>
        <v>Office Special (Офис Премиум) до 10.2025</v>
      </c>
      <c r="M504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505">
      <c r="A505" s="5" t="str">
        <f>IFERROR(__xludf.DUMMYFUNCTION("""COMPUTED_VALUE"""),"sra059")</f>
        <v>sra059</v>
      </c>
      <c r="B505" s="5" t="str">
        <f>IFERROR(__xludf.DUMMYFUNCTION("""COMPUTED_VALUE"""),"Лампасветодиодная ЛСО")</f>
        <v>Лампасветодиодная ЛСО</v>
      </c>
      <c r="C505" s="2">
        <f>IFERROR(__xludf.DUMMYFUNCTION("""COMPUTED_VALUE"""),0.0)</f>
        <v>0</v>
      </c>
      <c r="D505" s="2">
        <f>IFERROR(__xludf.DUMMYFUNCTION("""COMPUTED_VALUE"""),0.0)</f>
        <v>0</v>
      </c>
      <c r="E505" s="2">
        <f>IFERROR(__xludf.DUMMYFUNCTION("""COMPUTED_VALUE"""),293.71)</f>
        <v>293.71</v>
      </c>
      <c r="F505" s="2">
        <f>IFERROR(__xludf.DUMMYFUNCTION("""COMPUTED_VALUE"""),91.0)</f>
        <v>91</v>
      </c>
      <c r="G505" s="2">
        <f>IFERROR(__xludf.DUMMYFUNCTION("""COMPUTED_VALUE"""),97.0)</f>
        <v>97</v>
      </c>
      <c r="H505" s="2">
        <f>IFERROR(__xludf.DUMMYFUNCTION("""COMPUTED_VALUE"""),109.0)</f>
        <v>109</v>
      </c>
      <c r="I505" s="2">
        <f>IFERROR(__xludf.DUMMYFUNCTION("""COMPUTED_VALUE"""),121.2)</f>
        <v>121.2</v>
      </c>
      <c r="J505" s="2">
        <f>IFERROR(__xludf.DUMMYFUNCTION("""COMPUTED_VALUE"""),61.0)</f>
        <v>61</v>
      </c>
      <c r="K505" s="2">
        <f>IFERROR(__xludf.DUMMYFUNCTION("""COMPUTED_VALUE"""),15.0)</f>
        <v>15</v>
      </c>
      <c r="L505" s="2" t="str">
        <f>IFERROR(__xludf.DUMMYFUNCTION("""COMPUTED_VALUE"""),"SRA")</f>
        <v>SRA</v>
      </c>
      <c r="M505" s="2" t="str">
        <f>IFERROR(__xludf.DUMMYFUNCTION("""COMPUTED_VALUE"""),"LED Светильники")</f>
        <v>LED Светильники</v>
      </c>
    </row>
    <row r="506">
      <c r="A506" s="5" t="str">
        <f>IFERROR(__xludf.DUMMYFUNCTION("""COMPUTED_VALUE"""),"4690612008073")</f>
        <v>4690612008073</v>
      </c>
      <c r="B506" s="5" t="str">
        <f>IFERROR(__xludf.DUMMYFUNCTION("""COMPUTED_VALUE"""),"LED-A60-deco 9Вт 230В Е27 4000К 1040Лм прозрачная IN HOME")</f>
        <v>LED-A60-deco 9Вт 230В Е27 4000К 1040Лм прозрачная IN HOME</v>
      </c>
      <c r="C506" s="2">
        <f>IFERROR(__xludf.DUMMYFUNCTION("""COMPUTED_VALUE"""),0.044)</f>
        <v>0.044</v>
      </c>
      <c r="D506" s="2">
        <f>IFERROR(__xludf.DUMMYFUNCTION("""COMPUTED_VALUE"""),5.600000000000001E-4)</f>
        <v>0.00056</v>
      </c>
      <c r="E506" s="2">
        <f>IFERROR(__xludf.DUMMYFUNCTION("""COMPUTED_VALUE"""),79.2)</f>
        <v>79.2</v>
      </c>
      <c r="F506" s="2">
        <f>IFERROR(__xludf.DUMMYFUNCTION("""COMPUTED_VALUE"""),77.0)</f>
        <v>77</v>
      </c>
      <c r="G506" s="2">
        <f>IFERROR(__xludf.DUMMYFUNCTION("""COMPUTED_VALUE"""),87.0)</f>
        <v>87</v>
      </c>
      <c r="H506" s="2">
        <f>IFERROR(__xludf.DUMMYFUNCTION("""COMPUTED_VALUE"""),100.0)</f>
        <v>100</v>
      </c>
      <c r="I506" s="2">
        <f>IFERROR(__xludf.DUMMYFUNCTION("""COMPUTED_VALUE"""),116.0)</f>
        <v>116</v>
      </c>
      <c r="J506" s="2">
        <f>IFERROR(__xludf.DUMMYFUNCTION("""COMPUTED_VALUE"""),58.0)</f>
        <v>58</v>
      </c>
      <c r="K506" s="2">
        <f>IFERROR(__xludf.DUMMYFUNCTION("""COMPUTED_VALUE"""),6.0)</f>
        <v>6</v>
      </c>
      <c r="L506" s="2" t="str">
        <f>IFERROR(__xludf.DUMMYFUNCTION("""COMPUTED_VALUE"""),"Лампа светодиодная LED-A60 DECO")</f>
        <v>Лампа светодиодная LED-A60 DECO</v>
      </c>
      <c r="M506" s="2" t="str">
        <f>IFERROR(__xludf.DUMMYFUNCTION("""COMPUTED_VALUE"""),"Лампы")</f>
        <v>Лампы</v>
      </c>
    </row>
    <row r="507">
      <c r="A507" s="5" t="str">
        <f>IFERROR(__xludf.DUMMYFUNCTION("""COMPUTED_VALUE"""),"4690612042336-1")</f>
        <v>4690612042336-1</v>
      </c>
      <c r="B507" s="5" t="str">
        <f>IFERROR(__xludf.DUMMYFUNCTION("""COMPUTED_VALUE"""),"ДВО-01 4065-ОПАЛ 40Вт 230В 6500К 3600Лм 180х1195х25мм NEOX (в индивидуальной упаковке)")</f>
        <v>ДВО-01 4065-ОПАЛ 40Вт 230В 6500К 3600Лм 180х1195х25мм NEOX (в индивидуальной упаковке)</v>
      </c>
      <c r="C507" s="2">
        <f>IFERROR(__xludf.DUMMYFUNCTION("""COMPUTED_VALUE"""),0.0)</f>
        <v>0</v>
      </c>
      <c r="D507" s="2">
        <f>IFERROR(__xludf.DUMMYFUNCTION("""COMPUTED_VALUE"""),0.0)</f>
        <v>0</v>
      </c>
      <c r="E507" s="2">
        <f>IFERROR(__xludf.DUMMYFUNCTION("""COMPUTED_VALUE"""),809.97)</f>
        <v>809.97</v>
      </c>
      <c r="F507" s="2">
        <f>IFERROR(__xludf.DUMMYFUNCTION("""COMPUTED_VALUE"""),889.0)</f>
        <v>889</v>
      </c>
      <c r="G507" s="2">
        <f>IFERROR(__xludf.DUMMYFUNCTION("""COMPUTED_VALUE"""),1166.0)</f>
        <v>1166</v>
      </c>
      <c r="H507" s="2">
        <f>IFERROR(__xludf.DUMMYFUNCTION("""COMPUTED_VALUE"""),1312.0)</f>
        <v>1312</v>
      </c>
      <c r="I507" s="2">
        <f>IFERROR(__xludf.DUMMYFUNCTION("""COMPUTED_VALUE"""),1458.0)</f>
        <v>1458</v>
      </c>
      <c r="J507" s="2">
        <f>IFERROR(__xludf.DUMMYFUNCTION("""COMPUTED_VALUE"""),729.0)</f>
        <v>729</v>
      </c>
      <c r="K507" s="2">
        <f>IFERROR(__xludf.DUMMYFUNCTION("""COMPUTED_VALUE"""),26.0)</f>
        <v>26</v>
      </c>
      <c r="L507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507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508">
      <c r="A508" s="5" t="str">
        <f>IFERROR(__xludf.DUMMYFUNCTION("""COMPUTED_VALUE"""),"4690612052984-2")</f>
        <v>4690612052984-2</v>
      </c>
      <c r="B508" s="5" t="str">
        <f>IFERROR(__xludf.DUMMYFUNCTION("""COMPUTED_VALUE"""),"ДВО-02 7565-ПРИЗМА 75Вт 6500К 595х595х19 NEOX (2 шт в упак.)")</f>
        <v>ДВО-02 7565-ПРИЗМА 75Вт 6500К 595х595х19 NEOX (2 шт в упак.)</v>
      </c>
      <c r="C508" s="2">
        <f>IFERROR(__xludf.DUMMYFUNCTION("""COMPUTED_VALUE"""),1.35)</f>
        <v>1.35</v>
      </c>
      <c r="D508" s="2">
        <f>IFERROR(__xludf.DUMMYFUNCTION("""COMPUTED_VALUE"""),0.0)</f>
        <v>0</v>
      </c>
      <c r="E508" s="2">
        <f>IFERROR(__xludf.DUMMYFUNCTION("""COMPUTED_VALUE"""),1611.58)</f>
        <v>1611.58</v>
      </c>
      <c r="F508" s="2">
        <f>IFERROR(__xludf.DUMMYFUNCTION("""COMPUTED_VALUE"""),1768.0)</f>
        <v>1768</v>
      </c>
      <c r="G508" s="2">
        <f>IFERROR(__xludf.DUMMYFUNCTION("""COMPUTED_VALUE"""),2321.0)</f>
        <v>2321</v>
      </c>
      <c r="H508" s="2">
        <f>IFERROR(__xludf.DUMMYFUNCTION("""COMPUTED_VALUE"""),2611.0)</f>
        <v>2611</v>
      </c>
      <c r="I508" s="2">
        <f>IFERROR(__xludf.DUMMYFUNCTION("""COMPUTED_VALUE"""),2901.0)</f>
        <v>2901</v>
      </c>
      <c r="J508" s="2">
        <f>IFERROR(__xludf.DUMMYFUNCTION("""COMPUTED_VALUE"""),1451.0)</f>
        <v>1451</v>
      </c>
      <c r="K508" s="2">
        <f>IFERROR(__xludf.DUMMYFUNCTION("""COMPUTED_VALUE"""),1.0)</f>
        <v>1</v>
      </c>
      <c r="L508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508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509">
      <c r="A509" s="5" t="str">
        <f>IFERROR(__xludf.DUMMYFUNCTION("""COMPUTED_VALUE"""),"4690626040342")</f>
        <v>4690626040342</v>
      </c>
      <c r="B509" s="5" t="str">
        <f>IFERROR(__xludf.DUMMYFUNCTION("""COMPUTED_VALUE"""),"SBF-500S")</f>
        <v>SBF-500S</v>
      </c>
      <c r="C509" s="2">
        <f>IFERROR(__xludf.DUMMYFUNCTION("""COMPUTED_VALUE"""),0.525)</f>
        <v>0.525</v>
      </c>
      <c r="D509" s="2">
        <f>IFERROR(__xludf.DUMMYFUNCTION("""COMPUTED_VALUE"""),2.0E-5)</f>
        <v>0.00002</v>
      </c>
      <c r="E509" s="2">
        <f>IFERROR(__xludf.DUMMYFUNCTION("""COMPUTED_VALUE"""),282.87)</f>
        <v>282.87</v>
      </c>
      <c r="F509" s="2">
        <f>IFERROR(__xludf.DUMMYFUNCTION("""COMPUTED_VALUE"""),296.0)</f>
        <v>296</v>
      </c>
      <c r="G509" s="2">
        <f>IFERROR(__xludf.DUMMYFUNCTION("""COMPUTED_VALUE"""),325.0)</f>
        <v>325</v>
      </c>
      <c r="H509" s="2">
        <f>IFERROR(__xludf.DUMMYFUNCTION("""COMPUTED_VALUE"""),361.0)</f>
        <v>361</v>
      </c>
      <c r="I509" s="2">
        <f>IFERROR(__xludf.DUMMYFUNCTION("""COMPUTED_VALUE"""),397.0)</f>
        <v>397</v>
      </c>
      <c r="J509" s="2">
        <f>IFERROR(__xludf.DUMMYFUNCTION("""COMPUTED_VALUE"""),199.0)</f>
        <v>199</v>
      </c>
      <c r="K509" s="2">
        <f>IFERROR(__xludf.DUMMYFUNCTION("""COMPUTED_VALUE"""),1.0)</f>
        <v>1</v>
      </c>
      <c r="L509" s="2" t="str">
        <f>IFERROR(__xludf.DUMMYFUNCTION("""COMPUTED_VALUE"""),"Smartbuy фонари")</f>
        <v>Smartbuy фонари</v>
      </c>
      <c r="M509" s="2" t="str">
        <f>IFERROR(__xludf.DUMMYFUNCTION("""COMPUTED_VALUE"""),"Прочие товары")</f>
        <v>Прочие товары</v>
      </c>
    </row>
    <row r="510">
      <c r="A510" s="5" t="str">
        <f>IFERROR(__xludf.DUMMYFUNCTION("""COMPUTED_VALUE"""),"4690612031224")</f>
        <v>4690612031224</v>
      </c>
      <c r="B510" s="5" t="str">
        <f>IFERROR(__xludf.DUMMYFUNCTION("""COMPUTED_VALUE"""),"ЭПРА-36-SLIM 36Вт ЕМС")</f>
        <v>ЭПРА-36-SLIM 36Вт ЕМС</v>
      </c>
      <c r="C510" s="2">
        <f>IFERROR(__xludf.DUMMYFUNCTION("""COMPUTED_VALUE"""),0.084)</f>
        <v>0.084</v>
      </c>
      <c r="D510" s="2">
        <f>IFERROR(__xludf.DUMMYFUNCTION("""COMPUTED_VALUE"""),3.8E-4)</f>
        <v>0.00038</v>
      </c>
      <c r="E510" s="2">
        <f>IFERROR(__xludf.DUMMYFUNCTION("""COMPUTED_VALUE"""),202.76)</f>
        <v>202.76</v>
      </c>
      <c r="F510" s="2">
        <f>IFERROR(__xludf.DUMMYFUNCTION("""COMPUTED_VALUE"""),233.0)</f>
        <v>233</v>
      </c>
      <c r="G510" s="2">
        <f>IFERROR(__xludf.DUMMYFUNCTION("""COMPUTED_VALUE"""),263.0)</f>
        <v>263</v>
      </c>
      <c r="H510" s="2">
        <f>IFERROR(__xludf.DUMMYFUNCTION("""COMPUTED_VALUE"""),305.0)</f>
        <v>305</v>
      </c>
      <c r="I510" s="2">
        <f>IFERROR(__xludf.DUMMYFUNCTION("""COMPUTED_VALUE"""),350.0)</f>
        <v>350</v>
      </c>
      <c r="J510" s="2">
        <f>IFERROR(__xludf.DUMMYFUNCTION("""COMPUTED_VALUE"""),175.0)</f>
        <v>175</v>
      </c>
      <c r="K510" s="2">
        <f>IFERROR(__xludf.DUMMYFUNCTION("""COMPUTED_VALUE"""),21.0)</f>
        <v>21</v>
      </c>
      <c r="L510" s="2" t="str">
        <f>IFERROR(__xludf.DUMMYFUNCTION("""COMPUTED_VALUE"""),"ASD ЭПРА")</f>
        <v>ASD ЭПРА</v>
      </c>
      <c r="M510" s="2" t="str">
        <f>IFERROR(__xludf.DUMMYFUNCTION("""COMPUTED_VALUE"""),"Прочие товары")</f>
        <v>Прочие товары</v>
      </c>
    </row>
    <row r="511">
      <c r="A511" s="5" t="str">
        <f>IFERROR(__xludf.DUMMYFUNCTION("""COMPUTED_VALUE"""),"4690612033693")</f>
        <v>4690612033693</v>
      </c>
      <c r="B511" s="5" t="str">
        <f>IFERROR(__xludf.DUMMYFUNCTION("""COMPUTED_VALUE"""),"DECO 24Вт 230В 6500К 1560Лм 300х55мм ДАЙМОНД IN HOME")</f>
        <v>DECO 24Вт 230В 6500К 1560Лм 300х55мм ДАЙМОНД IN HOME</v>
      </c>
      <c r="C511" s="2">
        <f>IFERROR(__xludf.DUMMYFUNCTION("""COMPUTED_VALUE"""),0.4400000000000001)</f>
        <v>0.44</v>
      </c>
      <c r="D511" s="2">
        <f>IFERROR(__xludf.DUMMYFUNCTION("""COMPUTED_VALUE"""),0.007)</f>
        <v>0.007</v>
      </c>
      <c r="E511" s="2">
        <f>IFERROR(__xludf.DUMMYFUNCTION("""COMPUTED_VALUE"""),382.03)</f>
        <v>382.03</v>
      </c>
      <c r="F511" s="2">
        <f>IFERROR(__xludf.DUMMYFUNCTION("""COMPUTED_VALUE"""),473.0)</f>
        <v>473</v>
      </c>
      <c r="G511" s="2">
        <f>IFERROR(__xludf.DUMMYFUNCTION("""COMPUTED_VALUE"""),533.0)</f>
        <v>533</v>
      </c>
      <c r="H511" s="2">
        <f>IFERROR(__xludf.DUMMYFUNCTION("""COMPUTED_VALUE"""),618.0)</f>
        <v>618</v>
      </c>
      <c r="I511" s="2">
        <f>IFERROR(__xludf.DUMMYFUNCTION("""COMPUTED_VALUE"""),710.0)</f>
        <v>710</v>
      </c>
      <c r="J511" s="2">
        <f>IFERROR(__xludf.DUMMYFUNCTION("""COMPUTED_VALUE"""),355.0)</f>
        <v>355</v>
      </c>
      <c r="K511" s="2">
        <f>IFERROR(__xludf.DUMMYFUNCTION("""COMPUTED_VALUE"""),32.0)</f>
        <v>32</v>
      </c>
      <c r="L511" s="2" t="str">
        <f>IFERROR(__xludf.DUMMYFUNCTION("""COMPUTED_VALUE"""),"Светильник светодиодный серии DECO")</f>
        <v>Светильник светодиодный серии DECO</v>
      </c>
      <c r="M511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512">
      <c r="A512" s="5" t="str">
        <f>IFERROR(__xludf.DUMMYFUNCTION("""COMPUTED_VALUE"""),"Fefco/0201-7")</f>
        <v>Fefco/0201-7</v>
      </c>
      <c r="B512" s="5" t="str">
        <f>IFERROR(__xludf.DUMMYFUNCTION("""COMPUTED_VALUE"""),"Короб 1220х540х330 (картон Т-24 ""В"" бурый)")</f>
        <v>Короб 1220х540х330 (картон Т-24 "В" бурый)</v>
      </c>
      <c r="C512" s="2">
        <f>IFERROR(__xludf.DUMMYFUNCTION("""COMPUTED_VALUE"""),0.0)</f>
        <v>0</v>
      </c>
      <c r="D512" s="2">
        <f>IFERROR(__xludf.DUMMYFUNCTION("""COMPUTED_VALUE"""),0.0)</f>
        <v>0</v>
      </c>
      <c r="E512" s="2">
        <f>IFERROR(__xludf.DUMMYFUNCTION("""COMPUTED_VALUE"""),307.8)</f>
        <v>307.8</v>
      </c>
      <c r="F512" s="2">
        <f>IFERROR(__xludf.DUMMYFUNCTION("""COMPUTED_VALUE"""),1.0)</f>
        <v>1</v>
      </c>
      <c r="G512" s="2">
        <f>IFERROR(__xludf.DUMMYFUNCTION("""COMPUTED_VALUE"""),1.0)</f>
        <v>1</v>
      </c>
      <c r="H512" s="2">
        <f>IFERROR(__xludf.DUMMYFUNCTION("""COMPUTED_VALUE"""),1.0)</f>
        <v>1</v>
      </c>
      <c r="I512" s="2">
        <f>IFERROR(__xludf.DUMMYFUNCTION("""COMPUTED_VALUE"""),1.5)</f>
        <v>1.5</v>
      </c>
      <c r="J512" s="2">
        <f>IFERROR(__xludf.DUMMYFUNCTION("""COMPUTED_VALUE"""),1.5)</f>
        <v>1.5</v>
      </c>
      <c r="K512" s="2">
        <f>IFERROR(__xludf.DUMMYFUNCTION("""COMPUTED_VALUE"""),0.0)</f>
        <v>0</v>
      </c>
      <c r="L512" s="2" t="str">
        <f>IFERROR(__xludf.DUMMYFUNCTION("""COMPUTED_VALUE"""),"Упаковка")</f>
        <v>Упаковка</v>
      </c>
      <c r="M512" s="2" t="str">
        <f>IFERROR(__xludf.DUMMYFUNCTION("""COMPUTED_VALUE"""),"Прочие товары")</f>
        <v>Прочие товары</v>
      </c>
    </row>
    <row r="513">
      <c r="A513" s="5" t="str">
        <f>IFERROR(__xludf.DUMMYFUNCTION("""COMPUTED_VALUE"""),"GL51201")</f>
        <v>GL51201</v>
      </c>
      <c r="B513" s="5" t="str">
        <f>IFERROR(__xludf.DUMMYFUNCTION("""COMPUTED_VALUE"""),"GLERIO Practical 48 Вт 5000К 6A-48D-5U+")</f>
        <v>GLERIO Practical 48 Вт 5000К 6A-48D-5U+</v>
      </c>
      <c r="C513" s="2">
        <f>IFERROR(__xludf.DUMMYFUNCTION("""COMPUTED_VALUE"""),1.0)</f>
        <v>1</v>
      </c>
      <c r="D513" s="2">
        <f>IFERROR(__xludf.DUMMYFUNCTION("""COMPUTED_VALUE"""),0.00281)</f>
        <v>0.00281</v>
      </c>
      <c r="E513" s="2">
        <f>IFERROR(__xludf.DUMMYFUNCTION("""COMPUTED_VALUE"""),1746.0)</f>
        <v>1746</v>
      </c>
      <c r="F513" s="2">
        <f>IFERROR(__xludf.DUMMYFUNCTION("""COMPUTED_VALUE"""),2000.0)</f>
        <v>2000</v>
      </c>
      <c r="G513" s="2">
        <f>IFERROR(__xludf.DUMMYFUNCTION("""COMPUTED_VALUE"""),2500.0)</f>
        <v>2500</v>
      </c>
      <c r="H513" s="2">
        <f>IFERROR(__xludf.DUMMYFUNCTION("""COMPUTED_VALUE"""),2813.0)</f>
        <v>2813</v>
      </c>
      <c r="I513" s="2">
        <f>IFERROR(__xludf.DUMMYFUNCTION("""COMPUTED_VALUE"""),3125.0)</f>
        <v>3125</v>
      </c>
      <c r="J513" s="2">
        <f>IFERROR(__xludf.DUMMYFUNCTION("""COMPUTED_VALUE"""),3125.0)</f>
        <v>3125</v>
      </c>
      <c r="K513" s="2">
        <f>IFERROR(__xludf.DUMMYFUNCTION("""COMPUTED_VALUE"""),2.0)</f>
        <v>2</v>
      </c>
      <c r="L513" s="2" t="str">
        <f>IFERROR(__xludf.DUMMYFUNCTION("""COMPUTED_VALUE"""),"Practical+ Уличные GLERIO")</f>
        <v>Practical+ Уличные GLERIO</v>
      </c>
      <c r="M513" s="2" t="str">
        <f>IFERROR(__xludf.DUMMYFUNCTION("""COMPUTED_VALUE"""),"Для обычных дорог, LED Светильники")</f>
        <v>Для обычных дорог, LED Светильники</v>
      </c>
    </row>
    <row r="514">
      <c r="A514" s="5" t="str">
        <f>IFERROR(__xludf.DUMMYFUNCTION("""COMPUTED_VALUE"""),"03697")</f>
        <v>03697</v>
      </c>
      <c r="B514" s="5" t="str">
        <f>IFERROR(__xludf.DUMMYFUNCTION("""COMPUTED_VALUE"""),"TLPL236 ECP")</f>
        <v>TLPL236 ECP</v>
      </c>
      <c r="C514" s="2">
        <f>IFERROR(__xludf.DUMMYFUNCTION("""COMPUTED_VALUE"""),2.1)</f>
        <v>2.1</v>
      </c>
      <c r="D514" s="2">
        <f>IFERROR(__xludf.DUMMYFUNCTION("""COMPUTED_VALUE"""),0.01384)</f>
        <v>0.01384</v>
      </c>
      <c r="E514" s="2">
        <f>IFERROR(__xludf.DUMMYFUNCTION("""COMPUTED_VALUE"""),411.02)</f>
        <v>411.02</v>
      </c>
      <c r="F514" s="2">
        <f>IFERROR(__xludf.DUMMYFUNCTION("""COMPUTED_VALUE"""),561.0)</f>
        <v>561</v>
      </c>
      <c r="G514" s="2">
        <f>IFERROR(__xludf.DUMMYFUNCTION("""COMPUTED_VALUE"""),633.0)</f>
        <v>633</v>
      </c>
      <c r="H514" s="2">
        <f>IFERROR(__xludf.DUMMYFUNCTION("""COMPUTED_VALUE"""),648.0)</f>
        <v>648</v>
      </c>
      <c r="I514" s="2">
        <f>IFERROR(__xludf.DUMMYFUNCTION("""COMPUTED_VALUE"""),790.0)</f>
        <v>790</v>
      </c>
      <c r="J514" s="2">
        <f>IFERROR(__xludf.DUMMYFUNCTION("""COMPUTED_VALUE"""),395.0)</f>
        <v>395</v>
      </c>
      <c r="K514" s="2">
        <f>IFERROR(__xludf.DUMMYFUNCTION("""COMPUTED_VALUE"""),4.0)</f>
        <v>4</v>
      </c>
      <c r="L514" s="2" t="str">
        <f>IFERROR(__xludf.DUMMYFUNCTION("""COMPUTED_VALUE"""),"Технолюкс Ламповые TLPL (IP20)")</f>
        <v>Технолюкс Ламповые TLPL (IP20)</v>
      </c>
      <c r="M514" s="2" t="str">
        <f>IFERROR(__xludf.DUMMYFUNCTION("""COMPUTED_VALUE"""),"Ламповые светильники")</f>
        <v>Ламповые светильники</v>
      </c>
    </row>
    <row r="515">
      <c r="A515" s="5" t="str">
        <f>IFERROR(__xludf.DUMMYFUNCTION("""COMPUTED_VALUE"""),"ves2014")</f>
        <v>ves2014</v>
      </c>
      <c r="B515" s="5" t="str">
        <f>IFERROR(__xludf.DUMMYFUNCTION("""COMPUTED_VALUE"""),"Вилка переносная 024 3Р+РЕ 32А 380В IP44")</f>
        <v>Вилка переносная 024 3Р+РЕ 32А 380В IP44</v>
      </c>
      <c r="C515" s="2">
        <f>IFERROR(__xludf.DUMMYFUNCTION("""COMPUTED_VALUE"""),0.0)</f>
        <v>0</v>
      </c>
      <c r="D515" s="2">
        <f>IFERROR(__xludf.DUMMYFUNCTION("""COMPUTED_VALUE"""),0.0)</f>
        <v>0</v>
      </c>
      <c r="E515" s="2">
        <f>IFERROR(__xludf.DUMMYFUNCTION("""COMPUTED_VALUE"""),197.74)</f>
        <v>197.74</v>
      </c>
      <c r="F515" s="2">
        <f>IFERROR(__xludf.DUMMYFUNCTION("""COMPUTED_VALUE"""),271.0)</f>
        <v>271</v>
      </c>
      <c r="G515" s="2">
        <f>IFERROR(__xludf.DUMMYFUNCTION("""COMPUTED_VALUE"""),289.0)</f>
        <v>289</v>
      </c>
      <c r="H515" s="2">
        <f>IFERROR(__xludf.DUMMYFUNCTION("""COMPUTED_VALUE"""),325.0)</f>
        <v>325</v>
      </c>
      <c r="I515" s="2">
        <f>IFERROR(__xludf.DUMMYFUNCTION("""COMPUTED_VALUE"""),361.25)</f>
        <v>361.25</v>
      </c>
      <c r="J515" s="2">
        <f>IFERROR(__xludf.DUMMYFUNCTION("""COMPUTED_VALUE"""),181.0)</f>
        <v>181</v>
      </c>
      <c r="K515" s="2">
        <f>IFERROR(__xludf.DUMMYFUNCTION("""COMPUTED_VALUE"""),4.0)</f>
        <v>4</v>
      </c>
      <c r="L515" s="2" t="str">
        <f>IFERROR(__xludf.DUMMYFUNCTION("""COMPUTED_VALUE"""),"ves2 (тендер)")</f>
        <v>ves2 (тендер)</v>
      </c>
      <c r="M515" s="2" t="str">
        <f>IFERROR(__xludf.DUMMYFUNCTION("""COMPUTED_VALUE"""),"Прочие товары")</f>
        <v>Прочие товары</v>
      </c>
    </row>
    <row r="516">
      <c r="A516" s="5" t="str">
        <f>IFERROR(__xludf.DUMMYFUNCTION("""COMPUTED_VALUE"""),"19938")</f>
        <v>19938</v>
      </c>
      <c r="B516" s="5" t="str">
        <f>IFERROR(__xludf.DUMMYFUNCTION("""COMPUTED_VALUE"""),"TLGR03 CL")</f>
        <v>TLGR03 CL</v>
      </c>
      <c r="C516" s="2">
        <f>IFERROR(__xludf.DUMMYFUNCTION("""COMPUTED_VALUE"""),3.15)</f>
        <v>3.15</v>
      </c>
      <c r="D516" s="2">
        <f>IFERROR(__xludf.DUMMYFUNCTION("""COMPUTED_VALUE"""),0.03488)</f>
        <v>0.03488</v>
      </c>
      <c r="E516" s="2">
        <f>IFERROR(__xludf.DUMMYFUNCTION("""COMPUTED_VALUE"""),1400.0)</f>
        <v>1400</v>
      </c>
      <c r="F516" s="2">
        <f>IFERROR(__xludf.DUMMYFUNCTION("""COMPUTED_VALUE"""),1910.0)</f>
        <v>1910</v>
      </c>
      <c r="G516" s="2">
        <f>IFERROR(__xludf.DUMMYFUNCTION("""COMPUTED_VALUE"""),2157.0)</f>
        <v>2157</v>
      </c>
      <c r="H516" s="2">
        <f>IFERROR(__xludf.DUMMYFUNCTION("""COMPUTED_VALUE"""),2206.0)</f>
        <v>2206</v>
      </c>
      <c r="I516" s="2">
        <f>IFERROR(__xludf.DUMMYFUNCTION("""COMPUTED_VALUE"""),2690.0)</f>
        <v>2690</v>
      </c>
      <c r="J516" s="2">
        <f>IFERROR(__xludf.DUMMYFUNCTION("""COMPUTED_VALUE"""),1345.0)</f>
        <v>1345</v>
      </c>
      <c r="K516" s="2">
        <f>IFERROR(__xludf.DUMMYFUNCTION("""COMPUTED_VALUE"""),1.0)</f>
        <v>1</v>
      </c>
      <c r="L516" s="2" t="str">
        <f>IFERROR(__xludf.DUMMYFUNCTION("""COMPUTED_VALUE"""),"Технолюкс Светильники LED TLGR для Грильято и гипсокартона")</f>
        <v>Технолюкс Светильники LED TLGR для Грильято и гипсокартона</v>
      </c>
      <c r="M516" s="2" t="str">
        <f>IFERROR(__xludf.DUMMYFUNCTION("""COMPUTED_VALUE"""),"Встраиваемые, LED Светильники")</f>
        <v>Встраиваемые, LED Светильники</v>
      </c>
    </row>
    <row r="517">
      <c r="A517" s="5" t="str">
        <f>IFERROR(__xludf.DUMMYFUNCTION("""COMPUTED_VALUE"""),"4690612025087")</f>
        <v>4690612025087</v>
      </c>
      <c r="B517" s="5" t="str">
        <f>IFERROR(__xludf.DUMMYFUNCTION("""COMPUTED_VALUE"""),"DECO 36Вт 230В 6500К 2340Лм 350х55мм ОРИОН IN HOME")</f>
        <v>DECO 36Вт 230В 6500К 2340Лм 350х55мм ОРИОН IN HOME</v>
      </c>
      <c r="C517" s="2">
        <f>IFERROR(__xludf.DUMMYFUNCTION("""COMPUTED_VALUE"""),0.5800000000000001)</f>
        <v>0.58</v>
      </c>
      <c r="D517" s="2">
        <f>IFERROR(__xludf.DUMMYFUNCTION("""COMPUTED_VALUE"""),0.009000000000000001)</f>
        <v>0.009</v>
      </c>
      <c r="E517" s="2">
        <f>IFERROR(__xludf.DUMMYFUNCTION("""COMPUTED_VALUE"""),572.85)</f>
        <v>572.85</v>
      </c>
      <c r="F517" s="2">
        <f>IFERROR(__xludf.DUMMYFUNCTION("""COMPUTED_VALUE"""),600.0)</f>
        <v>600</v>
      </c>
      <c r="G517" s="2">
        <f>IFERROR(__xludf.DUMMYFUNCTION("""COMPUTED_VALUE"""),675.0)</f>
        <v>675</v>
      </c>
      <c r="H517" s="2">
        <f>IFERROR(__xludf.DUMMYFUNCTION("""COMPUTED_VALUE"""),783.0)</f>
        <v>783</v>
      </c>
      <c r="I517" s="2">
        <f>IFERROR(__xludf.DUMMYFUNCTION("""COMPUTED_VALUE"""),900.0)</f>
        <v>900</v>
      </c>
      <c r="J517" s="2">
        <f>IFERROR(__xludf.DUMMYFUNCTION("""COMPUTED_VALUE"""),450.0)</f>
        <v>450</v>
      </c>
      <c r="K517" s="2">
        <f>IFERROR(__xludf.DUMMYFUNCTION("""COMPUTED_VALUE"""),1.0)</f>
        <v>1</v>
      </c>
      <c r="L517" s="2" t="str">
        <f>IFERROR(__xludf.DUMMYFUNCTION("""COMPUTED_VALUE"""),"Светильник светодиодный серии DECO")</f>
        <v>Светильник светодиодный серии DECO</v>
      </c>
      <c r="M517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518">
      <c r="A518" s="5" t="str">
        <f>IFERROR(__xludf.DUMMYFUNCTION("""COMPUTED_VALUE"""),"4690612016573")</f>
        <v>4690612016573</v>
      </c>
      <c r="B518" s="5" t="str">
        <f>IFERROR(__xludf.DUMMYFUNCTION("""COMPUTED_VALUE"""),"Е27-П-deco подвесной Медь IN HOME")</f>
        <v>Е27-П-deco подвесной Медь IN HOME</v>
      </c>
      <c r="C518" s="2">
        <f>IFERROR(__xludf.DUMMYFUNCTION("""COMPUTED_VALUE"""),0.112)</f>
        <v>0.112</v>
      </c>
      <c r="D518" s="2">
        <f>IFERROR(__xludf.DUMMYFUNCTION("""COMPUTED_VALUE"""),2.8E-4)</f>
        <v>0.00028</v>
      </c>
      <c r="E518" s="2">
        <f>IFERROR(__xludf.DUMMYFUNCTION("""COMPUTED_VALUE"""),144.05)</f>
        <v>144.05</v>
      </c>
      <c r="F518" s="2">
        <f>IFERROR(__xludf.DUMMYFUNCTION("""COMPUTED_VALUE"""),165.0)</f>
        <v>165</v>
      </c>
      <c r="G518" s="2">
        <f>IFERROR(__xludf.DUMMYFUNCTION("""COMPUTED_VALUE"""),186.0)</f>
        <v>186</v>
      </c>
      <c r="H518" s="2">
        <f>IFERROR(__xludf.DUMMYFUNCTION("""COMPUTED_VALUE"""),216.0)</f>
        <v>216</v>
      </c>
      <c r="I518" s="2">
        <f>IFERROR(__xludf.DUMMYFUNCTION("""COMPUTED_VALUE"""),248.0)</f>
        <v>248</v>
      </c>
      <c r="J518" s="2">
        <f>IFERROR(__xludf.DUMMYFUNCTION("""COMPUTED_VALUE"""),124.0)</f>
        <v>124</v>
      </c>
      <c r="K518" s="2">
        <f>IFERROR(__xludf.DUMMYFUNCTION("""COMPUTED_VALUE"""),2.0)</f>
        <v>2</v>
      </c>
      <c r="L518" s="2" t="str">
        <f>IFERROR(__xludf.DUMMYFUNCTION("""COMPUTED_VALUE"""),"ASD электромонтажные изделия")</f>
        <v>ASD электромонтажные изделия</v>
      </c>
      <c r="M518" s="2" t="str">
        <f>IFERROR(__xludf.DUMMYFUNCTION("""COMPUTED_VALUE"""),"Прочие товары")</f>
        <v>Прочие товары</v>
      </c>
    </row>
    <row r="519">
      <c r="A519" s="5" t="str">
        <f>IFERROR(__xludf.DUMMYFUNCTION("""COMPUTED_VALUE"""),"4690612020433")</f>
        <v>4690612020433</v>
      </c>
      <c r="B519" s="5" t="str">
        <f>IFERROR(__xludf.DUMMYFUNCTION("""COMPUTED_VALUE"""),"LED-СВЕЧА-VC 8Вт 230В Е14 4000К 760Лм IN HOME")</f>
        <v>LED-СВЕЧА-VC 8Вт 230В Е14 4000К 760Лм IN HOME</v>
      </c>
      <c r="C519" s="2">
        <f>IFERROR(__xludf.DUMMYFUNCTION("""COMPUTED_VALUE"""),0.028)</f>
        <v>0.028</v>
      </c>
      <c r="D519" s="2">
        <f>IFERROR(__xludf.DUMMYFUNCTION("""COMPUTED_VALUE"""),1.9E-4)</f>
        <v>0.00019</v>
      </c>
      <c r="E519" s="2">
        <f>IFERROR(__xludf.DUMMYFUNCTION("""COMPUTED_VALUE"""),39.0)</f>
        <v>39</v>
      </c>
      <c r="F519" s="2">
        <f>IFERROR(__xludf.DUMMYFUNCTION("""COMPUTED_VALUE"""),45.0)</f>
        <v>45</v>
      </c>
      <c r="G519" s="2">
        <f>IFERROR(__xludf.DUMMYFUNCTION("""COMPUTED_VALUE"""),50.0)</f>
        <v>50</v>
      </c>
      <c r="H519" s="2">
        <f>IFERROR(__xludf.DUMMYFUNCTION("""COMPUTED_VALUE"""),58.0)</f>
        <v>58</v>
      </c>
      <c r="I519" s="2">
        <f>IFERROR(__xludf.DUMMYFUNCTION("""COMPUTED_VALUE"""),67.6)</f>
        <v>67.6</v>
      </c>
      <c r="J519" s="2">
        <f>IFERROR(__xludf.DUMMYFUNCTION("""COMPUTED_VALUE"""),34.0)</f>
        <v>34</v>
      </c>
      <c r="K519" s="2">
        <f>IFERROR(__xludf.DUMMYFUNCTION("""COMPUTED_VALUE"""),28.0)</f>
        <v>28</v>
      </c>
      <c r="L519" s="2" t="str">
        <f>IFERROR(__xludf.DUMMYFUNCTION("""COMPUTED_VALUE"""),"Лампа светодиодная LED-СВЕЧА-standard")</f>
        <v>Лампа светодиодная LED-СВЕЧА-standard</v>
      </c>
      <c r="M519" s="2" t="str">
        <f>IFERROR(__xludf.DUMMYFUNCTION("""COMPUTED_VALUE"""),"Лампы")</f>
        <v>Лампы</v>
      </c>
    </row>
    <row r="520">
      <c r="A520" s="5" t="str">
        <f>IFERROR(__xludf.DUMMYFUNCTION("""COMPUTED_VALUE"""),"4690612035727")</f>
        <v>4690612035727</v>
      </c>
      <c r="B520" s="5" t="str">
        <f>IFERROR(__xludf.DUMMYFUNCTION("""COMPUTED_VALUE"""),"COMFORT ASTERA 75Вт 230В 3000-6500K 6000Лм 500x90мм с пультом ДУ IN HOME")</f>
        <v>COMFORT ASTERA 75Вт 230В 3000-6500K 6000Лм 500x90мм с пультом ДУ IN HOME</v>
      </c>
      <c r="C520" s="2">
        <f>IFERROR(__xludf.DUMMYFUNCTION("""COMPUTED_VALUE"""),1.54)</f>
        <v>1.54</v>
      </c>
      <c r="D520" s="2">
        <f>IFERROR(__xludf.DUMMYFUNCTION("""COMPUTED_VALUE"""),0.03)</f>
        <v>0.03</v>
      </c>
      <c r="E520" s="2">
        <f>IFERROR(__xludf.DUMMYFUNCTION("""COMPUTED_VALUE"""),2431.0)</f>
        <v>2431</v>
      </c>
      <c r="F520" s="2">
        <f>IFERROR(__xludf.DUMMYFUNCTION("""COMPUTED_VALUE"""),2431.0)</f>
        <v>2431</v>
      </c>
      <c r="G520" s="2">
        <f>IFERROR(__xludf.DUMMYFUNCTION("""COMPUTED_VALUE"""),2735.0)</f>
        <v>2735</v>
      </c>
      <c r="H520" s="2">
        <f>IFERROR(__xludf.DUMMYFUNCTION("""COMPUTED_VALUE"""),3173.0)</f>
        <v>3173</v>
      </c>
      <c r="I520" s="2">
        <f>IFERROR(__xludf.DUMMYFUNCTION("""COMPUTED_VALUE"""),3647.0)</f>
        <v>3647</v>
      </c>
      <c r="J520" s="2">
        <f>IFERROR(__xludf.DUMMYFUNCTION("""COMPUTED_VALUE"""),1824.0)</f>
        <v>1824</v>
      </c>
      <c r="K520" s="2">
        <f>IFERROR(__xludf.DUMMYFUNCTION("""COMPUTED_VALUE"""),3.0)</f>
        <v>3</v>
      </c>
      <c r="L520" s="2" t="str">
        <f>IFERROR(__xludf.DUMMYFUNCTION("""COMPUTED_VALUE"""),"Светильники светодиодные COMFORT")</f>
        <v>Светильники светодиодные COMFORT</v>
      </c>
      <c r="M520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521">
      <c r="A521" s="5" t="str">
        <f>IFERROR(__xludf.DUMMYFUNCTION("""COMPUTED_VALUE"""),"4690612004310")</f>
        <v>4690612004310</v>
      </c>
      <c r="B521" s="5" t="str">
        <f>IFERROR(__xludf.DUMMYFUNCTION("""COMPUTED_VALUE"""),"RLP-eco 8Вт 230В 4000К 560Лм 120/105мм белая IP40 LLT")</f>
        <v>RLP-eco 8Вт 230В 4000К 560Лм 120/105мм белая IP40 LLT</v>
      </c>
      <c r="C521" s="2">
        <f>IFERROR(__xludf.DUMMYFUNCTION("""COMPUTED_VALUE"""),0.103)</f>
        <v>0.103</v>
      </c>
      <c r="D521" s="2">
        <f>IFERROR(__xludf.DUMMYFUNCTION("""COMPUTED_VALUE"""),8.200000000000001E-4)</f>
        <v>0.00082</v>
      </c>
      <c r="E521" s="2">
        <f>IFERROR(__xludf.DUMMYFUNCTION("""COMPUTED_VALUE"""),110.71)</f>
        <v>110.71</v>
      </c>
      <c r="F521" s="2">
        <f>IFERROR(__xludf.DUMMYFUNCTION("""COMPUTED_VALUE"""),1.0)</f>
        <v>1</v>
      </c>
      <c r="G521" s="2">
        <f>IFERROR(__xludf.DUMMYFUNCTION("""COMPUTED_VALUE"""),1.0)</f>
        <v>1</v>
      </c>
      <c r="H521" s="2">
        <f>IFERROR(__xludf.DUMMYFUNCTION("""COMPUTED_VALUE"""),1.0)</f>
        <v>1</v>
      </c>
      <c r="I521" s="2">
        <f>IFERROR(__xludf.DUMMYFUNCTION("""COMPUTED_VALUE"""),1.0)</f>
        <v>1</v>
      </c>
      <c r="J521" s="2">
        <f>IFERROR(__xludf.DUMMYFUNCTION("""COMPUTED_VALUE"""),1.0)</f>
        <v>1</v>
      </c>
      <c r="K521" s="2">
        <f>IFERROR(__xludf.DUMMYFUNCTION("""COMPUTED_VALUE"""),1.0)</f>
        <v>1</v>
      </c>
      <c r="L521" s="2" t="str">
        <f>IFERROR(__xludf.DUMMYFUNCTION("""COMPUTED_VALUE"""),"Панели светодиодные круглые встраиваемые RLP")</f>
        <v>Панели светодиодные круглые встраиваемые RLP</v>
      </c>
      <c r="M521" s="2" t="str">
        <f>IFERROR(__xludf.DUMMYFUNCTION("""COMPUTED_VALUE"""),"Точечные круглые Downlight, LED Светильники")</f>
        <v>Точечные круглые Downlight, LED Светильники</v>
      </c>
    </row>
    <row r="522">
      <c r="A522" s="5" t="str">
        <f>IFERROR(__xludf.DUMMYFUNCTION("""COMPUTED_VALUE"""),"12-3212")</f>
        <v>12-3212</v>
      </c>
      <c r="B522" s="5" t="str">
        <f>IFERROR(__xludf.DUMMYFUNCTION("""COMPUTED_VALUE"""),"Кримпер для обжима F и BNC разъёмов RG-59, RG-58, RG-62 (ht-301 A) REXANT")</f>
        <v>Кримпер для обжима F и BNC разъёмов RG-59, RG-58, RG-62 (ht-301 A) REXANT</v>
      </c>
      <c r="C522" s="2">
        <f>IFERROR(__xludf.DUMMYFUNCTION("""COMPUTED_VALUE"""),0.0)</f>
        <v>0</v>
      </c>
      <c r="D522" s="2">
        <f>IFERROR(__xludf.DUMMYFUNCTION("""COMPUTED_VALUE"""),0.0)</f>
        <v>0</v>
      </c>
      <c r="E522" s="2">
        <f>IFERROR(__xludf.DUMMYFUNCTION("""COMPUTED_VALUE"""),1.0)</f>
        <v>1</v>
      </c>
      <c r="F522" s="2">
        <f>IFERROR(__xludf.DUMMYFUNCTION("""COMPUTED_VALUE"""),1645.0)</f>
        <v>1645</v>
      </c>
      <c r="G522" s="2">
        <f>IFERROR(__xludf.DUMMYFUNCTION("""COMPUTED_VALUE"""),1755.0)</f>
        <v>1755</v>
      </c>
      <c r="H522" s="2">
        <f>IFERROR(__xludf.DUMMYFUNCTION("""COMPUTED_VALUE"""),1974.0)</f>
        <v>1974</v>
      </c>
      <c r="I522" s="2">
        <f>IFERROR(__xludf.DUMMYFUNCTION("""COMPUTED_VALUE"""),2193.68)</f>
        <v>2193.68</v>
      </c>
      <c r="J522" s="2">
        <f>IFERROR(__xludf.DUMMYFUNCTION("""COMPUTED_VALUE"""),1097.0)</f>
        <v>1097</v>
      </c>
      <c r="K522" s="2">
        <f>IFERROR(__xludf.DUMMYFUNCTION("""COMPUTED_VALUE"""),2.0)</f>
        <v>2</v>
      </c>
      <c r="L522" s="2" t="str">
        <f>IFERROR(__xludf.DUMMYFUNCTION("""COMPUTED_VALUE"""),"Rexant")</f>
        <v>Rexant</v>
      </c>
      <c r="M522" s="2" t="str">
        <f>IFERROR(__xludf.DUMMYFUNCTION("""COMPUTED_VALUE"""),"Прочие товары")</f>
        <v>Прочие товары</v>
      </c>
    </row>
    <row r="523">
      <c r="A523" s="5" t="str">
        <f>IFERROR(__xludf.DUMMYFUNCTION("""COMPUTED_VALUE"""),"4260652193369")</f>
        <v>4260652193369</v>
      </c>
      <c r="B523" s="5" t="str">
        <f>IFERROR(__xludf.DUMMYFUNCTION("""COMPUTED_VALUE"""),"LCL04-12W-R21-6K-SM")</f>
        <v>LCL04-12W-R21-6K-SM</v>
      </c>
      <c r="C523" s="2">
        <f>IFERROR(__xludf.DUMMYFUNCTION("""COMPUTED_VALUE"""),0.11)</f>
        <v>0.11</v>
      </c>
      <c r="D523" s="2">
        <f>IFERROR(__xludf.DUMMYFUNCTION("""COMPUTED_VALUE"""),0.0)</f>
        <v>0</v>
      </c>
      <c r="E523" s="2">
        <f>IFERROR(__xludf.DUMMYFUNCTION("""COMPUTED_VALUE"""),322.94)</f>
        <v>322.94</v>
      </c>
      <c r="F523" s="2">
        <f>IFERROR(__xludf.DUMMYFUNCTION("""COMPUTED_VALUE"""),465.0)</f>
        <v>465</v>
      </c>
      <c r="G523" s="2">
        <f>IFERROR(__xludf.DUMMYFUNCTION("""COMPUTED_VALUE"""),481.0)</f>
        <v>481</v>
      </c>
      <c r="H523" s="2">
        <f>IFERROR(__xludf.DUMMYFUNCTION("""COMPUTED_VALUE"""),630.0)</f>
        <v>630</v>
      </c>
      <c r="I523" s="2">
        <f>IFERROR(__xludf.DUMMYFUNCTION("""COMPUTED_VALUE"""),788.0)</f>
        <v>788</v>
      </c>
      <c r="J523" s="2">
        <f>IFERROR(__xludf.DUMMYFUNCTION("""COMPUTED_VALUE"""),394.0)</f>
        <v>394</v>
      </c>
      <c r="K523" s="2">
        <f>IFERROR(__xludf.DUMMYFUNCTION("""COMPUTED_VALUE"""),38.0)</f>
        <v>38</v>
      </c>
      <c r="L523" s="2" t="str">
        <f>IFERROR(__xludf.DUMMYFUNCTION("""COMPUTED_VALUE"""),"Wolta ЖКХ")</f>
        <v>Wolta ЖКХ</v>
      </c>
      <c r="M523" s="2" t="str">
        <f>IFERROR(__xludf.DUMMYFUNCTION("""COMPUTED_VALUE"""),"Для ЖКХ, дома, дачи, LED Светильники")</f>
        <v>Для ЖКХ, дома, дачи, LED Светильники</v>
      </c>
    </row>
    <row r="524">
      <c r="A524" s="5" t="str">
        <f>IFERROR(__xludf.DUMMYFUNCTION("""COMPUTED_VALUE"""),"4690612031019")</f>
        <v>4690612031019</v>
      </c>
      <c r="B524" s="5" t="str">
        <f>IFERROR(__xludf.DUMMYFUNCTION("""COMPUTED_VALUE"""),"LED-T8-М-PRO 30Вт 230В G13 4000К 3000Лм 1200мм матовая IN HOME")</f>
        <v>LED-T8-М-PRO 30Вт 230В G13 4000К 3000Лм 1200мм матовая IN HOME</v>
      </c>
      <c r="C524" s="2">
        <f>IFERROR(__xludf.DUMMYFUNCTION("""COMPUTED_VALUE"""),0.2)</f>
        <v>0.2</v>
      </c>
      <c r="D524" s="2">
        <f>IFERROR(__xludf.DUMMYFUNCTION("""COMPUTED_VALUE"""),0.00144)</f>
        <v>0.00144</v>
      </c>
      <c r="E524" s="2">
        <f>IFERROR(__xludf.DUMMYFUNCTION("""COMPUTED_VALUE"""),105.0)</f>
        <v>105</v>
      </c>
      <c r="F524" s="2">
        <f>IFERROR(__xludf.DUMMYFUNCTION("""COMPUTED_VALUE"""),132.0)</f>
        <v>132</v>
      </c>
      <c r="G524" s="2">
        <f>IFERROR(__xludf.DUMMYFUNCTION("""COMPUTED_VALUE"""),149.0)</f>
        <v>149</v>
      </c>
      <c r="H524" s="2">
        <f>IFERROR(__xludf.DUMMYFUNCTION("""COMPUTED_VALUE"""),172.0)</f>
        <v>172</v>
      </c>
      <c r="I524" s="2">
        <f>IFERROR(__xludf.DUMMYFUNCTION("""COMPUTED_VALUE"""),198.5)</f>
        <v>198.5</v>
      </c>
      <c r="J524" s="2">
        <f>IFERROR(__xludf.DUMMYFUNCTION("""COMPUTED_VALUE"""),99.0)</f>
        <v>99</v>
      </c>
      <c r="K524" s="2">
        <f>IFERROR(__xludf.DUMMYFUNCTION("""COMPUTED_VALUE"""),21.0)</f>
        <v>21</v>
      </c>
      <c r="L524" s="2" t="str">
        <f>IFERROR(__xludf.DUMMYFUNCTION("""COMPUTED_VALUE"""),"Лампа светодиодная LED-T8")</f>
        <v>Лампа светодиодная LED-T8</v>
      </c>
      <c r="M524" s="2" t="str">
        <f>IFERROR(__xludf.DUMMYFUNCTION("""COMPUTED_VALUE"""),"Лампы")</f>
        <v>Лампы</v>
      </c>
    </row>
    <row r="525">
      <c r="A525" s="5" t="str">
        <f>IFERROR(__xludf.DUMMYFUNCTION("""COMPUTED_VALUE"""),"V12012")</f>
        <v>V12012</v>
      </c>
      <c r="B525" s="5" t="str">
        <f>IFERROR(__xludf.DUMMYFUNCTION("""COMPUTED_VALUE"""),"VRN-LME136X78-89-A50K67-K, 89Вт, Консольный")</f>
        <v>VRN-LME136X78-89-A50K67-K, 89Вт, Консольный</v>
      </c>
      <c r="C525" s="2">
        <f>IFERROR(__xludf.DUMMYFUNCTION("""COMPUTED_VALUE"""),2.65)</f>
        <v>2.65</v>
      </c>
      <c r="D525" s="2">
        <f>IFERROR(__xludf.DUMMYFUNCTION("""COMPUTED_VALUE"""),0.0115)</f>
        <v>0.0115</v>
      </c>
      <c r="E525" s="2">
        <f>IFERROR(__xludf.DUMMYFUNCTION("""COMPUTED_VALUE"""),5100.0)</f>
        <v>5100</v>
      </c>
      <c r="F525" s="2">
        <f>IFERROR(__xludf.DUMMYFUNCTION("""COMPUTED_VALUE"""),5720.0)</f>
        <v>5720</v>
      </c>
      <c r="G525" s="2">
        <f>IFERROR(__xludf.DUMMYFUNCTION("""COMPUTED_VALUE"""),7436.0)</f>
        <v>7436</v>
      </c>
      <c r="H525" s="2">
        <f>IFERROR(__xludf.DUMMYFUNCTION("""COMPUTED_VALUE"""),7808.0)</f>
        <v>7808</v>
      </c>
      <c r="I525" s="2">
        <f>IFERROR(__xludf.DUMMYFUNCTION("""COMPUTED_VALUE"""),8180.0)</f>
        <v>8180</v>
      </c>
      <c r="J525" s="2">
        <f>IFERROR(__xludf.DUMMYFUNCTION("""COMPUTED_VALUE"""),4090.0)</f>
        <v>4090</v>
      </c>
      <c r="K525" s="2">
        <f>IFERROR(__xludf.DUMMYFUNCTION("""COMPUTED_VALUE"""),1.0)</f>
        <v>1</v>
      </c>
      <c r="L525" s="2" t="str">
        <f>IFERROR(__xludf.DUMMYFUNCTION("""COMPUTED_VALUE"""),"Магистраль Эконом")</f>
        <v>Магистраль Эконом</v>
      </c>
      <c r="M525" s="2" t="str">
        <f>IFERROR(__xludf.DUMMYFUNCTION("""COMPUTED_VALUE"""),"Для автомагистралей, LED Светильники")</f>
        <v>Для автомагистралей, LED Светильники</v>
      </c>
    </row>
    <row r="526">
      <c r="A526" s="5" t="str">
        <f>IFERROR(__xludf.DUMMYFUNCTION("""COMPUTED_VALUE"""),"sra058")</f>
        <v>sra058</v>
      </c>
      <c r="B526" s="5" t="str">
        <f>IFERROR(__xludf.DUMMYFUNCTION("""COMPUTED_VALUE"""),"Лампасветодиодная ЛСО")</f>
        <v>Лампасветодиодная ЛСО</v>
      </c>
      <c r="C526" s="2">
        <f>IFERROR(__xludf.DUMMYFUNCTION("""COMPUTED_VALUE"""),0.0)</f>
        <v>0</v>
      </c>
      <c r="D526" s="2">
        <f>IFERROR(__xludf.DUMMYFUNCTION("""COMPUTED_VALUE"""),0.0)</f>
        <v>0</v>
      </c>
      <c r="E526" s="2">
        <f>IFERROR(__xludf.DUMMYFUNCTION("""COMPUTED_VALUE"""),293.71)</f>
        <v>293.71</v>
      </c>
      <c r="F526" s="2">
        <f>IFERROR(__xludf.DUMMYFUNCTION("""COMPUTED_VALUE"""),91.0)</f>
        <v>91</v>
      </c>
      <c r="G526" s="2">
        <f>IFERROR(__xludf.DUMMYFUNCTION("""COMPUTED_VALUE"""),97.0)</f>
        <v>97</v>
      </c>
      <c r="H526" s="2">
        <f>IFERROR(__xludf.DUMMYFUNCTION("""COMPUTED_VALUE"""),109.0)</f>
        <v>109</v>
      </c>
      <c r="I526" s="2">
        <f>IFERROR(__xludf.DUMMYFUNCTION("""COMPUTED_VALUE"""),121.2)</f>
        <v>121.2</v>
      </c>
      <c r="J526" s="2">
        <f>IFERROR(__xludf.DUMMYFUNCTION("""COMPUTED_VALUE"""),61.0)</f>
        <v>61</v>
      </c>
      <c r="K526" s="2">
        <f>IFERROR(__xludf.DUMMYFUNCTION("""COMPUTED_VALUE"""),15.0)</f>
        <v>15</v>
      </c>
      <c r="L526" s="2" t="str">
        <f>IFERROR(__xludf.DUMMYFUNCTION("""COMPUTED_VALUE"""),"SRA")</f>
        <v>SRA</v>
      </c>
      <c r="M526" s="2" t="str">
        <f>IFERROR(__xludf.DUMMYFUNCTION("""COMPUTED_VALUE"""),"LED Светильники")</f>
        <v>LED Светильники</v>
      </c>
    </row>
    <row r="527">
      <c r="A527" s="5" t="str">
        <f>IFERROR(__xludf.DUMMYFUNCTION("""COMPUTED_VALUE"""),"4690612002309")</f>
        <v>4690612002309</v>
      </c>
      <c r="B527" s="5" t="str">
        <f>IFERROR(__xludf.DUMMYFUNCTION("""COMPUTED_VALUE"""),"Лампа светодиодная LED-JCDRC-standard 5.5Вт 160-260В GU10 4000К ASD")</f>
        <v>Лампа светодиодная LED-JCDRC-standard 5.5Вт 160-260В GU10 4000К ASD</v>
      </c>
      <c r="C527" s="2">
        <f>IFERROR(__xludf.DUMMYFUNCTION("""COMPUTED_VALUE"""),0.044)</f>
        <v>0.044</v>
      </c>
      <c r="D527" s="2">
        <f>IFERROR(__xludf.DUMMYFUNCTION("""COMPUTED_VALUE"""),2.2E-4)</f>
        <v>0.00022</v>
      </c>
      <c r="E527" s="2">
        <f>IFERROR(__xludf.DUMMYFUNCTION("""COMPUTED_VALUE"""),32.83)</f>
        <v>32.83</v>
      </c>
      <c r="F527" s="2">
        <f>IFERROR(__xludf.DUMMYFUNCTION("""COMPUTED_VALUE"""),33.0)</f>
        <v>33</v>
      </c>
      <c r="G527" s="2">
        <f>IFERROR(__xludf.DUMMYFUNCTION("""COMPUTED_VALUE"""),38.0)</f>
        <v>38</v>
      </c>
      <c r="H527" s="2">
        <f>IFERROR(__xludf.DUMMYFUNCTION("""COMPUTED_VALUE"""),44.0)</f>
        <v>44</v>
      </c>
      <c r="I527" s="2">
        <f>IFERROR(__xludf.DUMMYFUNCTION("""COMPUTED_VALUE"""),50.5)</f>
        <v>50.5</v>
      </c>
      <c r="J527" s="2">
        <f>IFERROR(__xludf.DUMMYFUNCTION("""COMPUTED_VALUE"""),25.0)</f>
        <v>25</v>
      </c>
      <c r="K527" s="2">
        <f>IFERROR(__xludf.DUMMYFUNCTION("""COMPUTED_VALUE"""),1.0)</f>
        <v>1</v>
      </c>
      <c r="L527" s="2" t="str">
        <f>IFERROR(__xludf.DUMMYFUNCTION("""COMPUTED_VALUE"""),"Лампа светодиодная LED-JCDRC-standard")</f>
        <v>Лампа светодиодная LED-JCDRC-standard</v>
      </c>
      <c r="M527" s="2" t="str">
        <f>IFERROR(__xludf.DUMMYFUNCTION("""COMPUTED_VALUE"""),"Лампы")</f>
        <v>Лампы</v>
      </c>
    </row>
    <row r="528">
      <c r="A528" s="5" t="str">
        <f>IFERROR(__xludf.DUMMYFUNCTION("""COMPUTED_VALUE"""),"4690626045989")</f>
        <v>4690626045989</v>
      </c>
      <c r="B528" s="5" t="str">
        <f>IFERROR(__xludf.DUMMYFUNCTION("""COMPUTED_VALUE"""),"Инфракрасный датчик движения для цоколя E27, 1200Вт, до 6м, IP44 (sbl-ms-010)")</f>
        <v>Инфракрасный датчик движения для цоколя E27, 1200Вт, до 6м, IP44 (sbl-ms-010)</v>
      </c>
      <c r="C528" s="2">
        <f>IFERROR(__xludf.DUMMYFUNCTION("""COMPUTED_VALUE"""),0.0)</f>
        <v>0</v>
      </c>
      <c r="D528" s="2">
        <f>IFERROR(__xludf.DUMMYFUNCTION("""COMPUTED_VALUE"""),0.0)</f>
        <v>0</v>
      </c>
      <c r="E528" s="2">
        <f>IFERROR(__xludf.DUMMYFUNCTION("""COMPUTED_VALUE"""),434.63)</f>
        <v>434.63</v>
      </c>
      <c r="F528" s="2">
        <f>IFERROR(__xludf.DUMMYFUNCTION("""COMPUTED_VALUE"""),475.0)</f>
        <v>475</v>
      </c>
      <c r="G528" s="2">
        <f>IFERROR(__xludf.DUMMYFUNCTION("""COMPUTED_VALUE"""),522.0)</f>
        <v>522</v>
      </c>
      <c r="H528" s="2">
        <f>IFERROR(__xludf.DUMMYFUNCTION("""COMPUTED_VALUE"""),580.0)</f>
        <v>580</v>
      </c>
      <c r="I528" s="2">
        <f>IFERROR(__xludf.DUMMYFUNCTION("""COMPUTED_VALUE"""),637.0)</f>
        <v>637</v>
      </c>
      <c r="J528" s="2">
        <f>IFERROR(__xludf.DUMMYFUNCTION("""COMPUTED_VALUE"""),319.0)</f>
        <v>319</v>
      </c>
      <c r="K528" s="2">
        <f>IFERROR(__xludf.DUMMYFUNCTION("""COMPUTED_VALUE"""),4.0)</f>
        <v>4</v>
      </c>
      <c r="L528" s="2" t="str">
        <f>IFERROR(__xludf.DUMMYFUNCTION("""COMPUTED_VALUE"""),"Smartbuy")</f>
        <v>Smartbuy</v>
      </c>
      <c r="M528" s="2" t="str">
        <f>IFERROR(__xludf.DUMMYFUNCTION("""COMPUTED_VALUE"""),"Прочие товары")</f>
        <v>Прочие товары</v>
      </c>
    </row>
    <row r="529">
      <c r="A529" s="5" t="str">
        <f>IFERROR(__xludf.DUMMYFUNCTION("""COMPUTED_VALUE"""),"14690612057290")</f>
        <v>14690612057290</v>
      </c>
      <c r="B529" s="5" t="str">
        <f>IFERROR(__xludf.DUMMYFUNCTION("""COMPUTED_VALUE"""),"ДВО-PRO 5040-ОПАЛ 50Вт 4000К 120лм/Вт CRI80 IP40 595х595х30мм NEOX (4 шт в упак.)")</f>
        <v>ДВО-PRO 5040-ОПАЛ 50Вт 4000К 120лм/Вт CRI80 IP40 595х595х30мм NEOX (4 шт в упак.)</v>
      </c>
      <c r="C529" s="2">
        <f>IFERROR(__xludf.DUMMYFUNCTION("""COMPUTED_VALUE"""),0.0)</f>
        <v>0</v>
      </c>
      <c r="D529" s="2">
        <f>IFERROR(__xludf.DUMMYFUNCTION("""COMPUTED_VALUE"""),0.0)</f>
        <v>0</v>
      </c>
      <c r="E529" s="2">
        <f>IFERROR(__xludf.DUMMYFUNCTION("""COMPUTED_VALUE"""),3192.0)</f>
        <v>3192</v>
      </c>
      <c r="F529" s="2">
        <f>IFERROR(__xludf.DUMMYFUNCTION("""COMPUTED_VALUE"""),3502.0)</f>
        <v>3502</v>
      </c>
      <c r="G529" s="2">
        <f>IFERROR(__xludf.DUMMYFUNCTION("""COMPUTED_VALUE"""),4597.0)</f>
        <v>4597</v>
      </c>
      <c r="H529" s="2">
        <f>IFERROR(__xludf.DUMMYFUNCTION("""COMPUTED_VALUE"""),5171.0)</f>
        <v>5171</v>
      </c>
      <c r="I529" s="2">
        <f>IFERROR(__xludf.DUMMYFUNCTION("""COMPUTED_VALUE"""),5746.0)</f>
        <v>5746</v>
      </c>
      <c r="J529" s="2">
        <f>IFERROR(__xludf.DUMMYFUNCTION("""COMPUTED_VALUE"""),2873.0)</f>
        <v>2873</v>
      </c>
      <c r="K529" s="2">
        <f>IFERROR(__xludf.DUMMYFUNCTION("""COMPUTED_VALUE"""),1.0)</f>
        <v>1</v>
      </c>
      <c r="L529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529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530">
      <c r="A530" s="5" t="str">
        <f>IFERROR(__xludf.DUMMYFUNCTION("""COMPUTED_VALUE"""),"4690612027142")</f>
        <v>4690612027142</v>
      </c>
      <c r="B530" s="5" t="str">
        <f>IFERROR(__xludf.DUMMYFUNCTION("""COMPUTED_VALUE"""),"СКУ-02 PRO 125Вт 230В 5000К IP65 LLT")</f>
        <v>СКУ-02 PRO 125Вт 230В 5000К IP65 LLT</v>
      </c>
      <c r="C530" s="2">
        <f>IFERROR(__xludf.DUMMYFUNCTION("""COMPUTED_VALUE"""),2.35)</f>
        <v>2.35</v>
      </c>
      <c r="D530" s="2">
        <f>IFERROR(__xludf.DUMMYFUNCTION("""COMPUTED_VALUE"""),0.013)</f>
        <v>0.013</v>
      </c>
      <c r="E530" s="2">
        <f>IFERROR(__xludf.DUMMYFUNCTION("""COMPUTED_VALUE"""),2224.4)</f>
        <v>2224.4</v>
      </c>
      <c r="F530" s="2">
        <f>IFERROR(__xludf.DUMMYFUNCTION("""COMPUTED_VALUE"""),2167.0)</f>
        <v>2167</v>
      </c>
      <c r="G530" s="2">
        <f>IFERROR(__xludf.DUMMYFUNCTION("""COMPUTED_VALUE"""),2438.0)</f>
        <v>2438</v>
      </c>
      <c r="H530" s="2">
        <f>IFERROR(__xludf.DUMMYFUNCTION("""COMPUTED_VALUE"""),2828.0)</f>
        <v>2828</v>
      </c>
      <c r="I530" s="2">
        <f>IFERROR(__xludf.DUMMYFUNCTION("""COMPUTED_VALUE"""),3250.0)</f>
        <v>3250</v>
      </c>
      <c r="J530" s="2">
        <f>IFERROR(__xludf.DUMMYFUNCTION("""COMPUTED_VALUE"""),1625.0)</f>
        <v>1625</v>
      </c>
      <c r="K530" s="2">
        <f>IFERROR(__xludf.DUMMYFUNCTION("""COMPUTED_VALUE"""),1.0)</f>
        <v>1</v>
      </c>
      <c r="L530" s="2" t="str">
        <f>IFERROR(__xludf.DUMMYFUNCTION("""COMPUTED_VALUE"""),"Светильники светодиодные уличные СКУ")</f>
        <v>Светильники светодиодные уличные СКУ</v>
      </c>
      <c r="M530" s="2" t="str">
        <f>IFERROR(__xludf.DUMMYFUNCTION("""COMPUTED_VALUE"""),"Для обычных дорог, LED Светильники")</f>
        <v>Для обычных дорог, LED Светильники</v>
      </c>
    </row>
    <row r="531">
      <c r="A531" s="5" t="str">
        <f>IFERROR(__xludf.DUMMYFUNCTION("""COMPUTED_VALUE"""),"GL8220")</f>
        <v>GL8220</v>
      </c>
      <c r="B531" s="5" t="str">
        <f>IFERROR(__xludf.DUMMYFUNCTION("""COMPUTED_VALUE"""),"GLERIO Line 24 Вт 4000К 91P-24D-4N-M")</f>
        <v>GLERIO Line 24 Вт 4000К 91P-24D-4N-M</v>
      </c>
      <c r="C531" s="2">
        <f>IFERROR(__xludf.DUMMYFUNCTION("""COMPUTED_VALUE"""),0.5)</f>
        <v>0.5</v>
      </c>
      <c r="D531" s="2">
        <f>IFERROR(__xludf.DUMMYFUNCTION("""COMPUTED_VALUE"""),0.00396)</f>
        <v>0.00396</v>
      </c>
      <c r="E531" s="2">
        <f>IFERROR(__xludf.DUMMYFUNCTION("""COMPUTED_VALUE"""),1406.0)</f>
        <v>1406</v>
      </c>
      <c r="F531" s="2">
        <f>IFERROR(__xludf.DUMMYFUNCTION("""COMPUTED_VALUE"""),1660.0)</f>
        <v>1660</v>
      </c>
      <c r="G531" s="2">
        <f>IFERROR(__xludf.DUMMYFUNCTION("""COMPUTED_VALUE"""),2090.0)</f>
        <v>2090</v>
      </c>
      <c r="H531" s="2">
        <f>IFERROR(__xludf.DUMMYFUNCTION("""COMPUTED_VALUE"""),2347.0)</f>
        <v>2347</v>
      </c>
      <c r="I531" s="2">
        <f>IFERROR(__xludf.DUMMYFUNCTION("""COMPUTED_VALUE"""),2604.0)</f>
        <v>2604</v>
      </c>
      <c r="J531" s="2">
        <f>IFERROR(__xludf.DUMMYFUNCTION("""COMPUTED_VALUE"""),2090.0)</f>
        <v>2090</v>
      </c>
      <c r="K531" s="2">
        <f>IFERROR(__xludf.DUMMYFUNCTION("""COMPUTED_VALUE"""),45.0)</f>
        <v>45</v>
      </c>
      <c r="L531" s="2" t="str">
        <f>IFERROR(__xludf.DUMMYFUNCTION("""COMPUTED_VALUE"""),"Line (Айсберг) до 10.2025")</f>
        <v>Line (Айсберг) до 10.2025</v>
      </c>
      <c r="M531" s="2" t="str">
        <f>IFERROR(__xludf.DUMMYFUNCTION("""COMPUTED_VALUE"""),"Пластиковые (линейные), LED Светильники")</f>
        <v>Пластиковые (линейные), LED Светильники</v>
      </c>
    </row>
    <row r="532">
      <c r="A532" s="5" t="str">
        <f>IFERROR(__xludf.DUMMYFUNCTION("""COMPUTED_VALUE"""),"4690612020471")</f>
        <v>4690612020471</v>
      </c>
      <c r="B532" s="5" t="str">
        <f>IFERROR(__xludf.DUMMYFUNCTION("""COMPUTED_VALUE"""),"LED-СВЕЧА-VC 11Вт 230В Е14 4000К 1050Лм IN HOME")</f>
        <v>LED-СВЕЧА-VC 11Вт 230В Е14 4000К 1050Лм IN HOME</v>
      </c>
      <c r="C532" s="2">
        <f>IFERROR(__xludf.DUMMYFUNCTION("""COMPUTED_VALUE"""),0.035)</f>
        <v>0.035</v>
      </c>
      <c r="D532" s="2">
        <f>IFERROR(__xludf.DUMMYFUNCTION("""COMPUTED_VALUE"""),1.9E-4)</f>
        <v>0.00019</v>
      </c>
      <c r="E532" s="2">
        <f>IFERROR(__xludf.DUMMYFUNCTION("""COMPUTED_VALUE"""),40.2)</f>
        <v>40.2</v>
      </c>
      <c r="F532" s="2">
        <f>IFERROR(__xludf.DUMMYFUNCTION("""COMPUTED_VALUE"""),46.0)</f>
        <v>46</v>
      </c>
      <c r="G532" s="2">
        <f>IFERROR(__xludf.DUMMYFUNCTION("""COMPUTED_VALUE"""),52.0)</f>
        <v>52</v>
      </c>
      <c r="H532" s="2">
        <f>IFERROR(__xludf.DUMMYFUNCTION("""COMPUTED_VALUE"""),60.0)</f>
        <v>60</v>
      </c>
      <c r="I532" s="2">
        <f>IFERROR(__xludf.DUMMYFUNCTION("""COMPUTED_VALUE"""),69.8)</f>
        <v>69.8</v>
      </c>
      <c r="J532" s="2">
        <f>IFERROR(__xludf.DUMMYFUNCTION("""COMPUTED_VALUE"""),35.0)</f>
        <v>35</v>
      </c>
      <c r="K532" s="2">
        <f>IFERROR(__xludf.DUMMYFUNCTION("""COMPUTED_VALUE"""),32.0)</f>
        <v>32</v>
      </c>
      <c r="L532" s="2" t="str">
        <f>IFERROR(__xludf.DUMMYFUNCTION("""COMPUTED_VALUE"""),"Лампа светодиодная LED-СВЕЧА-standard")</f>
        <v>Лампа светодиодная LED-СВЕЧА-standard</v>
      </c>
      <c r="M532" s="2" t="str">
        <f>IFERROR(__xludf.DUMMYFUNCTION("""COMPUTED_VALUE"""),"Лампы")</f>
        <v>Лампы</v>
      </c>
    </row>
    <row r="533">
      <c r="A533" s="5" t="str">
        <f>IFERROR(__xludf.DUMMYFUNCTION("""COMPUTED_VALUE"""),"4690612019765")</f>
        <v>4690612019765</v>
      </c>
      <c r="B533" s="5" t="str">
        <f>IFERROR(__xludf.DUMMYFUNCTION("""COMPUTED_VALUE"""),"LED-JC-VC 1.5Вт 12В G4 6500К 135Лм IN HOME")</f>
        <v>LED-JC-VC 1.5Вт 12В G4 6500К 135Лм IN HOME</v>
      </c>
      <c r="C533" s="2">
        <f>IFERROR(__xludf.DUMMYFUNCTION("""COMPUTED_VALUE"""),0.004)</f>
        <v>0.004</v>
      </c>
      <c r="D533" s="2">
        <f>IFERROR(__xludf.DUMMYFUNCTION("""COMPUTED_VALUE"""),3.0E-5)</f>
        <v>0.00003</v>
      </c>
      <c r="E533" s="2">
        <f>IFERROR(__xludf.DUMMYFUNCTION("""COMPUTED_VALUE"""),45.42)</f>
        <v>45.42</v>
      </c>
      <c r="F533" s="2">
        <f>IFERROR(__xludf.DUMMYFUNCTION("""COMPUTED_VALUE"""),37.0)</f>
        <v>37</v>
      </c>
      <c r="G533" s="2">
        <f>IFERROR(__xludf.DUMMYFUNCTION("""COMPUTED_VALUE"""),42.0)</f>
        <v>42</v>
      </c>
      <c r="H533" s="2">
        <f>IFERROR(__xludf.DUMMYFUNCTION("""COMPUTED_VALUE"""),49.0)</f>
        <v>49</v>
      </c>
      <c r="I533" s="2">
        <f>IFERROR(__xludf.DUMMYFUNCTION("""COMPUTED_VALUE"""),56.5)</f>
        <v>56.5</v>
      </c>
      <c r="J533" s="2">
        <f>IFERROR(__xludf.DUMMYFUNCTION("""COMPUTED_VALUE"""),28.0)</f>
        <v>28</v>
      </c>
      <c r="K533" s="2">
        <f>IFERROR(__xludf.DUMMYFUNCTION("""COMPUTED_VALUE"""),1.0)</f>
        <v>1</v>
      </c>
      <c r="L533" s="2" t="str">
        <f>IFERROR(__xludf.DUMMYFUNCTION("""COMPUTED_VALUE"""),"Лампа светодиодная LED-JC-standard")</f>
        <v>Лампа светодиодная LED-JC-standard</v>
      </c>
      <c r="M533" s="2" t="str">
        <f>IFERROR(__xludf.DUMMYFUNCTION("""COMPUTED_VALUE"""),"Лампы")</f>
        <v>Лампы</v>
      </c>
    </row>
    <row r="534">
      <c r="A534" s="5" t="str">
        <f>IFERROR(__xludf.DUMMYFUNCTION("""COMPUTED_VALUE"""),"4690626031845")</f>
        <v>4690626031845</v>
      </c>
      <c r="B534" s="5" t="str">
        <f>IFERROR(__xludf.DUMMYFUNCTION("""COMPUTED_VALUE"""),"SBL-FLSen-30-65K")</f>
        <v>SBL-FLSen-30-65K</v>
      </c>
      <c r="C534" s="2">
        <f>IFERROR(__xludf.DUMMYFUNCTION("""COMPUTED_VALUE"""),0.68)</f>
        <v>0.68</v>
      </c>
      <c r="D534" s="2">
        <f>IFERROR(__xludf.DUMMYFUNCTION("""COMPUTED_VALUE"""),0.0024)</f>
        <v>0.0024</v>
      </c>
      <c r="E534" s="2">
        <f>IFERROR(__xludf.DUMMYFUNCTION("""COMPUTED_VALUE"""),707.9)</f>
        <v>707.9</v>
      </c>
      <c r="F534" s="2">
        <f>IFERROR(__xludf.DUMMYFUNCTION("""COMPUTED_VALUE"""),723.0)</f>
        <v>723</v>
      </c>
      <c r="G534" s="2">
        <f>IFERROR(__xludf.DUMMYFUNCTION("""COMPUTED_VALUE"""),794.0)</f>
        <v>794</v>
      </c>
      <c r="H534" s="2">
        <f>IFERROR(__xludf.DUMMYFUNCTION("""COMPUTED_VALUE"""),882.0)</f>
        <v>882</v>
      </c>
      <c r="I534" s="2">
        <f>IFERROR(__xludf.DUMMYFUNCTION("""COMPUTED_VALUE"""),970.0)</f>
        <v>970</v>
      </c>
      <c r="J534" s="2">
        <f>IFERROR(__xludf.DUMMYFUNCTION("""COMPUTED_VALUE"""),794.0)</f>
        <v>794</v>
      </c>
      <c r="K534" s="2">
        <f>IFERROR(__xludf.DUMMYFUNCTION("""COMPUTED_VALUE"""),4.0)</f>
        <v>4</v>
      </c>
      <c r="L534" s="2" t="str">
        <f>IFERROR(__xludf.DUMMYFUNCTION("""COMPUTED_VALUE"""),"Smartbuy LED светильники")</f>
        <v>Smartbuy LED светильники</v>
      </c>
      <c r="M534" s="2" t="str">
        <f>IFERROR(__xludf.DUMMYFUNCTION("""COMPUTED_VALUE"""),"Бытовые (недорогие), С датчиками, LED Светильники")</f>
        <v>Бытовые (недорогие), С датчиками, LED Светильники</v>
      </c>
    </row>
    <row r="535">
      <c r="A535" s="5" t="str">
        <f>IFERROR(__xludf.DUMMYFUNCTION("""COMPUTED_VALUE"""),"G13619")</f>
        <v>G13619</v>
      </c>
      <c r="B535" s="5" t="str">
        <f>IFERROR(__xludf.DUMMYFUNCTION("""COMPUTED_VALUE"""),"Лампа Gauss LED Elementary MR16 GU10 9W 640lm 3000К 1/10/100")</f>
        <v>Лампа Gauss LED Elementary MR16 GU10 9W 640lm 3000К 1/10/100</v>
      </c>
      <c r="C535" s="2">
        <f>IFERROR(__xludf.DUMMYFUNCTION("""COMPUTED_VALUE"""),0.0)</f>
        <v>0</v>
      </c>
      <c r="D535" s="2">
        <f>IFERROR(__xludf.DUMMYFUNCTION("""COMPUTED_VALUE"""),0.0)</f>
        <v>0</v>
      </c>
      <c r="E535" s="2">
        <f>IFERROR(__xludf.DUMMYFUNCTION("""COMPUTED_VALUE"""),122.02)</f>
        <v>122.02</v>
      </c>
      <c r="F535" s="2">
        <f>IFERROR(__xludf.DUMMYFUNCTION("""COMPUTED_VALUE"""),0.0)</f>
        <v>0</v>
      </c>
      <c r="G535" s="2">
        <f>IFERROR(__xludf.DUMMYFUNCTION("""COMPUTED_VALUE"""),0.0)</f>
        <v>0</v>
      </c>
      <c r="H535" s="2">
        <f>IFERROR(__xludf.DUMMYFUNCTION("""COMPUTED_VALUE"""),0.0)</f>
        <v>0</v>
      </c>
      <c r="I535" s="2">
        <f>IFERROR(__xludf.DUMMYFUNCTION("""COMPUTED_VALUE"""),0.0)</f>
        <v>0</v>
      </c>
      <c r="J535" s="2">
        <f>IFERROR(__xludf.DUMMYFUNCTION("""COMPUTED_VALUE"""),0.0)</f>
        <v>0</v>
      </c>
      <c r="K535" s="2">
        <f>IFERROR(__xludf.DUMMYFUNCTION("""COMPUTED_VALUE"""),11.0)</f>
        <v>11</v>
      </c>
      <c r="L535" s="2" t="str">
        <f>IFERROR(__xludf.DUMMYFUNCTION("""COMPUTED_VALUE"""),"GAUSS лампы LED")</f>
        <v>GAUSS лампы LED</v>
      </c>
      <c r="M535" s="2" t="str">
        <f>IFERROR(__xludf.DUMMYFUNCTION("""COMPUTED_VALUE"""),"Лампы")</f>
        <v>Лампы</v>
      </c>
    </row>
    <row r="536">
      <c r="A536" s="5" t="str">
        <f>IFERROR(__xludf.DUMMYFUNCTION("""COMPUTED_VALUE"""),"P00037")</f>
        <v>P00037</v>
      </c>
      <c r="B536" s="5" t="str">
        <f>IFERROR(__xludf.DUMMYFUNCTION("""COMPUTED_VALUE"""),"КР-5 300*350 D=45 мм кронштейн с двумя хомутами")</f>
        <v>КР-5 300*350 D=45 мм кронштейн с двумя хомутами</v>
      </c>
      <c r="C536" s="2">
        <f>IFERROR(__xludf.DUMMYFUNCTION("""COMPUTED_VALUE"""),2.9)</f>
        <v>2.9</v>
      </c>
      <c r="D536" s="2">
        <f>IFERROR(__xludf.DUMMYFUNCTION("""COMPUTED_VALUE"""),0.0048)</f>
        <v>0.0048</v>
      </c>
      <c r="E536" s="2">
        <f>IFERROR(__xludf.DUMMYFUNCTION("""COMPUTED_VALUE"""),1086.73)</f>
        <v>1086.73</v>
      </c>
      <c r="F536" s="2">
        <f>IFERROR(__xludf.DUMMYFUNCTION("""COMPUTED_VALUE"""),1261.0)</f>
        <v>1261</v>
      </c>
      <c r="G536" s="2">
        <f>IFERROR(__xludf.DUMMYFUNCTION("""COMPUTED_VALUE"""),1380.0)</f>
        <v>1380</v>
      </c>
      <c r="H536" s="2">
        <f>IFERROR(__xludf.DUMMYFUNCTION("""COMPUTED_VALUE"""),1467.0)</f>
        <v>1467</v>
      </c>
      <c r="I536" s="2">
        <f>IFERROR(__xludf.DUMMYFUNCTION("""COMPUTED_VALUE"""),1630.0)</f>
        <v>1630</v>
      </c>
      <c r="J536" s="2">
        <f>IFERROR(__xludf.DUMMYFUNCTION("""COMPUTED_VALUE"""),1630.0)</f>
        <v>1630</v>
      </c>
      <c r="K536" s="2">
        <f>IFERROR(__xludf.DUMMYFUNCTION("""COMPUTED_VALUE"""),3.0)</f>
        <v>3</v>
      </c>
      <c r="L536" s="2" t="str">
        <f>IFERROR(__xludf.DUMMYFUNCTION("""COMPUTED_VALUE"""),"Приставные, настенные, регулируемые")</f>
        <v>Приставные, настенные, регулируемые</v>
      </c>
      <c r="M536" s="2" t="str">
        <f>IFERROR(__xludf.DUMMYFUNCTION("""COMPUTED_VALUE"""),"Настенные, Прочие товары")</f>
        <v>Настенные, Прочие товары</v>
      </c>
    </row>
    <row r="537">
      <c r="A537" s="5" t="str">
        <f>IFERROR(__xludf.DUMMYFUNCTION("""COMPUTED_VALUE"""),"4690612008073-10")</f>
        <v>4690612008073-10</v>
      </c>
      <c r="B537" s="5" t="str">
        <f>IFERROR(__xludf.DUMMYFUNCTION("""COMPUTED_VALUE"""),"10 шт. Лампа LED-A60-deco 9Вт 230В Е27 4000К 1040Лм прозрачная IN HOME (Комплект 10 шт)")</f>
        <v>10 шт. Лампа LED-A60-deco 9Вт 230В Е27 4000К 1040Лм прозрачная IN HOME (Комплект 10 шт)</v>
      </c>
      <c r="C537" s="2">
        <f>IFERROR(__xludf.DUMMYFUNCTION("""COMPUTED_VALUE"""),0.04)</f>
        <v>0.04</v>
      </c>
      <c r="D537" s="2">
        <f>IFERROR(__xludf.DUMMYFUNCTION("""COMPUTED_VALUE"""),0.0028)</f>
        <v>0.0028</v>
      </c>
      <c r="E537" s="2">
        <f>IFERROR(__xludf.DUMMYFUNCTION("""COMPUTED_VALUE"""),792.0)</f>
        <v>792</v>
      </c>
      <c r="F537" s="2">
        <f>IFERROR(__xludf.DUMMYFUNCTION("""COMPUTED_VALUE"""),869.0)</f>
        <v>869</v>
      </c>
      <c r="G537" s="2">
        <f>IFERROR(__xludf.DUMMYFUNCTION("""COMPUTED_VALUE"""),1141.0)</f>
        <v>1141</v>
      </c>
      <c r="H537" s="2">
        <f>IFERROR(__xludf.DUMMYFUNCTION("""COMPUTED_VALUE"""),1283.0)</f>
        <v>1283</v>
      </c>
      <c r="I537" s="2">
        <f>IFERROR(__xludf.DUMMYFUNCTION("""COMPUTED_VALUE"""),1426.0)</f>
        <v>1426</v>
      </c>
      <c r="J537" s="2">
        <f>IFERROR(__xludf.DUMMYFUNCTION("""COMPUTED_VALUE"""),713.0)</f>
        <v>713</v>
      </c>
      <c r="K537" s="2">
        <f>IFERROR(__xludf.DUMMYFUNCTION("""COMPUTED_VALUE"""),11.0)</f>
        <v>11</v>
      </c>
      <c r="L537" s="2" t="str">
        <f>IFERROR(__xludf.DUMMYFUNCTION("""COMPUTED_VALUE"""),"Лампы производство, упаковка")</f>
        <v>Лампы производство, упаковка</v>
      </c>
      <c r="M537" s="2" t="str">
        <f>IFERROR(__xludf.DUMMYFUNCTION("""COMPUTED_VALUE"""),"Лампы")</f>
        <v>Лампы</v>
      </c>
    </row>
    <row r="538">
      <c r="A538" s="5" t="str">
        <f>IFERROR(__xludf.DUMMYFUNCTION("""COMPUTED_VALUE"""),"4260375484195")</f>
        <v>4260375484195</v>
      </c>
      <c r="B538" s="5" t="str">
        <f>IFERROR(__xludf.DUMMYFUNCTION("""COMPUTED_VALUE"""),"LLFW36W02")</f>
        <v>LLFW36W02</v>
      </c>
      <c r="C538" s="2">
        <f>IFERROR(__xludf.DUMMYFUNCTION("""COMPUTED_VALUE"""),0.184)</f>
        <v>0.184</v>
      </c>
      <c r="D538" s="2">
        <f>IFERROR(__xludf.DUMMYFUNCTION("""COMPUTED_VALUE"""),0.05760000000000001)</f>
        <v>0.0576</v>
      </c>
      <c r="E538" s="2">
        <f>IFERROR(__xludf.DUMMYFUNCTION("""COMPUTED_VALUE"""),180.0)</f>
        <v>180</v>
      </c>
      <c r="F538" s="2">
        <f>IFERROR(__xludf.DUMMYFUNCTION("""COMPUTED_VALUE"""),385.0)</f>
        <v>385</v>
      </c>
      <c r="G538" s="2">
        <f>IFERROR(__xludf.DUMMYFUNCTION("""COMPUTED_VALUE"""),398.0)</f>
        <v>398</v>
      </c>
      <c r="H538" s="2">
        <f>IFERROR(__xludf.DUMMYFUNCTION("""COMPUTED_VALUE"""),521.0)</f>
        <v>521</v>
      </c>
      <c r="I538" s="2">
        <f>IFERROR(__xludf.DUMMYFUNCTION("""COMPUTED_VALUE"""),652.0)</f>
        <v>652</v>
      </c>
      <c r="J538" s="2">
        <f>IFERROR(__xludf.DUMMYFUNCTION("""COMPUTED_VALUE"""),180.0)</f>
        <v>180</v>
      </c>
      <c r="K538" s="2">
        <f>IFERROR(__xludf.DUMMYFUNCTION("""COMPUTED_VALUE"""),3.0)</f>
        <v>3</v>
      </c>
      <c r="L538" s="2" t="str">
        <f>IFERROR(__xludf.DUMMYFUNCTION("""COMPUTED_VALUE"""),"Wolta офисные")</f>
        <v>Wolta офисные</v>
      </c>
      <c r="M538" s="2" t="str">
        <f>IFERROR(__xludf.DUMMYFUNCTION("""COMPUTED_VALUE"""),"Накладные, Линейные (проходные), LED Светильники")</f>
        <v>Накладные, Линейные (проходные), LED Светильники</v>
      </c>
    </row>
    <row r="539">
      <c r="A539" s="5" t="str">
        <f>IFERROR(__xludf.DUMMYFUNCTION("""COMPUTED_VALUE"""),"4690612023403")</f>
        <v>4690612023403</v>
      </c>
      <c r="B539" s="5" t="str">
        <f>IFERROR(__xludf.DUMMYFUNCTION("""COMPUTED_VALUE"""),"LED-JCDRC-VC 6Вт 230В GU10 4000К 530Лм IN HOME")</f>
        <v>LED-JCDRC-VC 6Вт 230В GU10 4000К 530Лм IN HOME</v>
      </c>
      <c r="C539" s="2">
        <f>IFERROR(__xludf.DUMMYFUNCTION("""COMPUTED_VALUE"""),0.035)</f>
        <v>0.035</v>
      </c>
      <c r="D539" s="2">
        <f>IFERROR(__xludf.DUMMYFUNCTION("""COMPUTED_VALUE"""),2.1E-4)</f>
        <v>0.00021</v>
      </c>
      <c r="E539" s="2">
        <f>IFERROR(__xludf.DUMMYFUNCTION("""COMPUTED_VALUE"""),30.19)</f>
        <v>30.19</v>
      </c>
      <c r="F539" s="2">
        <f>IFERROR(__xludf.DUMMYFUNCTION("""COMPUTED_VALUE"""),35.0)</f>
        <v>35</v>
      </c>
      <c r="G539" s="2">
        <f>IFERROR(__xludf.DUMMYFUNCTION("""COMPUTED_VALUE"""),40.0)</f>
        <v>40</v>
      </c>
      <c r="H539" s="2">
        <f>IFERROR(__xludf.DUMMYFUNCTION("""COMPUTED_VALUE"""),46.0)</f>
        <v>46</v>
      </c>
      <c r="I539" s="2">
        <f>IFERROR(__xludf.DUMMYFUNCTION("""COMPUTED_VALUE"""),53.5)</f>
        <v>53.5</v>
      </c>
      <c r="J539" s="2">
        <f>IFERROR(__xludf.DUMMYFUNCTION("""COMPUTED_VALUE"""),27.0)</f>
        <v>27</v>
      </c>
      <c r="K539" s="2">
        <f>IFERROR(__xludf.DUMMYFUNCTION("""COMPUTED_VALUE"""),60.0)</f>
        <v>60</v>
      </c>
      <c r="L539" s="2" t="str">
        <f>IFERROR(__xludf.DUMMYFUNCTION("""COMPUTED_VALUE"""),"Лампа светодиодная LED-JCDR-standard")</f>
        <v>Лампа светодиодная LED-JCDR-standard</v>
      </c>
      <c r="M539" s="2" t="str">
        <f>IFERROR(__xludf.DUMMYFUNCTION("""COMPUTED_VALUE"""),"Лампы")</f>
        <v>Лампы</v>
      </c>
    </row>
    <row r="540">
      <c r="A540" s="5" t="str">
        <f>IFERROR(__xludf.DUMMYFUNCTION("""COMPUTED_VALUE"""),"4690612013336")</f>
        <v>4690612013336</v>
      </c>
      <c r="B540" s="5" t="str">
        <f>IFERROR(__xludf.DUMMYFUNCTION("""COMPUTED_VALUE"""),"ЗБН-5 32 мелодии 120м с цифр. кодир. с двумя кнопками IP44 БЕЛО-СЕРЫЙ IN HOME")</f>
        <v>ЗБН-5 32 мелодии 120м с цифр. кодир. с двумя кнопками IP44 БЕЛО-СЕРЫЙ IN HOME</v>
      </c>
      <c r="C540" s="2">
        <f>IFERROR(__xludf.DUMMYFUNCTION("""COMPUTED_VALUE"""),0.17)</f>
        <v>0.17</v>
      </c>
      <c r="D540" s="2">
        <f>IFERROR(__xludf.DUMMYFUNCTION("""COMPUTED_VALUE"""),8.300000000000001E-4)</f>
        <v>0.00083</v>
      </c>
      <c r="E540" s="2">
        <f>IFERROR(__xludf.DUMMYFUNCTION("""COMPUTED_VALUE"""),436.93)</f>
        <v>436.93</v>
      </c>
      <c r="F540" s="2">
        <f>IFERROR(__xludf.DUMMYFUNCTION("""COMPUTED_VALUE"""),751.0)</f>
        <v>751</v>
      </c>
      <c r="G540" s="2">
        <f>IFERROR(__xludf.DUMMYFUNCTION("""COMPUTED_VALUE"""),845.0)</f>
        <v>845</v>
      </c>
      <c r="H540" s="2">
        <f>IFERROR(__xludf.DUMMYFUNCTION("""COMPUTED_VALUE"""),980.0)</f>
        <v>980</v>
      </c>
      <c r="I540" s="2">
        <f>IFERROR(__xludf.DUMMYFUNCTION("""COMPUTED_VALUE"""),1126.0)</f>
        <v>1126</v>
      </c>
      <c r="J540" s="2">
        <f>IFERROR(__xludf.DUMMYFUNCTION("""COMPUTED_VALUE"""),563.0)</f>
        <v>563</v>
      </c>
      <c r="K540" s="2">
        <f>IFERROR(__xludf.DUMMYFUNCTION("""COMPUTED_VALUE"""),1.0)</f>
        <v>1</v>
      </c>
      <c r="L540" s="2" t="str">
        <f>IFERROR(__xludf.DUMMYFUNCTION("""COMPUTED_VALUE"""),"Звонки")</f>
        <v>Звонки</v>
      </c>
      <c r="M540" s="2" t="str">
        <f>IFERROR(__xludf.DUMMYFUNCTION("""COMPUTED_VALUE"""),"Прочие товары")</f>
        <v>Прочие товары</v>
      </c>
    </row>
    <row r="541">
      <c r="A541" s="5" t="str">
        <f>IFERROR(__xludf.DUMMYFUNCTION("""COMPUTED_VALUE"""),"V5037")</f>
        <v>V5037</v>
      </c>
      <c r="B541" s="5" t="str">
        <f>IFERROR(__xludf.DUMMYFUNCTION("""COMPUTED_VALUE"""),"VRN-LUX60-76-A50K67-U")</f>
        <v>VRN-LUX60-76-A50K67-U</v>
      </c>
      <c r="C541" s="2">
        <f>IFERROR(__xludf.DUMMYFUNCTION("""COMPUTED_VALUE"""),2.4)</f>
        <v>2.4</v>
      </c>
      <c r="D541" s="2">
        <f>IFERROR(__xludf.DUMMYFUNCTION("""COMPUTED_VALUE"""),0.0088)</f>
        <v>0.0088</v>
      </c>
      <c r="E541" s="2">
        <f>IFERROR(__xludf.DUMMYFUNCTION("""COMPUTED_VALUE"""),7172.5)</f>
        <v>7172.5</v>
      </c>
      <c r="F541" s="2">
        <f>IFERROR(__xludf.DUMMYFUNCTION("""COMPUTED_VALUE"""),7430.0)</f>
        <v>7430</v>
      </c>
      <c r="G541" s="2">
        <f>IFERROR(__xludf.DUMMYFUNCTION("""COMPUTED_VALUE"""),9659.0)</f>
        <v>9659</v>
      </c>
      <c r="H541" s="2">
        <f>IFERROR(__xludf.DUMMYFUNCTION("""COMPUTED_VALUE"""),10142.0)</f>
        <v>10142</v>
      </c>
      <c r="I541" s="2">
        <f>IFERROR(__xludf.DUMMYFUNCTION("""COMPUTED_VALUE"""),10625.0)</f>
        <v>10625</v>
      </c>
      <c r="J541" s="2">
        <f>IFERROR(__xludf.DUMMYFUNCTION("""COMPUTED_VALUE"""),5313.0)</f>
        <v>5313</v>
      </c>
      <c r="K541" s="2">
        <f>IFERROR(__xludf.DUMMYFUNCTION("""COMPUTED_VALUE"""),1.0)</f>
        <v>1</v>
      </c>
      <c r="L541" s="2" t="str">
        <f>IFERROR(__xludf.DUMMYFUNCTION("""COMPUTED_VALUE"""),"Премиум")</f>
        <v>Премиум</v>
      </c>
      <c r="M541" s="2" t="str">
        <f>IFERROR(__xludf.DUMMYFUNCTION("""COMPUTED_VALUE"""),"Профессиональные, LED Светильники")</f>
        <v>Профессиональные, LED Светильники</v>
      </c>
    </row>
    <row r="542">
      <c r="A542" s="5" t="str">
        <f>IFERROR(__xludf.DUMMYFUNCTION("""COMPUTED_VALUE"""),"4690612051925")</f>
        <v>4690612051925</v>
      </c>
      <c r="B542" s="5" t="str">
        <f>IFERROR(__xludf.DUMMYFUNCTION("""COMPUTED_VALUE"""),"ДБУ RING-630BL 6Вт 3000К IP54 черный IN HOME")</f>
        <v>ДБУ RING-630BL 6Вт 3000К IP54 черный IN HOME</v>
      </c>
      <c r="C542" s="2">
        <f>IFERROR(__xludf.DUMMYFUNCTION("""COMPUTED_VALUE"""),0.355)</f>
        <v>0.355</v>
      </c>
      <c r="D542" s="2">
        <f>IFERROR(__xludf.DUMMYFUNCTION("""COMPUTED_VALUE"""),8.8E-4)</f>
        <v>0.00088</v>
      </c>
      <c r="E542" s="2">
        <f>IFERROR(__xludf.DUMMYFUNCTION("""COMPUTED_VALUE"""),694.8000000000001)</f>
        <v>694.8</v>
      </c>
      <c r="F542" s="2">
        <f>IFERROR(__xludf.DUMMYFUNCTION("""COMPUTED_VALUE"""),709.0)</f>
        <v>709</v>
      </c>
      <c r="G542" s="2">
        <f>IFERROR(__xludf.DUMMYFUNCTION("""COMPUTED_VALUE"""),797.0)</f>
        <v>797</v>
      </c>
      <c r="H542" s="2">
        <f>IFERROR(__xludf.DUMMYFUNCTION("""COMPUTED_VALUE"""),925.0)</f>
        <v>925</v>
      </c>
      <c r="I542" s="2">
        <f>IFERROR(__xludf.DUMMYFUNCTION("""COMPUTED_VALUE"""),1063.0)</f>
        <v>1063</v>
      </c>
      <c r="J542" s="2">
        <f>IFERROR(__xludf.DUMMYFUNCTION("""COMPUTED_VALUE"""),532.0)</f>
        <v>532</v>
      </c>
      <c r="K542" s="2">
        <f>IFERROR(__xludf.DUMMYFUNCTION("""COMPUTED_VALUE"""),9.0)</f>
        <v>9</v>
      </c>
      <c r="L542" s="2" t="str">
        <f>IFERROR(__xludf.DUMMYFUNCTION("""COMPUTED_VALUE"""),"Светильники светодиодные уличные ДБУ")</f>
        <v>Светильники светодиодные уличные ДБУ</v>
      </c>
      <c r="M542" s="2" t="str">
        <f>IFERROR(__xludf.DUMMYFUNCTION("""COMPUTED_VALUE"""),"Садово-парковые, ландшафтные, LED Светильники")</f>
        <v>Садово-парковые, ландшафтные, LED Светильники</v>
      </c>
    </row>
    <row r="543">
      <c r="A543" s="5" t="str">
        <f>IFERROR(__xludf.DUMMYFUNCTION("""COMPUTED_VALUE"""),"4260375487554")</f>
        <v>4260375487554</v>
      </c>
      <c r="B543" s="5" t="str">
        <f>IFERROR(__xludf.DUMMYFUNCTION("""COMPUTED_VALUE"""),"WFL-200W/06")</f>
        <v>WFL-200W/06</v>
      </c>
      <c r="C543" s="2">
        <f>IFERROR(__xludf.DUMMYFUNCTION("""COMPUTED_VALUE"""),2.06)</f>
        <v>2.06</v>
      </c>
      <c r="D543" s="2">
        <f>IFERROR(__xludf.DUMMYFUNCTION("""COMPUTED_VALUE"""),0.00504)</f>
        <v>0.00504</v>
      </c>
      <c r="E543" s="2">
        <f>IFERROR(__xludf.DUMMYFUNCTION("""COMPUTED_VALUE"""),2929.51)</f>
        <v>2929.51</v>
      </c>
      <c r="F543" s="2">
        <f>IFERROR(__xludf.DUMMYFUNCTION("""COMPUTED_VALUE"""),2933.0)</f>
        <v>2933</v>
      </c>
      <c r="G543" s="2">
        <f>IFERROR(__xludf.DUMMYFUNCTION("""COMPUTED_VALUE"""),3033.0)</f>
        <v>3033</v>
      </c>
      <c r="H543" s="2">
        <f>IFERROR(__xludf.DUMMYFUNCTION("""COMPUTED_VALUE"""),3977.0)</f>
        <v>3977</v>
      </c>
      <c r="I543" s="2">
        <f>IFERROR(__xludf.DUMMYFUNCTION("""COMPUTED_VALUE"""),4972.0)</f>
        <v>4972</v>
      </c>
      <c r="J543" s="2">
        <f>IFERROR(__xludf.DUMMYFUNCTION("""COMPUTED_VALUE"""),2486.0)</f>
        <v>2486</v>
      </c>
      <c r="K543" s="2">
        <f>IFERROR(__xludf.DUMMYFUNCTION("""COMPUTED_VALUE"""),4.0)</f>
        <v>4</v>
      </c>
      <c r="L543" s="2" t="str">
        <f>IFERROR(__xludf.DUMMYFUNCTION("""COMPUTED_VALUE"""),"Wolta прожекторы")</f>
        <v>Wolta прожекторы</v>
      </c>
      <c r="M543" s="2" t="str">
        <f>IFERROR(__xludf.DUMMYFUNCTION("""COMPUTED_VALUE"""),"Прожекторы (LED), LED Светильники")</f>
        <v>Прожекторы (LED), LED Светильники</v>
      </c>
    </row>
    <row r="544">
      <c r="A544" s="5" t="str">
        <f>IFERROR(__xludf.DUMMYFUNCTION("""COMPUTED_VALUE"""),"GL51111")</f>
        <v>GL51111</v>
      </c>
      <c r="B544" s="5" t="str">
        <f>IFERROR(__xludf.DUMMYFUNCTION("""COMPUTED_VALUE"""),"GLERIO Practical 32 Вт 5000К 6A-32D-5K+")</f>
        <v>GLERIO Practical 32 Вт 5000К 6A-32D-5K+</v>
      </c>
      <c r="C544" s="2">
        <f>IFERROR(__xludf.DUMMYFUNCTION("""COMPUTED_VALUE"""),0.8)</f>
        <v>0.8</v>
      </c>
      <c r="D544" s="2">
        <f>IFERROR(__xludf.DUMMYFUNCTION("""COMPUTED_VALUE"""),0.0024)</f>
        <v>0.0024</v>
      </c>
      <c r="E544" s="2">
        <f>IFERROR(__xludf.DUMMYFUNCTION("""COMPUTED_VALUE"""),1396.8)</f>
        <v>1396.8</v>
      </c>
      <c r="F544" s="2">
        <f>IFERROR(__xludf.DUMMYFUNCTION("""COMPUTED_VALUE"""),1600.0)</f>
        <v>1600</v>
      </c>
      <c r="G544" s="2">
        <f>IFERROR(__xludf.DUMMYFUNCTION("""COMPUTED_VALUE"""),2000.0)</f>
        <v>2000</v>
      </c>
      <c r="H544" s="2">
        <f>IFERROR(__xludf.DUMMYFUNCTION("""COMPUTED_VALUE"""),2250.0)</f>
        <v>2250</v>
      </c>
      <c r="I544" s="2">
        <f>IFERROR(__xludf.DUMMYFUNCTION("""COMPUTED_VALUE"""),2500.0)</f>
        <v>2500</v>
      </c>
      <c r="J544" s="2">
        <f>IFERROR(__xludf.DUMMYFUNCTION("""COMPUTED_VALUE"""),1250.0)</f>
        <v>1250</v>
      </c>
      <c r="K544" s="2">
        <f>IFERROR(__xludf.DUMMYFUNCTION("""COMPUTED_VALUE"""),10.0)</f>
        <v>10</v>
      </c>
      <c r="L544" s="2" t="str">
        <f>IFERROR(__xludf.DUMMYFUNCTION("""COMPUTED_VALUE"""),"Practical+ Уличные GLERIO")</f>
        <v>Practical+ Уличные GLERIO</v>
      </c>
      <c r="M544" s="2" t="str">
        <f>IFERROR(__xludf.DUMMYFUNCTION("""COMPUTED_VALUE"""),"Для обычных дорог, LED Светильники")</f>
        <v>Для обычных дорог, LED Светильники</v>
      </c>
    </row>
    <row r="545">
      <c r="A545" s="5" t="str">
        <f>IFERROR(__xludf.DUMMYFUNCTION("""COMPUTED_VALUE"""),"4690612019864")</f>
        <v>4690612019864</v>
      </c>
      <c r="B545" s="5" t="str">
        <f>IFERROR(__xludf.DUMMYFUNCTION("""COMPUTED_VALUE"""),"LED-JCD-VC 3Вт 230В G9 4000К 270Лм IN HOME")</f>
        <v>LED-JCD-VC 3Вт 230В G9 4000К 270Лм IN HOME</v>
      </c>
      <c r="C545" s="2">
        <f>IFERROR(__xludf.DUMMYFUNCTION("""COMPUTED_VALUE"""),0.015)</f>
        <v>0.015</v>
      </c>
      <c r="D545" s="2">
        <f>IFERROR(__xludf.DUMMYFUNCTION("""COMPUTED_VALUE"""),5.0E-5)</f>
        <v>0.00005</v>
      </c>
      <c r="E545" s="2">
        <f>IFERROR(__xludf.DUMMYFUNCTION("""COMPUTED_VALUE"""),53.84)</f>
        <v>53.84</v>
      </c>
      <c r="F545" s="2">
        <f>IFERROR(__xludf.DUMMYFUNCTION("""COMPUTED_VALUE"""),42.0)</f>
        <v>42</v>
      </c>
      <c r="G545" s="2">
        <f>IFERROR(__xludf.DUMMYFUNCTION("""COMPUTED_VALUE"""),47.0)</f>
        <v>47</v>
      </c>
      <c r="H545" s="2">
        <f>IFERROR(__xludf.DUMMYFUNCTION("""COMPUTED_VALUE"""),55.0)</f>
        <v>55</v>
      </c>
      <c r="I545" s="2">
        <f>IFERROR(__xludf.DUMMYFUNCTION("""COMPUTED_VALUE"""),63.5)</f>
        <v>63.5</v>
      </c>
      <c r="J545" s="2">
        <f>IFERROR(__xludf.DUMMYFUNCTION("""COMPUTED_VALUE"""),32.0)</f>
        <v>32</v>
      </c>
      <c r="K545" s="2">
        <f>IFERROR(__xludf.DUMMYFUNCTION("""COMPUTED_VALUE"""),4.0)</f>
        <v>4</v>
      </c>
      <c r="L545" s="2" t="str">
        <f>IFERROR(__xludf.DUMMYFUNCTION("""COMPUTED_VALUE"""),"Лампа светодиодная LED-JCD-standard")</f>
        <v>Лампа светодиодная LED-JCD-standard</v>
      </c>
      <c r="M545" s="2" t="str">
        <f>IFERROR(__xludf.DUMMYFUNCTION("""COMPUTED_VALUE"""),"Лампы")</f>
        <v>Лампы</v>
      </c>
    </row>
    <row r="546">
      <c r="A546" s="5" t="str">
        <f>IFERROR(__xludf.DUMMYFUNCTION("""COMPUTED_VALUE"""),"4690612022185")</f>
        <v>4690612022185</v>
      </c>
      <c r="B546" s="5" t="str">
        <f>IFERROR(__xludf.DUMMYFUNCTION("""COMPUTED_VALUE"""),"DECO СОЗВЕЗДИЕ 12Вт 230В 6500К 1080Лм 210х65мм IN HOME")</f>
        <v>DECO СОЗВЕЗДИЕ 12Вт 230В 6500К 1080Лм 210х65мм IN HOME</v>
      </c>
      <c r="C546" s="2">
        <f>IFERROR(__xludf.DUMMYFUNCTION("""COMPUTED_VALUE"""),0.23)</f>
        <v>0.23</v>
      </c>
      <c r="D546" s="2">
        <f>IFERROR(__xludf.DUMMYFUNCTION("""COMPUTED_VALUE"""),0.0037)</f>
        <v>0.0037</v>
      </c>
      <c r="E546" s="2">
        <f>IFERROR(__xludf.DUMMYFUNCTION("""COMPUTED_VALUE"""),256.51)</f>
        <v>256.51</v>
      </c>
      <c r="F546" s="2">
        <f>IFERROR(__xludf.DUMMYFUNCTION("""COMPUTED_VALUE"""),307.0)</f>
        <v>307</v>
      </c>
      <c r="G546" s="2">
        <f>IFERROR(__xludf.DUMMYFUNCTION("""COMPUTED_VALUE"""),346.0)</f>
        <v>346</v>
      </c>
      <c r="H546" s="2">
        <f>IFERROR(__xludf.DUMMYFUNCTION("""COMPUTED_VALUE"""),401.0)</f>
        <v>401</v>
      </c>
      <c r="I546" s="2">
        <f>IFERROR(__xludf.DUMMYFUNCTION("""COMPUTED_VALUE"""),461.0)</f>
        <v>461</v>
      </c>
      <c r="J546" s="2">
        <f>IFERROR(__xludf.DUMMYFUNCTION("""COMPUTED_VALUE"""),231.0)</f>
        <v>231</v>
      </c>
      <c r="K546" s="2">
        <f>IFERROR(__xludf.DUMMYFUNCTION("""COMPUTED_VALUE"""),12.0)</f>
        <v>12</v>
      </c>
      <c r="L546" s="2" t="str">
        <f>IFERROR(__xludf.DUMMYFUNCTION("""COMPUTED_VALUE"""),"Светильник светодиодный серии DECO")</f>
        <v>Светильник светодиодный серии DECO</v>
      </c>
      <c r="M546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547">
      <c r="A547" s="5" t="str">
        <f>IFERROR(__xludf.DUMMYFUNCTION("""COMPUTED_VALUE"""),"4690612004204")</f>
        <v>4690612004204</v>
      </c>
      <c r="B547" s="5" t="str">
        <f>IFERROR(__xludf.DUMMYFUNCTION("""COMPUTED_VALUE"""),"LED-A60-standard 20Вт 160-260В Е27 4000К ASD")</f>
        <v>LED-A60-standard 20Вт 160-260В Е27 4000К ASD</v>
      </c>
      <c r="C547" s="2">
        <f>IFERROR(__xludf.DUMMYFUNCTION("""COMPUTED_VALUE"""),0.06100000000000001)</f>
        <v>0.061</v>
      </c>
      <c r="D547" s="2">
        <f>IFERROR(__xludf.DUMMYFUNCTION("""COMPUTED_VALUE"""),5.0E-4)</f>
        <v>0.0005</v>
      </c>
      <c r="E547" s="2">
        <f>IFERROR(__xludf.DUMMYFUNCTION("""COMPUTED_VALUE"""),69.82000000000001)</f>
        <v>69.82</v>
      </c>
      <c r="F547" s="2">
        <f>IFERROR(__xludf.DUMMYFUNCTION("""COMPUTED_VALUE"""),45.0)</f>
        <v>45</v>
      </c>
      <c r="G547" s="2">
        <f>IFERROR(__xludf.DUMMYFUNCTION("""COMPUTED_VALUE"""),51.0)</f>
        <v>51</v>
      </c>
      <c r="H547" s="2">
        <f>IFERROR(__xludf.DUMMYFUNCTION("""COMPUTED_VALUE"""),59.0)</f>
        <v>59</v>
      </c>
      <c r="I547" s="2">
        <f>IFERROR(__xludf.DUMMYFUNCTION("""COMPUTED_VALUE"""),67.95)</f>
        <v>67.95</v>
      </c>
      <c r="J547" s="2">
        <f>IFERROR(__xludf.DUMMYFUNCTION("""COMPUTED_VALUE"""),34.0)</f>
        <v>34</v>
      </c>
      <c r="K547" s="2">
        <f>IFERROR(__xludf.DUMMYFUNCTION("""COMPUTED_VALUE"""),5.0)</f>
        <v>5</v>
      </c>
      <c r="L547" s="2" t="str">
        <f>IFERROR(__xludf.DUMMYFUNCTION("""COMPUTED_VALUE"""),"Лампа светодиодная LED-A60-standard")</f>
        <v>Лампа светодиодная LED-A60-standard</v>
      </c>
      <c r="M547" s="2" t="str">
        <f>IFERROR(__xludf.DUMMYFUNCTION("""COMPUTED_VALUE"""),"Лампы")</f>
        <v>Лампы</v>
      </c>
    </row>
    <row r="548">
      <c r="A548" s="5" t="str">
        <f>IFERROR(__xludf.DUMMYFUNCTION("""COMPUTED_VALUE"""),"4690612020501")</f>
        <v>4690612020501</v>
      </c>
      <c r="B548" s="5" t="str">
        <f>IFERROR(__xludf.DUMMYFUNCTION("""COMPUTED_VALUE"""),"LED-ШАР-VC 6Вт 230В Е14 3000К 570Лм IN HOME")</f>
        <v>LED-ШАР-VC 6Вт 230В Е14 3000К 570Лм IN HOME</v>
      </c>
      <c r="C548" s="2">
        <f>IFERROR(__xludf.DUMMYFUNCTION("""COMPUTED_VALUE"""),0.031)</f>
        <v>0.031</v>
      </c>
      <c r="D548" s="2">
        <f>IFERROR(__xludf.DUMMYFUNCTION("""COMPUTED_VALUE"""),2.3E-4)</f>
        <v>0.00023</v>
      </c>
      <c r="E548" s="2">
        <f>IFERROR(__xludf.DUMMYFUNCTION("""COMPUTED_VALUE"""),34.8)</f>
        <v>34.8</v>
      </c>
      <c r="F548" s="2">
        <f>IFERROR(__xludf.DUMMYFUNCTION("""COMPUTED_VALUE"""),35.0)</f>
        <v>35</v>
      </c>
      <c r="G548" s="2">
        <f>IFERROR(__xludf.DUMMYFUNCTION("""COMPUTED_VALUE"""),39.0)</f>
        <v>39</v>
      </c>
      <c r="H548" s="2">
        <f>IFERROR(__xludf.DUMMYFUNCTION("""COMPUTED_VALUE"""),45.0)</f>
        <v>45</v>
      </c>
      <c r="I548" s="2">
        <f>IFERROR(__xludf.DUMMYFUNCTION("""COMPUTED_VALUE"""),52.5)</f>
        <v>52.5</v>
      </c>
      <c r="J548" s="2">
        <f>IFERROR(__xludf.DUMMYFUNCTION("""COMPUTED_VALUE"""),26.0)</f>
        <v>26</v>
      </c>
      <c r="K548" s="2">
        <f>IFERROR(__xludf.DUMMYFUNCTION("""COMPUTED_VALUE"""),13.0)</f>
        <v>13</v>
      </c>
      <c r="L548" s="2" t="str">
        <f>IFERROR(__xludf.DUMMYFUNCTION("""COMPUTED_VALUE"""),"Лампа светодиодная LED-ШАР-standard")</f>
        <v>Лампа светодиодная LED-ШАР-standard</v>
      </c>
      <c r="M548" s="2" t="str">
        <f>IFERROR(__xludf.DUMMYFUNCTION("""COMPUTED_VALUE"""),"Лампы")</f>
        <v>Лампы</v>
      </c>
    </row>
    <row r="549">
      <c r="A549" s="5" t="str">
        <f>IFERROR(__xludf.DUMMYFUNCTION("""COMPUTED_VALUE"""),"4690612029344")</f>
        <v>4690612029344</v>
      </c>
      <c r="B549" s="5" t="str">
        <f>IFERROR(__xludf.DUMMYFUNCTION("""COMPUTED_VALUE"""),"Коннектор шинопровода прямой SC-W-TL белый серии TOP-LINE IN HOME")</f>
        <v>Коннектор шинопровода прямой SC-W-TL белый серии TOP-LINE IN HOME</v>
      </c>
      <c r="C549" s="2">
        <f>IFERROR(__xludf.DUMMYFUNCTION("""COMPUTED_VALUE"""),0.007)</f>
        <v>0.007</v>
      </c>
      <c r="D549" s="2">
        <f>IFERROR(__xludf.DUMMYFUNCTION("""COMPUTED_VALUE"""),1.0E-5)</f>
        <v>0.00001</v>
      </c>
      <c r="E549" s="2">
        <f>IFERROR(__xludf.DUMMYFUNCTION("""COMPUTED_VALUE"""),56.48)</f>
        <v>56.48</v>
      </c>
      <c r="F549" s="2">
        <f>IFERROR(__xludf.DUMMYFUNCTION("""COMPUTED_VALUE"""),39.0)</f>
        <v>39</v>
      </c>
      <c r="G549" s="2">
        <f>IFERROR(__xludf.DUMMYFUNCTION("""COMPUTED_VALUE"""),44.0)</f>
        <v>44</v>
      </c>
      <c r="H549" s="2">
        <f>IFERROR(__xludf.DUMMYFUNCTION("""COMPUTED_VALUE"""),50.0)</f>
        <v>50</v>
      </c>
      <c r="I549" s="2">
        <f>IFERROR(__xludf.DUMMYFUNCTION("""COMPUTED_VALUE"""),58.0)</f>
        <v>58</v>
      </c>
      <c r="J549" s="2">
        <f>IFERROR(__xludf.DUMMYFUNCTION("""COMPUTED_VALUE"""),58.0)</f>
        <v>58</v>
      </c>
      <c r="K549" s="2">
        <f>IFERROR(__xludf.DUMMYFUNCTION("""COMPUTED_VALUE"""),0.0)</f>
        <v>0</v>
      </c>
      <c r="L549" s="2" t="str">
        <f>IFERROR(__xludf.DUMMYFUNCTION("""COMPUTED_VALUE"""),"Шинопровод и комплектующие")</f>
        <v>Шинопровод и комплектующие</v>
      </c>
      <c r="M549" s="2" t="str">
        <f>IFERROR(__xludf.DUMMYFUNCTION("""COMPUTED_VALUE"""),"Прочие товары")</f>
        <v>Прочие товары</v>
      </c>
    </row>
    <row r="550">
      <c r="A550" s="5" t="str">
        <f>IFERROR(__xludf.DUMMYFUNCTION("""COMPUTED_VALUE"""),"4690612028934")</f>
        <v>4690612028934</v>
      </c>
      <c r="B550" s="5" t="str">
        <f>IFERROR(__xludf.DUMMYFUNCTION("""COMPUTED_VALUE"""),"NLA 10-HR СЕРДЦЕ красное с выключателем 230В IN HOME")</f>
        <v>NLA 10-HR СЕРДЦЕ красное с выключателем 230В IN HOME</v>
      </c>
      <c r="C550" s="2">
        <f>IFERROR(__xludf.DUMMYFUNCTION("""COMPUTED_VALUE"""),0.03583)</f>
        <v>0.03583</v>
      </c>
      <c r="D550" s="2">
        <f>IFERROR(__xludf.DUMMYFUNCTION("""COMPUTED_VALUE"""),6.7E-4)</f>
        <v>0.00067</v>
      </c>
      <c r="E550" s="2">
        <f>IFERROR(__xludf.DUMMYFUNCTION("""COMPUTED_VALUE"""),110.03)</f>
        <v>110.03</v>
      </c>
      <c r="F550" s="2">
        <f>IFERROR(__xludf.DUMMYFUNCTION("""COMPUTED_VALUE"""),91.0)</f>
        <v>91</v>
      </c>
      <c r="G550" s="2">
        <f>IFERROR(__xludf.DUMMYFUNCTION("""COMPUTED_VALUE"""),103.0)</f>
        <v>103</v>
      </c>
      <c r="H550" s="2">
        <f>IFERROR(__xludf.DUMMYFUNCTION("""COMPUTED_VALUE"""),119.0)</f>
        <v>119</v>
      </c>
      <c r="I550" s="2">
        <f>IFERROR(__xludf.DUMMYFUNCTION("""COMPUTED_VALUE"""),137.0)</f>
        <v>137</v>
      </c>
      <c r="J550" s="2">
        <f>IFERROR(__xludf.DUMMYFUNCTION("""COMPUTED_VALUE"""),69.0)</f>
        <v>69</v>
      </c>
      <c r="K550" s="2">
        <f>IFERROR(__xludf.DUMMYFUNCTION("""COMPUTED_VALUE"""),21.0)</f>
        <v>21</v>
      </c>
      <c r="L550" s="2" t="str">
        <f>IFERROR(__xludf.DUMMYFUNCTION("""COMPUTED_VALUE"""),"Светильники ночники")</f>
        <v>Светильники ночники</v>
      </c>
      <c r="M550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551">
      <c r="A551" s="5" t="str">
        <f>IFERROR(__xludf.DUMMYFUNCTION("""COMPUTED_VALUE"""),"GL8420")</f>
        <v>GL8420</v>
      </c>
      <c r="B551" s="5" t="str">
        <f>IFERROR(__xludf.DUMMYFUNCTION("""COMPUTED_VALUE"""),"GLERIO Indoor 8 Вт 4000К 10P-8D-4N-M-S")</f>
        <v>GLERIO Indoor 8 Вт 4000К 10P-8D-4N-M-S</v>
      </c>
      <c r="C551" s="2">
        <f>IFERROR(__xludf.DUMMYFUNCTION("""COMPUTED_VALUE"""),0.15)</f>
        <v>0.15</v>
      </c>
      <c r="D551" s="2">
        <f>IFERROR(__xludf.DUMMYFUNCTION("""COMPUTED_VALUE"""),6.600000000000001E-4)</f>
        <v>0.00066</v>
      </c>
      <c r="E551" s="2">
        <f>IFERROR(__xludf.DUMMYFUNCTION("""COMPUTED_VALUE"""),514.1)</f>
        <v>514.1</v>
      </c>
      <c r="F551" s="2">
        <f>IFERROR(__xludf.DUMMYFUNCTION("""COMPUTED_VALUE"""),600.0)</f>
        <v>600</v>
      </c>
      <c r="G551" s="2">
        <f>IFERROR(__xludf.DUMMYFUNCTION("""COMPUTED_VALUE"""),755.0)</f>
        <v>755</v>
      </c>
      <c r="H551" s="2">
        <f>IFERROR(__xludf.DUMMYFUNCTION("""COMPUTED_VALUE"""),848.0)</f>
        <v>848</v>
      </c>
      <c r="I551" s="2">
        <f>IFERROR(__xludf.DUMMYFUNCTION("""COMPUTED_VALUE"""),941.0)</f>
        <v>941</v>
      </c>
      <c r="J551" s="2">
        <f>IFERROR(__xludf.DUMMYFUNCTION("""COMPUTED_VALUE"""),941.0)</f>
        <v>941</v>
      </c>
      <c r="K551" s="2">
        <f>IFERROR(__xludf.DUMMYFUNCTION("""COMPUTED_VALUE"""),7.0)</f>
        <v>7</v>
      </c>
      <c r="L551" s="2" t="str">
        <f>IFERROR(__xludf.DUMMYFUNCTION("""COMPUTED_VALUE"""),"Indoor GLERIO (ЖКХ) до 10.2025")</f>
        <v>Indoor GLERIO (ЖКХ) до 10.2025</v>
      </c>
      <c r="M551" s="2" t="str">
        <f>IFERROR(__xludf.DUMMYFUNCTION("""COMPUTED_VALUE"""),"С датчиками, LED Светильники")</f>
        <v>С датчиками, LED Светильники</v>
      </c>
    </row>
    <row r="552">
      <c r="A552" s="5" t="str">
        <f>IFERROR(__xludf.DUMMYFUNCTION("""COMPUTED_VALUE"""),"4690612007601")</f>
        <v>4690612007601</v>
      </c>
      <c r="B552" s="5" t="str">
        <f>IFERROR(__xludf.DUMMYFUNCTION("""COMPUTED_VALUE"""),"LED-СВЕЧА-deco 7Вт 230В Е14 3000К 810Лм прозрачная IN HOME")</f>
        <v>LED-СВЕЧА-deco 7Вт 230В Е14 3000К 810Лм прозрачная IN HOME</v>
      </c>
      <c r="C552" s="2">
        <f>IFERROR(__xludf.DUMMYFUNCTION("""COMPUTED_VALUE"""),0.025)</f>
        <v>0.025</v>
      </c>
      <c r="D552" s="2">
        <f>IFERROR(__xludf.DUMMYFUNCTION("""COMPUTED_VALUE"""),2.0E-4)</f>
        <v>0.0002</v>
      </c>
      <c r="E552" s="2">
        <f>IFERROR(__xludf.DUMMYFUNCTION("""COMPUTED_VALUE"""),63.5)</f>
        <v>63.5</v>
      </c>
      <c r="F552" s="2">
        <f>IFERROR(__xludf.DUMMYFUNCTION("""COMPUTED_VALUE"""),57.0)</f>
        <v>57</v>
      </c>
      <c r="G552" s="2">
        <f>IFERROR(__xludf.DUMMYFUNCTION("""COMPUTED_VALUE"""),64.0)</f>
        <v>64</v>
      </c>
      <c r="H552" s="2">
        <f>IFERROR(__xludf.DUMMYFUNCTION("""COMPUTED_VALUE"""),74.0)</f>
        <v>74</v>
      </c>
      <c r="I552" s="2">
        <f>IFERROR(__xludf.DUMMYFUNCTION("""COMPUTED_VALUE"""),85.5)</f>
        <v>85.5</v>
      </c>
      <c r="J552" s="2">
        <f>IFERROR(__xludf.DUMMYFUNCTION("""COMPUTED_VALUE"""),43.0)</f>
        <v>43</v>
      </c>
      <c r="K552" s="2">
        <f>IFERROR(__xludf.DUMMYFUNCTION("""COMPUTED_VALUE"""),57.0)</f>
        <v>57</v>
      </c>
      <c r="L552" s="2" t="str">
        <f>IFERROR(__xludf.DUMMYFUNCTION("""COMPUTED_VALUE"""),"Лампа светодиодная LED-СВЕЧА-DECO")</f>
        <v>Лампа светодиодная LED-СВЕЧА-DECO</v>
      </c>
      <c r="M552" s="2" t="str">
        <f>IFERROR(__xludf.DUMMYFUNCTION("""COMPUTED_VALUE"""),"Лампы")</f>
        <v>Лампы</v>
      </c>
    </row>
    <row r="553">
      <c r="A553" s="5" t="str">
        <f>IFERROR(__xludf.DUMMYFUNCTION("""COMPUTED_VALUE"""),"4690612035529")</f>
        <v>4690612035529</v>
      </c>
      <c r="B553" s="5" t="str">
        <f>IFERROR(__xludf.DUMMYFUNCTION("""COMPUTED_VALUE"""),"TR-07-TL 25Вт 4000К 2500Лм IP40 24 градуса белый серии TOP-LINE IN HOME")</f>
        <v>TR-07-TL 25Вт 4000К 2500Лм IP40 24 градуса белый серии TOP-LINE IN HOME</v>
      </c>
      <c r="C553" s="2">
        <f>IFERROR(__xludf.DUMMYFUNCTION("""COMPUTED_VALUE"""),0.315)</f>
        <v>0.315</v>
      </c>
      <c r="D553" s="2">
        <f>IFERROR(__xludf.DUMMYFUNCTION("""COMPUTED_VALUE"""),0.001)</f>
        <v>0.001</v>
      </c>
      <c r="E553" s="2">
        <f>IFERROR(__xludf.DUMMYFUNCTION("""COMPUTED_VALUE"""),525.0)</f>
        <v>525</v>
      </c>
      <c r="F553" s="2">
        <f>IFERROR(__xludf.DUMMYFUNCTION("""COMPUTED_VALUE"""),595.0)</f>
        <v>595</v>
      </c>
      <c r="G553" s="2">
        <f>IFERROR(__xludf.DUMMYFUNCTION("""COMPUTED_VALUE"""),670.0)</f>
        <v>670</v>
      </c>
      <c r="H553" s="2">
        <f>IFERROR(__xludf.DUMMYFUNCTION("""COMPUTED_VALUE"""),777.0)</f>
        <v>777</v>
      </c>
      <c r="I553" s="2">
        <f>IFERROR(__xludf.DUMMYFUNCTION("""COMPUTED_VALUE"""),893.0)</f>
        <v>893</v>
      </c>
      <c r="J553" s="2">
        <f>IFERROR(__xludf.DUMMYFUNCTION("""COMPUTED_VALUE"""),670.0)</f>
        <v>670</v>
      </c>
      <c r="K553" s="2">
        <f>IFERROR(__xludf.DUMMYFUNCTION("""COMPUTED_VALUE"""),30.0)</f>
        <v>30</v>
      </c>
      <c r="L553" s="2" t="str">
        <f>IFERROR(__xludf.DUMMYFUNCTION("""COMPUTED_VALUE"""),"Светильники светодиодные трековые TR-01, 02, 03, 04, 05, 06, 07, 08")</f>
        <v>Светильники светодиодные трековые TR-01, 02, 03, 04, 05, 06, 07, 08</v>
      </c>
      <c r="M553" s="2" t="str">
        <f>IFERROR(__xludf.DUMMYFUNCTION("""COMPUTED_VALUE"""),"Трековые, LED Светильники")</f>
        <v>Трековые, LED Светильники</v>
      </c>
    </row>
    <row r="554">
      <c r="A554" s="5" t="str">
        <f>IFERROR(__xludf.DUMMYFUNCTION("""COMPUTED_VALUE"""),"4690612015477")</f>
        <v>4690612015477</v>
      </c>
      <c r="B554" s="5" t="str">
        <f>IFERROR(__xludf.DUMMYFUNCTION("""COMPUTED_VALUE"""),"LED-ШАР-standard 10Вт 230В Е27 3000К 900Лм ASD")</f>
        <v>LED-ШАР-standard 10Вт 230В Е27 3000К 900Лм ASD</v>
      </c>
      <c r="C554" s="2">
        <f>IFERROR(__xludf.DUMMYFUNCTION("""COMPUTED_VALUE"""),0.04550000000000001)</f>
        <v>0.0455</v>
      </c>
      <c r="D554" s="2">
        <f>IFERROR(__xludf.DUMMYFUNCTION("""COMPUTED_VALUE"""),2.4E-4)</f>
        <v>0.00024</v>
      </c>
      <c r="E554" s="2">
        <f>IFERROR(__xludf.DUMMYFUNCTION("""COMPUTED_VALUE"""),48.02)</f>
        <v>48.02</v>
      </c>
      <c r="F554" s="2">
        <f>IFERROR(__xludf.DUMMYFUNCTION("""COMPUTED_VALUE"""),40.0)</f>
        <v>40</v>
      </c>
      <c r="G554" s="2">
        <f>IFERROR(__xludf.DUMMYFUNCTION("""COMPUTED_VALUE"""),45.0)</f>
        <v>45</v>
      </c>
      <c r="H554" s="2">
        <f>IFERROR(__xludf.DUMMYFUNCTION("""COMPUTED_VALUE"""),52.0)</f>
        <v>52</v>
      </c>
      <c r="I554" s="2">
        <f>IFERROR(__xludf.DUMMYFUNCTION("""COMPUTED_VALUE"""),60.5)</f>
        <v>60.5</v>
      </c>
      <c r="J554" s="2">
        <f>IFERROR(__xludf.DUMMYFUNCTION("""COMPUTED_VALUE"""),30.0)</f>
        <v>30</v>
      </c>
      <c r="K554" s="2">
        <f>IFERROR(__xludf.DUMMYFUNCTION("""COMPUTED_VALUE"""),9.0)</f>
        <v>9</v>
      </c>
      <c r="L554" s="2" t="str">
        <f>IFERROR(__xludf.DUMMYFUNCTION("""COMPUTED_VALUE"""),"Лампа светодиодная LED-ШАР-standard")</f>
        <v>Лампа светодиодная LED-ШАР-standard</v>
      </c>
      <c r="M554" s="2" t="str">
        <f>IFERROR(__xludf.DUMMYFUNCTION("""COMPUTED_VALUE"""),"Лампы")</f>
        <v>Лампы</v>
      </c>
    </row>
    <row r="555">
      <c r="A555" s="5" t="str">
        <f>IFERROR(__xludf.DUMMYFUNCTION("""COMPUTED_VALUE"""),"4690612029313")</f>
        <v>4690612029313</v>
      </c>
      <c r="B555" s="5" t="str">
        <f>IFERROR(__xludf.DUMMYFUNCTION("""COMPUTED_VALUE"""),"Шинопровод однофазный R-1B-TL 1м черный серии TOP-LINE IN HOME")</f>
        <v>Шинопровод однофазный R-1B-TL 1м черный серии TOP-LINE IN HOME</v>
      </c>
      <c r="C555" s="2">
        <f>IFERROR(__xludf.DUMMYFUNCTION("""COMPUTED_VALUE"""),0.21667)</f>
        <v>0.21667</v>
      </c>
      <c r="D555" s="2">
        <f>IFERROR(__xludf.DUMMYFUNCTION("""COMPUTED_VALUE"""),6.000000000000001E-4)</f>
        <v>0.0006</v>
      </c>
      <c r="E555" s="2">
        <f>IFERROR(__xludf.DUMMYFUNCTION("""COMPUTED_VALUE"""),200.06)</f>
        <v>200.06</v>
      </c>
      <c r="F555" s="2">
        <f>IFERROR(__xludf.DUMMYFUNCTION("""COMPUTED_VALUE"""),202.0)</f>
        <v>202</v>
      </c>
      <c r="G555" s="2">
        <f>IFERROR(__xludf.DUMMYFUNCTION("""COMPUTED_VALUE"""),227.0)</f>
        <v>227</v>
      </c>
      <c r="H555" s="2">
        <f>IFERROR(__xludf.DUMMYFUNCTION("""COMPUTED_VALUE"""),264.0)</f>
        <v>264</v>
      </c>
      <c r="I555" s="2">
        <f>IFERROR(__xludf.DUMMYFUNCTION("""COMPUTED_VALUE"""),303.0)</f>
        <v>303</v>
      </c>
      <c r="J555" s="2">
        <f>IFERROR(__xludf.DUMMYFUNCTION("""COMPUTED_VALUE"""),152.0)</f>
        <v>152</v>
      </c>
      <c r="K555" s="2">
        <f>IFERROR(__xludf.DUMMYFUNCTION("""COMPUTED_VALUE"""),2.0)</f>
        <v>2</v>
      </c>
      <c r="L555" s="2" t="str">
        <f>IFERROR(__xludf.DUMMYFUNCTION("""COMPUTED_VALUE"""),"Шинопровод и комплектующие")</f>
        <v>Шинопровод и комплектующие</v>
      </c>
      <c r="M555" s="2" t="str">
        <f>IFERROR(__xludf.DUMMYFUNCTION("""COMPUTED_VALUE"""),"Прочие товары")</f>
        <v>Прочие товары</v>
      </c>
    </row>
    <row r="556">
      <c r="A556" s="5" t="str">
        <f>IFERROR(__xludf.DUMMYFUNCTION("""COMPUTED_VALUE"""),"4690612042718-1")</f>
        <v>4690612042718-1</v>
      </c>
      <c r="B556" s="5" t="str">
        <f>IFERROR(__xludf.DUMMYFUNCTION("""COMPUTED_VALUE"""),"ДВО-01 4040-ОПАЛ 40Вт 230В 4000К 3600Лм 180х1195х25мм NEOX (в индивидуальной упаковке)")</f>
        <v>ДВО-01 4040-ОПАЛ 40Вт 230В 4000К 3600Лм 180х1195х25мм NEOX (в индивидуальной упаковке)</v>
      </c>
      <c r="C556" s="2">
        <f>IFERROR(__xludf.DUMMYFUNCTION("""COMPUTED_VALUE"""),0.0)</f>
        <v>0</v>
      </c>
      <c r="D556" s="2">
        <f>IFERROR(__xludf.DUMMYFUNCTION("""COMPUTED_VALUE"""),0.0)</f>
        <v>0</v>
      </c>
      <c r="E556" s="2">
        <f>IFERROR(__xludf.DUMMYFUNCTION("""COMPUTED_VALUE"""),673.61)</f>
        <v>673.61</v>
      </c>
      <c r="F556" s="2">
        <f>IFERROR(__xludf.DUMMYFUNCTION("""COMPUTED_VALUE"""),739.0)</f>
        <v>739</v>
      </c>
      <c r="G556" s="2">
        <f>IFERROR(__xludf.DUMMYFUNCTION("""COMPUTED_VALUE"""),970.0)</f>
        <v>970</v>
      </c>
      <c r="H556" s="2">
        <f>IFERROR(__xludf.DUMMYFUNCTION("""COMPUTED_VALUE"""),1091.0)</f>
        <v>1091</v>
      </c>
      <c r="I556" s="2">
        <f>IFERROR(__xludf.DUMMYFUNCTION("""COMPUTED_VALUE"""),1212.0)</f>
        <v>1212</v>
      </c>
      <c r="J556" s="2">
        <f>IFERROR(__xludf.DUMMYFUNCTION("""COMPUTED_VALUE"""),606.0)</f>
        <v>606</v>
      </c>
      <c r="K556" s="2">
        <f>IFERROR(__xludf.DUMMYFUNCTION("""COMPUTED_VALUE"""),14.0)</f>
        <v>14</v>
      </c>
      <c r="L556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556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557">
      <c r="A557" s="5" t="str">
        <f>IFERROR(__xludf.DUMMYFUNCTION("""COMPUTED_VALUE"""),"4690612020402")</f>
        <v>4690612020402</v>
      </c>
      <c r="B557" s="5" t="str">
        <f>IFERROR(__xludf.DUMMYFUNCTION("""COMPUTED_VALUE"""),"LED-СВЕЧА-VC 6Вт 230В Е27 3000К 570Лм IN HOME")</f>
        <v>LED-СВЕЧА-VC 6Вт 230В Е27 3000К 570Лм IN HOME</v>
      </c>
      <c r="C557" s="2">
        <f>IFERROR(__xludf.DUMMYFUNCTION("""COMPUTED_VALUE"""),0.027)</f>
        <v>0.027</v>
      </c>
      <c r="D557" s="2">
        <f>IFERROR(__xludf.DUMMYFUNCTION("""COMPUTED_VALUE"""),1.9E-4)</f>
        <v>0.00019</v>
      </c>
      <c r="E557" s="2">
        <f>IFERROR(__xludf.DUMMYFUNCTION("""COMPUTED_VALUE"""),33.09)</f>
        <v>33.09</v>
      </c>
      <c r="F557" s="2">
        <f>IFERROR(__xludf.DUMMYFUNCTION("""COMPUTED_VALUE"""),39.0)</f>
        <v>39</v>
      </c>
      <c r="G557" s="2">
        <f>IFERROR(__xludf.DUMMYFUNCTION("""COMPUTED_VALUE"""),44.0)</f>
        <v>44</v>
      </c>
      <c r="H557" s="2">
        <f>IFERROR(__xludf.DUMMYFUNCTION("""COMPUTED_VALUE"""),50.0)</f>
        <v>50</v>
      </c>
      <c r="I557" s="2">
        <f>IFERROR(__xludf.DUMMYFUNCTION("""COMPUTED_VALUE"""),58.5)</f>
        <v>58.5</v>
      </c>
      <c r="J557" s="2">
        <f>IFERROR(__xludf.DUMMYFUNCTION("""COMPUTED_VALUE"""),29.0)</f>
        <v>29</v>
      </c>
      <c r="K557" s="2">
        <f>IFERROR(__xludf.DUMMYFUNCTION("""COMPUTED_VALUE"""),7.0)</f>
        <v>7</v>
      </c>
      <c r="L557" s="2" t="str">
        <f>IFERROR(__xludf.DUMMYFUNCTION("""COMPUTED_VALUE"""),"Лампа светодиодная LED-СВЕЧА-standard")</f>
        <v>Лампа светодиодная LED-СВЕЧА-standard</v>
      </c>
      <c r="M557" s="2" t="str">
        <f>IFERROR(__xludf.DUMMYFUNCTION("""COMPUTED_VALUE"""),"Лампы")</f>
        <v>Лампы</v>
      </c>
    </row>
    <row r="558">
      <c r="A558" s="5" t="str">
        <f>IFERROR(__xludf.DUMMYFUNCTION("""COMPUTED_VALUE"""),"00863")</f>
        <v>00863</v>
      </c>
      <c r="B558" s="5" t="str">
        <f>IFERROR(__xludf.DUMMYFUNCTION("""COMPUTED_VALUE"""),"TLWP236 PC ECP")</f>
        <v>TLWP236 PC ECP</v>
      </c>
      <c r="C558" s="2">
        <f>IFERROR(__xludf.DUMMYFUNCTION("""COMPUTED_VALUE"""),2.325)</f>
        <v>2.325</v>
      </c>
      <c r="D558" s="2">
        <f>IFERROR(__xludf.DUMMYFUNCTION("""COMPUTED_VALUE"""),0.01482)</f>
        <v>0.01482</v>
      </c>
      <c r="E558" s="2">
        <f>IFERROR(__xludf.DUMMYFUNCTION("""COMPUTED_VALUE"""),686.04)</f>
        <v>686.04</v>
      </c>
      <c r="F558" s="2">
        <f>IFERROR(__xludf.DUMMYFUNCTION("""COMPUTED_VALUE"""),859.0)</f>
        <v>859</v>
      </c>
      <c r="G558" s="2">
        <f>IFERROR(__xludf.DUMMYFUNCTION("""COMPUTED_VALUE"""),970.0)</f>
        <v>970</v>
      </c>
      <c r="H558" s="2">
        <f>IFERROR(__xludf.DUMMYFUNCTION("""COMPUTED_VALUE"""),992.0)</f>
        <v>992</v>
      </c>
      <c r="I558" s="2">
        <f>IFERROR(__xludf.DUMMYFUNCTION("""COMPUTED_VALUE"""),1210.0)</f>
        <v>1210</v>
      </c>
      <c r="J558" s="2">
        <f>IFERROR(__xludf.DUMMYFUNCTION("""COMPUTED_VALUE"""),605.0)</f>
        <v>605</v>
      </c>
      <c r="K558" s="2">
        <f>IFERROR(__xludf.DUMMYFUNCTION("""COMPUTED_VALUE"""),1.0)</f>
        <v>1</v>
      </c>
      <c r="L558" s="2" t="str">
        <f>IFERROR(__xludf.DUMMYFUNCTION("""COMPUTED_VALUE"""),"Технолюкс Ламповые TLWP (IP65)")</f>
        <v>Технолюкс Ламповые TLWP (IP65)</v>
      </c>
      <c r="M558" s="2" t="str">
        <f>IFERROR(__xludf.DUMMYFUNCTION("""COMPUTED_VALUE"""),"Ламповые светильники")</f>
        <v>Ламповые светильники</v>
      </c>
    </row>
    <row r="559">
      <c r="A559" s="5" t="str">
        <f>IFERROR(__xludf.DUMMYFUNCTION("""COMPUTED_VALUE"""),"4260708174656")</f>
        <v>4260708174656</v>
      </c>
      <c r="B559" s="5" t="str">
        <f>IFERROR(__xludf.DUMMYFUNCTION("""COMPUTED_VALUE"""),"WFL-30W/06S")</f>
        <v>WFL-30W/06S</v>
      </c>
      <c r="C559" s="2">
        <f>IFERROR(__xludf.DUMMYFUNCTION("""COMPUTED_VALUE"""),0.336)</f>
        <v>0.336</v>
      </c>
      <c r="D559" s="2">
        <f>IFERROR(__xludf.DUMMYFUNCTION("""COMPUTED_VALUE"""),0.03588)</f>
        <v>0.03588</v>
      </c>
      <c r="E559" s="2">
        <f>IFERROR(__xludf.DUMMYFUNCTION("""COMPUTED_VALUE"""),1076.56)</f>
        <v>1076.56</v>
      </c>
      <c r="F559" s="2">
        <f>IFERROR(__xludf.DUMMYFUNCTION("""COMPUTED_VALUE"""),1201.0)</f>
        <v>1201</v>
      </c>
      <c r="G559" s="2">
        <f>IFERROR(__xludf.DUMMYFUNCTION("""COMPUTED_VALUE"""),1242.0)</f>
        <v>1242</v>
      </c>
      <c r="H559" s="2">
        <f>IFERROR(__xludf.DUMMYFUNCTION("""COMPUTED_VALUE"""),1629.0)</f>
        <v>1629</v>
      </c>
      <c r="I559" s="2">
        <f>IFERROR(__xludf.DUMMYFUNCTION("""COMPUTED_VALUE"""),2036.0)</f>
        <v>2036</v>
      </c>
      <c r="J559" s="2">
        <f>IFERROR(__xludf.DUMMYFUNCTION("""COMPUTED_VALUE"""),1242.0)</f>
        <v>1242</v>
      </c>
      <c r="K559" s="2">
        <f>IFERROR(__xludf.DUMMYFUNCTION("""COMPUTED_VALUE"""),33.0)</f>
        <v>33</v>
      </c>
      <c r="L559" s="2" t="str">
        <f>IFERROR(__xludf.DUMMYFUNCTION("""COMPUTED_VALUE"""),"Wolta прожекторы")</f>
        <v>Wolta прожекторы</v>
      </c>
      <c r="M559" s="2" t="str">
        <f>IFERROR(__xludf.DUMMYFUNCTION("""COMPUTED_VALUE"""),"Прожекторы (LED), LED Светильники")</f>
        <v>Прожекторы (LED), LED Светильники</v>
      </c>
    </row>
    <row r="560">
      <c r="A560" s="5" t="str">
        <f>IFERROR(__xludf.DUMMYFUNCTION("""COMPUTED_VALUE"""),"4690612035116")</f>
        <v>4690612035116</v>
      </c>
      <c r="B560" s="5" t="str">
        <f>IFERROR(__xludf.DUMMYFUNCTION("""COMPUTED_VALUE"""),"COMFORT Loft-B 75Вт 230В 3000-6500K 6000Лм 500x100мм с пультом ДУ IN HOME")</f>
        <v>COMFORT Loft-B 75Вт 230В 3000-6500K 6000Лм 500x100мм с пультом ДУ IN HOME</v>
      </c>
      <c r="C560" s="2">
        <f>IFERROR(__xludf.DUMMYFUNCTION("""COMPUTED_VALUE"""),1.72)</f>
        <v>1.72</v>
      </c>
      <c r="D560" s="2">
        <f>IFERROR(__xludf.DUMMYFUNCTION("""COMPUTED_VALUE"""),0.03)</f>
        <v>0.03</v>
      </c>
      <c r="E560" s="2">
        <f>IFERROR(__xludf.DUMMYFUNCTION("""COMPUTED_VALUE"""),2219.49)</f>
        <v>2219.49</v>
      </c>
      <c r="F560" s="2">
        <f>IFERROR(__xludf.DUMMYFUNCTION("""COMPUTED_VALUE"""),1518.0)</f>
        <v>1518</v>
      </c>
      <c r="G560" s="2">
        <f>IFERROR(__xludf.DUMMYFUNCTION("""COMPUTED_VALUE"""),1708.0)</f>
        <v>1708</v>
      </c>
      <c r="H560" s="2">
        <f>IFERROR(__xludf.DUMMYFUNCTION("""COMPUTED_VALUE"""),1981.0)</f>
        <v>1981</v>
      </c>
      <c r="I560" s="2">
        <f>IFERROR(__xludf.DUMMYFUNCTION("""COMPUTED_VALUE"""),2277.0)</f>
        <v>2277</v>
      </c>
      <c r="J560" s="2">
        <f>IFERROR(__xludf.DUMMYFUNCTION("""COMPUTED_VALUE"""),1139.0)</f>
        <v>1139</v>
      </c>
      <c r="K560" s="2">
        <f>IFERROR(__xludf.DUMMYFUNCTION("""COMPUTED_VALUE"""),1.0)</f>
        <v>1</v>
      </c>
      <c r="L560" s="2" t="str">
        <f>IFERROR(__xludf.DUMMYFUNCTION("""COMPUTED_VALUE"""),"Светильники светодиодные COMFORT")</f>
        <v>Светильники светодиодные COMFORT</v>
      </c>
      <c r="M560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561">
      <c r="A561" s="5" t="str">
        <f>IFERROR(__xludf.DUMMYFUNCTION("""COMPUTED_VALUE"""),"4690612037417")</f>
        <v>4690612037417</v>
      </c>
      <c r="B561" s="5" t="str">
        <f>IFERROR(__xludf.DUMMYFUNCTION("""COMPUTED_VALUE"""),"DECO 36Вт 230В 6500К 2340Лм 350х55мм АВРОРА IN HOME")</f>
        <v>DECO 36Вт 230В 6500К 2340Лм 350х55мм АВРОРА IN HOME</v>
      </c>
      <c r="C561" s="2">
        <f>IFERROR(__xludf.DUMMYFUNCTION("""COMPUTED_VALUE"""),0.6100000000000001)</f>
        <v>0.61</v>
      </c>
      <c r="D561" s="2">
        <f>IFERROR(__xludf.DUMMYFUNCTION("""COMPUTED_VALUE"""),0.009500000000000001)</f>
        <v>0.0095</v>
      </c>
      <c r="E561" s="2">
        <f>IFERROR(__xludf.DUMMYFUNCTION("""COMPUTED_VALUE"""),471.25)</f>
        <v>471.25</v>
      </c>
      <c r="F561" s="2">
        <f>IFERROR(__xludf.DUMMYFUNCTION("""COMPUTED_VALUE"""),520.0)</f>
        <v>520</v>
      </c>
      <c r="G561" s="2">
        <f>IFERROR(__xludf.DUMMYFUNCTION("""COMPUTED_VALUE"""),585.0)</f>
        <v>585</v>
      </c>
      <c r="H561" s="2">
        <f>IFERROR(__xludf.DUMMYFUNCTION("""COMPUTED_VALUE"""),679.0)</f>
        <v>679</v>
      </c>
      <c r="I561" s="2">
        <f>IFERROR(__xludf.DUMMYFUNCTION("""COMPUTED_VALUE"""),780.0)</f>
        <v>780</v>
      </c>
      <c r="J561" s="2">
        <f>IFERROR(__xludf.DUMMYFUNCTION("""COMPUTED_VALUE"""),390.0)</f>
        <v>390</v>
      </c>
      <c r="K561" s="2">
        <f>IFERROR(__xludf.DUMMYFUNCTION("""COMPUTED_VALUE"""),2.0)</f>
        <v>2</v>
      </c>
      <c r="L561" s="2" t="str">
        <f>IFERROR(__xludf.DUMMYFUNCTION("""COMPUTED_VALUE"""),"Светильник светодиодный серии DECO")</f>
        <v>Светильник светодиодный серии DECO</v>
      </c>
      <c r="M561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562">
      <c r="A562" s="5" t="str">
        <f>IFERROR(__xludf.DUMMYFUNCTION("""COMPUTED_VALUE"""),"GL5136")</f>
        <v>GL5136</v>
      </c>
      <c r="B562" s="5" t="str">
        <f>IFERROR(__xludf.DUMMYFUNCTION("""COMPUTED_VALUE"""),"GLERIO Practical Галочка 64 Вт 5000K 6A-64D-5U-21G")</f>
        <v>GLERIO Practical Галочка 64 Вт 5000K 6A-64D-5U-21G</v>
      </c>
      <c r="C562" s="2">
        <f>IFERROR(__xludf.DUMMYFUNCTION("""COMPUTED_VALUE"""),1.4)</f>
        <v>1.4</v>
      </c>
      <c r="D562" s="2">
        <f>IFERROR(__xludf.DUMMYFUNCTION("""COMPUTED_VALUE"""),0.004430000000000001)</f>
        <v>0.00443</v>
      </c>
      <c r="E562" s="2">
        <f>IFERROR(__xludf.DUMMYFUNCTION("""COMPUTED_VALUE"""),2550.0)</f>
        <v>2550</v>
      </c>
      <c r="F562" s="2">
        <f>IFERROR(__xludf.DUMMYFUNCTION("""COMPUTED_VALUE"""),3200.0)</f>
        <v>3200</v>
      </c>
      <c r="G562" s="2">
        <f>IFERROR(__xludf.DUMMYFUNCTION("""COMPUTED_VALUE"""),4000.0)</f>
        <v>4000</v>
      </c>
      <c r="H562" s="2">
        <f>IFERROR(__xludf.DUMMYFUNCTION("""COMPUTED_VALUE"""),4500.0)</f>
        <v>4500</v>
      </c>
      <c r="I562" s="2">
        <f>IFERROR(__xludf.DUMMYFUNCTION("""COMPUTED_VALUE"""),5000.0)</f>
        <v>5000</v>
      </c>
      <c r="J562" s="2">
        <f>IFERROR(__xludf.DUMMYFUNCTION("""COMPUTED_VALUE"""),4000.0)</f>
        <v>4000</v>
      </c>
      <c r="K562" s="2">
        <f>IFERROR(__xludf.DUMMYFUNCTION("""COMPUTED_VALUE"""),1.0)</f>
        <v>1</v>
      </c>
      <c r="L562" s="2" t="str">
        <f>IFERROR(__xludf.DUMMYFUNCTION("""COMPUTED_VALUE"""),"Practical Уличные GLERIO до 10.2025")</f>
        <v>Practical Уличные GLERIO до 10.2025</v>
      </c>
      <c r="M562" s="2" t="str">
        <f>IFERROR(__xludf.DUMMYFUNCTION("""COMPUTED_VALUE"""),"Для обычных дорог, LED Светильники")</f>
        <v>Для обычных дорог, LED Светильники</v>
      </c>
    </row>
    <row r="563">
      <c r="A563" s="5" t="str">
        <f>IFERROR(__xludf.DUMMYFUNCTION("""COMPUTED_VALUE"""),"4690612042701")</f>
        <v>4690612042701</v>
      </c>
      <c r="B563" s="5" t="str">
        <f>IFERROR(__xludf.DUMMYFUNCTION("""COMPUTED_VALUE"""),"ДВО-01 3640-ПРИЗМА 36 Вт 230В 4000K 3600Лм 180х1195х19мм NEOX")</f>
        <v>ДВО-01 3640-ПРИЗМА 36 Вт 230В 4000K 3600Лм 180х1195х19мм NEOX</v>
      </c>
      <c r="C563" s="2">
        <f>IFERROR(__xludf.DUMMYFUNCTION("""COMPUTED_VALUE"""),4.800000000000001)</f>
        <v>4.8</v>
      </c>
      <c r="D563" s="2">
        <f>IFERROR(__xludf.DUMMYFUNCTION("""COMPUTED_VALUE"""),0.021)</f>
        <v>0.021</v>
      </c>
      <c r="E563" s="2">
        <f>IFERROR(__xludf.DUMMYFUNCTION("""COMPUTED_VALUE"""),472.37)</f>
        <v>472.37</v>
      </c>
      <c r="F563" s="2">
        <f>IFERROR(__xludf.DUMMYFUNCTION("""COMPUTED_VALUE"""),620.0)</f>
        <v>620</v>
      </c>
      <c r="G563" s="2">
        <f>IFERROR(__xludf.DUMMYFUNCTION("""COMPUTED_VALUE"""),698.0)</f>
        <v>698</v>
      </c>
      <c r="H563" s="2">
        <f>IFERROR(__xludf.DUMMYFUNCTION("""COMPUTED_VALUE"""),809.0)</f>
        <v>809</v>
      </c>
      <c r="I563" s="2">
        <f>IFERROR(__xludf.DUMMYFUNCTION("""COMPUTED_VALUE"""),930.0)</f>
        <v>930</v>
      </c>
      <c r="J563" s="2">
        <f>IFERROR(__xludf.DUMMYFUNCTION("""COMPUTED_VALUE"""),465.0)</f>
        <v>465</v>
      </c>
      <c r="K563" s="2">
        <f>IFERROR(__xludf.DUMMYFUNCTION("""COMPUTED_VALUE"""),10.0)</f>
        <v>10</v>
      </c>
      <c r="L563" s="2" t="str">
        <f>IFERROR(__xludf.DUMMYFUNCTION("""COMPUTED_VALUE"""),"NEOX Светильники LED ДВО")</f>
        <v>NEOX Светильники LED ДВО</v>
      </c>
      <c r="M563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564">
      <c r="A564" s="5" t="str">
        <f>IFERROR(__xludf.DUMMYFUNCTION("""COMPUTED_VALUE"""),"12-0141")</f>
        <v>12-0141</v>
      </c>
      <c r="B564" s="5" t="str">
        <f>IFERROR(__xludf.DUMMYFUNCTION("""COMPUTED_VALUE"""),"Паяльная станция (150-450 град.) 220 V/48 Вт REXANT")</f>
        <v>Паяльная станция (150-450 град.) 220 V/48 Вт REXANT</v>
      </c>
      <c r="C564" s="2">
        <f>IFERROR(__xludf.DUMMYFUNCTION("""COMPUTED_VALUE"""),0.0)</f>
        <v>0</v>
      </c>
      <c r="D564" s="2">
        <f>IFERROR(__xludf.DUMMYFUNCTION("""COMPUTED_VALUE"""),0.0)</f>
        <v>0</v>
      </c>
      <c r="E564" s="2">
        <f>IFERROR(__xludf.DUMMYFUNCTION("""COMPUTED_VALUE"""),1.0)</f>
        <v>1</v>
      </c>
      <c r="F564" s="2">
        <f>IFERROR(__xludf.DUMMYFUNCTION("""COMPUTED_VALUE"""),4881.0)</f>
        <v>4881</v>
      </c>
      <c r="G564" s="2">
        <f>IFERROR(__xludf.DUMMYFUNCTION("""COMPUTED_VALUE"""),5207.0)</f>
        <v>5207</v>
      </c>
      <c r="H564" s="2">
        <f>IFERROR(__xludf.DUMMYFUNCTION("""COMPUTED_VALUE"""),5858.0)</f>
        <v>5858</v>
      </c>
      <c r="I564" s="2">
        <f>IFERROR(__xludf.DUMMYFUNCTION("""COMPUTED_VALUE"""),6508.56)</f>
        <v>6508.56</v>
      </c>
      <c r="J564" s="2">
        <f>IFERROR(__xludf.DUMMYFUNCTION("""COMPUTED_VALUE"""),3254.0)</f>
        <v>3254</v>
      </c>
      <c r="K564" s="2">
        <f>IFERROR(__xludf.DUMMYFUNCTION("""COMPUTED_VALUE"""),2.0)</f>
        <v>2</v>
      </c>
      <c r="L564" s="2" t="str">
        <f>IFERROR(__xludf.DUMMYFUNCTION("""COMPUTED_VALUE"""),"Rexant")</f>
        <v>Rexant</v>
      </c>
      <c r="M564" s="2" t="str">
        <f>IFERROR(__xludf.DUMMYFUNCTION("""COMPUTED_VALUE"""),"Прочие товары")</f>
        <v>Прочие товары</v>
      </c>
    </row>
    <row r="565">
      <c r="A565" s="5" t="str">
        <f>IFERROR(__xludf.DUMMYFUNCTION("""COMPUTED_VALUE"""),"G23225")</f>
        <v>G23225</v>
      </c>
      <c r="B565" s="5" t="str">
        <f>IFERROR(__xludf.DUMMYFUNCTION("""COMPUTED_VALUE"""),"Elementary A60 15W E27 4100K 1/10/50")</f>
        <v>Elementary A60 15W E27 4100K 1/10/50</v>
      </c>
      <c r="C565" s="2">
        <f>IFERROR(__xludf.DUMMYFUNCTION("""COMPUTED_VALUE"""),0.0)</f>
        <v>0</v>
      </c>
      <c r="D565" s="2">
        <f>IFERROR(__xludf.DUMMYFUNCTION("""COMPUTED_VALUE"""),0.0)</f>
        <v>0</v>
      </c>
      <c r="E565" s="2">
        <f>IFERROR(__xludf.DUMMYFUNCTION("""COMPUTED_VALUE"""),114.99)</f>
        <v>114.99</v>
      </c>
      <c r="F565" s="2">
        <f>IFERROR(__xludf.DUMMYFUNCTION("""COMPUTED_VALUE"""),125.0)</f>
        <v>125</v>
      </c>
      <c r="G565" s="2">
        <f>IFERROR(__xludf.DUMMYFUNCTION("""COMPUTED_VALUE"""),138.0)</f>
        <v>138</v>
      </c>
      <c r="H565" s="2">
        <f>IFERROR(__xludf.DUMMYFUNCTION("""COMPUTED_VALUE"""),162.0)</f>
        <v>162</v>
      </c>
      <c r="I565" s="2">
        <f>IFERROR(__xludf.DUMMYFUNCTION("""COMPUTED_VALUE"""),205.0)</f>
        <v>205</v>
      </c>
      <c r="J565" s="2">
        <f>IFERROR(__xludf.DUMMYFUNCTION("""COMPUTED_VALUE"""),103.0)</f>
        <v>103</v>
      </c>
      <c r="K565" s="2">
        <f>IFERROR(__xludf.DUMMYFUNCTION("""COMPUTED_VALUE"""),10.0)</f>
        <v>10</v>
      </c>
      <c r="L565" s="2" t="str">
        <f>IFERROR(__xludf.DUMMYFUNCTION("""COMPUTED_VALUE"""),"ЛОН")</f>
        <v>ЛОН</v>
      </c>
      <c r="M565" s="2" t="str">
        <f>IFERROR(__xludf.DUMMYFUNCTION("""COMPUTED_VALUE"""),"Лампы")</f>
        <v>Лампы</v>
      </c>
    </row>
    <row r="566">
      <c r="A566" s="5" t="str">
        <f>IFERROR(__xludf.DUMMYFUNCTION("""COMPUTED_VALUE"""),"4690612020594")</f>
        <v>4690612020594</v>
      </c>
      <c r="B566" s="5" t="str">
        <f>IFERROR(__xludf.DUMMYFUNCTION("""COMPUTED_VALUE"""),"LED-ШАР-VC 11Вт 230В Е14 4000К 1050Лм IN HOME")</f>
        <v>LED-ШАР-VC 11Вт 230В Е14 4000К 1050Лм IN HOME</v>
      </c>
      <c r="C566" s="2">
        <f>IFERROR(__xludf.DUMMYFUNCTION("""COMPUTED_VALUE"""),0.036)</f>
        <v>0.036</v>
      </c>
      <c r="D566" s="2">
        <f>IFERROR(__xludf.DUMMYFUNCTION("""COMPUTED_VALUE"""),2.4E-4)</f>
        <v>0.00024</v>
      </c>
      <c r="E566" s="2">
        <f>IFERROR(__xludf.DUMMYFUNCTION("""COMPUTED_VALUE"""),40.2)</f>
        <v>40.2</v>
      </c>
      <c r="F566" s="2">
        <f>IFERROR(__xludf.DUMMYFUNCTION("""COMPUTED_VALUE"""),46.0)</f>
        <v>46</v>
      </c>
      <c r="G566" s="2">
        <f>IFERROR(__xludf.DUMMYFUNCTION("""COMPUTED_VALUE"""),52.0)</f>
        <v>52</v>
      </c>
      <c r="H566" s="2">
        <f>IFERROR(__xludf.DUMMYFUNCTION("""COMPUTED_VALUE"""),60.0)</f>
        <v>60</v>
      </c>
      <c r="I566" s="2">
        <f>IFERROR(__xludf.DUMMYFUNCTION("""COMPUTED_VALUE"""),69.8)</f>
        <v>69.8</v>
      </c>
      <c r="J566" s="2">
        <f>IFERROR(__xludf.DUMMYFUNCTION("""COMPUTED_VALUE"""),35.0)</f>
        <v>35</v>
      </c>
      <c r="K566" s="2">
        <f>IFERROR(__xludf.DUMMYFUNCTION("""COMPUTED_VALUE"""),89.0)</f>
        <v>89</v>
      </c>
      <c r="L566" s="2" t="str">
        <f>IFERROR(__xludf.DUMMYFUNCTION("""COMPUTED_VALUE"""),"Лампа светодиодная LED-ШАР-standard")</f>
        <v>Лампа светодиодная LED-ШАР-standard</v>
      </c>
      <c r="M566" s="2" t="str">
        <f>IFERROR(__xludf.DUMMYFUNCTION("""COMPUTED_VALUE"""),"Лампы")</f>
        <v>Лампы</v>
      </c>
    </row>
    <row r="567">
      <c r="A567" s="5" t="str">
        <f>IFERROR(__xludf.DUMMYFUNCTION("""COMPUTED_VALUE"""),"БПviled32Вт")</f>
        <v>БПviled32Вт</v>
      </c>
      <c r="B567" s="5" t="str">
        <f>IFERROR(__xludf.DUMMYFUNCTION("""COMPUTED_VALUE"""),"Блок питания viled 32 Вт")</f>
        <v>Блок питания viled 32 Вт</v>
      </c>
      <c r="C567" s="2">
        <f>IFERROR(__xludf.DUMMYFUNCTION("""COMPUTED_VALUE"""),0.0)</f>
        <v>0</v>
      </c>
      <c r="D567" s="2">
        <f>IFERROR(__xludf.DUMMYFUNCTION("""COMPUTED_VALUE"""),0.0)</f>
        <v>0</v>
      </c>
      <c r="E567" s="2">
        <f>IFERROR(__xludf.DUMMYFUNCTION("""COMPUTED_VALUE"""),420.0)</f>
        <v>420</v>
      </c>
      <c r="F567" s="2">
        <f>IFERROR(__xludf.DUMMYFUNCTION("""COMPUTED_VALUE"""),0.0)</f>
        <v>0</v>
      </c>
      <c r="G567" s="2">
        <f>IFERROR(__xludf.DUMMYFUNCTION("""COMPUTED_VALUE"""),1.0)</f>
        <v>1</v>
      </c>
      <c r="H567" s="2">
        <f>IFERROR(__xludf.DUMMYFUNCTION("""COMPUTED_VALUE"""),1.0)</f>
        <v>1</v>
      </c>
      <c r="I567" s="2">
        <f>IFERROR(__xludf.DUMMYFUNCTION("""COMPUTED_VALUE"""),1.5)</f>
        <v>1.5</v>
      </c>
      <c r="J567" s="2">
        <f>IFERROR(__xludf.DUMMYFUNCTION("""COMPUTED_VALUE"""),1.5)</f>
        <v>1.5</v>
      </c>
      <c r="K567" s="2">
        <f>IFERROR(__xludf.DUMMYFUNCTION("""COMPUTED_VALUE"""),1.0)</f>
        <v>1</v>
      </c>
      <c r="L567" s="2" t="str">
        <f>IFERROR(__xludf.DUMMYFUNCTION("""COMPUTED_VALUE"""),"ViLED Комплектующие")</f>
        <v>ViLED Комплектующие</v>
      </c>
      <c r="M567" s="2" t="str">
        <f>IFERROR(__xludf.DUMMYFUNCTION("""COMPUTED_VALUE"""),"Прочие товары")</f>
        <v>Прочие товары</v>
      </c>
    </row>
    <row r="568">
      <c r="A568" s="5" t="str">
        <f>IFERROR(__xludf.DUMMYFUNCTION("""COMPUTED_VALUE"""),"R100297")</f>
        <v>R100297</v>
      </c>
      <c r="B568" s="5" t="str">
        <f>IFERROR(__xludf.DUMMYFUNCTION("""COMPUTED_VALUE"""),"RSV-SPP-20W-6500K-IP65")</f>
        <v>RSV-SPP-20W-6500K-IP65</v>
      </c>
      <c r="C568" s="2">
        <f>IFERROR(__xludf.DUMMYFUNCTION("""COMPUTED_VALUE"""),0.405)</f>
        <v>0.405</v>
      </c>
      <c r="D568" s="2">
        <f>IFERROR(__xludf.DUMMYFUNCTION("""COMPUTED_VALUE"""),0.00608)</f>
        <v>0.00608</v>
      </c>
      <c r="E568" s="2">
        <f>IFERROR(__xludf.DUMMYFUNCTION("""COMPUTED_VALUE"""),240.9)</f>
        <v>240.9</v>
      </c>
      <c r="F568" s="2">
        <f>IFERROR(__xludf.DUMMYFUNCTION("""COMPUTED_VALUE"""),232.0)</f>
        <v>232</v>
      </c>
      <c r="G568" s="2">
        <f>IFERROR(__xludf.DUMMYFUNCTION("""COMPUTED_VALUE"""),273.0)</f>
        <v>273</v>
      </c>
      <c r="H568" s="2">
        <f>IFERROR(__xludf.DUMMYFUNCTION("""COMPUTED_VALUE"""),281.0)</f>
        <v>281</v>
      </c>
      <c r="I568" s="2">
        <f>IFERROR(__xludf.DUMMYFUNCTION("""COMPUTED_VALUE"""),324.0)</f>
        <v>324</v>
      </c>
      <c r="J568" s="2">
        <f>IFERROR(__xludf.DUMMYFUNCTION("""COMPUTED_VALUE"""),162.0)</f>
        <v>162</v>
      </c>
      <c r="K568" s="2">
        <f>IFERROR(__xludf.DUMMYFUNCTION("""COMPUTED_VALUE"""),1.0)</f>
        <v>1</v>
      </c>
      <c r="L568" s="2" t="str">
        <f>IFERROR(__xludf.DUMMYFUNCTION("""COMPUTED_VALUE"""),"ЖКХ светильники RSV")</f>
        <v>ЖКХ светильники RSV</v>
      </c>
      <c r="M568" s="2" t="str">
        <f>IFERROR(__xludf.DUMMYFUNCTION("""COMPUTED_VALUE"""),"Без датчиков, LED Светильники")</f>
        <v>Без датчиков, LED Светильники</v>
      </c>
    </row>
    <row r="569">
      <c r="A569" s="5" t="str">
        <f>IFERROR(__xludf.DUMMYFUNCTION("""COMPUTED_VALUE"""),"11700006")</f>
        <v>11700006</v>
      </c>
      <c r="B569" s="5" t="str">
        <f>IFERROR(__xludf.DUMMYFUNCTION("""COMPUTED_VALUE"""),"BENEFIT KOMFORT 595x595 OP 4000К 40Вт")</f>
        <v>BENEFIT KOMFORT 595x595 OP 4000К 40Вт</v>
      </c>
      <c r="C569" s="2">
        <f>IFERROR(__xludf.DUMMYFUNCTION("""COMPUTED_VALUE"""),2.0)</f>
        <v>2</v>
      </c>
      <c r="D569" s="2">
        <f>IFERROR(__xludf.DUMMYFUNCTION("""COMPUTED_VALUE"""),0.004430000000000001)</f>
        <v>0.00443</v>
      </c>
      <c r="E569" s="2">
        <f>IFERROR(__xludf.DUMMYFUNCTION("""COMPUTED_VALUE"""),2599.5)</f>
        <v>2599.5</v>
      </c>
      <c r="F569" s="2">
        <f>IFERROR(__xludf.DUMMYFUNCTION("""COMPUTED_VALUE"""),3717.0)</f>
        <v>3717</v>
      </c>
      <c r="G569" s="2">
        <f>IFERROR(__xludf.DUMMYFUNCTION("""COMPUTED_VALUE"""),4159.0)</f>
        <v>4159</v>
      </c>
      <c r="H569" s="2">
        <f>IFERROR(__xludf.DUMMYFUNCTION("""COMPUTED_VALUE"""),4679.0)</f>
        <v>4679</v>
      </c>
      <c r="I569" s="2">
        <f>IFERROR(__xludf.DUMMYFUNCTION("""COMPUTED_VALUE"""),5199.0)</f>
        <v>5199</v>
      </c>
      <c r="J569" s="2">
        <f>IFERROR(__xludf.DUMMYFUNCTION("""COMPUTED_VALUE"""),2600.0)</f>
        <v>2600</v>
      </c>
      <c r="K569" s="2">
        <f>IFERROR(__xludf.DUMMYFUNCTION("""COMPUTED_VALUE"""),1.0)</f>
        <v>1</v>
      </c>
      <c r="L569" s="2" t="str">
        <f>IFERROR(__xludf.DUMMYFUNCTION("""COMPUTED_VALUE"""),"LEDOS Офисное освещение")</f>
        <v>LEDOS Офисное освещение</v>
      </c>
      <c r="M569" s="2" t="str">
        <f>IFERROR(__xludf.DUMMYFUNCTION("""COMPUTED_VALUE"""),"С равномерной засветкой, С равномерной засветкой, LED Светильники")</f>
        <v>С равномерной засветкой, С равномерной засветкой, LED Светильники</v>
      </c>
    </row>
    <row r="570">
      <c r="A570" s="5" t="str">
        <f>IFERROR(__xludf.DUMMYFUNCTION("""COMPUTED_VALUE"""),"NVAS010")</f>
        <v>NVAS010</v>
      </c>
      <c r="B570" s="5" t="str">
        <f>IFERROR(__xludf.DUMMYFUNCTION("""COMPUTED_VALUE"""),"Светодиодный светильник серии Профи Лайт 45Вт")</f>
        <v>Светодиодный светильник серии Профи Лайт 45Вт</v>
      </c>
      <c r="C570" s="2">
        <f>IFERROR(__xludf.DUMMYFUNCTION("""COMPUTED_VALUE"""),0.0)</f>
        <v>0</v>
      </c>
      <c r="D570" s="2">
        <f>IFERROR(__xludf.DUMMYFUNCTION("""COMPUTED_VALUE"""),0.0)</f>
        <v>0</v>
      </c>
      <c r="E570" s="2">
        <f>IFERROR(__xludf.DUMMYFUNCTION("""COMPUTED_VALUE"""),9688.89)</f>
        <v>9688.89</v>
      </c>
      <c r="F570" s="2">
        <f>IFERROR(__xludf.DUMMYFUNCTION("""COMPUTED_VALUE"""),4355.0)</f>
        <v>4355</v>
      </c>
      <c r="G570" s="2">
        <f>IFERROR(__xludf.DUMMYFUNCTION("""COMPUTED_VALUE"""),4646.0)</f>
        <v>4646</v>
      </c>
      <c r="H570" s="2">
        <f>IFERROR(__xludf.DUMMYFUNCTION("""COMPUTED_VALUE"""),5226.0)</f>
        <v>5226</v>
      </c>
      <c r="I570" s="2">
        <f>IFERROR(__xludf.DUMMYFUNCTION("""COMPUTED_VALUE"""),5806.91)</f>
        <v>5806.91</v>
      </c>
      <c r="J570" s="2">
        <f>IFERROR(__xludf.DUMMYFUNCTION("""COMPUTED_VALUE"""),5806.91)</f>
        <v>5806.91</v>
      </c>
      <c r="K570" s="2">
        <f>IFERROR(__xludf.DUMMYFUNCTION("""COMPUTED_VALUE"""),0.0)</f>
        <v>0</v>
      </c>
      <c r="L570" s="2" t="str">
        <f>IFERROR(__xludf.DUMMYFUNCTION("""COMPUTED_VALUE"""),"NVAS (тендер)")</f>
        <v>NVAS (тендер)</v>
      </c>
      <c r="M570" s="2" t="str">
        <f>IFERROR(__xludf.DUMMYFUNCTION("""COMPUTED_VALUE"""),"LED Светильники")</f>
        <v>LED Светильники</v>
      </c>
    </row>
    <row r="571">
      <c r="A571" s="5" t="str">
        <f>IFERROR(__xludf.DUMMYFUNCTION("""COMPUTED_VALUE"""),"4690612009070")</f>
        <v>4690612009070</v>
      </c>
      <c r="B571" s="5" t="str">
        <f>IFERROR(__xludf.DUMMYFUNCTION("""COMPUTED_VALUE"""),"Штепсельное гнездо (розетка кабельная) 10А белое 4152 IN HOME")</f>
        <v>Штепсельное гнездо (розетка кабельная) 10А белое 4152 IN HOME</v>
      </c>
      <c r="C571" s="2">
        <f>IFERROR(__xludf.DUMMYFUNCTION("""COMPUTED_VALUE"""),0.04)</f>
        <v>0.04</v>
      </c>
      <c r="D571" s="2">
        <f>IFERROR(__xludf.DUMMYFUNCTION("""COMPUTED_VALUE"""),2.2E-4)</f>
        <v>0.00022</v>
      </c>
      <c r="E571" s="2">
        <f>IFERROR(__xludf.DUMMYFUNCTION("""COMPUTED_VALUE"""),18.5)</f>
        <v>18.5</v>
      </c>
      <c r="F571" s="2">
        <f>IFERROR(__xludf.DUMMYFUNCTION("""COMPUTED_VALUE"""),24.0)</f>
        <v>24</v>
      </c>
      <c r="G571" s="2">
        <f>IFERROR(__xludf.DUMMYFUNCTION("""COMPUTED_VALUE"""),27.0)</f>
        <v>27</v>
      </c>
      <c r="H571" s="2">
        <f>IFERROR(__xludf.DUMMYFUNCTION("""COMPUTED_VALUE"""),31.0)</f>
        <v>31</v>
      </c>
      <c r="I571" s="2">
        <f>IFERROR(__xludf.DUMMYFUNCTION("""COMPUTED_VALUE"""),36.0)</f>
        <v>36</v>
      </c>
      <c r="J571" s="2">
        <f>IFERROR(__xludf.DUMMYFUNCTION("""COMPUTED_VALUE"""),18.0)</f>
        <v>18</v>
      </c>
      <c r="K571" s="2">
        <f>IFERROR(__xludf.DUMMYFUNCTION("""COMPUTED_VALUE"""),20.0)</f>
        <v>20</v>
      </c>
      <c r="L571" s="2" t="str">
        <f>IFERROR(__xludf.DUMMYFUNCTION("""COMPUTED_VALUE"""),"ASD электромонтажные изделия")</f>
        <v>ASD электромонтажные изделия</v>
      </c>
      <c r="M571" s="2" t="str">
        <f>IFERROR(__xludf.DUMMYFUNCTION("""COMPUTED_VALUE"""),"Прочие товары")</f>
        <v>Прочие товары</v>
      </c>
    </row>
    <row r="572">
      <c r="A572" s="5" t="str">
        <f>IFERROR(__xludf.DUMMYFUNCTION("""COMPUTED_VALUE"""),"4690612035338")</f>
        <v>4690612035338</v>
      </c>
      <c r="B572" s="5" t="str">
        <f>IFERROR(__xludf.DUMMYFUNCTION("""COMPUTED_VALUE"""),"ELEGANT ARIS-B 15Вт 230В 3000-6500K 1050Лм STEP COLOR черный IN HOME")</f>
        <v>ELEGANT ARIS-B 15Вт 230В 3000-6500K 1050Лм STEP COLOR черный IN HOME</v>
      </c>
      <c r="C572" s="2">
        <f>IFERROR(__xludf.DUMMYFUNCTION("""COMPUTED_VALUE"""),0.35)</f>
        <v>0.35</v>
      </c>
      <c r="D572" s="2">
        <f>IFERROR(__xludf.DUMMYFUNCTION("""COMPUTED_VALUE"""),0.0035)</f>
        <v>0.0035</v>
      </c>
      <c r="E572" s="2">
        <f>IFERROR(__xludf.DUMMYFUNCTION("""COMPUTED_VALUE"""),619.99)</f>
        <v>619.99</v>
      </c>
      <c r="F572" s="2">
        <f>IFERROR(__xludf.DUMMYFUNCTION("""COMPUTED_VALUE"""),627.0)</f>
        <v>627</v>
      </c>
      <c r="G572" s="2">
        <f>IFERROR(__xludf.DUMMYFUNCTION("""COMPUTED_VALUE"""),705.0)</f>
        <v>705</v>
      </c>
      <c r="H572" s="2">
        <f>IFERROR(__xludf.DUMMYFUNCTION("""COMPUTED_VALUE"""),818.0)</f>
        <v>818</v>
      </c>
      <c r="I572" s="2">
        <f>IFERROR(__xludf.DUMMYFUNCTION("""COMPUTED_VALUE"""),940.0)</f>
        <v>940</v>
      </c>
      <c r="J572" s="2">
        <f>IFERROR(__xludf.DUMMYFUNCTION("""COMPUTED_VALUE"""),470.0)</f>
        <v>470</v>
      </c>
      <c r="K572" s="2">
        <f>IFERROR(__xludf.DUMMYFUNCTION("""COMPUTED_VALUE"""),3.0)</f>
        <v>3</v>
      </c>
      <c r="L572" s="2" t="str">
        <f>IFERROR(__xludf.DUMMYFUNCTION("""COMPUTED_VALUE"""),"Светильники светодиодные серии ELEGANT IN HOME")</f>
        <v>Светильники светодиодные серии ELEGANT IN HOME</v>
      </c>
      <c r="M572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573">
      <c r="A573" s="5" t="str">
        <f>IFERROR(__xludf.DUMMYFUNCTION("""COMPUTED_VALUE"""),"V9007")</f>
        <v>V9007</v>
      </c>
      <c r="B573" s="5" t="str">
        <f>IFERROR(__xludf.DUMMYFUNCTION("""COMPUTED_VALUE"""),"VRN-UNE-48-G40K67-U, 48Вт, Универсальный")</f>
        <v>VRN-UNE-48-G40K67-U, 48Вт, Универсальный</v>
      </c>
      <c r="C573" s="2">
        <f>IFERROR(__xludf.DUMMYFUNCTION("""COMPUTED_VALUE"""),0.118)</f>
        <v>0.118</v>
      </c>
      <c r="D573" s="2">
        <f>IFERROR(__xludf.DUMMYFUNCTION("""COMPUTED_VALUE"""),0.00483)</f>
        <v>0.00483</v>
      </c>
      <c r="E573" s="2">
        <f>IFERROR(__xludf.DUMMYFUNCTION("""COMPUTED_VALUE"""),1959.98)</f>
        <v>1959.98</v>
      </c>
      <c r="F573" s="2">
        <f>IFERROR(__xludf.DUMMYFUNCTION("""COMPUTED_VALUE"""),2255.0)</f>
        <v>2255</v>
      </c>
      <c r="G573" s="2">
        <f>IFERROR(__xludf.DUMMYFUNCTION("""COMPUTED_VALUE"""),2932.0)</f>
        <v>2932</v>
      </c>
      <c r="H573" s="2">
        <f>IFERROR(__xludf.DUMMYFUNCTION("""COMPUTED_VALUE"""),3078.0)</f>
        <v>3078</v>
      </c>
      <c r="I573" s="2">
        <f>IFERROR(__xludf.DUMMYFUNCTION("""COMPUTED_VALUE"""),3225.0)</f>
        <v>3225</v>
      </c>
      <c r="J573" s="2">
        <f>IFERROR(__xludf.DUMMYFUNCTION("""COMPUTED_VALUE"""),3225.0)</f>
        <v>3225</v>
      </c>
      <c r="K573" s="2">
        <f>IFERROR(__xludf.DUMMYFUNCTION("""COMPUTED_VALUE"""),217.0)</f>
        <v>217</v>
      </c>
      <c r="L573" s="2" t="str">
        <f>IFERROR(__xludf.DUMMYFUNCTION("""COMPUTED_VALUE"""),"Универсал Эконом")</f>
        <v>Универсал Эконом</v>
      </c>
      <c r="M573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574">
      <c r="A574" s="5" t="str">
        <f>IFERROR(__xludf.DUMMYFUNCTION("""COMPUTED_VALUE"""),"ves021")</f>
        <v>ves021</v>
      </c>
      <c r="B574" s="5" t="str">
        <f>IFERROR(__xludf.DUMMYFUNCTION("""COMPUTED_VALUE"""),"Прожектор светодиодный на штативе 100Вт (СДО-7 50Вт 6500КХ2 на штативе)")</f>
        <v>Прожектор светодиодный на штативе 100Вт (СДО-7 50Вт 6500КХ2 на штативе)</v>
      </c>
      <c r="C574" s="2">
        <f>IFERROR(__xludf.DUMMYFUNCTION("""COMPUTED_VALUE"""),0.0)</f>
        <v>0</v>
      </c>
      <c r="D574" s="2">
        <f>IFERROR(__xludf.DUMMYFUNCTION("""COMPUTED_VALUE"""),0.0)</f>
        <v>0</v>
      </c>
      <c r="E574" s="2">
        <f>IFERROR(__xludf.DUMMYFUNCTION("""COMPUTED_VALUE"""),528.0)</f>
        <v>528</v>
      </c>
      <c r="F574" s="2">
        <f>IFERROR(__xludf.DUMMYFUNCTION("""COMPUTED_VALUE"""),1575.0)</f>
        <v>1575</v>
      </c>
      <c r="G574" s="2">
        <f>IFERROR(__xludf.DUMMYFUNCTION("""COMPUTED_VALUE"""),1680.0)</f>
        <v>1680</v>
      </c>
      <c r="H574" s="2">
        <f>IFERROR(__xludf.DUMMYFUNCTION("""COMPUTED_VALUE"""),1890.0)</f>
        <v>1890</v>
      </c>
      <c r="I574" s="2">
        <f>IFERROR(__xludf.DUMMYFUNCTION("""COMPUTED_VALUE"""),2100.0)</f>
        <v>2100</v>
      </c>
      <c r="J574" s="2">
        <f>IFERROR(__xludf.DUMMYFUNCTION("""COMPUTED_VALUE"""),528.0)</f>
        <v>528</v>
      </c>
      <c r="K574" s="2">
        <f>IFERROR(__xludf.DUMMYFUNCTION("""COMPUTED_VALUE"""),3.0)</f>
        <v>3</v>
      </c>
      <c r="L574" s="2" t="str">
        <f>IFERROR(__xludf.DUMMYFUNCTION("""COMPUTED_VALUE"""),"ves")</f>
        <v>ves</v>
      </c>
      <c r="M574" s="2" t="str">
        <f>IFERROR(__xludf.DUMMYFUNCTION("""COMPUTED_VALUE"""),"LED Светильники")</f>
        <v>LED Светильники</v>
      </c>
    </row>
    <row r="575">
      <c r="A575" s="5" t="str">
        <f>IFERROR(__xludf.DUMMYFUNCTION("""COMPUTED_VALUE"""),"4690612034836")</f>
        <v>4690612034836</v>
      </c>
      <c r="B575" s="5" t="str">
        <f>IFERROR(__xludf.DUMMYFUNCTION("""COMPUTED_VALUE"""),"COMFORT WAVE 75Вт 230В 3000-6500K 6000Лм 490x85мм с пультом ДУ IN HOME")</f>
        <v>COMFORT WAVE 75Вт 230В 3000-6500K 6000Лм 490x85мм с пультом ДУ IN HOME</v>
      </c>
      <c r="C575" s="2">
        <f>IFERROR(__xludf.DUMMYFUNCTION("""COMPUTED_VALUE"""),1.7)</f>
        <v>1.7</v>
      </c>
      <c r="D575" s="2">
        <f>IFERROR(__xludf.DUMMYFUNCTION("""COMPUTED_VALUE"""),0.0362)</f>
        <v>0.0362</v>
      </c>
      <c r="E575" s="2">
        <f>IFERROR(__xludf.DUMMYFUNCTION("""COMPUTED_VALUE"""),1745.19)</f>
        <v>1745.19</v>
      </c>
      <c r="F575" s="2">
        <f>IFERROR(__xludf.DUMMYFUNCTION("""COMPUTED_VALUE"""),1658.0)</f>
        <v>1658</v>
      </c>
      <c r="G575" s="2">
        <f>IFERROR(__xludf.DUMMYFUNCTION("""COMPUTED_VALUE"""),1865.0)</f>
        <v>1865</v>
      </c>
      <c r="H575" s="2">
        <f>IFERROR(__xludf.DUMMYFUNCTION("""COMPUTED_VALUE"""),2164.0)</f>
        <v>2164</v>
      </c>
      <c r="I575" s="2">
        <f>IFERROR(__xludf.DUMMYFUNCTION("""COMPUTED_VALUE"""),2487.0)</f>
        <v>2487</v>
      </c>
      <c r="J575" s="2">
        <f>IFERROR(__xludf.DUMMYFUNCTION("""COMPUTED_VALUE"""),1244.0)</f>
        <v>1244</v>
      </c>
      <c r="K575" s="2">
        <f>IFERROR(__xludf.DUMMYFUNCTION("""COMPUTED_VALUE"""),1.0)</f>
        <v>1</v>
      </c>
      <c r="L575" s="2" t="str">
        <f>IFERROR(__xludf.DUMMYFUNCTION("""COMPUTED_VALUE"""),"Светильники светодиодные COMFORT")</f>
        <v>Светильники светодиодные COMFORT</v>
      </c>
      <c r="M575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576">
      <c r="A576" s="5" t="str">
        <f>IFERROR(__xludf.DUMMYFUNCTION("""COMPUTED_VALUE"""),"12-0105")</f>
        <v>12-0105</v>
      </c>
      <c r="B576" s="5" t="str">
        <f>IFERROR(__xludf.DUMMYFUNCTION("""COMPUTED_VALUE"""),"Пистолет клеевой 100 Вт ? 11 мм (блистер) REXANT")</f>
        <v>Пистолет клеевой 100 Вт ? 11 мм (блистер) REXANT</v>
      </c>
      <c r="C576" s="2">
        <f>IFERROR(__xludf.DUMMYFUNCTION("""COMPUTED_VALUE"""),0.0)</f>
        <v>0</v>
      </c>
      <c r="D576" s="2">
        <f>IFERROR(__xludf.DUMMYFUNCTION("""COMPUTED_VALUE"""),0.0)</f>
        <v>0</v>
      </c>
      <c r="E576" s="2">
        <f>IFERROR(__xludf.DUMMYFUNCTION("""COMPUTED_VALUE"""),1.02)</f>
        <v>1.02</v>
      </c>
      <c r="F576" s="2">
        <f>IFERROR(__xludf.DUMMYFUNCTION("""COMPUTED_VALUE"""),613.0)</f>
        <v>613</v>
      </c>
      <c r="G576" s="2">
        <f>IFERROR(__xludf.DUMMYFUNCTION("""COMPUTED_VALUE"""),654.0)</f>
        <v>654</v>
      </c>
      <c r="H576" s="2">
        <f>IFERROR(__xludf.DUMMYFUNCTION("""COMPUTED_VALUE"""),735.0)</f>
        <v>735</v>
      </c>
      <c r="I576" s="2">
        <f>IFERROR(__xludf.DUMMYFUNCTION("""COMPUTED_VALUE"""),817.1800000000001)</f>
        <v>817.18</v>
      </c>
      <c r="J576" s="2">
        <f>IFERROR(__xludf.DUMMYFUNCTION("""COMPUTED_VALUE"""),409.0)</f>
        <v>409</v>
      </c>
      <c r="K576" s="2">
        <f>IFERROR(__xludf.DUMMYFUNCTION("""COMPUTED_VALUE"""),3.0)</f>
        <v>3</v>
      </c>
      <c r="L576" s="2" t="str">
        <f>IFERROR(__xludf.DUMMYFUNCTION("""COMPUTED_VALUE"""),"Rexant")</f>
        <v>Rexant</v>
      </c>
      <c r="M576" s="2" t="str">
        <f>IFERROR(__xludf.DUMMYFUNCTION("""COMPUTED_VALUE"""),"Прочие товары")</f>
        <v>Прочие товары</v>
      </c>
    </row>
    <row r="577">
      <c r="A577" s="5" t="str">
        <f>IFERROR(__xludf.DUMMYFUNCTION("""COMPUTED_VALUE"""),"4690612026145-10")</f>
        <v>4690612026145-10</v>
      </c>
      <c r="B577" s="5" t="str">
        <f>IFERROR(__xludf.DUMMYFUNCTION("""COMPUTED_VALUE"""),"10 шт. Лампа LED-A60-deco 11Вт 230В Е27 4000К 1160Лм прозрачная IN HOME (Комплект 10 шт)")</f>
        <v>10 шт. Лампа LED-A60-deco 11Вт 230В Е27 4000К 1160Лм прозрачная IN HOME (Комплект 10 шт)</v>
      </c>
      <c r="C577" s="2">
        <f>IFERROR(__xludf.DUMMYFUNCTION("""COMPUTED_VALUE"""),0.04)</f>
        <v>0.04</v>
      </c>
      <c r="D577" s="2">
        <f>IFERROR(__xludf.DUMMYFUNCTION("""COMPUTED_VALUE"""),0.0028)</f>
        <v>0.0028</v>
      </c>
      <c r="E577" s="2">
        <f>IFERROR(__xludf.DUMMYFUNCTION("""COMPUTED_VALUE"""),810.0)</f>
        <v>810</v>
      </c>
      <c r="F577" s="2">
        <f>IFERROR(__xludf.DUMMYFUNCTION("""COMPUTED_VALUE"""),889.0)</f>
        <v>889</v>
      </c>
      <c r="G577" s="2">
        <f>IFERROR(__xludf.DUMMYFUNCTION("""COMPUTED_VALUE"""),1166.0)</f>
        <v>1166</v>
      </c>
      <c r="H577" s="2">
        <f>IFERROR(__xludf.DUMMYFUNCTION("""COMPUTED_VALUE"""),1312.0)</f>
        <v>1312</v>
      </c>
      <c r="I577" s="2">
        <f>IFERROR(__xludf.DUMMYFUNCTION("""COMPUTED_VALUE"""),1458.0)</f>
        <v>1458</v>
      </c>
      <c r="J577" s="2">
        <f>IFERROR(__xludf.DUMMYFUNCTION("""COMPUTED_VALUE"""),729.0)</f>
        <v>729</v>
      </c>
      <c r="K577" s="2">
        <f>IFERROR(__xludf.DUMMYFUNCTION("""COMPUTED_VALUE"""),12.0)</f>
        <v>12</v>
      </c>
      <c r="L577" s="2" t="str">
        <f>IFERROR(__xludf.DUMMYFUNCTION("""COMPUTED_VALUE"""),"Лампы производство, упаковка")</f>
        <v>Лампы производство, упаковка</v>
      </c>
      <c r="M577" s="2" t="str">
        <f>IFERROR(__xludf.DUMMYFUNCTION("""COMPUTED_VALUE"""),"Лампы")</f>
        <v>Лампы</v>
      </c>
    </row>
    <row r="578">
      <c r="A578" s="5" t="str">
        <f>IFERROR(__xludf.DUMMYFUNCTION("""COMPUTED_VALUE"""),"GL8112")</f>
        <v>GL8112</v>
      </c>
      <c r="B578" s="5" t="str">
        <f>IFERROR(__xludf.DUMMYFUNCTION("""COMPUTED_VALUE"""),"GLERIO Office Casual 24 Вт 4000К 81P-24D-4V-MP")</f>
        <v>GLERIO Office Casual 24 Вт 4000К 81P-24D-4V-MP</v>
      </c>
      <c r="C578" s="2">
        <f>IFERROR(__xludf.DUMMYFUNCTION("""COMPUTED_VALUE"""),1.04)</f>
        <v>1.04</v>
      </c>
      <c r="D578" s="2">
        <f>IFERROR(__xludf.DUMMYFUNCTION("""COMPUTED_VALUE"""),0.008190000000000001)</f>
        <v>0.00819</v>
      </c>
      <c r="E578" s="2">
        <f>IFERROR(__xludf.DUMMYFUNCTION("""COMPUTED_VALUE"""),1201.85)</f>
        <v>1201.85</v>
      </c>
      <c r="F578" s="2">
        <f>IFERROR(__xludf.DUMMYFUNCTION("""COMPUTED_VALUE"""),1700.0)</f>
        <v>1700</v>
      </c>
      <c r="G578" s="2">
        <f>IFERROR(__xludf.DUMMYFUNCTION("""COMPUTED_VALUE"""),2140.0)</f>
        <v>2140</v>
      </c>
      <c r="H578" s="2">
        <f>IFERROR(__xludf.DUMMYFUNCTION("""COMPUTED_VALUE"""),2404.0)</f>
        <v>2404</v>
      </c>
      <c r="I578" s="2">
        <f>IFERROR(__xludf.DUMMYFUNCTION("""COMPUTED_VALUE"""),2667.0)</f>
        <v>2667</v>
      </c>
      <c r="J578" s="2">
        <f>IFERROR(__xludf.DUMMYFUNCTION("""COMPUTED_VALUE"""),2404.0)</f>
        <v>2404</v>
      </c>
      <c r="K578" s="2">
        <f>IFERROR(__xludf.DUMMYFUNCTION("""COMPUTED_VALUE"""),1.0)</f>
        <v>1</v>
      </c>
      <c r="L578" s="2" t="str">
        <f>IFERROR(__xludf.DUMMYFUNCTION("""COMPUTED_VALUE"""),"Office Casual (Офис) до 10.2025")</f>
        <v>Office Casual (Офис) до 10.2025</v>
      </c>
      <c r="M578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579">
      <c r="A579" s="5" t="str">
        <f>IFERROR(__xludf.DUMMYFUNCTION("""COMPUTED_VALUE"""),"4690612007618")</f>
        <v>4690612007618</v>
      </c>
      <c r="B579" s="5" t="str">
        <f>IFERROR(__xludf.DUMMYFUNCTION("""COMPUTED_VALUE"""),"LED-СВЕЧА-deco 7Вт 230В Е14 4000К 810Лм прозрачная IN HOME")</f>
        <v>LED-СВЕЧА-deco 7Вт 230В Е14 4000К 810Лм прозрачная IN HOME</v>
      </c>
      <c r="C579" s="2">
        <f>IFERROR(__xludf.DUMMYFUNCTION("""COMPUTED_VALUE"""),0.025)</f>
        <v>0.025</v>
      </c>
      <c r="D579" s="2">
        <f>IFERROR(__xludf.DUMMYFUNCTION("""COMPUTED_VALUE"""),2.0E-4)</f>
        <v>0.0002</v>
      </c>
      <c r="E579" s="2">
        <f>IFERROR(__xludf.DUMMYFUNCTION("""COMPUTED_VALUE"""),63.85)</f>
        <v>63.85</v>
      </c>
      <c r="F579" s="2">
        <f>IFERROR(__xludf.DUMMYFUNCTION("""COMPUTED_VALUE"""),57.0)</f>
        <v>57</v>
      </c>
      <c r="G579" s="2">
        <f>IFERROR(__xludf.DUMMYFUNCTION("""COMPUTED_VALUE"""),64.0)</f>
        <v>64</v>
      </c>
      <c r="H579" s="2">
        <f>IFERROR(__xludf.DUMMYFUNCTION("""COMPUTED_VALUE"""),74.0)</f>
        <v>74</v>
      </c>
      <c r="I579" s="2">
        <f>IFERROR(__xludf.DUMMYFUNCTION("""COMPUTED_VALUE"""),85.5)</f>
        <v>85.5</v>
      </c>
      <c r="J579" s="2">
        <f>IFERROR(__xludf.DUMMYFUNCTION("""COMPUTED_VALUE"""),43.0)</f>
        <v>43</v>
      </c>
      <c r="K579" s="2">
        <f>IFERROR(__xludf.DUMMYFUNCTION("""COMPUTED_VALUE"""),50.0)</f>
        <v>50</v>
      </c>
      <c r="L579" s="2" t="str">
        <f>IFERROR(__xludf.DUMMYFUNCTION("""COMPUTED_VALUE"""),"Лампа светодиодная LED-СВЕЧА-DECO")</f>
        <v>Лампа светодиодная LED-СВЕЧА-DECO</v>
      </c>
      <c r="M579" s="2" t="str">
        <f>IFERROR(__xludf.DUMMYFUNCTION("""COMPUTED_VALUE"""),"Лампы")</f>
        <v>Лампы</v>
      </c>
    </row>
    <row r="580">
      <c r="A580" s="5" t="str">
        <f>IFERROR(__xludf.DUMMYFUNCTION("""COMPUTED_VALUE"""),"4690612025582")</f>
        <v>4690612025582</v>
      </c>
      <c r="B580" s="5" t="str">
        <f>IFERROR(__xludf.DUMMYFUNCTION("""COMPUTED_VALUE"""),"ССО-05Б 5Вт сенсор-диммер")</f>
        <v>ССО-05Б 5Вт сенсор-диммер</v>
      </c>
      <c r="C580" s="2">
        <f>IFERROR(__xludf.DUMMYFUNCTION("""COMPUTED_VALUE"""),0.388)</f>
        <v>0.388</v>
      </c>
      <c r="D580" s="2">
        <f>IFERROR(__xludf.DUMMYFUNCTION("""COMPUTED_VALUE"""),0.0028)</f>
        <v>0.0028</v>
      </c>
      <c r="E580" s="2">
        <f>IFERROR(__xludf.DUMMYFUNCTION("""COMPUTED_VALUE"""),673.53)</f>
        <v>673.53</v>
      </c>
      <c r="F580" s="2">
        <f>IFERROR(__xludf.DUMMYFUNCTION("""COMPUTED_VALUE"""),573.0)</f>
        <v>573</v>
      </c>
      <c r="G580" s="2">
        <f>IFERROR(__xludf.DUMMYFUNCTION("""COMPUTED_VALUE"""),645.0)</f>
        <v>645</v>
      </c>
      <c r="H580" s="2">
        <f>IFERROR(__xludf.DUMMYFUNCTION("""COMPUTED_VALUE"""),748.0)</f>
        <v>748</v>
      </c>
      <c r="I580" s="2">
        <f>IFERROR(__xludf.DUMMYFUNCTION("""COMPUTED_VALUE"""),860.0)</f>
        <v>860</v>
      </c>
      <c r="J580" s="2">
        <f>IFERROR(__xludf.DUMMYFUNCTION("""COMPUTED_VALUE"""),645.0)</f>
        <v>645</v>
      </c>
      <c r="K580" s="2">
        <f>IFERROR(__xludf.DUMMYFUNCTION("""COMPUTED_VALUE"""),15.0)</f>
        <v>15</v>
      </c>
      <c r="L580" s="2" t="str">
        <f>IFERROR(__xludf.DUMMYFUNCTION("""COMPUTED_VALUE"""),"Светильники настольные светодиодные")</f>
        <v>Светильники настольные светодиодные</v>
      </c>
      <c r="M580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581">
      <c r="A581" s="5" t="str">
        <f>IFERROR(__xludf.DUMMYFUNCTION("""COMPUTED_VALUE"""),"Fefco/0201-10")</f>
        <v>Fefco/0201-10</v>
      </c>
      <c r="B581" s="5" t="str">
        <f>IFERROR(__xludf.DUMMYFUNCTION("""COMPUTED_VALUE"""),"Короб 600х400х400 (картон Т-24 ""В"" бурый)")</f>
        <v>Короб 600х400х400 (картон Т-24 "В" бурый)</v>
      </c>
      <c r="C581" s="2">
        <f>IFERROR(__xludf.DUMMYFUNCTION("""COMPUTED_VALUE"""),0.0)</f>
        <v>0</v>
      </c>
      <c r="D581" s="2">
        <f>IFERROR(__xludf.DUMMYFUNCTION("""COMPUTED_VALUE"""),0.0)</f>
        <v>0</v>
      </c>
      <c r="E581" s="2">
        <f>IFERROR(__xludf.DUMMYFUNCTION("""COMPUTED_VALUE"""),109.8)</f>
        <v>109.8</v>
      </c>
      <c r="F581" s="2">
        <f>IFERROR(__xludf.DUMMYFUNCTION("""COMPUTED_VALUE"""),1.0)</f>
        <v>1</v>
      </c>
      <c r="G581" s="2">
        <f>IFERROR(__xludf.DUMMYFUNCTION("""COMPUTED_VALUE"""),1.0)</f>
        <v>1</v>
      </c>
      <c r="H581" s="2">
        <f>IFERROR(__xludf.DUMMYFUNCTION("""COMPUTED_VALUE"""),1.0)</f>
        <v>1</v>
      </c>
      <c r="I581" s="2">
        <f>IFERROR(__xludf.DUMMYFUNCTION("""COMPUTED_VALUE"""),1.5)</f>
        <v>1.5</v>
      </c>
      <c r="J581" s="2">
        <f>IFERROR(__xludf.DUMMYFUNCTION("""COMPUTED_VALUE"""),1.5)</f>
        <v>1.5</v>
      </c>
      <c r="K581" s="2">
        <f>IFERROR(__xludf.DUMMYFUNCTION("""COMPUTED_VALUE"""),85.0)</f>
        <v>85</v>
      </c>
      <c r="L581" s="2" t="str">
        <f>IFERROR(__xludf.DUMMYFUNCTION("""COMPUTED_VALUE"""),"Упаковка")</f>
        <v>Упаковка</v>
      </c>
      <c r="M581" s="2" t="str">
        <f>IFERROR(__xludf.DUMMYFUNCTION("""COMPUTED_VALUE"""),"Прочие товары")</f>
        <v>Прочие товары</v>
      </c>
    </row>
    <row r="582">
      <c r="A582" s="5" t="str">
        <f>IFERROR(__xludf.DUMMYFUNCTION("""COMPUTED_VALUE"""),"4690612025001")</f>
        <v>4690612025001</v>
      </c>
      <c r="B582" s="5" t="str">
        <f>IFERROR(__xludf.DUMMYFUNCTION("""COMPUTED_VALUE"""),"DECO СОЗВЕЗДИЕ 36Вт 230В 4000К 3240Лм 380х55мм IN HOME")</f>
        <v>DECO СОЗВЕЗДИЕ 36Вт 230В 4000К 3240Лм 380х55мм IN HOME</v>
      </c>
      <c r="C582" s="2">
        <f>IFERROR(__xludf.DUMMYFUNCTION("""COMPUTED_VALUE"""),0.5800000000000001)</f>
        <v>0.58</v>
      </c>
      <c r="D582" s="2">
        <f>IFERROR(__xludf.DUMMYFUNCTION("""COMPUTED_VALUE"""),0.009500000000000001)</f>
        <v>0.0095</v>
      </c>
      <c r="E582" s="2">
        <f>IFERROR(__xludf.DUMMYFUNCTION("""COMPUTED_VALUE"""),499.08)</f>
        <v>499.08</v>
      </c>
      <c r="F582" s="2">
        <f>IFERROR(__xludf.DUMMYFUNCTION("""COMPUTED_VALUE"""),600.0)</f>
        <v>600</v>
      </c>
      <c r="G582" s="2">
        <f>IFERROR(__xludf.DUMMYFUNCTION("""COMPUTED_VALUE"""),675.0)</f>
        <v>675</v>
      </c>
      <c r="H582" s="2">
        <f>IFERROR(__xludf.DUMMYFUNCTION("""COMPUTED_VALUE"""),783.0)</f>
        <v>783</v>
      </c>
      <c r="I582" s="2">
        <f>IFERROR(__xludf.DUMMYFUNCTION("""COMPUTED_VALUE"""),900.0)</f>
        <v>900</v>
      </c>
      <c r="J582" s="2">
        <f>IFERROR(__xludf.DUMMYFUNCTION("""COMPUTED_VALUE"""),450.0)</f>
        <v>450</v>
      </c>
      <c r="K582" s="2">
        <f>IFERROR(__xludf.DUMMYFUNCTION("""COMPUTED_VALUE"""),35.0)</f>
        <v>35</v>
      </c>
      <c r="L582" s="2" t="str">
        <f>IFERROR(__xludf.DUMMYFUNCTION("""COMPUTED_VALUE"""),"Светильник светодиодный серии DECO")</f>
        <v>Светильник светодиодный серии DECO</v>
      </c>
      <c r="M582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583">
      <c r="A583" s="5" t="str">
        <f>IFERROR(__xludf.DUMMYFUNCTION("""COMPUTED_VALUE"""),"Fefco/0203-4")</f>
        <v>Fefco/0203-4</v>
      </c>
      <c r="B583" s="5" t="str">
        <f>IFERROR(__xludf.DUMMYFUNCTION("""COMPUTED_VALUE"""),"Короб 80х30х1220 (картон Т-24 бурый 3мм)")</f>
        <v>Короб 80х30х1220 (картон Т-24 бурый 3мм)</v>
      </c>
      <c r="C583" s="2">
        <f>IFERROR(__xludf.DUMMYFUNCTION("""COMPUTED_VALUE"""),0.0)</f>
        <v>0</v>
      </c>
      <c r="D583" s="2">
        <f>IFERROR(__xludf.DUMMYFUNCTION("""COMPUTED_VALUE"""),0.0)</f>
        <v>0</v>
      </c>
      <c r="E583" s="2">
        <f>IFERROR(__xludf.DUMMYFUNCTION("""COMPUTED_VALUE"""),34.9)</f>
        <v>34.9</v>
      </c>
      <c r="F583" s="2">
        <f>IFERROR(__xludf.DUMMYFUNCTION("""COMPUTED_VALUE"""),1.0)</f>
        <v>1</v>
      </c>
      <c r="G583" s="2">
        <f>IFERROR(__xludf.DUMMYFUNCTION("""COMPUTED_VALUE"""),1.0)</f>
        <v>1</v>
      </c>
      <c r="H583" s="2">
        <f>IFERROR(__xludf.DUMMYFUNCTION("""COMPUTED_VALUE"""),1.0)</f>
        <v>1</v>
      </c>
      <c r="I583" s="2">
        <f>IFERROR(__xludf.DUMMYFUNCTION("""COMPUTED_VALUE"""),1.5)</f>
        <v>1.5</v>
      </c>
      <c r="J583" s="2">
        <f>IFERROR(__xludf.DUMMYFUNCTION("""COMPUTED_VALUE"""),1.5)</f>
        <v>1.5</v>
      </c>
      <c r="K583" s="2">
        <f>IFERROR(__xludf.DUMMYFUNCTION("""COMPUTED_VALUE"""),179.0)</f>
        <v>179</v>
      </c>
      <c r="L583" s="2" t="str">
        <f>IFERROR(__xludf.DUMMYFUNCTION("""COMPUTED_VALUE"""),"Упаковка")</f>
        <v>Упаковка</v>
      </c>
      <c r="M583" s="2" t="str">
        <f>IFERROR(__xludf.DUMMYFUNCTION("""COMPUTED_VALUE"""),"Прочие товары")</f>
        <v>Прочие товары</v>
      </c>
    </row>
    <row r="584">
      <c r="A584" s="5" t="str">
        <f>IFERROR(__xludf.DUMMYFUNCTION("""COMPUTED_VALUE"""),"4690612010632")</f>
        <v>4690612010632</v>
      </c>
      <c r="B584" s="5" t="str">
        <f>IFERROR(__xludf.DUMMYFUNCTION("""COMPUTED_VALUE"""),"NRLP-eco 12Вт 230В 4000К 840Лм 170мм белая накладная IP40 IN HOME")</f>
        <v>NRLP-eco 12Вт 230В 4000К 840Лм 170мм белая накладная IP40 IN HOME</v>
      </c>
      <c r="C584" s="2">
        <f>IFERROR(__xludf.DUMMYFUNCTION("""COMPUTED_VALUE"""),0.237)</f>
        <v>0.237</v>
      </c>
      <c r="D584" s="2">
        <f>IFERROR(__xludf.DUMMYFUNCTION("""COMPUTED_VALUE"""),0.00133)</f>
        <v>0.00133</v>
      </c>
      <c r="E584" s="2">
        <f>IFERROR(__xludf.DUMMYFUNCTION("""COMPUTED_VALUE"""),247.9)</f>
        <v>247.9</v>
      </c>
      <c r="F584" s="2">
        <f>IFERROR(__xludf.DUMMYFUNCTION("""COMPUTED_VALUE"""),243.0)</f>
        <v>243</v>
      </c>
      <c r="G584" s="2">
        <f>IFERROR(__xludf.DUMMYFUNCTION("""COMPUTED_VALUE"""),273.0)</f>
        <v>273</v>
      </c>
      <c r="H584" s="2">
        <f>IFERROR(__xludf.DUMMYFUNCTION("""COMPUTED_VALUE"""),317.0)</f>
        <v>317</v>
      </c>
      <c r="I584" s="2">
        <f>IFERROR(__xludf.DUMMYFUNCTION("""COMPUTED_VALUE"""),364.0)</f>
        <v>364</v>
      </c>
      <c r="J584" s="2">
        <f>IFERROR(__xludf.DUMMYFUNCTION("""COMPUTED_VALUE"""),182.0)</f>
        <v>182</v>
      </c>
      <c r="K584" s="2">
        <f>IFERROR(__xludf.DUMMYFUNCTION("""COMPUTED_VALUE"""),1.0)</f>
        <v>1</v>
      </c>
      <c r="L584" s="2" t="str">
        <f>IFERROR(__xludf.DUMMYFUNCTION("""COMPUTED_VALUE"""),"Панели светодиодные круглые накладные NRLP")</f>
        <v>Панели светодиодные круглые накладные NRLP</v>
      </c>
      <c r="M584" s="2" t="str">
        <f>IFERROR(__xludf.DUMMYFUNCTION("""COMPUTED_VALUE"""),"Точечные круглые Downlight, LED Светильники")</f>
        <v>Точечные круглые Downlight, LED Светильники</v>
      </c>
    </row>
    <row r="585">
      <c r="A585" s="5" t="str">
        <f>IFERROR(__xludf.DUMMYFUNCTION("""COMPUTED_VALUE"""),"4260652192782")</f>
        <v>4260652192782</v>
      </c>
      <c r="B585" s="5" t="str">
        <f>IFERROR(__xludf.DUMMYFUNCTION("""COMPUTED_VALUE"""),"WTL-SC/01W")</f>
        <v>WTL-SC/01W</v>
      </c>
      <c r="C585" s="2">
        <f>IFERROR(__xludf.DUMMYFUNCTION("""COMPUTED_VALUE"""),0.039)</f>
        <v>0.039</v>
      </c>
      <c r="D585" s="2">
        <f>IFERROR(__xludf.DUMMYFUNCTION("""COMPUTED_VALUE"""),6.000000000000001E-5)</f>
        <v>0.00006</v>
      </c>
      <c r="E585" s="2">
        <f>IFERROR(__xludf.DUMMYFUNCTION("""COMPUTED_VALUE"""),111.5)</f>
        <v>111.5</v>
      </c>
      <c r="F585" s="2">
        <f>IFERROR(__xludf.DUMMYFUNCTION("""COMPUTED_VALUE"""),125.0)</f>
        <v>125</v>
      </c>
      <c r="G585" s="2">
        <f>IFERROR(__xludf.DUMMYFUNCTION("""COMPUTED_VALUE"""),129.0)</f>
        <v>129</v>
      </c>
      <c r="H585" s="2">
        <f>IFERROR(__xludf.DUMMYFUNCTION("""COMPUTED_VALUE"""),169.0)</f>
        <v>169</v>
      </c>
      <c r="I585" s="2">
        <f>IFERROR(__xludf.DUMMYFUNCTION("""COMPUTED_VALUE"""),211.0)</f>
        <v>211</v>
      </c>
      <c r="J585" s="2">
        <f>IFERROR(__xludf.DUMMYFUNCTION("""COMPUTED_VALUE"""),106.0)</f>
        <v>106</v>
      </c>
      <c r="K585" s="2">
        <f>IFERROR(__xludf.DUMMYFUNCTION("""COMPUTED_VALUE"""),4.0)</f>
        <v>4</v>
      </c>
      <c r="L585" s="2" t="str">
        <f>IFERROR(__xludf.DUMMYFUNCTION("""COMPUTED_VALUE"""),"Wolta трековые")</f>
        <v>Wolta трековые</v>
      </c>
      <c r="M585" s="2" t="str">
        <f>IFERROR(__xludf.DUMMYFUNCTION("""COMPUTED_VALUE"""),"Трековые, LED Светильники")</f>
        <v>Трековые, LED Светильники</v>
      </c>
    </row>
    <row r="586">
      <c r="A586" s="5" t="str">
        <f>IFERROR(__xludf.DUMMYFUNCTION("""COMPUTED_VALUE"""),"4690612001791")</f>
        <v>4690612001791</v>
      </c>
      <c r="B586" s="5" t="str">
        <f>IFERROR(__xludf.DUMMYFUNCTION("""COMPUTED_VALUE"""),"LS50-RGB 20см шнур питания")</f>
        <v>LS50-RGB 20см шнур питания</v>
      </c>
      <c r="C586" s="2">
        <f>IFERROR(__xludf.DUMMYFUNCTION("""COMPUTED_VALUE"""),0.003)</f>
        <v>0.003</v>
      </c>
      <c r="D586" s="2">
        <f>IFERROR(__xludf.DUMMYFUNCTION("""COMPUTED_VALUE"""),1.0E-5)</f>
        <v>0.00001</v>
      </c>
      <c r="E586" s="2">
        <f>IFERROR(__xludf.DUMMYFUNCTION("""COMPUTED_VALUE"""),16.01)</f>
        <v>16.01</v>
      </c>
      <c r="F586" s="2">
        <f>IFERROR(__xludf.DUMMYFUNCTION("""COMPUTED_VALUE"""),17.0)</f>
        <v>17</v>
      </c>
      <c r="G586" s="2">
        <f>IFERROR(__xludf.DUMMYFUNCTION("""COMPUTED_VALUE"""),20.0)</f>
        <v>20</v>
      </c>
      <c r="H586" s="2">
        <f>IFERROR(__xludf.DUMMYFUNCTION("""COMPUTED_VALUE"""),23.0)</f>
        <v>23</v>
      </c>
      <c r="I586" s="2">
        <f>IFERROR(__xludf.DUMMYFUNCTION("""COMPUTED_VALUE"""),26.0)</f>
        <v>26</v>
      </c>
      <c r="J586" s="2">
        <f>IFERROR(__xludf.DUMMYFUNCTION("""COMPUTED_VALUE"""),13.0)</f>
        <v>13</v>
      </c>
      <c r="K586" s="2">
        <f>IFERROR(__xludf.DUMMYFUNCTION("""COMPUTED_VALUE"""),40.0)</f>
        <v>40</v>
      </c>
      <c r="L586" s="2" t="str">
        <f>IFERROR(__xludf.DUMMYFUNCTION("""COMPUTED_VALUE"""),"ASD электромонтажные изделия")</f>
        <v>ASD электромонтажные изделия</v>
      </c>
      <c r="M586" s="2" t="str">
        <f>IFERROR(__xludf.DUMMYFUNCTION("""COMPUTED_VALUE"""),"Прочие товары")</f>
        <v>Прочие товары</v>
      </c>
    </row>
    <row r="587">
      <c r="A587" s="5" t="str">
        <f>IFERROR(__xludf.DUMMYFUNCTION("""COMPUTED_VALUE"""),"4690612053066-2")</f>
        <v>4690612053066-2</v>
      </c>
      <c r="B587" s="5" t="str">
        <f>IFERROR(__xludf.DUMMYFUNCTION("""COMPUTED_VALUE"""),"ДВО-02 5065-ОПАЛ 50Вт 6500К 595х595х25 NEOX (2 шт в упак.)")</f>
        <v>ДВО-02 5065-ОПАЛ 50Вт 6500К 595х595х25 NEOX (2 шт в упак.)</v>
      </c>
      <c r="C587" s="2">
        <f>IFERROR(__xludf.DUMMYFUNCTION("""COMPUTED_VALUE"""),1.35)</f>
        <v>1.35</v>
      </c>
      <c r="D587" s="2">
        <f>IFERROR(__xludf.DUMMYFUNCTION("""COMPUTED_VALUE"""),0.0)</f>
        <v>0</v>
      </c>
      <c r="E587" s="2">
        <f>IFERROR(__xludf.DUMMYFUNCTION("""COMPUTED_VALUE"""),1417.23)</f>
        <v>1417.23</v>
      </c>
      <c r="F587" s="2">
        <f>IFERROR(__xludf.DUMMYFUNCTION("""COMPUTED_VALUE"""),1555.0)</f>
        <v>1555</v>
      </c>
      <c r="G587" s="2">
        <f>IFERROR(__xludf.DUMMYFUNCTION("""COMPUTED_VALUE"""),2041.0)</f>
        <v>2041</v>
      </c>
      <c r="H587" s="2">
        <f>IFERROR(__xludf.DUMMYFUNCTION("""COMPUTED_VALUE"""),2296.0)</f>
        <v>2296</v>
      </c>
      <c r="I587" s="2">
        <f>IFERROR(__xludf.DUMMYFUNCTION("""COMPUTED_VALUE"""),2551.0)</f>
        <v>2551</v>
      </c>
      <c r="J587" s="2">
        <f>IFERROR(__xludf.DUMMYFUNCTION("""COMPUTED_VALUE"""),1276.0)</f>
        <v>1276</v>
      </c>
      <c r="K587" s="2">
        <f>IFERROR(__xludf.DUMMYFUNCTION("""COMPUTED_VALUE"""),2.0)</f>
        <v>2</v>
      </c>
      <c r="L587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587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588">
      <c r="A588" s="5" t="str">
        <f>IFERROR(__xludf.DUMMYFUNCTION("""COMPUTED_VALUE"""),"4680005959815-5")</f>
        <v>4680005959815-5</v>
      </c>
      <c r="B588" s="5" t="str">
        <f>IFERROR(__xludf.DUMMYFUNCTION("""COMPUTED_VALUE"""),"(5 штук) Розетка ТВ BOLLETO белая накл Комплект 5 штук")</f>
        <v>(5 штук) Розетка ТВ BOLLETO белая накл Комплект 5 штук</v>
      </c>
      <c r="C588" s="2">
        <f>IFERROR(__xludf.DUMMYFUNCTION("""COMPUTED_VALUE"""),0.05)</f>
        <v>0.05</v>
      </c>
      <c r="D588" s="2">
        <f>IFERROR(__xludf.DUMMYFUNCTION("""COMPUTED_VALUE"""),3.0E-4)</f>
        <v>0.0003</v>
      </c>
      <c r="E588" s="2">
        <f>IFERROR(__xludf.DUMMYFUNCTION("""COMPUTED_VALUE"""),188.85)</f>
        <v>188.85</v>
      </c>
      <c r="F588" s="2">
        <f>IFERROR(__xludf.DUMMYFUNCTION("""COMPUTED_VALUE"""),207.0)</f>
        <v>207</v>
      </c>
      <c r="G588" s="2">
        <f>IFERROR(__xludf.DUMMYFUNCTION("""COMPUTED_VALUE"""),272.0)</f>
        <v>272</v>
      </c>
      <c r="H588" s="2">
        <f>IFERROR(__xludf.DUMMYFUNCTION("""COMPUTED_VALUE"""),306.0)</f>
        <v>306</v>
      </c>
      <c r="I588" s="2">
        <f>IFERROR(__xludf.DUMMYFUNCTION("""COMPUTED_VALUE"""),340.0)</f>
        <v>340</v>
      </c>
      <c r="J588" s="2">
        <f>IFERROR(__xludf.DUMMYFUNCTION("""COMPUTED_VALUE"""),170.0)</f>
        <v>170</v>
      </c>
      <c r="K588" s="2">
        <f>IFERROR(__xludf.DUMMYFUNCTION("""COMPUTED_VALUE"""),1.0)</f>
        <v>1</v>
      </c>
      <c r="L588" s="2" t="str">
        <f>IFERROR(__xludf.DUMMYFUNCTION("""COMPUTED_VALUE"""),"Розетки, вилки производство, упаковка")</f>
        <v>Розетки, вилки производство, упаковка</v>
      </c>
      <c r="M588" s="2" t="str">
        <f>IFERROR(__xludf.DUMMYFUNCTION("""COMPUTED_VALUE"""),"Прочие товары")</f>
        <v>Прочие товары</v>
      </c>
    </row>
    <row r="589">
      <c r="A589" s="5" t="str">
        <f>IFERROR(__xludf.DUMMYFUNCTION("""COMPUTED_VALUE"""),"GL8130")</f>
        <v>GL8130</v>
      </c>
      <c r="B589" s="5" t="str">
        <f>IFERROR(__xludf.DUMMYFUNCTION("""COMPUTED_VALUE"""),"GLERIO Office Casual 48 Вт 4000К 81P-48D-4V-M")</f>
        <v>GLERIO Office Casual 48 Вт 4000К 81P-48D-4V-M</v>
      </c>
      <c r="C589" s="2">
        <f>IFERROR(__xludf.DUMMYFUNCTION("""COMPUTED_VALUE"""),1.14)</f>
        <v>1.14</v>
      </c>
      <c r="D589" s="2">
        <f>IFERROR(__xludf.DUMMYFUNCTION("""COMPUTED_VALUE"""),0.008190000000000001)</f>
        <v>0.00819</v>
      </c>
      <c r="E589" s="2">
        <f>IFERROR(__xludf.DUMMYFUNCTION("""COMPUTED_VALUE"""),2308.23)</f>
        <v>2308.23</v>
      </c>
      <c r="F589" s="2">
        <f>IFERROR(__xludf.DUMMYFUNCTION("""COMPUTED_VALUE"""),2660.0)</f>
        <v>2660</v>
      </c>
      <c r="G589" s="2">
        <f>IFERROR(__xludf.DUMMYFUNCTION("""COMPUTED_VALUE"""),3349.0)</f>
        <v>3349</v>
      </c>
      <c r="H589" s="2">
        <f>IFERROR(__xludf.DUMMYFUNCTION("""COMPUTED_VALUE"""),3761.0)</f>
        <v>3761</v>
      </c>
      <c r="I589" s="2">
        <f>IFERROR(__xludf.DUMMYFUNCTION("""COMPUTED_VALUE"""),4173.0)</f>
        <v>4173</v>
      </c>
      <c r="J589" s="2">
        <f>IFERROR(__xludf.DUMMYFUNCTION("""COMPUTED_VALUE"""),4173.0)</f>
        <v>4173</v>
      </c>
      <c r="K589" s="2">
        <f>IFERROR(__xludf.DUMMYFUNCTION("""COMPUTED_VALUE"""),26.0)</f>
        <v>26</v>
      </c>
      <c r="L589" s="2" t="str">
        <f>IFERROR(__xludf.DUMMYFUNCTION("""COMPUTED_VALUE"""),"Office Casual (Офис) до 10.2025")</f>
        <v>Office Casual (Офис) до 10.2025</v>
      </c>
      <c r="M589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590">
      <c r="A590" s="5" t="str">
        <f>IFERROR(__xludf.DUMMYFUNCTION("""COMPUTED_VALUE"""),"4690612057293-1")</f>
        <v>4690612057293-1</v>
      </c>
      <c r="B590" s="5" t="str">
        <f>IFERROR(__xludf.DUMMYFUNCTION("""COMPUTED_VALUE"""),"ДВО-PRO 5040-ОПАЛ 50Вт 4000К 120лм/Вт CRI80 IP40 595х595х30мм NEOX (в индивид. уп)")</f>
        <v>ДВО-PRO 5040-ОПАЛ 50Вт 4000К 120лм/Вт CRI80 IP40 595х595х30мм NEOX (в индивид. уп)</v>
      </c>
      <c r="C590" s="2">
        <f>IFERROR(__xludf.DUMMYFUNCTION("""COMPUTED_VALUE"""),0.0)</f>
        <v>0</v>
      </c>
      <c r="D590" s="2">
        <f>IFERROR(__xludf.DUMMYFUNCTION("""COMPUTED_VALUE"""),0.0)</f>
        <v>0</v>
      </c>
      <c r="E590" s="2">
        <f>IFERROR(__xludf.DUMMYFUNCTION("""COMPUTED_VALUE"""),853.4)</f>
        <v>853.4</v>
      </c>
      <c r="F590" s="2">
        <f>IFERROR(__xludf.DUMMYFUNCTION("""COMPUTED_VALUE"""),936.0)</f>
        <v>936</v>
      </c>
      <c r="G590" s="2">
        <f>IFERROR(__xludf.DUMMYFUNCTION("""COMPUTED_VALUE"""),1229.0)</f>
        <v>1229</v>
      </c>
      <c r="H590" s="2">
        <f>IFERROR(__xludf.DUMMYFUNCTION("""COMPUTED_VALUE"""),1382.0)</f>
        <v>1382</v>
      </c>
      <c r="I590" s="2">
        <f>IFERROR(__xludf.DUMMYFUNCTION("""COMPUTED_VALUE"""),1536.0)</f>
        <v>1536</v>
      </c>
      <c r="J590" s="2">
        <f>IFERROR(__xludf.DUMMYFUNCTION("""COMPUTED_VALUE"""),768.0)</f>
        <v>768</v>
      </c>
      <c r="K590" s="2">
        <f>IFERROR(__xludf.DUMMYFUNCTION("""COMPUTED_VALUE"""),22.0)</f>
        <v>22</v>
      </c>
      <c r="L590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590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591">
      <c r="A591" s="5" t="str">
        <f>IFERROR(__xludf.DUMMYFUNCTION("""COMPUTED_VALUE"""),"GL8152")</f>
        <v>GL8152</v>
      </c>
      <c r="B591" s="5" t="str">
        <f>IFERROR(__xludf.DUMMYFUNCTION("""COMPUTED_VALUE"""),"GLERIO Office Special 48 Вт 4000К 82P-48D-4V-MP")</f>
        <v>GLERIO Office Special 48 Вт 4000К 82P-48D-4V-MP</v>
      </c>
      <c r="C591" s="2">
        <f>IFERROR(__xludf.DUMMYFUNCTION("""COMPUTED_VALUE"""),1.14)</f>
        <v>1.14</v>
      </c>
      <c r="D591" s="2">
        <f>IFERROR(__xludf.DUMMYFUNCTION("""COMPUTED_VALUE"""),0.008190000000000001)</f>
        <v>0.00819</v>
      </c>
      <c r="E591" s="2">
        <f>IFERROR(__xludf.DUMMYFUNCTION("""COMPUTED_VALUE"""),2325.27)</f>
        <v>2325.27</v>
      </c>
      <c r="F591" s="2">
        <f>IFERROR(__xludf.DUMMYFUNCTION("""COMPUTED_VALUE"""),2660.0)</f>
        <v>2660</v>
      </c>
      <c r="G591" s="2">
        <f>IFERROR(__xludf.DUMMYFUNCTION("""COMPUTED_VALUE"""),3349.0)</f>
        <v>3349</v>
      </c>
      <c r="H591" s="2">
        <f>IFERROR(__xludf.DUMMYFUNCTION("""COMPUTED_VALUE"""),3761.0)</f>
        <v>3761</v>
      </c>
      <c r="I591" s="2">
        <f>IFERROR(__xludf.DUMMYFUNCTION("""COMPUTED_VALUE"""),4173.0)</f>
        <v>4173</v>
      </c>
      <c r="J591" s="2">
        <f>IFERROR(__xludf.DUMMYFUNCTION("""COMPUTED_VALUE"""),2087.0)</f>
        <v>2087</v>
      </c>
      <c r="K591" s="2">
        <f>IFERROR(__xludf.DUMMYFUNCTION("""COMPUTED_VALUE"""),6.0)</f>
        <v>6</v>
      </c>
      <c r="L591" s="2" t="str">
        <f>IFERROR(__xludf.DUMMYFUNCTION("""COMPUTED_VALUE"""),"Office Special (Офис Премиум) до 10.2025")</f>
        <v>Office Special (Офис Премиум) до 10.2025</v>
      </c>
      <c r="M591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592">
      <c r="A592" s="5" t="str">
        <f>IFERROR(__xludf.DUMMYFUNCTION("""COMPUTED_VALUE"""),"4690612024080")</f>
        <v>4690612024080</v>
      </c>
      <c r="B592" s="5" t="str">
        <f>IFERROR(__xludf.DUMMYFUNCTION("""COMPUTED_VALUE"""),"LED-A65-VC 25Вт 230В Е27 4000К 2380Лм IN HOME")</f>
        <v>LED-A65-VC 25Вт 230В Е27 4000К 2380Лм IN HOME</v>
      </c>
      <c r="C592" s="2">
        <f>IFERROR(__xludf.DUMMYFUNCTION("""COMPUTED_VALUE"""),0.08)</f>
        <v>0.08</v>
      </c>
      <c r="D592" s="2">
        <f>IFERROR(__xludf.DUMMYFUNCTION("""COMPUTED_VALUE"""),6.000000000000001E-4)</f>
        <v>0.0006</v>
      </c>
      <c r="E592" s="2">
        <f>IFERROR(__xludf.DUMMYFUNCTION("""COMPUTED_VALUE"""),69.60000000000001)</f>
        <v>69.6</v>
      </c>
      <c r="F592" s="2">
        <f>IFERROR(__xludf.DUMMYFUNCTION("""COMPUTED_VALUE"""),71.0)</f>
        <v>71</v>
      </c>
      <c r="G592" s="2">
        <f>IFERROR(__xludf.DUMMYFUNCTION("""COMPUTED_VALUE"""),80.0)</f>
        <v>80</v>
      </c>
      <c r="H592" s="2">
        <f>IFERROR(__xludf.DUMMYFUNCTION("""COMPUTED_VALUE"""),92.0)</f>
        <v>92</v>
      </c>
      <c r="I592" s="2">
        <f>IFERROR(__xludf.DUMMYFUNCTION("""COMPUTED_VALUE"""),106.5)</f>
        <v>106.5</v>
      </c>
      <c r="J592" s="2">
        <f>IFERROR(__xludf.DUMMYFUNCTION("""COMPUTED_VALUE"""),53.0)</f>
        <v>53</v>
      </c>
      <c r="K592" s="2">
        <f>IFERROR(__xludf.DUMMYFUNCTION("""COMPUTED_VALUE"""),9.0)</f>
        <v>9</v>
      </c>
      <c r="L592" s="2" t="str">
        <f>IFERROR(__xludf.DUMMYFUNCTION("""COMPUTED_VALUE"""),"Лампа светодиодная LED-A60-standard")</f>
        <v>Лампа светодиодная LED-A60-standard</v>
      </c>
      <c r="M592" s="2" t="str">
        <f>IFERROR(__xludf.DUMMYFUNCTION("""COMPUTED_VALUE"""),"Лампы")</f>
        <v>Лампы</v>
      </c>
    </row>
    <row r="593">
      <c r="A593" s="5" t="str">
        <f>IFERROR(__xludf.DUMMYFUNCTION("""COMPUTED_VALUE"""),"4690612000398-5")</f>
        <v>4690612000398-5</v>
      </c>
      <c r="B593" s="5" t="str">
        <f>IFERROR(__xludf.DUMMYFUNCTION("""COMPUTED_VALUE"""),"Розетка ТЛФ BOLLETO белая накл 7034 (5 штук)")</f>
        <v>Розетка ТЛФ BOLLETO белая накл 7034 (5 штук)</v>
      </c>
      <c r="C593" s="2">
        <f>IFERROR(__xludf.DUMMYFUNCTION("""COMPUTED_VALUE"""),0.04)</f>
        <v>0.04</v>
      </c>
      <c r="D593" s="2">
        <f>IFERROR(__xludf.DUMMYFUNCTION("""COMPUTED_VALUE"""),3.0E-4)</f>
        <v>0.0003</v>
      </c>
      <c r="E593" s="2">
        <f>IFERROR(__xludf.DUMMYFUNCTION("""COMPUTED_VALUE"""),198.6)</f>
        <v>198.6</v>
      </c>
      <c r="F593" s="2">
        <f>IFERROR(__xludf.DUMMYFUNCTION("""COMPUTED_VALUE"""),37.0)</f>
        <v>37</v>
      </c>
      <c r="G593" s="2">
        <f>IFERROR(__xludf.DUMMYFUNCTION("""COMPUTED_VALUE"""),42.0)</f>
        <v>42</v>
      </c>
      <c r="H593" s="2">
        <f>IFERROR(__xludf.DUMMYFUNCTION("""COMPUTED_VALUE"""),49.0)</f>
        <v>49</v>
      </c>
      <c r="I593" s="2">
        <f>IFERROR(__xludf.DUMMYFUNCTION("""COMPUTED_VALUE"""),56.0)</f>
        <v>56</v>
      </c>
      <c r="J593" s="2">
        <f>IFERROR(__xludf.DUMMYFUNCTION("""COMPUTED_VALUE"""),28.0)</f>
        <v>28</v>
      </c>
      <c r="K593" s="2">
        <f>IFERROR(__xludf.DUMMYFUNCTION("""COMPUTED_VALUE"""),3.0)</f>
        <v>3</v>
      </c>
      <c r="L593" s="2" t="str">
        <f>IFERROR(__xludf.DUMMYFUNCTION("""COMPUTED_VALUE"""),"ASD электромонтажные изделия")</f>
        <v>ASD электромонтажные изделия</v>
      </c>
      <c r="M593" s="2" t="str">
        <f>IFERROR(__xludf.DUMMYFUNCTION("""COMPUTED_VALUE"""),"Прочие товары")</f>
        <v>Прочие товары</v>
      </c>
    </row>
    <row r="594">
      <c r="A594" s="5" t="str">
        <f>IFERROR(__xludf.DUMMYFUNCTION("""COMPUTED_VALUE"""),"4260652193345")</f>
        <v>4260652193345</v>
      </c>
      <c r="B594" s="5" t="str">
        <f>IFERROR(__xludf.DUMMYFUNCTION("""COMPUTED_VALUE"""),"LCL04-12W-R21-4K-SM")</f>
        <v>LCL04-12W-R21-4K-SM</v>
      </c>
      <c r="C594" s="2">
        <f>IFERROR(__xludf.DUMMYFUNCTION("""COMPUTED_VALUE"""),0.11)</f>
        <v>0.11</v>
      </c>
      <c r="D594" s="2">
        <f>IFERROR(__xludf.DUMMYFUNCTION("""COMPUTED_VALUE"""),0.03696)</f>
        <v>0.03696</v>
      </c>
      <c r="E594" s="2">
        <f>IFERROR(__xludf.DUMMYFUNCTION("""COMPUTED_VALUE"""),279.7)</f>
        <v>279.7</v>
      </c>
      <c r="F594" s="2">
        <f>IFERROR(__xludf.DUMMYFUNCTION("""COMPUTED_VALUE"""),465.0)</f>
        <v>465</v>
      </c>
      <c r="G594" s="2">
        <f>IFERROR(__xludf.DUMMYFUNCTION("""COMPUTED_VALUE"""),481.0)</f>
        <v>481</v>
      </c>
      <c r="H594" s="2">
        <f>IFERROR(__xludf.DUMMYFUNCTION("""COMPUTED_VALUE"""),630.0)</f>
        <v>630</v>
      </c>
      <c r="I594" s="2">
        <f>IFERROR(__xludf.DUMMYFUNCTION("""COMPUTED_VALUE"""),788.0)</f>
        <v>788</v>
      </c>
      <c r="J594" s="2">
        <f>IFERROR(__xludf.DUMMYFUNCTION("""COMPUTED_VALUE"""),788.0)</f>
        <v>788</v>
      </c>
      <c r="K594" s="2">
        <f>IFERROR(__xludf.DUMMYFUNCTION("""COMPUTED_VALUE"""),7.0)</f>
        <v>7</v>
      </c>
      <c r="L594" s="2" t="str">
        <f>IFERROR(__xludf.DUMMYFUNCTION("""COMPUTED_VALUE"""),"Wolta ЖКХ")</f>
        <v>Wolta ЖКХ</v>
      </c>
      <c r="M594" s="2" t="str">
        <f>IFERROR(__xludf.DUMMYFUNCTION("""COMPUTED_VALUE"""),"Для ЖКХ, дома, дачи, LED Светильники")</f>
        <v>Для ЖКХ, дома, дачи, LED Светильники</v>
      </c>
    </row>
    <row r="595">
      <c r="A595" s="5" t="str">
        <f>IFERROR(__xludf.DUMMYFUNCTION("""COMPUTED_VALUE"""),"GL8262")</f>
        <v>GL8262</v>
      </c>
      <c r="B595" s="5" t="str">
        <f>IFERROR(__xludf.DUMMYFUNCTION("""COMPUTED_VALUE"""),"GLERIO Line Free 24 Вт 4000К 93P-24D-4P-MP")</f>
        <v>GLERIO Line Free 24 Вт 4000К 93P-24D-4P-MP</v>
      </c>
      <c r="C595" s="2">
        <f>IFERROR(__xludf.DUMMYFUNCTION("""COMPUTED_VALUE"""),0.5)</f>
        <v>0.5</v>
      </c>
      <c r="D595" s="2">
        <f>IFERROR(__xludf.DUMMYFUNCTION("""COMPUTED_VALUE"""),0.00396)</f>
        <v>0.00396</v>
      </c>
      <c r="E595" s="2">
        <f>IFERROR(__xludf.DUMMYFUNCTION("""COMPUTED_VALUE"""),1291.56)</f>
        <v>1291.56</v>
      </c>
      <c r="F595" s="2">
        <f>IFERROR(__xludf.DUMMYFUNCTION("""COMPUTED_VALUE"""),1520.0)</f>
        <v>1520</v>
      </c>
      <c r="G595" s="2">
        <f>IFERROR(__xludf.DUMMYFUNCTION("""COMPUTED_VALUE"""),1914.0)</f>
        <v>1914</v>
      </c>
      <c r="H595" s="2">
        <f>IFERROR(__xludf.DUMMYFUNCTION("""COMPUTED_VALUE"""),2149.0)</f>
        <v>2149</v>
      </c>
      <c r="I595" s="2">
        <f>IFERROR(__xludf.DUMMYFUNCTION("""COMPUTED_VALUE"""),2385.0)</f>
        <v>2385</v>
      </c>
      <c r="J595" s="2">
        <f>IFERROR(__xludf.DUMMYFUNCTION("""COMPUTED_VALUE"""),2385.0)</f>
        <v>2385</v>
      </c>
      <c r="K595" s="2">
        <f>IFERROR(__xludf.DUMMYFUNCTION("""COMPUTED_VALUE"""),-8.0)</f>
        <v>-8</v>
      </c>
      <c r="L595" s="2" t="str">
        <f>IFERROR(__xludf.DUMMYFUNCTION("""COMPUTED_VALUE"""),"Line Shell, Free (Retail) до 10.2025")</f>
        <v>Line Shell, Free (Retail) до 10.2025</v>
      </c>
      <c r="M595" s="2" t="str">
        <f>IFERROR(__xludf.DUMMYFUNCTION("""COMPUTED_VALUE"""),"Пластиковые (линейные), LED Светильники")</f>
        <v>Пластиковые (линейные), LED Светильники</v>
      </c>
    </row>
    <row r="596">
      <c r="A596" s="5" t="str">
        <f>IFERROR(__xludf.DUMMYFUNCTION("""COMPUTED_VALUE"""),"4690612029863")</f>
        <v>4690612029863</v>
      </c>
      <c r="B596" s="5" t="str">
        <f>IFERROR(__xludf.DUMMYFUNCTION("""COMPUTED_VALUE"""),"LPU-01 40Вт ОПАЛ 230В 4000K 3600Лм 180x1195x30мм IP40 IN HOME")</f>
        <v>LPU-01 40Вт ОПАЛ 230В 4000K 3600Лм 180x1195x30мм IP40 IN HOME</v>
      </c>
      <c r="C596" s="2">
        <f>IFERROR(__xludf.DUMMYFUNCTION("""COMPUTED_VALUE"""),1.2)</f>
        <v>1.2</v>
      </c>
      <c r="D596" s="2">
        <f>IFERROR(__xludf.DUMMYFUNCTION("""COMPUTED_VALUE"""),0.008)</f>
        <v>0.008</v>
      </c>
      <c r="E596" s="2">
        <f>IFERROR(__xludf.DUMMYFUNCTION("""COMPUTED_VALUE"""),618.19)</f>
        <v>618.19</v>
      </c>
      <c r="F596" s="2">
        <f>IFERROR(__xludf.DUMMYFUNCTION("""COMPUTED_VALUE"""),617.0)</f>
        <v>617</v>
      </c>
      <c r="G596" s="2">
        <f>IFERROR(__xludf.DUMMYFUNCTION("""COMPUTED_VALUE"""),694.0)</f>
        <v>694</v>
      </c>
      <c r="H596" s="2">
        <f>IFERROR(__xludf.DUMMYFUNCTION("""COMPUTED_VALUE"""),805.0)</f>
        <v>805</v>
      </c>
      <c r="I596" s="2">
        <f>IFERROR(__xludf.DUMMYFUNCTION("""COMPUTED_VALUE"""),925.0)</f>
        <v>925</v>
      </c>
      <c r="J596" s="2">
        <f>IFERROR(__xludf.DUMMYFUNCTION("""COMPUTED_VALUE"""),694.0)</f>
        <v>694</v>
      </c>
      <c r="K596" s="2">
        <f>IFERROR(__xludf.DUMMYFUNCTION("""COMPUTED_VALUE"""),5.0)</f>
        <v>5</v>
      </c>
      <c r="L596" s="2" t="str">
        <f>IFERROR(__xludf.DUMMYFUNCTION("""COMPUTED_VALUE"""),"Панели светодиодные LP серии ОПАЛ")</f>
        <v>Панели светодиодные LP серии ОПАЛ</v>
      </c>
      <c r="M596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597">
      <c r="A597" s="5" t="str">
        <f>IFERROR(__xludf.DUMMYFUNCTION("""COMPUTED_VALUE"""),"4690612040165")</f>
        <v>4690612040165</v>
      </c>
      <c r="B597" s="5" t="str">
        <f>IFERROR(__xludf.DUMMYFUNCTION("""COMPUTED_VALUE"""),"TR-07-TL 25Вт 6500К 2500Лм IP40 24 градуса черный серии TOP-LINE IN HOME")</f>
        <v>TR-07-TL 25Вт 6500К 2500Лм IP40 24 градуса черный серии TOP-LINE IN HOME</v>
      </c>
      <c r="C597" s="2">
        <f>IFERROR(__xludf.DUMMYFUNCTION("""COMPUTED_VALUE"""),0.315)</f>
        <v>0.315</v>
      </c>
      <c r="D597" s="2">
        <f>IFERROR(__xludf.DUMMYFUNCTION("""COMPUTED_VALUE"""),0.001)</f>
        <v>0.001</v>
      </c>
      <c r="E597" s="2">
        <f>IFERROR(__xludf.DUMMYFUNCTION("""COMPUTED_VALUE"""),526.65)</f>
        <v>526.65</v>
      </c>
      <c r="F597" s="2">
        <f>IFERROR(__xludf.DUMMYFUNCTION("""COMPUTED_VALUE"""),595.0)</f>
        <v>595</v>
      </c>
      <c r="G597" s="2">
        <f>IFERROR(__xludf.DUMMYFUNCTION("""COMPUTED_VALUE"""),670.0)</f>
        <v>670</v>
      </c>
      <c r="H597" s="2">
        <f>IFERROR(__xludf.DUMMYFUNCTION("""COMPUTED_VALUE"""),777.0)</f>
        <v>777</v>
      </c>
      <c r="I597" s="2">
        <f>IFERROR(__xludf.DUMMYFUNCTION("""COMPUTED_VALUE"""),893.0)</f>
        <v>893</v>
      </c>
      <c r="J597" s="2">
        <f>IFERROR(__xludf.DUMMYFUNCTION("""COMPUTED_VALUE"""),447.0)</f>
        <v>447</v>
      </c>
      <c r="K597" s="2">
        <f>IFERROR(__xludf.DUMMYFUNCTION("""COMPUTED_VALUE"""),8.0)</f>
        <v>8</v>
      </c>
      <c r="L597" s="2" t="str">
        <f>IFERROR(__xludf.DUMMYFUNCTION("""COMPUTED_VALUE"""),"Светильники светодиодные трековые TR-01, 02, 03, 04, 05, 06, 07, 08")</f>
        <v>Светильники светодиодные трековые TR-01, 02, 03, 04, 05, 06, 07, 08</v>
      </c>
      <c r="M597" s="2" t="str">
        <f>IFERROR(__xludf.DUMMYFUNCTION("""COMPUTED_VALUE"""),"Трековые, LED Светильники")</f>
        <v>Трековые, LED Светильники</v>
      </c>
    </row>
    <row r="598">
      <c r="A598" s="5" t="str">
        <f>IFERROR(__xludf.DUMMYFUNCTION("""COMPUTED_VALUE"""),"4262356474683")</f>
        <v>4262356474683</v>
      </c>
      <c r="B598" s="5" t="str">
        <f>IFERROR(__xludf.DUMMYFUNCTION("""COMPUTED_VALUE"""),"WFL-20W/07")</f>
        <v>WFL-20W/07</v>
      </c>
      <c r="C598" s="2">
        <f>IFERROR(__xludf.DUMMYFUNCTION("""COMPUTED_VALUE"""),0.225)</f>
        <v>0.225</v>
      </c>
      <c r="D598" s="2">
        <f>IFERROR(__xludf.DUMMYFUNCTION("""COMPUTED_VALUE"""),0.013)</f>
        <v>0.013</v>
      </c>
      <c r="E598" s="2">
        <f>IFERROR(__xludf.DUMMYFUNCTION("""COMPUTED_VALUE"""),276.94)</f>
        <v>276.94</v>
      </c>
      <c r="F598" s="2">
        <f>IFERROR(__xludf.DUMMYFUNCTION("""COMPUTED_VALUE"""),186.0)</f>
        <v>186</v>
      </c>
      <c r="G598" s="2">
        <f>IFERROR(__xludf.DUMMYFUNCTION("""COMPUTED_VALUE"""),192.0)</f>
        <v>192</v>
      </c>
      <c r="H598" s="2">
        <f>IFERROR(__xludf.DUMMYFUNCTION("""COMPUTED_VALUE"""),252.0)</f>
        <v>252</v>
      </c>
      <c r="I598" s="2">
        <f>IFERROR(__xludf.DUMMYFUNCTION("""COMPUTED_VALUE"""),315.0)</f>
        <v>315</v>
      </c>
      <c r="J598" s="2">
        <f>IFERROR(__xludf.DUMMYFUNCTION("""COMPUTED_VALUE"""),158.0)</f>
        <v>158</v>
      </c>
      <c r="K598" s="2">
        <f>IFERROR(__xludf.DUMMYFUNCTION("""COMPUTED_VALUE"""),45.0)</f>
        <v>45</v>
      </c>
      <c r="L598" s="2" t="str">
        <f>IFERROR(__xludf.DUMMYFUNCTION("""COMPUTED_VALUE"""),"Wolta прожекторы")</f>
        <v>Wolta прожекторы</v>
      </c>
      <c r="M598" s="2" t="str">
        <f>IFERROR(__xludf.DUMMYFUNCTION("""COMPUTED_VALUE"""),"Прожекторы (LED), LED Светильники")</f>
        <v>Прожекторы (LED), LED Светильники</v>
      </c>
    </row>
    <row r="599">
      <c r="A599" s="5" t="str">
        <f>IFERROR(__xludf.DUMMYFUNCTION("""COMPUTED_VALUE"""),"GL8432")</f>
        <v>GL8432</v>
      </c>
      <c r="B599" s="5" t="str">
        <f>IFERROR(__xludf.DUMMYFUNCTION("""COMPUTED_VALUE"""),"GLERIO Indoor 8 Вт 4000К 10P-8D-4N-MP-PS")</f>
        <v>GLERIO Indoor 8 Вт 4000К 10P-8D-4N-MP-PS</v>
      </c>
      <c r="C599" s="2">
        <f>IFERROR(__xludf.DUMMYFUNCTION("""COMPUTED_VALUE"""),0.15)</f>
        <v>0.15</v>
      </c>
      <c r="D599" s="2">
        <f>IFERROR(__xludf.DUMMYFUNCTION("""COMPUTED_VALUE"""),6.600000000000001E-4)</f>
        <v>0.00066</v>
      </c>
      <c r="E599" s="2">
        <f>IFERROR(__xludf.DUMMYFUNCTION("""COMPUTED_VALUE"""),382.44)</f>
        <v>382.44</v>
      </c>
      <c r="F599" s="2">
        <f>IFERROR(__xludf.DUMMYFUNCTION("""COMPUTED_VALUE"""),540.0)</f>
        <v>540</v>
      </c>
      <c r="G599" s="2">
        <f>IFERROR(__xludf.DUMMYFUNCTION("""COMPUTED_VALUE"""),680.0)</f>
        <v>680</v>
      </c>
      <c r="H599" s="2">
        <f>IFERROR(__xludf.DUMMYFUNCTION("""COMPUTED_VALUE"""),764.0)</f>
        <v>764</v>
      </c>
      <c r="I599" s="2">
        <f>IFERROR(__xludf.DUMMYFUNCTION("""COMPUTED_VALUE"""),847.0)</f>
        <v>847</v>
      </c>
      <c r="J599" s="2">
        <f>IFERROR(__xludf.DUMMYFUNCTION("""COMPUTED_VALUE"""),424.0)</f>
        <v>424</v>
      </c>
      <c r="K599" s="2">
        <f>IFERROR(__xludf.DUMMYFUNCTION("""COMPUTED_VALUE"""),35.0)</f>
        <v>35</v>
      </c>
      <c r="L599" s="2" t="str">
        <f>IFERROR(__xludf.DUMMYFUNCTION("""COMPUTED_VALUE"""),"Indoor GLERIO (ЖКХ) до 10.2025")</f>
        <v>Indoor GLERIO (ЖКХ) до 10.2025</v>
      </c>
      <c r="M599" s="2" t="str">
        <f>IFERROR(__xludf.DUMMYFUNCTION("""COMPUTED_VALUE"""),"Без датчиков, LED Светильники")</f>
        <v>Без датчиков, LED Светильники</v>
      </c>
    </row>
    <row r="600">
      <c r="A600" s="5" t="str">
        <f>IFERROR(__xludf.DUMMYFUNCTION("""COMPUTED_VALUE"""),"51-0527-2")</f>
        <v>51-0527-2</v>
      </c>
      <c r="B600" s="5" t="str">
        <f>IFERROR(__xludf.DUMMYFUNCTION("""COMPUTED_VALUE"""),"Тёплый пол (нагревательный мат) REXANT Classic RNX-15,0-2250 (площадь 15,0 м. кв. (0,5 х 30,0 м)), 2250 Вт, двухжильный с экраном")</f>
        <v>Тёплый пол (нагревательный мат) REXANT Classic RNX-15,0-2250 (площадь 15,0 м. кв. (0,5 х 30,0 м)), 2250 Вт, двухжильный с экраном</v>
      </c>
      <c r="C600" s="2">
        <f>IFERROR(__xludf.DUMMYFUNCTION("""COMPUTED_VALUE"""),0.0)</f>
        <v>0</v>
      </c>
      <c r="D600" s="2">
        <f>IFERROR(__xludf.DUMMYFUNCTION("""COMPUTED_VALUE"""),0.0)</f>
        <v>0</v>
      </c>
      <c r="E600" s="2">
        <f>IFERROR(__xludf.DUMMYFUNCTION("""COMPUTED_VALUE"""),1.0)</f>
        <v>1</v>
      </c>
      <c r="F600" s="2">
        <f>IFERROR(__xludf.DUMMYFUNCTION("""COMPUTED_VALUE"""),17658.0)</f>
        <v>17658</v>
      </c>
      <c r="G600" s="2">
        <f>IFERROR(__xludf.DUMMYFUNCTION("""COMPUTED_VALUE"""),18836.0)</f>
        <v>18836</v>
      </c>
      <c r="H600" s="2">
        <f>IFERROR(__xludf.DUMMYFUNCTION("""COMPUTED_VALUE"""),21190.0)</f>
        <v>21190</v>
      </c>
      <c r="I600" s="2">
        <f>IFERROR(__xludf.DUMMYFUNCTION("""COMPUTED_VALUE"""),23544.5)</f>
        <v>23544.5</v>
      </c>
      <c r="J600" s="2">
        <f>IFERROR(__xludf.DUMMYFUNCTION("""COMPUTED_VALUE"""),11772.0)</f>
        <v>11772</v>
      </c>
      <c r="K600" s="2">
        <f>IFERROR(__xludf.DUMMYFUNCTION("""COMPUTED_VALUE"""),1.0)</f>
        <v>1</v>
      </c>
      <c r="L600" s="2" t="str">
        <f>IFERROR(__xludf.DUMMYFUNCTION("""COMPUTED_VALUE"""),"Rexant")</f>
        <v>Rexant</v>
      </c>
      <c r="M600" s="2" t="str">
        <f>IFERROR(__xludf.DUMMYFUNCTION("""COMPUTED_VALUE"""),"Прочие товары")</f>
        <v>Прочие товары</v>
      </c>
    </row>
    <row r="601">
      <c r="A601" s="5" t="str">
        <f>IFERROR(__xludf.DUMMYFUNCTION("""COMPUTED_VALUE"""),"4690612019857")</f>
        <v>4690612019857</v>
      </c>
      <c r="B601" s="5" t="str">
        <f>IFERROR(__xludf.DUMMYFUNCTION("""COMPUTED_VALUE"""),"LED-JCD-VC 3Вт 230В G9 3000К 270Лм IN HOME")</f>
        <v>LED-JCD-VC 3Вт 230В G9 3000К 270Лм IN HOME</v>
      </c>
      <c r="C601" s="2">
        <f>IFERROR(__xludf.DUMMYFUNCTION("""COMPUTED_VALUE"""),0.015)</f>
        <v>0.015</v>
      </c>
      <c r="D601" s="2">
        <f>IFERROR(__xludf.DUMMYFUNCTION("""COMPUTED_VALUE"""),4.0E-5)</f>
        <v>0.00004</v>
      </c>
      <c r="E601" s="2">
        <f>IFERROR(__xludf.DUMMYFUNCTION("""COMPUTED_VALUE"""),38.03)</f>
        <v>38.03</v>
      </c>
      <c r="F601" s="2">
        <f>IFERROR(__xludf.DUMMYFUNCTION("""COMPUTED_VALUE"""),42.0)</f>
        <v>42</v>
      </c>
      <c r="G601" s="2">
        <f>IFERROR(__xludf.DUMMYFUNCTION("""COMPUTED_VALUE"""),47.0)</f>
        <v>47</v>
      </c>
      <c r="H601" s="2">
        <f>IFERROR(__xludf.DUMMYFUNCTION("""COMPUTED_VALUE"""),55.0)</f>
        <v>55</v>
      </c>
      <c r="I601" s="2">
        <f>IFERROR(__xludf.DUMMYFUNCTION("""COMPUTED_VALUE"""),63.5)</f>
        <v>63.5</v>
      </c>
      <c r="J601" s="2">
        <f>IFERROR(__xludf.DUMMYFUNCTION("""COMPUTED_VALUE"""),32.0)</f>
        <v>32</v>
      </c>
      <c r="K601" s="2">
        <f>IFERROR(__xludf.DUMMYFUNCTION("""COMPUTED_VALUE"""),13.0)</f>
        <v>13</v>
      </c>
      <c r="L601" s="2" t="str">
        <f>IFERROR(__xludf.DUMMYFUNCTION("""COMPUTED_VALUE"""),"Лампа светодиодная LED-JCD-standard")</f>
        <v>Лампа светодиодная LED-JCD-standard</v>
      </c>
      <c r="M601" s="2" t="str">
        <f>IFERROR(__xludf.DUMMYFUNCTION("""COMPUTED_VALUE"""),"Лампы")</f>
        <v>Лампы</v>
      </c>
    </row>
    <row r="602">
      <c r="A602" s="5" t="str">
        <f>IFERROR(__xludf.DUMMYFUNCTION("""COMPUTED_VALUE"""),"4690612020822")</f>
        <v>4690612020822</v>
      </c>
      <c r="B602" s="5" t="str">
        <f>IFERROR(__xludf.DUMMYFUNCTION("""COMPUTED_VALUE"""),"LED-GX53-VC 15Вт 230В 4000К 1430Лм IN HOME")</f>
        <v>LED-GX53-VC 15Вт 230В 4000К 1430Лм IN HOME</v>
      </c>
      <c r="C602" s="2">
        <f>IFERROR(__xludf.DUMMYFUNCTION("""COMPUTED_VALUE"""),0.051)</f>
        <v>0.051</v>
      </c>
      <c r="D602" s="2">
        <f>IFERROR(__xludf.DUMMYFUNCTION("""COMPUTED_VALUE"""),2.1E-4)</f>
        <v>0.00021</v>
      </c>
      <c r="E602" s="2">
        <f>IFERROR(__xludf.DUMMYFUNCTION("""COMPUTED_VALUE"""),53.4)</f>
        <v>53.4</v>
      </c>
      <c r="F602" s="2">
        <f>IFERROR(__xludf.DUMMYFUNCTION("""COMPUTED_VALUE"""),57.0)</f>
        <v>57</v>
      </c>
      <c r="G602" s="2">
        <f>IFERROR(__xludf.DUMMYFUNCTION("""COMPUTED_VALUE"""),64.0)</f>
        <v>64</v>
      </c>
      <c r="H602" s="2">
        <f>IFERROR(__xludf.DUMMYFUNCTION("""COMPUTED_VALUE"""),74.0)</f>
        <v>74</v>
      </c>
      <c r="I602" s="2">
        <f>IFERROR(__xludf.DUMMYFUNCTION("""COMPUTED_VALUE"""),85.55)</f>
        <v>85.55</v>
      </c>
      <c r="J602" s="2">
        <f>IFERROR(__xludf.DUMMYFUNCTION("""COMPUTED_VALUE"""),43.0)</f>
        <v>43</v>
      </c>
      <c r="K602" s="2">
        <f>IFERROR(__xludf.DUMMYFUNCTION("""COMPUTED_VALUE"""),5.0)</f>
        <v>5</v>
      </c>
      <c r="L602" s="2" t="str">
        <f>IFERROR(__xludf.DUMMYFUNCTION("""COMPUTED_VALUE"""),"Лампа светодиодная LED-GX53-standard")</f>
        <v>Лампа светодиодная LED-GX53-standard</v>
      </c>
      <c r="M602" s="2" t="str">
        <f>IFERROR(__xludf.DUMMYFUNCTION("""COMPUTED_VALUE"""),"Лампы")</f>
        <v>Лампы</v>
      </c>
    </row>
    <row r="603">
      <c r="A603" s="5" t="str">
        <f>IFERROR(__xludf.DUMMYFUNCTION("""COMPUTED_VALUE"""),"4690612020457")</f>
        <v>4690612020457</v>
      </c>
      <c r="B603" s="5" t="str">
        <f>IFERROR(__xludf.DUMMYFUNCTION("""COMPUTED_VALUE"""),"LED-СВЕЧА-VC 8Вт 230В Е27 4000К 760Лм IN HOME")</f>
        <v>LED-СВЕЧА-VC 8Вт 230В Е27 4000К 760Лм IN HOME</v>
      </c>
      <c r="C603" s="2">
        <f>IFERROR(__xludf.DUMMYFUNCTION("""COMPUTED_VALUE"""),0.028)</f>
        <v>0.028</v>
      </c>
      <c r="D603" s="2">
        <f>IFERROR(__xludf.DUMMYFUNCTION("""COMPUTED_VALUE"""),1.9E-4)</f>
        <v>0.00019</v>
      </c>
      <c r="E603" s="2">
        <f>IFERROR(__xludf.DUMMYFUNCTION("""COMPUTED_VALUE"""),39.0)</f>
        <v>39</v>
      </c>
      <c r="F603" s="2">
        <f>IFERROR(__xludf.DUMMYFUNCTION("""COMPUTED_VALUE"""),45.0)</f>
        <v>45</v>
      </c>
      <c r="G603" s="2">
        <f>IFERROR(__xludf.DUMMYFUNCTION("""COMPUTED_VALUE"""),50.0)</f>
        <v>50</v>
      </c>
      <c r="H603" s="2">
        <f>IFERROR(__xludf.DUMMYFUNCTION("""COMPUTED_VALUE"""),58.0)</f>
        <v>58</v>
      </c>
      <c r="I603" s="2">
        <f>IFERROR(__xludf.DUMMYFUNCTION("""COMPUTED_VALUE"""),67.6)</f>
        <v>67.6</v>
      </c>
      <c r="J603" s="2">
        <f>IFERROR(__xludf.DUMMYFUNCTION("""COMPUTED_VALUE"""),34.0)</f>
        <v>34</v>
      </c>
      <c r="K603" s="2">
        <f>IFERROR(__xludf.DUMMYFUNCTION("""COMPUTED_VALUE"""),12.0)</f>
        <v>12</v>
      </c>
      <c r="L603" s="2" t="str">
        <f>IFERROR(__xludf.DUMMYFUNCTION("""COMPUTED_VALUE"""),"Лампа светодиодная LED-СВЕЧА-standard")</f>
        <v>Лампа светодиодная LED-СВЕЧА-standard</v>
      </c>
      <c r="M603" s="2" t="str">
        <f>IFERROR(__xludf.DUMMYFUNCTION("""COMPUTED_VALUE"""),"Лампы")</f>
        <v>Лампы</v>
      </c>
    </row>
    <row r="604">
      <c r="A604" s="5" t="str">
        <f>IFERROR(__xludf.DUMMYFUNCTION("""COMPUTED_VALUE"""),"4690612020204")</f>
        <v>4690612020204</v>
      </c>
      <c r="B604" s="5" t="str">
        <f>IFERROR(__xludf.DUMMYFUNCTION("""COMPUTED_VALUE"""),"LED-A60-VC 10Вт 230В Е27 3000К 950Лм IN HOME")</f>
        <v>LED-A60-VC 10Вт 230В Е27 3000К 950Лм IN HOME</v>
      </c>
      <c r="C604" s="2">
        <f>IFERROR(__xludf.DUMMYFUNCTION("""COMPUTED_VALUE"""),0.04600000000000001)</f>
        <v>0.046</v>
      </c>
      <c r="D604" s="2">
        <f>IFERROR(__xludf.DUMMYFUNCTION("""COMPUTED_VALUE"""),4.0E-4)</f>
        <v>0.0004</v>
      </c>
      <c r="E604" s="2">
        <f>IFERROR(__xludf.DUMMYFUNCTION("""COMPUTED_VALUE"""),39.47)</f>
        <v>39.47</v>
      </c>
      <c r="F604" s="2">
        <f>IFERROR(__xludf.DUMMYFUNCTION("""COMPUTED_VALUE"""),41.0)</f>
        <v>41</v>
      </c>
      <c r="G604" s="2">
        <f>IFERROR(__xludf.DUMMYFUNCTION("""COMPUTED_VALUE"""),46.0)</f>
        <v>46</v>
      </c>
      <c r="H604" s="2">
        <f>IFERROR(__xludf.DUMMYFUNCTION("""COMPUTED_VALUE"""),53.0)</f>
        <v>53</v>
      </c>
      <c r="I604" s="2">
        <f>IFERROR(__xludf.DUMMYFUNCTION("""COMPUTED_VALUE"""),61.5)</f>
        <v>61.5</v>
      </c>
      <c r="J604" s="2">
        <f>IFERROR(__xludf.DUMMYFUNCTION("""COMPUTED_VALUE"""),31.0)</f>
        <v>31</v>
      </c>
      <c r="K604" s="2">
        <f>IFERROR(__xludf.DUMMYFUNCTION("""COMPUTED_VALUE"""),1.0)</f>
        <v>1</v>
      </c>
      <c r="L604" s="2" t="str">
        <f>IFERROR(__xludf.DUMMYFUNCTION("""COMPUTED_VALUE"""),"Лампа светодиодная LED-A60-standard")</f>
        <v>Лампа светодиодная LED-A60-standard</v>
      </c>
      <c r="M604" s="2" t="str">
        <f>IFERROR(__xludf.DUMMYFUNCTION("""COMPUTED_VALUE"""),"Лампы")</f>
        <v>Лампы</v>
      </c>
    </row>
    <row r="605">
      <c r="A605" s="5" t="str">
        <f>IFERROR(__xludf.DUMMYFUNCTION("""COMPUTED_VALUE"""),"4690612020808")</f>
        <v>4690612020808</v>
      </c>
      <c r="B605" s="5" t="str">
        <f>IFERROR(__xludf.DUMMYFUNCTION("""COMPUTED_VALUE"""),"LED-GX53-VC 12Вт 230В 6500К 1140Лм IN HOME")</f>
        <v>LED-GX53-VC 12Вт 230В 6500К 1140Лм IN HOME</v>
      </c>
      <c r="C605" s="2">
        <f>IFERROR(__xludf.DUMMYFUNCTION("""COMPUTED_VALUE"""),0.03800000000000001)</f>
        <v>0.038</v>
      </c>
      <c r="D605" s="2">
        <f>IFERROR(__xludf.DUMMYFUNCTION("""COMPUTED_VALUE"""),2.1E-4)</f>
        <v>0.00021</v>
      </c>
      <c r="E605" s="2">
        <f>IFERROR(__xludf.DUMMYFUNCTION("""COMPUTED_VALUE"""),45.0)</f>
        <v>45</v>
      </c>
      <c r="F605" s="2">
        <f>IFERROR(__xludf.DUMMYFUNCTION("""COMPUTED_VALUE"""),48.0)</f>
        <v>48</v>
      </c>
      <c r="G605" s="2">
        <f>IFERROR(__xludf.DUMMYFUNCTION("""COMPUTED_VALUE"""),54.0)</f>
        <v>54</v>
      </c>
      <c r="H605" s="2">
        <f>IFERROR(__xludf.DUMMYFUNCTION("""COMPUTED_VALUE"""),62.0)</f>
        <v>62</v>
      </c>
      <c r="I605" s="2">
        <f>IFERROR(__xludf.DUMMYFUNCTION("""COMPUTED_VALUE"""),71.9)</f>
        <v>71.9</v>
      </c>
      <c r="J605" s="2">
        <f>IFERROR(__xludf.DUMMYFUNCTION("""COMPUTED_VALUE"""),36.0)</f>
        <v>36</v>
      </c>
      <c r="K605" s="2">
        <f>IFERROR(__xludf.DUMMYFUNCTION("""COMPUTED_VALUE"""),40.0)</f>
        <v>40</v>
      </c>
      <c r="L605" s="2" t="str">
        <f>IFERROR(__xludf.DUMMYFUNCTION("""COMPUTED_VALUE"""),"Лампа светодиодная LED-GX53-standard")</f>
        <v>Лампа светодиодная LED-GX53-standard</v>
      </c>
      <c r="M605" s="2" t="str">
        <f>IFERROR(__xludf.DUMMYFUNCTION("""COMPUTED_VALUE"""),"Лампы")</f>
        <v>Лампы</v>
      </c>
    </row>
    <row r="606">
      <c r="A606" s="5" t="str">
        <f>IFERROR(__xludf.DUMMYFUNCTION("""COMPUTED_VALUE"""),"12-0126")</f>
        <v>12-0126</v>
      </c>
      <c r="B606" s="5" t="str">
        <f>IFERROR(__xludf.DUMMYFUNCTION("""COMPUTED_VALUE"""),"Паяльник с керамическим нагревателем долговечное жало 230 V/100 Вт REXANT")</f>
        <v>Паяльник с керамическим нагревателем долговечное жало 230 V/100 Вт REXANT</v>
      </c>
      <c r="C606" s="2">
        <f>IFERROR(__xludf.DUMMYFUNCTION("""COMPUTED_VALUE"""),0.0)</f>
        <v>0</v>
      </c>
      <c r="D606" s="2">
        <f>IFERROR(__xludf.DUMMYFUNCTION("""COMPUTED_VALUE"""),0.0)</f>
        <v>0</v>
      </c>
      <c r="E606" s="2">
        <f>IFERROR(__xludf.DUMMYFUNCTION("""COMPUTED_VALUE"""),1.0)</f>
        <v>1</v>
      </c>
      <c r="F606" s="2">
        <f>IFERROR(__xludf.DUMMYFUNCTION("""COMPUTED_VALUE"""),788.0)</f>
        <v>788</v>
      </c>
      <c r="G606" s="2">
        <f>IFERROR(__xludf.DUMMYFUNCTION("""COMPUTED_VALUE"""),841.0)</f>
        <v>841</v>
      </c>
      <c r="H606" s="2">
        <f>IFERROR(__xludf.DUMMYFUNCTION("""COMPUTED_VALUE"""),946.0)</f>
        <v>946</v>
      </c>
      <c r="I606" s="2">
        <f>IFERROR(__xludf.DUMMYFUNCTION("""COMPUTED_VALUE"""),1050.86)</f>
        <v>1050.86</v>
      </c>
      <c r="J606" s="2">
        <f>IFERROR(__xludf.DUMMYFUNCTION("""COMPUTED_VALUE"""),525.0)</f>
        <v>525</v>
      </c>
      <c r="K606" s="2">
        <f>IFERROR(__xludf.DUMMYFUNCTION("""COMPUTED_VALUE"""),5.0)</f>
        <v>5</v>
      </c>
      <c r="L606" s="2" t="str">
        <f>IFERROR(__xludf.DUMMYFUNCTION("""COMPUTED_VALUE"""),"Rexant")</f>
        <v>Rexant</v>
      </c>
      <c r="M606" s="2" t="str">
        <f>IFERROR(__xludf.DUMMYFUNCTION("""COMPUTED_VALUE"""),"Прочие товары")</f>
        <v>Прочие товары</v>
      </c>
    </row>
    <row r="607">
      <c r="A607" s="5" t="str">
        <f>IFERROR(__xludf.DUMMYFUNCTION("""COMPUTED_VALUE"""),"55082")</f>
        <v>55082</v>
      </c>
      <c r="B607" s="5" t="str">
        <f>IFERROR(__xludf.DUMMYFUNCTION("""COMPUTED_VALUE"""),"Снежинки 80 холодных LED ламп, прозрачный провод, 10 м, 220 v /20")</f>
        <v>Снежинки 80 холодных LED ламп, прозрачный провод, 10 м, 220 v /20</v>
      </c>
      <c r="C607" s="2">
        <f>IFERROR(__xludf.DUMMYFUNCTION("""COMPUTED_VALUE"""),0.0)</f>
        <v>0</v>
      </c>
      <c r="D607" s="2">
        <f>IFERROR(__xludf.DUMMYFUNCTION("""COMPUTED_VALUE"""),0.0)</f>
        <v>0</v>
      </c>
      <c r="E607" s="2">
        <f>IFERROR(__xludf.DUMMYFUNCTION("""COMPUTED_VALUE"""),810.45)</f>
        <v>810.45</v>
      </c>
      <c r="F607" s="2">
        <f>IFERROR(__xludf.DUMMYFUNCTION("""COMPUTED_VALUE"""),899.0)</f>
        <v>899</v>
      </c>
      <c r="G607" s="2">
        <f>IFERROR(__xludf.DUMMYFUNCTION("""COMPUTED_VALUE"""),981.0)</f>
        <v>981</v>
      </c>
      <c r="H607" s="2">
        <f>IFERROR(__xludf.DUMMYFUNCTION("""COMPUTED_VALUE"""),1062.0)</f>
        <v>1062</v>
      </c>
      <c r="I607" s="2">
        <f>IFERROR(__xludf.DUMMYFUNCTION("""COMPUTED_VALUE"""),1144.0)</f>
        <v>1144</v>
      </c>
      <c r="J607" s="2">
        <f>IFERROR(__xludf.DUMMYFUNCTION("""COMPUTED_VALUE"""),572.0)</f>
        <v>572</v>
      </c>
      <c r="K607" s="2">
        <f>IFERROR(__xludf.DUMMYFUNCTION("""COMPUTED_VALUE"""),22.0)</f>
        <v>22</v>
      </c>
      <c r="L607" s="2" t="str">
        <f>IFERROR(__xludf.DUMMYFUNCTION("""COMPUTED_VALUE"""),"Праздничная иллюминация")</f>
        <v>Праздничная иллюминация</v>
      </c>
      <c r="M607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608">
      <c r="A608" s="5" t="str">
        <f>IFERROR(__xludf.DUMMYFUNCTION("""COMPUTED_VALUE"""),"R100344-1")</f>
        <v>R100344-1</v>
      </c>
      <c r="B608" s="5" t="str">
        <f>IFERROR(__xludf.DUMMYFUNCTION("""COMPUTED_VALUE"""),"RSV-SPO-02-40W-6500К, IP40 P (в индивидуальной упаковке)")</f>
        <v>RSV-SPO-02-40W-6500К, IP40 P (в индивидуальной упаковке)</v>
      </c>
      <c r="C608" s="2">
        <f>IFERROR(__xludf.DUMMYFUNCTION("""COMPUTED_VALUE"""),0.0)</f>
        <v>0</v>
      </c>
      <c r="D608" s="2">
        <f>IFERROR(__xludf.DUMMYFUNCTION("""COMPUTED_VALUE"""),0.00293)</f>
        <v>0.00293</v>
      </c>
      <c r="E608" s="2">
        <f>IFERROR(__xludf.DUMMYFUNCTION("""COMPUTED_VALUE"""),287.57)</f>
        <v>287.57</v>
      </c>
      <c r="F608" s="2">
        <f>IFERROR(__xludf.DUMMYFUNCTION("""COMPUTED_VALUE"""),389.0)</f>
        <v>389</v>
      </c>
      <c r="G608" s="2">
        <f>IFERROR(__xludf.DUMMYFUNCTION("""COMPUTED_VALUE"""),414.0)</f>
        <v>414</v>
      </c>
      <c r="H608" s="2">
        <f>IFERROR(__xludf.DUMMYFUNCTION("""COMPUTED_VALUE"""),466.0)</f>
        <v>466</v>
      </c>
      <c r="I608" s="2">
        <f>IFERROR(__xludf.DUMMYFUNCTION("""COMPUTED_VALUE"""),518.0)</f>
        <v>518</v>
      </c>
      <c r="J608" s="2">
        <f>IFERROR(__xludf.DUMMYFUNCTION("""COMPUTED_VALUE"""),259.0)</f>
        <v>259</v>
      </c>
      <c r="K608" s="2">
        <f>IFERROR(__xludf.DUMMYFUNCTION("""COMPUTED_VALUE"""),11.0)</f>
        <v>11</v>
      </c>
      <c r="L608" s="2" t="str">
        <f>IFERROR(__xludf.DUMMYFUNCTION("""COMPUTED_VALUE"""),"RSV-SPO Светильники Производство, упаковка (1 штука)")</f>
        <v>RSV-SPO Светильники Производство, упаковка (1 штука)</v>
      </c>
      <c r="M608" s="2" t="str">
        <f>IFERROR(__xludf.DUMMYFUNCTION("""COMPUTED_VALUE"""),"Пластиковые (линейные), Светильники общего назначения (LED), Накладные, Линейные (проходные), LED Светильники")</f>
        <v>Пластиковые (линейные), Светильники общего назначения (LED), Накладные, Линейные (проходные), LED Светильники</v>
      </c>
    </row>
    <row r="609">
      <c r="A609" s="5" t="str">
        <f>IFERROR(__xludf.DUMMYFUNCTION("""COMPUTED_VALUE"""),"ves003")</f>
        <v>ves003</v>
      </c>
      <c r="B609" s="5" t="str">
        <f>IFERROR(__xludf.DUMMYFUNCTION("""COMPUTED_VALUE"""),"Светильник переносной с решеткой 60Вт ЛСУ-1 25 метров")</f>
        <v>Светильник переносной с решеткой 60Вт ЛСУ-1 25 метров</v>
      </c>
      <c r="C609" s="2">
        <f>IFERROR(__xludf.DUMMYFUNCTION("""COMPUTED_VALUE"""),0.0)</f>
        <v>0</v>
      </c>
      <c r="D609" s="2">
        <f>IFERROR(__xludf.DUMMYFUNCTION("""COMPUTED_VALUE"""),0.0)</f>
        <v>0</v>
      </c>
      <c r="E609" s="2">
        <f>IFERROR(__xludf.DUMMYFUNCTION("""COMPUTED_VALUE"""),709.7)</f>
        <v>709.7</v>
      </c>
      <c r="F609" s="2">
        <f>IFERROR(__xludf.DUMMYFUNCTION("""COMPUTED_VALUE"""),750.0)</f>
        <v>750</v>
      </c>
      <c r="G609" s="2">
        <f>IFERROR(__xludf.DUMMYFUNCTION("""COMPUTED_VALUE"""),800.0)</f>
        <v>800</v>
      </c>
      <c r="H609" s="2">
        <f>IFERROR(__xludf.DUMMYFUNCTION("""COMPUTED_VALUE"""),900.0)</f>
        <v>900</v>
      </c>
      <c r="I609" s="2">
        <f>IFERROR(__xludf.DUMMYFUNCTION("""COMPUTED_VALUE"""),1000.0)</f>
        <v>1000</v>
      </c>
      <c r="J609" s="2">
        <f>IFERROR(__xludf.DUMMYFUNCTION("""COMPUTED_VALUE"""),500.0)</f>
        <v>500</v>
      </c>
      <c r="K609" s="2">
        <f>IFERROR(__xludf.DUMMYFUNCTION("""COMPUTED_VALUE"""),11.0)</f>
        <v>11</v>
      </c>
      <c r="L609" s="2" t="str">
        <f>IFERROR(__xludf.DUMMYFUNCTION("""COMPUTED_VALUE"""),"ves")</f>
        <v>ves</v>
      </c>
      <c r="M609" s="2" t="str">
        <f>IFERROR(__xludf.DUMMYFUNCTION("""COMPUTED_VALUE"""),"LED Светильники")</f>
        <v>LED Светильники</v>
      </c>
    </row>
    <row r="610">
      <c r="A610" s="5" t="str">
        <f>IFERROR(__xludf.DUMMYFUNCTION("""COMPUTED_VALUE"""),"4690612057279-1")</f>
        <v>4690612057279-1</v>
      </c>
      <c r="B610" s="5" t="str">
        <f>IFERROR(__xludf.DUMMYFUNCTION("""COMPUTED_VALUE"""),"ДВО-PRO 4040-ОПАЛ 40Вт 4000К 120лм/Вт CRI80 IP40 595х595х30мм NEOX (в индивид. уп)")</f>
        <v>ДВО-PRO 4040-ОПАЛ 40Вт 4000К 120лм/Вт CRI80 IP40 595х595х30мм NEOX (в индивид. уп)</v>
      </c>
      <c r="C610" s="2">
        <f>IFERROR(__xludf.DUMMYFUNCTION("""COMPUTED_VALUE"""),0.0)</f>
        <v>0</v>
      </c>
      <c r="D610" s="2">
        <f>IFERROR(__xludf.DUMMYFUNCTION("""COMPUTED_VALUE"""),0.0)</f>
        <v>0</v>
      </c>
      <c r="E610" s="2">
        <f>IFERROR(__xludf.DUMMYFUNCTION("""COMPUTED_VALUE"""),761.6)</f>
        <v>761.6</v>
      </c>
      <c r="F610" s="2">
        <f>IFERROR(__xludf.DUMMYFUNCTION("""COMPUTED_VALUE"""),836.0)</f>
        <v>836</v>
      </c>
      <c r="G610" s="2">
        <f>IFERROR(__xludf.DUMMYFUNCTION("""COMPUTED_VALUE"""),1097.0)</f>
        <v>1097</v>
      </c>
      <c r="H610" s="2">
        <f>IFERROR(__xludf.DUMMYFUNCTION("""COMPUTED_VALUE"""),1234.0)</f>
        <v>1234</v>
      </c>
      <c r="I610" s="2">
        <f>IFERROR(__xludf.DUMMYFUNCTION("""COMPUTED_VALUE"""),1371.0)</f>
        <v>1371</v>
      </c>
      <c r="J610" s="2">
        <f>IFERROR(__xludf.DUMMYFUNCTION("""COMPUTED_VALUE"""),686.0)</f>
        <v>686</v>
      </c>
      <c r="K610" s="2">
        <f>IFERROR(__xludf.DUMMYFUNCTION("""COMPUTED_VALUE"""),21.0)</f>
        <v>21</v>
      </c>
      <c r="L610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610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611">
      <c r="A611" s="5" t="str">
        <f>IFERROR(__xludf.DUMMYFUNCTION("""COMPUTED_VALUE"""),"4690612029634-2")</f>
        <v>4690612029634-2</v>
      </c>
      <c r="B611" s="5" t="str">
        <f>IFERROR(__xludf.DUMMYFUNCTION("""COMPUTED_VALUE"""),"LPU-02 36Вт ПРИЗМА 230В 6500К 3420Лм 595х595х19мм IP40 IN HOME (2 штуки в упаковке)")</f>
        <v>LPU-02 36Вт ПРИЗМА 230В 6500К 3420Лм 595х595х19мм IP40 IN HOME (2 штуки в упаковке)</v>
      </c>
      <c r="C611" s="2">
        <f>IFERROR(__xludf.DUMMYFUNCTION("""COMPUTED_VALUE"""),0.0)</f>
        <v>0</v>
      </c>
      <c r="D611" s="2">
        <f>IFERROR(__xludf.DUMMYFUNCTION("""COMPUTED_VALUE"""),0.0)</f>
        <v>0</v>
      </c>
      <c r="E611" s="2">
        <f>IFERROR(__xludf.DUMMYFUNCTION("""COMPUTED_VALUE"""),1118.02)</f>
        <v>1118.02</v>
      </c>
      <c r="F611" s="2">
        <f>IFERROR(__xludf.DUMMYFUNCTION("""COMPUTED_VALUE"""),1227.0)</f>
        <v>1227</v>
      </c>
      <c r="G611" s="2">
        <f>IFERROR(__xludf.DUMMYFUNCTION("""COMPUTED_VALUE"""),1610.0)</f>
        <v>1610</v>
      </c>
      <c r="H611" s="2">
        <f>IFERROR(__xludf.DUMMYFUNCTION("""COMPUTED_VALUE"""),1811.0)</f>
        <v>1811</v>
      </c>
      <c r="I611" s="2">
        <f>IFERROR(__xludf.DUMMYFUNCTION("""COMPUTED_VALUE"""),2012.0)</f>
        <v>2012</v>
      </c>
      <c r="J611" s="2">
        <f>IFERROR(__xludf.DUMMYFUNCTION("""COMPUTED_VALUE"""),1006.0)</f>
        <v>1006</v>
      </c>
      <c r="K611" s="2">
        <f>IFERROR(__xludf.DUMMYFUNCTION("""COMPUTED_VALUE"""),6.0)</f>
        <v>6</v>
      </c>
      <c r="L611" s="2" t="str">
        <f>IFERROR(__xludf.DUMMYFUNCTION("""COMPUTED_VALUE"""),"InHome Светильники LED LPU-02 производство, упаковка")</f>
        <v>InHome Светильники LED LPU-02 производство, упаковка</v>
      </c>
      <c r="M611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612">
      <c r="A612" s="5" t="str">
        <f>IFERROR(__xludf.DUMMYFUNCTION("""COMPUTED_VALUE"""),"Fefco/0201-4")</f>
        <v>Fefco/0201-4</v>
      </c>
      <c r="B612" s="5" t="str">
        <f>IFERROR(__xludf.DUMMYFUNCTION("""COMPUTED_VALUE"""),"Короб 220х60х200 (картон Т-24 бурый 3мм)")</f>
        <v>Короб 220х60х200 (картон Т-24 бурый 3мм)</v>
      </c>
      <c r="C612" s="2">
        <f>IFERROR(__xludf.DUMMYFUNCTION("""COMPUTED_VALUE"""),0.0)</f>
        <v>0</v>
      </c>
      <c r="D612" s="2">
        <f>IFERROR(__xludf.DUMMYFUNCTION("""COMPUTED_VALUE"""),0.0)</f>
        <v>0</v>
      </c>
      <c r="E612" s="2">
        <f>IFERROR(__xludf.DUMMYFUNCTION("""COMPUTED_VALUE"""),26.8)</f>
        <v>26.8</v>
      </c>
      <c r="F612" s="2">
        <f>IFERROR(__xludf.DUMMYFUNCTION("""COMPUTED_VALUE"""),1.0)</f>
        <v>1</v>
      </c>
      <c r="G612" s="2">
        <f>IFERROR(__xludf.DUMMYFUNCTION("""COMPUTED_VALUE"""),1.0)</f>
        <v>1</v>
      </c>
      <c r="H612" s="2">
        <f>IFERROR(__xludf.DUMMYFUNCTION("""COMPUTED_VALUE"""),1.0)</f>
        <v>1</v>
      </c>
      <c r="I612" s="2">
        <f>IFERROR(__xludf.DUMMYFUNCTION("""COMPUTED_VALUE"""),1.5)</f>
        <v>1.5</v>
      </c>
      <c r="J612" s="2">
        <f>IFERROR(__xludf.DUMMYFUNCTION("""COMPUTED_VALUE"""),1.5)</f>
        <v>1.5</v>
      </c>
      <c r="K612" s="2">
        <f>IFERROR(__xludf.DUMMYFUNCTION("""COMPUTED_VALUE"""),300.0)</f>
        <v>300</v>
      </c>
      <c r="L612" s="2" t="str">
        <f>IFERROR(__xludf.DUMMYFUNCTION("""COMPUTED_VALUE"""),"Упаковка")</f>
        <v>Упаковка</v>
      </c>
      <c r="M612" s="2" t="str">
        <f>IFERROR(__xludf.DUMMYFUNCTION("""COMPUTED_VALUE"""),"Прочие товары")</f>
        <v>Прочие товары</v>
      </c>
    </row>
    <row r="613">
      <c r="A613" s="5" t="str">
        <f>IFERROR(__xludf.DUMMYFUNCTION("""COMPUTED_VALUE"""),"4260652192744")</f>
        <v>4260652192744</v>
      </c>
      <c r="B613" s="5" t="str">
        <f>IFERROR(__xludf.DUMMYFUNCTION("""COMPUTED_VALUE"""),"WTL-TR2/01W")</f>
        <v>WTL-TR2/01W</v>
      </c>
      <c r="C613" s="2">
        <f>IFERROR(__xludf.DUMMYFUNCTION("""COMPUTED_VALUE"""),0.77)</f>
        <v>0.77</v>
      </c>
      <c r="D613" s="2">
        <f>IFERROR(__xludf.DUMMYFUNCTION("""COMPUTED_VALUE"""),8.200000000000001E-4)</f>
        <v>0.00082</v>
      </c>
      <c r="E613" s="2">
        <f>IFERROR(__xludf.DUMMYFUNCTION("""COMPUTED_VALUE"""),686.0)</f>
        <v>686</v>
      </c>
      <c r="F613" s="2">
        <f>IFERROR(__xludf.DUMMYFUNCTION("""COMPUTED_VALUE"""),944.0)</f>
        <v>944</v>
      </c>
      <c r="G613" s="2">
        <f>IFERROR(__xludf.DUMMYFUNCTION("""COMPUTED_VALUE"""),976.0)</f>
        <v>976</v>
      </c>
      <c r="H613" s="2">
        <f>IFERROR(__xludf.DUMMYFUNCTION("""COMPUTED_VALUE"""),1279.0)</f>
        <v>1279</v>
      </c>
      <c r="I613" s="2">
        <f>IFERROR(__xludf.DUMMYFUNCTION("""COMPUTED_VALUE"""),1599.0)</f>
        <v>1599</v>
      </c>
      <c r="J613" s="2">
        <f>IFERROR(__xludf.DUMMYFUNCTION("""COMPUTED_VALUE"""),800.0)</f>
        <v>800</v>
      </c>
      <c r="K613" s="2">
        <f>IFERROR(__xludf.DUMMYFUNCTION("""COMPUTED_VALUE"""),1.0)</f>
        <v>1</v>
      </c>
      <c r="L613" s="2" t="str">
        <f>IFERROR(__xludf.DUMMYFUNCTION("""COMPUTED_VALUE"""),"Wolta трековые")</f>
        <v>Wolta трековые</v>
      </c>
      <c r="M613" s="2" t="str">
        <f>IFERROR(__xludf.DUMMYFUNCTION("""COMPUTED_VALUE"""),"Трековые, LED Светильники")</f>
        <v>Трековые, LED Светильники</v>
      </c>
    </row>
    <row r="614">
      <c r="A614" s="5" t="str">
        <f>IFERROR(__xludf.DUMMYFUNCTION("""COMPUTED_VALUE"""),"V9008")</f>
        <v>V9008</v>
      </c>
      <c r="B614" s="5" t="str">
        <f>IFERROR(__xludf.DUMMYFUNCTION("""COMPUTED_VALUE"""),"VRN-UNE-48-G40K67-K, 48Вт, Консольный")</f>
        <v>VRN-UNE-48-G40K67-K, 48Вт, Консольный</v>
      </c>
      <c r="C614" s="2">
        <f>IFERROR(__xludf.DUMMYFUNCTION("""COMPUTED_VALUE"""),0.122)</f>
        <v>0.122</v>
      </c>
      <c r="D614" s="2">
        <f>IFERROR(__xludf.DUMMYFUNCTION("""COMPUTED_VALUE"""),0.00483)</f>
        <v>0.00483</v>
      </c>
      <c r="E614" s="2">
        <f>IFERROR(__xludf.DUMMYFUNCTION("""COMPUTED_VALUE"""),1948.45)</f>
        <v>1948.45</v>
      </c>
      <c r="F614" s="2">
        <f>IFERROR(__xludf.DUMMYFUNCTION("""COMPUTED_VALUE"""),2255.0)</f>
        <v>2255</v>
      </c>
      <c r="G614" s="2">
        <f>IFERROR(__xludf.DUMMYFUNCTION("""COMPUTED_VALUE"""),2932.0)</f>
        <v>2932</v>
      </c>
      <c r="H614" s="2">
        <f>IFERROR(__xludf.DUMMYFUNCTION("""COMPUTED_VALUE"""),3078.0)</f>
        <v>3078</v>
      </c>
      <c r="I614" s="2">
        <f>IFERROR(__xludf.DUMMYFUNCTION("""COMPUTED_VALUE"""),3225.0)</f>
        <v>3225</v>
      </c>
      <c r="J614" s="2">
        <f>IFERROR(__xludf.DUMMYFUNCTION("""COMPUTED_VALUE"""),3225.0)</f>
        <v>3225</v>
      </c>
      <c r="K614" s="2">
        <f>IFERROR(__xludf.DUMMYFUNCTION("""COMPUTED_VALUE"""),11.0)</f>
        <v>11</v>
      </c>
      <c r="L614" s="2" t="str">
        <f>IFERROR(__xludf.DUMMYFUNCTION("""COMPUTED_VALUE"""),"Универсал Эконом")</f>
        <v>Универсал Эконом</v>
      </c>
      <c r="M614" s="2" t="str">
        <f>IFERROR(__xludf.DUMMYFUNCTION("""COMPUTED_VALUE"""),"Для обычных дорог, LED Светильники")</f>
        <v>Для обычных дорог, LED Светильники</v>
      </c>
    </row>
    <row r="615">
      <c r="A615" s="5" t="str">
        <f>IFERROR(__xludf.DUMMYFUNCTION("""COMPUTED_VALUE"""),"Fefco/0201-1")</f>
        <v>Fefco/0201-1</v>
      </c>
      <c r="B615" s="5" t="str">
        <f>IFERROR(__xludf.DUMMYFUNCTION("""COMPUTED_VALUE"""),"Короб 1275х280х220 (картон Т-24 бурый 3мм)")</f>
        <v>Короб 1275х280х220 (картон Т-24 бурый 3мм)</v>
      </c>
      <c r="C615" s="2">
        <f>IFERROR(__xludf.DUMMYFUNCTION("""COMPUTED_VALUE"""),0.0)</f>
        <v>0</v>
      </c>
      <c r="D615" s="2">
        <f>IFERROR(__xludf.DUMMYFUNCTION("""COMPUTED_VALUE"""),0.0)</f>
        <v>0</v>
      </c>
      <c r="E615" s="2">
        <f>IFERROR(__xludf.DUMMYFUNCTION("""COMPUTED_VALUE"""),146.1)</f>
        <v>146.1</v>
      </c>
      <c r="F615" s="2">
        <f>IFERROR(__xludf.DUMMYFUNCTION("""COMPUTED_VALUE"""),1.0)</f>
        <v>1</v>
      </c>
      <c r="G615" s="2">
        <f>IFERROR(__xludf.DUMMYFUNCTION("""COMPUTED_VALUE"""),1.0)</f>
        <v>1</v>
      </c>
      <c r="H615" s="2">
        <f>IFERROR(__xludf.DUMMYFUNCTION("""COMPUTED_VALUE"""),1.0)</f>
        <v>1</v>
      </c>
      <c r="I615" s="2">
        <f>IFERROR(__xludf.DUMMYFUNCTION("""COMPUTED_VALUE"""),1.5)</f>
        <v>1.5</v>
      </c>
      <c r="J615" s="2">
        <f>IFERROR(__xludf.DUMMYFUNCTION("""COMPUTED_VALUE"""),1.5)</f>
        <v>1.5</v>
      </c>
      <c r="K615" s="2">
        <f>IFERROR(__xludf.DUMMYFUNCTION("""COMPUTED_VALUE"""),121.0)</f>
        <v>121</v>
      </c>
      <c r="L615" s="2" t="str">
        <f>IFERROR(__xludf.DUMMYFUNCTION("""COMPUTED_VALUE"""),"Упаковка")</f>
        <v>Упаковка</v>
      </c>
      <c r="M615" s="2" t="str">
        <f>IFERROR(__xludf.DUMMYFUNCTION("""COMPUTED_VALUE"""),"Прочие товары")</f>
        <v>Прочие товары</v>
      </c>
    </row>
    <row r="616">
      <c r="A616" s="5" t="str">
        <f>IFERROR(__xludf.DUMMYFUNCTION("""COMPUTED_VALUE"""),"4690612007274")</f>
        <v>4690612007274</v>
      </c>
      <c r="B616" s="5" t="str">
        <f>IFERROR(__xludf.DUMMYFUNCTION("""COMPUTED_VALUE"""),"LED-ШАР-ECO 5Вт 230В Е27 4000К 375Лм (5шт в упаковке) IN HOME")</f>
        <v>LED-ШАР-ECO 5Вт 230В Е27 4000К 375Лм (5шт в упаковке) IN HOME</v>
      </c>
      <c r="C616" s="2">
        <f>IFERROR(__xludf.DUMMYFUNCTION("""COMPUTED_VALUE"""),0.22)</f>
        <v>0.22</v>
      </c>
      <c r="D616" s="2">
        <f>IFERROR(__xludf.DUMMYFUNCTION("""COMPUTED_VALUE"""),9.500000000000001E-4)</f>
        <v>0.00095</v>
      </c>
      <c r="E616" s="2">
        <f>IFERROR(__xludf.DUMMYFUNCTION("""COMPUTED_VALUE"""),191.67)</f>
        <v>191.67</v>
      </c>
      <c r="F616" s="2">
        <f>IFERROR(__xludf.DUMMYFUNCTION("""COMPUTED_VALUE"""),153.0)</f>
        <v>153</v>
      </c>
      <c r="G616" s="2">
        <f>IFERROR(__xludf.DUMMYFUNCTION("""COMPUTED_VALUE"""),173.0)</f>
        <v>173</v>
      </c>
      <c r="H616" s="2">
        <f>IFERROR(__xludf.DUMMYFUNCTION("""COMPUTED_VALUE"""),200.0)</f>
        <v>200</v>
      </c>
      <c r="I616" s="2">
        <f>IFERROR(__xludf.DUMMYFUNCTION("""COMPUTED_VALUE"""),230.5)</f>
        <v>230.5</v>
      </c>
      <c r="J616" s="2">
        <f>IFERROR(__xludf.DUMMYFUNCTION("""COMPUTED_VALUE"""),115.0)</f>
        <v>115</v>
      </c>
      <c r="K616" s="2">
        <f>IFERROR(__xludf.DUMMYFUNCTION("""COMPUTED_VALUE"""),6.0)</f>
        <v>6</v>
      </c>
      <c r="L616" s="2" t="str">
        <f>IFERROR(__xludf.DUMMYFUNCTION("""COMPUTED_VALUE"""),"Лампа светодиодная LED-ШАР-standard")</f>
        <v>Лампа светодиодная LED-ШАР-standard</v>
      </c>
      <c r="M616" s="2" t="str">
        <f>IFERROR(__xludf.DUMMYFUNCTION("""COMPUTED_VALUE"""),"Лампы")</f>
        <v>Лампы</v>
      </c>
    </row>
    <row r="617">
      <c r="A617" s="5" t="str">
        <f>IFERROR(__xludf.DUMMYFUNCTION("""COMPUTED_VALUE"""),"06-0110-B")</f>
        <v>06-0110-B</v>
      </c>
      <c r="B617" s="5" t="str">
        <f>IFERROR(__xludf.DUMMYFUNCTION("""COMPUTED_VALUE"""),"Переходник телефонный, (штекер 6Р-4С (RJ-11) - 3 гнезда 6Р-4С (RJ-11)) REXANT")</f>
        <v>Переходник телефонный, (штекер 6Р-4С (RJ-11) - 3 гнезда 6Р-4С (RJ-11)) REXANT</v>
      </c>
      <c r="C617" s="2">
        <f>IFERROR(__xludf.DUMMYFUNCTION("""COMPUTED_VALUE"""),0.0)</f>
        <v>0</v>
      </c>
      <c r="D617" s="2">
        <f>IFERROR(__xludf.DUMMYFUNCTION("""COMPUTED_VALUE"""),0.0)</f>
        <v>0</v>
      </c>
      <c r="E617" s="2">
        <f>IFERROR(__xludf.DUMMYFUNCTION("""COMPUTED_VALUE"""),1.0)</f>
        <v>1</v>
      </c>
      <c r="F617" s="2">
        <f>IFERROR(__xludf.DUMMYFUNCTION("""COMPUTED_VALUE"""),63.0)</f>
        <v>63</v>
      </c>
      <c r="G617" s="2">
        <f>IFERROR(__xludf.DUMMYFUNCTION("""COMPUTED_VALUE"""),67.0)</f>
        <v>67</v>
      </c>
      <c r="H617" s="2">
        <f>IFERROR(__xludf.DUMMYFUNCTION("""COMPUTED_VALUE"""),75.0)</f>
        <v>75</v>
      </c>
      <c r="I617" s="2">
        <f>IFERROR(__xludf.DUMMYFUNCTION("""COMPUTED_VALUE"""),83.5)</f>
        <v>83.5</v>
      </c>
      <c r="J617" s="2">
        <f>IFERROR(__xludf.DUMMYFUNCTION("""COMPUTED_VALUE"""),42.0)</f>
        <v>42</v>
      </c>
      <c r="K617" s="2">
        <f>IFERROR(__xludf.DUMMYFUNCTION("""COMPUTED_VALUE"""),7.0)</f>
        <v>7</v>
      </c>
      <c r="L617" s="2" t="str">
        <f>IFERROR(__xludf.DUMMYFUNCTION("""COMPUTED_VALUE"""),"Rexant")</f>
        <v>Rexant</v>
      </c>
      <c r="M617" s="2" t="str">
        <f>IFERROR(__xludf.DUMMYFUNCTION("""COMPUTED_VALUE"""),"Прочие товары")</f>
        <v>Прочие товары</v>
      </c>
    </row>
    <row r="618">
      <c r="A618" s="5" t="str">
        <f>IFERROR(__xludf.DUMMYFUNCTION("""COMPUTED_VALUE"""),"4690612035352")</f>
        <v>4690612035352</v>
      </c>
      <c r="B618" s="5" t="str">
        <f>IFERROR(__xludf.DUMMYFUNCTION("""COMPUTED_VALUE"""),"ELEGANT BLISS-B 15Вт 230В 3000-6500K 1050Лм STEP COLOR черный IN HOME")</f>
        <v>ELEGANT BLISS-B 15Вт 230В 3000-6500K 1050Лм STEP COLOR черный IN HOME</v>
      </c>
      <c r="C618" s="2">
        <f>IFERROR(__xludf.DUMMYFUNCTION("""COMPUTED_VALUE"""),0.35)</f>
        <v>0.35</v>
      </c>
      <c r="D618" s="2">
        <f>IFERROR(__xludf.DUMMYFUNCTION("""COMPUTED_VALUE"""),0.0035)</f>
        <v>0.0035</v>
      </c>
      <c r="E618" s="2">
        <f>IFERROR(__xludf.DUMMYFUNCTION("""COMPUTED_VALUE"""),655.28)</f>
        <v>655.28</v>
      </c>
      <c r="F618" s="2">
        <f>IFERROR(__xludf.DUMMYFUNCTION("""COMPUTED_VALUE"""),612.0)</f>
        <v>612</v>
      </c>
      <c r="G618" s="2">
        <f>IFERROR(__xludf.DUMMYFUNCTION("""COMPUTED_VALUE"""),689.0)</f>
        <v>689</v>
      </c>
      <c r="H618" s="2">
        <f>IFERROR(__xludf.DUMMYFUNCTION("""COMPUTED_VALUE"""),799.0)</f>
        <v>799</v>
      </c>
      <c r="I618" s="2">
        <f>IFERROR(__xludf.DUMMYFUNCTION("""COMPUTED_VALUE"""),918.0)</f>
        <v>918</v>
      </c>
      <c r="J618" s="2">
        <f>IFERROR(__xludf.DUMMYFUNCTION("""COMPUTED_VALUE"""),459.0)</f>
        <v>459</v>
      </c>
      <c r="K618" s="2">
        <f>IFERROR(__xludf.DUMMYFUNCTION("""COMPUTED_VALUE"""),2.0)</f>
        <v>2</v>
      </c>
      <c r="L618" s="2" t="str">
        <f>IFERROR(__xludf.DUMMYFUNCTION("""COMPUTED_VALUE"""),"Светильники светодиодные серии ELEGANT IN HOME")</f>
        <v>Светильники светодиодные серии ELEGANT IN HOME</v>
      </c>
      <c r="M618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619">
      <c r="A619" s="5" t="str">
        <f>IFERROR(__xludf.DUMMYFUNCTION("""COMPUTED_VALUE"""),"4690612020723")</f>
        <v>4690612020723</v>
      </c>
      <c r="B619" s="5" t="str">
        <f>IFERROR(__xludf.DUMMYFUNCTION("""COMPUTED_VALUE"""),"LED-GX53-VC 8Вт 230В 3000К 760Лм IN HOME")</f>
        <v>LED-GX53-VC 8Вт 230В 3000К 760Лм IN HOME</v>
      </c>
      <c r="C619" s="2">
        <f>IFERROR(__xludf.DUMMYFUNCTION("""COMPUTED_VALUE"""),0.035)</f>
        <v>0.035</v>
      </c>
      <c r="D619" s="2">
        <f>IFERROR(__xludf.DUMMYFUNCTION("""COMPUTED_VALUE"""),2.1E-4)</f>
        <v>0.00021</v>
      </c>
      <c r="E619" s="2">
        <f>IFERROR(__xludf.DUMMYFUNCTION("""COMPUTED_VALUE"""),33.28)</f>
        <v>33.28</v>
      </c>
      <c r="F619" s="2">
        <f>IFERROR(__xludf.DUMMYFUNCTION("""COMPUTED_VALUE"""),43.0)</f>
        <v>43</v>
      </c>
      <c r="G619" s="2">
        <f>IFERROR(__xludf.DUMMYFUNCTION("""COMPUTED_VALUE"""),49.0)</f>
        <v>49</v>
      </c>
      <c r="H619" s="2">
        <f>IFERROR(__xludf.DUMMYFUNCTION("""COMPUTED_VALUE"""),57.0)</f>
        <v>57</v>
      </c>
      <c r="I619" s="2">
        <f>IFERROR(__xludf.DUMMYFUNCTION("""COMPUTED_VALUE"""),65.6)</f>
        <v>65.6</v>
      </c>
      <c r="J619" s="2">
        <f>IFERROR(__xludf.DUMMYFUNCTION("""COMPUTED_VALUE"""),33.0)</f>
        <v>33</v>
      </c>
      <c r="K619" s="2">
        <f>IFERROR(__xludf.DUMMYFUNCTION("""COMPUTED_VALUE"""),41.0)</f>
        <v>41</v>
      </c>
      <c r="L619" s="2" t="str">
        <f>IFERROR(__xludf.DUMMYFUNCTION("""COMPUTED_VALUE"""),"Лампа светодиодная LED-GX53-standard")</f>
        <v>Лампа светодиодная LED-GX53-standard</v>
      </c>
      <c r="M619" s="2" t="str">
        <f>IFERROR(__xludf.DUMMYFUNCTION("""COMPUTED_VALUE"""),"Лампы")</f>
        <v>Лампы</v>
      </c>
    </row>
    <row r="620">
      <c r="A620" s="5" t="str">
        <f>IFERROR(__xludf.DUMMYFUNCTION("""COMPUTED_VALUE"""),"4690626071261")</f>
        <v>4690626071261</v>
      </c>
      <c r="B620" s="5" t="str">
        <f>IFERROR(__xludf.DUMMYFUNCTION("""COMPUTED_VALUE"""),"Светодиодный (LED) прожектор FL ФИТО Smartbuy-20W/1300K/IP65 (SBL-FLFITO-20-65K)")</f>
        <v>Светодиодный (LED) прожектор FL ФИТО Smartbuy-20W/1300K/IP65 (SBL-FLFITO-20-65K)</v>
      </c>
      <c r="C620" s="2">
        <f>IFERROR(__xludf.DUMMYFUNCTION("""COMPUTED_VALUE"""),0.0)</f>
        <v>0</v>
      </c>
      <c r="D620" s="2">
        <f>IFERROR(__xludf.DUMMYFUNCTION("""COMPUTED_VALUE"""),0.0)</f>
        <v>0</v>
      </c>
      <c r="E620" s="2">
        <f>IFERROR(__xludf.DUMMYFUNCTION("""COMPUTED_VALUE"""),400.12)</f>
        <v>400.12</v>
      </c>
      <c r="F620" s="2">
        <f>IFERROR(__xludf.DUMMYFUNCTION("""COMPUTED_VALUE"""),431.0)</f>
        <v>431</v>
      </c>
      <c r="G620" s="2">
        <f>IFERROR(__xludf.DUMMYFUNCTION("""COMPUTED_VALUE"""),473.0)</f>
        <v>473</v>
      </c>
      <c r="H620" s="2">
        <f>IFERROR(__xludf.DUMMYFUNCTION("""COMPUTED_VALUE"""),526.0)</f>
        <v>526</v>
      </c>
      <c r="I620" s="2">
        <f>IFERROR(__xludf.DUMMYFUNCTION("""COMPUTED_VALUE"""),578.0)</f>
        <v>578</v>
      </c>
      <c r="J620" s="2">
        <f>IFERROR(__xludf.DUMMYFUNCTION("""COMPUTED_VALUE"""),289.0)</f>
        <v>289</v>
      </c>
      <c r="K620" s="2">
        <f>IFERROR(__xludf.DUMMYFUNCTION("""COMPUTED_VALUE"""),6.0)</f>
        <v>6</v>
      </c>
      <c r="L620" s="2" t="str">
        <f>IFERROR(__xludf.DUMMYFUNCTION("""COMPUTED_VALUE"""),"Smartbuy LED светильники")</f>
        <v>Smartbuy LED светильники</v>
      </c>
      <c r="M620" s="2" t="str">
        <f>IFERROR(__xludf.DUMMYFUNCTION("""COMPUTED_VALUE"""),"Фито светильники (для растений), LED Светильники")</f>
        <v>Фито светильники (для растений), LED Светильники</v>
      </c>
    </row>
    <row r="621">
      <c r="A621" s="5" t="str">
        <f>IFERROR(__xludf.DUMMYFUNCTION("""COMPUTED_VALUE"""),"ves2010")</f>
        <v>ves2010</v>
      </c>
      <c r="B621" s="5" t="str">
        <f>IFERROR(__xludf.DUMMYFUNCTION("""COMPUTED_VALUE"""),"Вилка переносная 013 2Р+РЕ 16А 220В IP44")</f>
        <v>Вилка переносная 013 2Р+РЕ 16А 220В IP44</v>
      </c>
      <c r="C621" s="2">
        <f>IFERROR(__xludf.DUMMYFUNCTION("""COMPUTED_VALUE"""),0.0)</f>
        <v>0</v>
      </c>
      <c r="D621" s="2">
        <f>IFERROR(__xludf.DUMMYFUNCTION("""COMPUTED_VALUE"""),0.0)</f>
        <v>0</v>
      </c>
      <c r="E621" s="2">
        <f>IFERROR(__xludf.DUMMYFUNCTION("""COMPUTED_VALUE"""),120.78)</f>
        <v>120.78</v>
      </c>
      <c r="F621" s="2">
        <f>IFERROR(__xludf.DUMMYFUNCTION("""COMPUTED_VALUE"""),166.0)</f>
        <v>166</v>
      </c>
      <c r="G621" s="2">
        <f>IFERROR(__xludf.DUMMYFUNCTION("""COMPUTED_VALUE"""),177.0)</f>
        <v>177</v>
      </c>
      <c r="H621" s="2">
        <f>IFERROR(__xludf.DUMMYFUNCTION("""COMPUTED_VALUE"""),199.0)</f>
        <v>199</v>
      </c>
      <c r="I621" s="2">
        <f>IFERROR(__xludf.DUMMYFUNCTION("""COMPUTED_VALUE"""),220.85)</f>
        <v>220.85</v>
      </c>
      <c r="J621" s="2">
        <f>IFERROR(__xludf.DUMMYFUNCTION("""COMPUTED_VALUE"""),110.0)</f>
        <v>110</v>
      </c>
      <c r="K621" s="2">
        <f>IFERROR(__xludf.DUMMYFUNCTION("""COMPUTED_VALUE"""),7.0)</f>
        <v>7</v>
      </c>
      <c r="L621" s="2" t="str">
        <f>IFERROR(__xludf.DUMMYFUNCTION("""COMPUTED_VALUE"""),"ves2 (тендер)")</f>
        <v>ves2 (тендер)</v>
      </c>
      <c r="M621" s="2" t="str">
        <f>IFERROR(__xludf.DUMMYFUNCTION("""COMPUTED_VALUE"""),"Прочие товары")</f>
        <v>Прочие товары</v>
      </c>
    </row>
    <row r="622">
      <c r="A622" s="5" t="str">
        <f>IFERROR(__xludf.DUMMYFUNCTION("""COMPUTED_VALUE"""),"4690612000404-5")</f>
        <v>4690612000404-5</v>
      </c>
      <c r="B622" s="5" t="str">
        <f>IFERROR(__xludf.DUMMYFUNCTION("""COMPUTED_VALUE"""),"(5 штук) Розетка ТЛФ CLASSICO белая Комплект 5 шт")</f>
        <v>(5 штук) Розетка ТЛФ CLASSICO белая Комплект 5 шт</v>
      </c>
      <c r="C622" s="2">
        <f>IFERROR(__xludf.DUMMYFUNCTION("""COMPUTED_VALUE"""),0.065)</f>
        <v>0.065</v>
      </c>
      <c r="D622" s="2">
        <f>IFERROR(__xludf.DUMMYFUNCTION("""COMPUTED_VALUE"""),3.4E-4)</f>
        <v>0.00034</v>
      </c>
      <c r="E622" s="2">
        <f>IFERROR(__xludf.DUMMYFUNCTION("""COMPUTED_VALUE"""),240.95)</f>
        <v>240.95</v>
      </c>
      <c r="F622" s="2">
        <f>IFERROR(__xludf.DUMMYFUNCTION("""COMPUTED_VALUE"""),264.0)</f>
        <v>264</v>
      </c>
      <c r="G622" s="2">
        <f>IFERROR(__xludf.DUMMYFUNCTION("""COMPUTED_VALUE"""),347.0)</f>
        <v>347</v>
      </c>
      <c r="H622" s="2">
        <f>IFERROR(__xludf.DUMMYFUNCTION("""COMPUTED_VALUE"""),391.0)</f>
        <v>391</v>
      </c>
      <c r="I622" s="2">
        <f>IFERROR(__xludf.DUMMYFUNCTION("""COMPUTED_VALUE"""),434.0)</f>
        <v>434</v>
      </c>
      <c r="J622" s="2">
        <f>IFERROR(__xludf.DUMMYFUNCTION("""COMPUTED_VALUE"""),217.0)</f>
        <v>217</v>
      </c>
      <c r="K622" s="2">
        <f>IFERROR(__xludf.DUMMYFUNCTION("""COMPUTED_VALUE"""),4.0)</f>
        <v>4</v>
      </c>
      <c r="L622" s="2" t="str">
        <f>IFERROR(__xludf.DUMMYFUNCTION("""COMPUTED_VALUE"""),"Розетки, вилки производство, упаковка")</f>
        <v>Розетки, вилки производство, упаковка</v>
      </c>
      <c r="M622" s="2" t="str">
        <f>IFERROR(__xludf.DUMMYFUNCTION("""COMPUTED_VALUE"""),"Прочие товары")</f>
        <v>Прочие товары</v>
      </c>
    </row>
    <row r="623">
      <c r="A623" s="5" t="str">
        <f>IFERROR(__xludf.DUMMYFUNCTION("""COMPUTED_VALUE"""),"4690612037646-1")</f>
        <v>4690612037646-1</v>
      </c>
      <c r="B623" s="5" t="str">
        <f>IFERROR(__xludf.DUMMYFUNCTION("""COMPUTED_VALUE"""),"ДВО-02 4540-ПРИЗМА 45Вт 230В 4000К 4500Лм 100Лм/Вт 595х595х19 NEOX (в индивид. уп)")</f>
        <v>ДВО-02 4540-ПРИЗМА 45Вт 230В 4000К 4500Лм 100Лм/Вт 595х595х19 NEOX (в индивид. уп)</v>
      </c>
      <c r="C623" s="2">
        <f>IFERROR(__xludf.DUMMYFUNCTION("""COMPUTED_VALUE"""),1.35)</f>
        <v>1.35</v>
      </c>
      <c r="D623" s="2">
        <f>IFERROR(__xludf.DUMMYFUNCTION("""COMPUTED_VALUE"""),0.006730000000000001)</f>
        <v>0.00673</v>
      </c>
      <c r="E623" s="2">
        <f>IFERROR(__xludf.DUMMYFUNCTION("""COMPUTED_VALUE"""),605.28)</f>
        <v>605.28</v>
      </c>
      <c r="F623" s="2">
        <f>IFERROR(__xludf.DUMMYFUNCTION("""COMPUTED_VALUE"""),664.0)</f>
        <v>664</v>
      </c>
      <c r="G623" s="2">
        <f>IFERROR(__xludf.DUMMYFUNCTION("""COMPUTED_VALUE"""),872.0)</f>
        <v>872</v>
      </c>
      <c r="H623" s="2">
        <f>IFERROR(__xludf.DUMMYFUNCTION("""COMPUTED_VALUE"""),981.0)</f>
        <v>981</v>
      </c>
      <c r="I623" s="2">
        <f>IFERROR(__xludf.DUMMYFUNCTION("""COMPUTED_VALUE"""),1090.0)</f>
        <v>1090</v>
      </c>
      <c r="J623" s="2">
        <f>IFERROR(__xludf.DUMMYFUNCTION("""COMPUTED_VALUE"""),545.0)</f>
        <v>545</v>
      </c>
      <c r="K623" s="2">
        <f>IFERROR(__xludf.DUMMYFUNCTION("""COMPUTED_VALUE"""),1.0)</f>
        <v>1</v>
      </c>
      <c r="L623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623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624">
      <c r="A624" s="5" t="str">
        <f>IFERROR(__xludf.DUMMYFUNCTION("""COMPUTED_VALUE"""),"55052")</f>
        <v>55052</v>
      </c>
      <c r="B624" s="5" t="str">
        <f>IFERROR(__xludf.DUMMYFUNCTION("""COMPUTED_VALUE"""),"Елочка чайная светодиодная, 6*8 см, зеленое свечение , с батарейкой /60")</f>
        <v>Елочка чайная светодиодная, 6*8 см, зеленое свечение , с батарейкой /60</v>
      </c>
      <c r="C624" s="2">
        <f>IFERROR(__xludf.DUMMYFUNCTION("""COMPUTED_VALUE"""),0.0)</f>
        <v>0</v>
      </c>
      <c r="D624" s="2">
        <f>IFERROR(__xludf.DUMMYFUNCTION("""COMPUTED_VALUE"""),0.0)</f>
        <v>0</v>
      </c>
      <c r="E624" s="2">
        <f>IFERROR(__xludf.DUMMYFUNCTION("""COMPUTED_VALUE"""),124.93)</f>
        <v>124.93</v>
      </c>
      <c r="F624" s="2">
        <f>IFERROR(__xludf.DUMMYFUNCTION("""COMPUTED_VALUE"""),140.0)</f>
        <v>140</v>
      </c>
      <c r="G624" s="2">
        <f>IFERROR(__xludf.DUMMYFUNCTION("""COMPUTED_VALUE"""),153.0)</f>
        <v>153</v>
      </c>
      <c r="H624" s="2">
        <f>IFERROR(__xludf.DUMMYFUNCTION("""COMPUTED_VALUE"""),165.0)</f>
        <v>165</v>
      </c>
      <c r="I624" s="2">
        <f>IFERROR(__xludf.DUMMYFUNCTION("""COMPUTED_VALUE"""),178.0)</f>
        <v>178</v>
      </c>
      <c r="J624" s="2">
        <f>IFERROR(__xludf.DUMMYFUNCTION("""COMPUTED_VALUE"""),89.0)</f>
        <v>89</v>
      </c>
      <c r="K624" s="2">
        <f>IFERROR(__xludf.DUMMYFUNCTION("""COMPUTED_VALUE"""),31.0)</f>
        <v>31</v>
      </c>
      <c r="L624" s="2" t="str">
        <f>IFERROR(__xludf.DUMMYFUNCTION("""COMPUTED_VALUE"""),"Праздничная иллюминация")</f>
        <v>Праздничная иллюминация</v>
      </c>
      <c r="M624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625">
      <c r="A625" s="5" t="str">
        <f>IFERROR(__xludf.DUMMYFUNCTION("""COMPUTED_VALUE"""),"LP5686")</f>
        <v>LP5686</v>
      </c>
      <c r="B625" s="5" t="str">
        <f>IFERROR(__xludf.DUMMYFUNCTION("""COMPUTED_VALUE"""),"Школа, призма, 24 Вт, IP65")</f>
        <v>Школа, призма, 24 Вт, IP65</v>
      </c>
      <c r="C625" s="2">
        <f>IFERROR(__xludf.DUMMYFUNCTION("""COMPUTED_VALUE"""),0.8)</f>
        <v>0.8</v>
      </c>
      <c r="D625" s="2">
        <f>IFERROR(__xludf.DUMMYFUNCTION("""COMPUTED_VALUE"""),0.01303)</f>
        <v>0.01303</v>
      </c>
      <c r="E625" s="2">
        <f>IFERROR(__xludf.DUMMYFUNCTION("""COMPUTED_VALUE"""),1166.2)</f>
        <v>1166.2</v>
      </c>
      <c r="F625" s="2">
        <f>IFERROR(__xludf.DUMMYFUNCTION("""COMPUTED_VALUE"""),1439.0)</f>
        <v>1439</v>
      </c>
      <c r="G625" s="2">
        <f>IFERROR(__xludf.DUMMYFUNCTION("""COMPUTED_VALUE"""),1730.0)</f>
        <v>1730</v>
      </c>
      <c r="H625" s="2">
        <f>IFERROR(__xludf.DUMMYFUNCTION("""COMPUTED_VALUE"""),1870.0)</f>
        <v>1870</v>
      </c>
      <c r="I625" s="2">
        <f>IFERROR(__xludf.DUMMYFUNCTION("""COMPUTED_VALUE"""),2160.0)</f>
        <v>2160</v>
      </c>
      <c r="J625" s="2">
        <f>IFERROR(__xludf.DUMMYFUNCTION("""COMPUTED_VALUE"""),1080.0)</f>
        <v>1080</v>
      </c>
      <c r="K625" s="2">
        <f>IFERROR(__xludf.DUMMYFUNCTION("""COMPUTED_VALUE"""),1.0)</f>
        <v>1</v>
      </c>
      <c r="L625" s="2" t="str">
        <f>IFERROR(__xludf.DUMMYFUNCTION("""COMPUTED_VALUE"""),"Школа, модификации")</f>
        <v>Школа, модификации</v>
      </c>
      <c r="M625" s="2" t="str">
        <f>IFERROR(__xludf.DUMMYFUNCTION("""COMPUTED_VALUE"""),"Встраиваемые, LED Светильники")</f>
        <v>Встраиваемые, LED Светильники</v>
      </c>
    </row>
    <row r="626">
      <c r="A626" s="5" t="str">
        <f>IFERROR(__xludf.DUMMYFUNCTION("""COMPUTED_VALUE"""),"4690612020525-10")</f>
        <v>4690612020525-10</v>
      </c>
      <c r="B626" s="5" t="str">
        <f>IFERROR(__xludf.DUMMYFUNCTION("""COMPUTED_VALUE"""),"10 шт. Лампа LED-ШАР-VC 6Вт 230В Е27 3000К 570Лм IN HOME (Комплект 10 шт)")</f>
        <v>10 шт. Лампа LED-ШАР-VC 6Вт 230В Е27 3000К 570Лм IN HOME (Комплект 10 шт)</v>
      </c>
      <c r="C626" s="2">
        <f>IFERROR(__xludf.DUMMYFUNCTION("""COMPUTED_VALUE"""),0.03)</f>
        <v>0.03</v>
      </c>
      <c r="D626" s="2">
        <f>IFERROR(__xludf.DUMMYFUNCTION("""COMPUTED_VALUE"""),0.0023)</f>
        <v>0.0023</v>
      </c>
      <c r="E626" s="2">
        <f>IFERROR(__xludf.DUMMYFUNCTION("""COMPUTED_VALUE"""),384.0)</f>
        <v>384</v>
      </c>
      <c r="F626" s="2">
        <f>IFERROR(__xludf.DUMMYFUNCTION("""COMPUTED_VALUE"""),421.0)</f>
        <v>421</v>
      </c>
      <c r="G626" s="2">
        <f>IFERROR(__xludf.DUMMYFUNCTION("""COMPUTED_VALUE"""),553.0)</f>
        <v>553</v>
      </c>
      <c r="H626" s="2">
        <f>IFERROR(__xludf.DUMMYFUNCTION("""COMPUTED_VALUE"""),622.0)</f>
        <v>622</v>
      </c>
      <c r="I626" s="2">
        <f>IFERROR(__xludf.DUMMYFUNCTION("""COMPUTED_VALUE"""),691.0)</f>
        <v>691</v>
      </c>
      <c r="J626" s="2">
        <f>IFERROR(__xludf.DUMMYFUNCTION("""COMPUTED_VALUE"""),346.0)</f>
        <v>346</v>
      </c>
      <c r="K626" s="2">
        <f>IFERROR(__xludf.DUMMYFUNCTION("""COMPUTED_VALUE"""),10.0)</f>
        <v>10</v>
      </c>
      <c r="L626" s="2" t="str">
        <f>IFERROR(__xludf.DUMMYFUNCTION("""COMPUTED_VALUE"""),"Лампы производство, упаковка")</f>
        <v>Лампы производство, упаковка</v>
      </c>
      <c r="M626" s="2" t="str">
        <f>IFERROR(__xludf.DUMMYFUNCTION("""COMPUTED_VALUE"""),"Лампы")</f>
        <v>Лампы</v>
      </c>
    </row>
    <row r="627">
      <c r="A627" s="5" t="str">
        <f>IFERROR(__xludf.DUMMYFUNCTION("""COMPUTED_VALUE"""),"4690612012278")</f>
        <v>4690612012278</v>
      </c>
      <c r="B627" s="5" t="str">
        <f>IFERROR(__xludf.DUMMYFUNCTION("""COMPUTED_VALUE"""),"LED-JCDR-standard 7.5Вт 230В GU5.3 6500К 675Лм ASD")</f>
        <v>LED-JCDR-standard 7.5Вт 230В GU5.3 6500К 675Лм ASD</v>
      </c>
      <c r="C627" s="2">
        <f>IFERROR(__xludf.DUMMYFUNCTION("""COMPUTED_VALUE"""),0.03)</f>
        <v>0.03</v>
      </c>
      <c r="D627" s="2">
        <f>IFERROR(__xludf.DUMMYFUNCTION("""COMPUTED_VALUE"""),2.1E-4)</f>
        <v>0.00021</v>
      </c>
      <c r="E627" s="2">
        <f>IFERROR(__xludf.DUMMYFUNCTION("""COMPUTED_VALUE"""),34.84)</f>
        <v>34.84</v>
      </c>
      <c r="F627" s="2">
        <f>IFERROR(__xludf.DUMMYFUNCTION("""COMPUTED_VALUE"""),27.0)</f>
        <v>27</v>
      </c>
      <c r="G627" s="2">
        <f>IFERROR(__xludf.DUMMYFUNCTION("""COMPUTED_VALUE"""),31.0)</f>
        <v>31</v>
      </c>
      <c r="H627" s="2">
        <f>IFERROR(__xludf.DUMMYFUNCTION("""COMPUTED_VALUE"""),36.0)</f>
        <v>36</v>
      </c>
      <c r="I627" s="2">
        <f>IFERROR(__xludf.DUMMYFUNCTION("""COMPUTED_VALUE"""),41.35)</f>
        <v>41.35</v>
      </c>
      <c r="J627" s="2">
        <f>IFERROR(__xludf.DUMMYFUNCTION("""COMPUTED_VALUE"""),21.0)</f>
        <v>21</v>
      </c>
      <c r="K627" s="2">
        <f>IFERROR(__xludf.DUMMYFUNCTION("""COMPUTED_VALUE"""),60.0)</f>
        <v>60</v>
      </c>
      <c r="L627" s="2" t="str">
        <f>IFERROR(__xludf.DUMMYFUNCTION("""COMPUTED_VALUE"""),"Лампа светодиодная LED-JCDR-standard")</f>
        <v>Лампа светодиодная LED-JCDR-standard</v>
      </c>
      <c r="M627" s="2" t="str">
        <f>IFERROR(__xludf.DUMMYFUNCTION("""COMPUTED_VALUE"""),"Лампы")</f>
        <v>Лампы</v>
      </c>
    </row>
    <row r="628">
      <c r="A628" s="5" t="str">
        <f>IFERROR(__xludf.DUMMYFUNCTION("""COMPUTED_VALUE"""),"4690612034492")</f>
        <v>4690612034492</v>
      </c>
      <c r="B628" s="5" t="str">
        <f>IFERROR(__xludf.DUMMYFUNCTION("""COMPUTED_VALUE"""),"БС М1В с аккумулятором USB черный IN HOME")</f>
        <v>БС М1В с аккумулятором USB черный IN HOME</v>
      </c>
      <c r="C628" s="2">
        <f>IFERROR(__xludf.DUMMYFUNCTION("""COMPUTED_VALUE"""),0.08)</f>
        <v>0.08</v>
      </c>
      <c r="D628" s="2">
        <f>IFERROR(__xludf.DUMMYFUNCTION("""COMPUTED_VALUE"""),2.0E-4)</f>
        <v>0.0002</v>
      </c>
      <c r="E628" s="2">
        <f>IFERROR(__xludf.DUMMYFUNCTION("""COMPUTED_VALUE"""),1092.1)</f>
        <v>1092.1</v>
      </c>
      <c r="F628" s="2">
        <f>IFERROR(__xludf.DUMMYFUNCTION("""COMPUTED_VALUE"""),880.0)</f>
        <v>880</v>
      </c>
      <c r="G628" s="2">
        <f>IFERROR(__xludf.DUMMYFUNCTION("""COMPUTED_VALUE"""),990.0)</f>
        <v>990</v>
      </c>
      <c r="H628" s="2">
        <f>IFERROR(__xludf.DUMMYFUNCTION("""COMPUTED_VALUE"""),1148.0)</f>
        <v>1148</v>
      </c>
      <c r="I628" s="2">
        <f>IFERROR(__xludf.DUMMYFUNCTION("""COMPUTED_VALUE"""),1320.0)</f>
        <v>1320</v>
      </c>
      <c r="J628" s="2">
        <f>IFERROR(__xludf.DUMMYFUNCTION("""COMPUTED_VALUE"""),660.0)</f>
        <v>660</v>
      </c>
      <c r="K628" s="2">
        <f>IFERROR(__xludf.DUMMYFUNCTION("""COMPUTED_VALUE"""),6.0)</f>
        <v>6</v>
      </c>
      <c r="L628" s="2" t="str">
        <f>IFERROR(__xludf.DUMMYFUNCTION("""COMPUTED_VALUE"""),"Светильники светодиодные бактерицидные ультрафиолетовые")</f>
        <v>Светильники светодиодные бактерицидные ультрафиолетовые</v>
      </c>
      <c r="M628" s="2" t="str">
        <f>IFERROR(__xludf.DUMMYFUNCTION("""COMPUTED_VALUE"""),"Бактерицидные ультрафиолетовые  светильники (LED), LED Светильники")</f>
        <v>Бактерицидные ультрафиолетовые  светильники (LED), LED Светильники</v>
      </c>
    </row>
    <row r="629">
      <c r="A629" s="5" t="str">
        <f>IFERROR(__xludf.DUMMYFUNCTION("""COMPUTED_VALUE"""),"GL8240")</f>
        <v>GL8240</v>
      </c>
      <c r="B629" s="5" t="str">
        <f>IFERROR(__xludf.DUMMYFUNCTION("""COMPUTED_VALUE"""),"GLERIO Line Shell 24 Вт 4000К 92P-24D-4P-M")</f>
        <v>GLERIO Line Shell 24 Вт 4000К 92P-24D-4P-M</v>
      </c>
      <c r="C629" s="2">
        <f>IFERROR(__xludf.DUMMYFUNCTION("""COMPUTED_VALUE"""),1.575)</f>
        <v>1.575</v>
      </c>
      <c r="D629" s="2">
        <f>IFERROR(__xludf.DUMMYFUNCTION("""COMPUTED_VALUE"""),0.00495)</f>
        <v>0.00495</v>
      </c>
      <c r="E629" s="2">
        <f>IFERROR(__xludf.DUMMYFUNCTION("""COMPUTED_VALUE"""),1843.37)</f>
        <v>1843.37</v>
      </c>
      <c r="F629" s="2">
        <f>IFERROR(__xludf.DUMMYFUNCTION("""COMPUTED_VALUE"""),2150.0)</f>
        <v>2150</v>
      </c>
      <c r="G629" s="2">
        <f>IFERROR(__xludf.DUMMYFUNCTION("""COMPUTED_VALUE"""),2707.0)</f>
        <v>2707</v>
      </c>
      <c r="H629" s="2">
        <f>IFERROR(__xludf.DUMMYFUNCTION("""COMPUTED_VALUE"""),3040.0)</f>
        <v>3040</v>
      </c>
      <c r="I629" s="2">
        <f>IFERROR(__xludf.DUMMYFUNCTION("""COMPUTED_VALUE"""),3373.0)</f>
        <v>3373</v>
      </c>
      <c r="J629" s="2">
        <f>IFERROR(__xludf.DUMMYFUNCTION("""COMPUTED_VALUE"""),2707.0)</f>
        <v>2707</v>
      </c>
      <c r="K629" s="2">
        <f>IFERROR(__xludf.DUMMYFUNCTION("""COMPUTED_VALUE"""),28.0)</f>
        <v>28</v>
      </c>
      <c r="L629" s="2" t="str">
        <f>IFERROR(__xludf.DUMMYFUNCTION("""COMPUTED_VALUE"""),"Line Shell, Free (Retail) до 10.2025")</f>
        <v>Line Shell, Free (Retail) до 10.2025</v>
      </c>
      <c r="M629" s="2" t="str">
        <f>IFERROR(__xludf.DUMMYFUNCTION("""COMPUTED_VALUE"""),"Металлические (линейные), LED Светильники")</f>
        <v>Металлические (линейные), LED Светильники</v>
      </c>
    </row>
    <row r="630">
      <c r="A630" s="5" t="str">
        <f>IFERROR(__xludf.DUMMYFUNCTION("""COMPUTED_VALUE"""),"4690612005096")</f>
        <v>4690612005096</v>
      </c>
      <c r="B630" s="5" t="str">
        <f>IFERROR(__xludf.DUMMYFUNCTION("""COMPUTED_VALUE"""),"LED-GX53-standard 8Вт 230В 3000К 720Лм ASD")</f>
        <v>LED-GX53-standard 8Вт 230В 3000К 720Лм ASD</v>
      </c>
      <c r="C630" s="2">
        <f>IFERROR(__xludf.DUMMYFUNCTION("""COMPUTED_VALUE"""),0.03800000000000001)</f>
        <v>0.038</v>
      </c>
      <c r="D630" s="2">
        <f>IFERROR(__xludf.DUMMYFUNCTION("""COMPUTED_VALUE"""),1.8E-4)</f>
        <v>0.00018</v>
      </c>
      <c r="E630" s="2">
        <f>IFERROR(__xludf.DUMMYFUNCTION("""COMPUTED_VALUE"""),45.56)</f>
        <v>45.56</v>
      </c>
      <c r="F630" s="2">
        <f>IFERROR(__xludf.DUMMYFUNCTION("""COMPUTED_VALUE"""),27.0)</f>
        <v>27</v>
      </c>
      <c r="G630" s="2">
        <f>IFERROR(__xludf.DUMMYFUNCTION("""COMPUTED_VALUE"""),31.0)</f>
        <v>31</v>
      </c>
      <c r="H630" s="2">
        <f>IFERROR(__xludf.DUMMYFUNCTION("""COMPUTED_VALUE"""),36.0)</f>
        <v>36</v>
      </c>
      <c r="I630" s="2">
        <f>IFERROR(__xludf.DUMMYFUNCTION("""COMPUTED_VALUE"""),41.35)</f>
        <v>41.35</v>
      </c>
      <c r="J630" s="2">
        <f>IFERROR(__xludf.DUMMYFUNCTION("""COMPUTED_VALUE"""),21.0)</f>
        <v>21</v>
      </c>
      <c r="K630" s="2">
        <f>IFERROR(__xludf.DUMMYFUNCTION("""COMPUTED_VALUE"""),5.0)</f>
        <v>5</v>
      </c>
      <c r="L630" s="2" t="str">
        <f>IFERROR(__xludf.DUMMYFUNCTION("""COMPUTED_VALUE"""),"Лампа светодиодная LED-GX53-standard")</f>
        <v>Лампа светодиодная LED-GX53-standard</v>
      </c>
      <c r="M630" s="2" t="str">
        <f>IFERROR(__xludf.DUMMYFUNCTION("""COMPUTED_VALUE"""),"Лампы")</f>
        <v>Лампы</v>
      </c>
    </row>
    <row r="631">
      <c r="A631" s="5" t="str">
        <f>IFERROR(__xludf.DUMMYFUNCTION("""COMPUTED_VALUE"""),"4690612003979")</f>
        <v>4690612003979</v>
      </c>
      <c r="B631" s="5" t="str">
        <f>IFERROR(__xludf.DUMMYFUNCTION("""COMPUTED_VALUE"""),"LED-ШАР-standard 7.5Вт 160-260В Е14 4000К 600Лм")</f>
        <v>LED-ШАР-standard 7.5Вт 160-260В Е14 4000К 600Лм</v>
      </c>
      <c r="C631" s="2">
        <f>IFERROR(__xludf.DUMMYFUNCTION("""COMPUTED_VALUE"""),0.028)</f>
        <v>0.028</v>
      </c>
      <c r="D631" s="2">
        <f>IFERROR(__xludf.DUMMYFUNCTION("""COMPUTED_VALUE"""),2.3E-4)</f>
        <v>0.00023</v>
      </c>
      <c r="E631" s="2">
        <f>IFERROR(__xludf.DUMMYFUNCTION("""COMPUTED_VALUE"""),36.24)</f>
        <v>36.24</v>
      </c>
      <c r="F631" s="2">
        <f>IFERROR(__xludf.DUMMYFUNCTION("""COMPUTED_VALUE"""),27.0)</f>
        <v>27</v>
      </c>
      <c r="G631" s="2">
        <f>IFERROR(__xludf.DUMMYFUNCTION("""COMPUTED_VALUE"""),30.0)</f>
        <v>30</v>
      </c>
      <c r="H631" s="2">
        <f>IFERROR(__xludf.DUMMYFUNCTION("""COMPUTED_VALUE"""),35.0)</f>
        <v>35</v>
      </c>
      <c r="I631" s="2">
        <f>IFERROR(__xludf.DUMMYFUNCTION("""COMPUTED_VALUE"""),40.4)</f>
        <v>40.4</v>
      </c>
      <c r="J631" s="2">
        <f>IFERROR(__xludf.DUMMYFUNCTION("""COMPUTED_VALUE"""),20.0)</f>
        <v>20</v>
      </c>
      <c r="K631" s="2">
        <f>IFERROR(__xludf.DUMMYFUNCTION("""COMPUTED_VALUE"""),4.0)</f>
        <v>4</v>
      </c>
      <c r="L631" s="2" t="str">
        <f>IFERROR(__xludf.DUMMYFUNCTION("""COMPUTED_VALUE"""),"Лампа светодиодная LED-ШАР-standard")</f>
        <v>Лампа светодиодная LED-ШАР-standard</v>
      </c>
      <c r="M631" s="2" t="str">
        <f>IFERROR(__xludf.DUMMYFUNCTION("""COMPUTED_VALUE"""),"Лампы")</f>
        <v>Лампы</v>
      </c>
    </row>
    <row r="632">
      <c r="A632" s="5" t="str">
        <f>IFERROR(__xludf.DUMMYFUNCTION("""COMPUTED_VALUE"""),"4690612005126-10")</f>
        <v>4690612005126-10</v>
      </c>
      <c r="B632" s="5" t="str">
        <f>IFERROR(__xludf.DUMMYFUNCTION("""COMPUTED_VALUE"""),"10 шт. Лампа LED-GX53-standard 10Вт 160-260В 4000К 800Лм ASD (Комплект 10 шт)")</f>
        <v>10 шт. Лампа LED-GX53-standard 10Вт 160-260В 4000К 800Лм ASD (Комплект 10 шт)</v>
      </c>
      <c r="C632" s="2">
        <f>IFERROR(__xludf.DUMMYFUNCTION("""COMPUTED_VALUE"""),0.05500000000000001)</f>
        <v>0.055</v>
      </c>
      <c r="D632" s="2">
        <f>IFERROR(__xludf.DUMMYFUNCTION("""COMPUTED_VALUE"""),1.9E-4)</f>
        <v>0.00019</v>
      </c>
      <c r="E632" s="2">
        <f>IFERROR(__xludf.DUMMYFUNCTION("""COMPUTED_VALUE"""),527.1)</f>
        <v>527.1</v>
      </c>
      <c r="F632" s="2">
        <f>IFERROR(__xludf.DUMMYFUNCTION("""COMPUTED_VALUE"""),578.0)</f>
        <v>578</v>
      </c>
      <c r="G632" s="2">
        <f>IFERROR(__xludf.DUMMYFUNCTION("""COMPUTED_VALUE"""),759.0)</f>
        <v>759</v>
      </c>
      <c r="H632" s="2">
        <f>IFERROR(__xludf.DUMMYFUNCTION("""COMPUTED_VALUE"""),854.0)</f>
        <v>854</v>
      </c>
      <c r="I632" s="2">
        <f>IFERROR(__xludf.DUMMYFUNCTION("""COMPUTED_VALUE"""),949.0)</f>
        <v>949</v>
      </c>
      <c r="J632" s="2">
        <f>IFERROR(__xludf.DUMMYFUNCTION("""COMPUTED_VALUE"""),475.0)</f>
        <v>475</v>
      </c>
      <c r="K632" s="2">
        <f>IFERROR(__xludf.DUMMYFUNCTION("""COMPUTED_VALUE"""),7.0)</f>
        <v>7</v>
      </c>
      <c r="L632" s="2" t="str">
        <f>IFERROR(__xludf.DUMMYFUNCTION("""COMPUTED_VALUE"""),"Лампы производство, упаковка")</f>
        <v>Лампы производство, упаковка</v>
      </c>
      <c r="M632" s="2" t="str">
        <f>IFERROR(__xludf.DUMMYFUNCTION("""COMPUTED_VALUE"""),"Лампы")</f>
        <v>Лампы</v>
      </c>
    </row>
    <row r="633">
      <c r="A633" s="5" t="str">
        <f>IFERROR(__xludf.DUMMYFUNCTION("""COMPUTED_VALUE"""),"4690612003764")</f>
        <v>4690612003764</v>
      </c>
      <c r="B633" s="5" t="str">
        <f>IFERROR(__xludf.DUMMYFUNCTION("""COMPUTED_VALUE"""),"LED-JCD-standard 3Вт 160-260В G9 3000К")</f>
        <v>LED-JCD-standard 3Вт 160-260В G9 3000К</v>
      </c>
      <c r="C633" s="2">
        <f>IFERROR(__xludf.DUMMYFUNCTION("""COMPUTED_VALUE"""),0.0145)</f>
        <v>0.0145</v>
      </c>
      <c r="D633" s="2">
        <f>IFERROR(__xludf.DUMMYFUNCTION("""COMPUTED_VALUE"""),5.0E-5)</f>
        <v>0.00005</v>
      </c>
      <c r="E633" s="2">
        <f>IFERROR(__xludf.DUMMYFUNCTION("""COMPUTED_VALUE"""),55.13)</f>
        <v>55.13</v>
      </c>
      <c r="F633" s="2">
        <f>IFERROR(__xludf.DUMMYFUNCTION("""COMPUTED_VALUE"""),34.0)</f>
        <v>34</v>
      </c>
      <c r="G633" s="2">
        <f>IFERROR(__xludf.DUMMYFUNCTION("""COMPUTED_VALUE"""),38.0)</f>
        <v>38</v>
      </c>
      <c r="H633" s="2">
        <f>IFERROR(__xludf.DUMMYFUNCTION("""COMPUTED_VALUE"""),45.0)</f>
        <v>45</v>
      </c>
      <c r="I633" s="2">
        <f>IFERROR(__xludf.DUMMYFUNCTION("""COMPUTED_VALUE"""),51.8)</f>
        <v>51.8</v>
      </c>
      <c r="J633" s="2">
        <f>IFERROR(__xludf.DUMMYFUNCTION("""COMPUTED_VALUE"""),26.0)</f>
        <v>26</v>
      </c>
      <c r="K633" s="2">
        <f>IFERROR(__xludf.DUMMYFUNCTION("""COMPUTED_VALUE"""),1.0)</f>
        <v>1</v>
      </c>
      <c r="L633" s="2" t="str">
        <f>IFERROR(__xludf.DUMMYFUNCTION("""COMPUTED_VALUE"""),"Лампа светодиодная LED-JCD-standard")</f>
        <v>Лампа светодиодная LED-JCD-standard</v>
      </c>
      <c r="M633" s="2" t="str">
        <f>IFERROR(__xludf.DUMMYFUNCTION("""COMPUTED_VALUE"""),"Лампы")</f>
        <v>Лампы</v>
      </c>
    </row>
    <row r="634">
      <c r="A634" s="5" t="str">
        <f>IFERROR(__xludf.DUMMYFUNCTION("""COMPUTED_VALUE"""),"4690612020556")</f>
        <v>4690612020556</v>
      </c>
      <c r="B634" s="5" t="str">
        <f>IFERROR(__xludf.DUMMYFUNCTION("""COMPUTED_VALUE"""),"LED-ШАР-VC 8Вт 230В Е14 4000К 760Лм IN HOME")</f>
        <v>LED-ШАР-VC 8Вт 230В Е14 4000К 760Лм IN HOME</v>
      </c>
      <c r="C634" s="2">
        <f>IFERROR(__xludf.DUMMYFUNCTION("""COMPUTED_VALUE"""),0.031)</f>
        <v>0.031</v>
      </c>
      <c r="D634" s="2">
        <f>IFERROR(__xludf.DUMMYFUNCTION("""COMPUTED_VALUE"""),2.3E-4)</f>
        <v>0.00023</v>
      </c>
      <c r="E634" s="2">
        <f>IFERROR(__xludf.DUMMYFUNCTION("""COMPUTED_VALUE"""),35.47)</f>
        <v>35.47</v>
      </c>
      <c r="F634" s="2">
        <f>IFERROR(__xludf.DUMMYFUNCTION("""COMPUTED_VALUE"""),45.0)</f>
        <v>45</v>
      </c>
      <c r="G634" s="2">
        <f>IFERROR(__xludf.DUMMYFUNCTION("""COMPUTED_VALUE"""),50.0)</f>
        <v>50</v>
      </c>
      <c r="H634" s="2">
        <f>IFERROR(__xludf.DUMMYFUNCTION("""COMPUTED_VALUE"""),58.0)</f>
        <v>58</v>
      </c>
      <c r="I634" s="2">
        <f>IFERROR(__xludf.DUMMYFUNCTION("""COMPUTED_VALUE"""),67.6)</f>
        <v>67.6</v>
      </c>
      <c r="J634" s="2">
        <f>IFERROR(__xludf.DUMMYFUNCTION("""COMPUTED_VALUE"""),34.0)</f>
        <v>34</v>
      </c>
      <c r="K634" s="2">
        <f>IFERROR(__xludf.DUMMYFUNCTION("""COMPUTED_VALUE"""),1.0)</f>
        <v>1</v>
      </c>
      <c r="L634" s="2" t="str">
        <f>IFERROR(__xludf.DUMMYFUNCTION("""COMPUTED_VALUE"""),"Лампа светодиодная LED-ШАР-standard")</f>
        <v>Лампа светодиодная LED-ШАР-standard</v>
      </c>
      <c r="M634" s="2" t="str">
        <f>IFERROR(__xludf.DUMMYFUNCTION("""COMPUTED_VALUE"""),"Лампы")</f>
        <v>Лампы</v>
      </c>
    </row>
    <row r="635">
      <c r="A635" s="5" t="str">
        <f>IFERROR(__xludf.DUMMYFUNCTION("""COMPUTED_VALUE"""),"4690626030893")</f>
        <v>4690626030893</v>
      </c>
      <c r="B635" s="5" t="str">
        <f>IFERROR(__xludf.DUMMYFUNCTION("""COMPUTED_VALUE"""),"SBF-02-G")</f>
        <v>SBF-02-G</v>
      </c>
      <c r="C635" s="2">
        <f>IFERROR(__xludf.DUMMYFUNCTION("""COMPUTED_VALUE"""),0.294)</f>
        <v>0.294</v>
      </c>
      <c r="D635" s="2">
        <f>IFERROR(__xludf.DUMMYFUNCTION("""COMPUTED_VALUE"""),3.0E-5)</f>
        <v>0.00003</v>
      </c>
      <c r="E635" s="2">
        <f>IFERROR(__xludf.DUMMYFUNCTION("""COMPUTED_VALUE"""),288.75)</f>
        <v>288.75</v>
      </c>
      <c r="F635" s="2">
        <f>IFERROR(__xludf.DUMMYFUNCTION("""COMPUTED_VALUE"""),0.0)</f>
        <v>0</v>
      </c>
      <c r="G635" s="2">
        <f>IFERROR(__xludf.DUMMYFUNCTION("""COMPUTED_VALUE"""),0.0)</f>
        <v>0</v>
      </c>
      <c r="H635" s="2">
        <f>IFERROR(__xludf.DUMMYFUNCTION("""COMPUTED_VALUE"""),0.0)</f>
        <v>0</v>
      </c>
      <c r="I635" s="2">
        <f>IFERROR(__xludf.DUMMYFUNCTION("""COMPUTED_VALUE"""),0.0)</f>
        <v>0</v>
      </c>
      <c r="J635" s="2">
        <f>IFERROR(__xludf.DUMMYFUNCTION("""COMPUTED_VALUE"""),0.0)</f>
        <v>0</v>
      </c>
      <c r="K635" s="2">
        <f>IFERROR(__xludf.DUMMYFUNCTION("""COMPUTED_VALUE"""),1.0)</f>
        <v>1</v>
      </c>
      <c r="L635" s="2" t="str">
        <f>IFERROR(__xludf.DUMMYFUNCTION("""COMPUTED_VALUE"""),"Smartbuy фонари")</f>
        <v>Smartbuy фонари</v>
      </c>
      <c r="M635" s="2" t="str">
        <f>IFERROR(__xludf.DUMMYFUNCTION("""COMPUTED_VALUE"""),"Прочие товары")</f>
        <v>Прочие товары</v>
      </c>
    </row>
    <row r="636">
      <c r="A636" s="5" t="str">
        <f>IFERROR(__xludf.DUMMYFUNCTION("""COMPUTED_VALUE"""),"4690612020822-10")</f>
        <v>4690612020822-10</v>
      </c>
      <c r="B636" s="5" t="str">
        <f>IFERROR(__xludf.DUMMYFUNCTION("""COMPUTED_VALUE"""),"10 шт. Лампа LED-GX53-VC 15Вт 230В 4000К 1430Лм IN HOME (Комплект 10 шт)")</f>
        <v>10 шт. Лампа LED-GX53-VC 15Вт 230В 4000К 1430Лм IN HOME (Комплект 10 шт)</v>
      </c>
      <c r="C636" s="2">
        <f>IFERROR(__xludf.DUMMYFUNCTION("""COMPUTED_VALUE"""),0.04)</f>
        <v>0.04</v>
      </c>
      <c r="D636" s="2">
        <f>IFERROR(__xludf.DUMMYFUNCTION("""COMPUTED_VALUE"""),0.0021)</f>
        <v>0.0021</v>
      </c>
      <c r="E636" s="2">
        <f>IFERROR(__xludf.DUMMYFUNCTION("""COMPUTED_VALUE"""),534.0)</f>
        <v>534</v>
      </c>
      <c r="F636" s="2">
        <f>IFERROR(__xludf.DUMMYFUNCTION("""COMPUTED_VALUE"""),586.0)</f>
        <v>586</v>
      </c>
      <c r="G636" s="2">
        <f>IFERROR(__xludf.DUMMYFUNCTION("""COMPUTED_VALUE"""),769.0)</f>
        <v>769</v>
      </c>
      <c r="H636" s="2">
        <f>IFERROR(__xludf.DUMMYFUNCTION("""COMPUTED_VALUE"""),865.0)</f>
        <v>865</v>
      </c>
      <c r="I636" s="2">
        <f>IFERROR(__xludf.DUMMYFUNCTION("""COMPUTED_VALUE"""),961.0)</f>
        <v>961</v>
      </c>
      <c r="J636" s="2">
        <f>IFERROR(__xludf.DUMMYFUNCTION("""COMPUTED_VALUE"""),481.0)</f>
        <v>481</v>
      </c>
      <c r="K636" s="2">
        <f>IFERROR(__xludf.DUMMYFUNCTION("""COMPUTED_VALUE"""),9.0)</f>
        <v>9</v>
      </c>
      <c r="L636" s="2" t="str">
        <f>IFERROR(__xludf.DUMMYFUNCTION("""COMPUTED_VALUE"""),"Лампы производство, упаковка")</f>
        <v>Лампы производство, упаковка</v>
      </c>
      <c r="M636" s="2" t="str">
        <f>IFERROR(__xludf.DUMMYFUNCTION("""COMPUTED_VALUE"""),"Лампы")</f>
        <v>Лампы</v>
      </c>
    </row>
    <row r="637">
      <c r="A637" s="5" t="str">
        <f>IFERROR(__xludf.DUMMYFUNCTION("""COMPUTED_VALUE"""),"4690612003993")</f>
        <v>4690612003993</v>
      </c>
      <c r="B637" s="5" t="str">
        <f>IFERROR(__xludf.DUMMYFUNCTION("""COMPUTED_VALUE"""),"LED-ШАР-standard 7.5Вт 160-260В Е27 4000К ASD")</f>
        <v>LED-ШАР-standard 7.5Вт 160-260В Е27 4000К ASD</v>
      </c>
      <c r="C637" s="2">
        <f>IFERROR(__xludf.DUMMYFUNCTION("""COMPUTED_VALUE"""),0.0462)</f>
        <v>0.0462</v>
      </c>
      <c r="D637" s="2">
        <f>IFERROR(__xludf.DUMMYFUNCTION("""COMPUTED_VALUE"""),2.4E-4)</f>
        <v>0.00024</v>
      </c>
      <c r="E637" s="2">
        <f>IFERROR(__xludf.DUMMYFUNCTION("""COMPUTED_VALUE"""),41.71)</f>
        <v>41.71</v>
      </c>
      <c r="F637" s="2">
        <f>IFERROR(__xludf.DUMMYFUNCTION("""COMPUTED_VALUE"""),27.0)</f>
        <v>27</v>
      </c>
      <c r="G637" s="2">
        <f>IFERROR(__xludf.DUMMYFUNCTION("""COMPUTED_VALUE"""),30.0)</f>
        <v>30</v>
      </c>
      <c r="H637" s="2">
        <f>IFERROR(__xludf.DUMMYFUNCTION("""COMPUTED_VALUE"""),35.0)</f>
        <v>35</v>
      </c>
      <c r="I637" s="2">
        <f>IFERROR(__xludf.DUMMYFUNCTION("""COMPUTED_VALUE"""),40.4)</f>
        <v>40.4</v>
      </c>
      <c r="J637" s="2">
        <f>IFERROR(__xludf.DUMMYFUNCTION("""COMPUTED_VALUE"""),20.0)</f>
        <v>20</v>
      </c>
      <c r="K637" s="2">
        <f>IFERROR(__xludf.DUMMYFUNCTION("""COMPUTED_VALUE"""),8.0)</f>
        <v>8</v>
      </c>
      <c r="L637" s="2" t="str">
        <f>IFERROR(__xludf.DUMMYFUNCTION("""COMPUTED_VALUE"""),"Лампа светодиодная LED-ШАР-standard")</f>
        <v>Лампа светодиодная LED-ШАР-standard</v>
      </c>
      <c r="M637" s="2" t="str">
        <f>IFERROR(__xludf.DUMMYFUNCTION("""COMPUTED_VALUE"""),"Лампы")</f>
        <v>Лампы</v>
      </c>
    </row>
    <row r="638">
      <c r="A638" s="5" t="str">
        <f>IFERROR(__xludf.DUMMYFUNCTION("""COMPUTED_VALUE"""),"4690612012308-10")</f>
        <v>4690612012308-10</v>
      </c>
      <c r="B638" s="5" t="str">
        <f>IFERROR(__xludf.DUMMYFUNCTION("""COMPUTED_VALUE"""),"10 шт. Лампа LED-GX53-std 8Вт 230В 6500К 720Лм ASD (Комплект 10 шт)")</f>
        <v>10 шт. Лампа LED-GX53-std 8Вт 230В 6500К 720Лм ASD (Комплект 10 шт)</v>
      </c>
      <c r="C638" s="2">
        <f>IFERROR(__xludf.DUMMYFUNCTION("""COMPUTED_VALUE"""),0.04)</f>
        <v>0.04</v>
      </c>
      <c r="D638" s="2">
        <f>IFERROR(__xludf.DUMMYFUNCTION("""COMPUTED_VALUE"""),9.000000000000001E-4)</f>
        <v>0.0009</v>
      </c>
      <c r="E638" s="2">
        <f>IFERROR(__xludf.DUMMYFUNCTION("""COMPUTED_VALUE"""),421.6)</f>
        <v>421.6</v>
      </c>
      <c r="F638" s="2">
        <f>IFERROR(__xludf.DUMMYFUNCTION("""COMPUTED_VALUE"""),463.0)</f>
        <v>463</v>
      </c>
      <c r="G638" s="2">
        <f>IFERROR(__xludf.DUMMYFUNCTION("""COMPUTED_VALUE"""),607.0)</f>
        <v>607</v>
      </c>
      <c r="H638" s="2">
        <f>IFERROR(__xludf.DUMMYFUNCTION("""COMPUTED_VALUE"""),683.0)</f>
        <v>683</v>
      </c>
      <c r="I638" s="2">
        <f>IFERROR(__xludf.DUMMYFUNCTION("""COMPUTED_VALUE"""),759.0)</f>
        <v>759</v>
      </c>
      <c r="J638" s="2">
        <f>IFERROR(__xludf.DUMMYFUNCTION("""COMPUTED_VALUE"""),380.0)</f>
        <v>380</v>
      </c>
      <c r="K638" s="2">
        <f>IFERROR(__xludf.DUMMYFUNCTION("""COMPUTED_VALUE"""),6.0)</f>
        <v>6</v>
      </c>
      <c r="L638" s="2" t="str">
        <f>IFERROR(__xludf.DUMMYFUNCTION("""COMPUTED_VALUE"""),"Лампы производство, упаковка")</f>
        <v>Лампы производство, упаковка</v>
      </c>
      <c r="M638" s="2" t="str">
        <f>IFERROR(__xludf.DUMMYFUNCTION("""COMPUTED_VALUE"""),"Лампы")</f>
        <v>Лампы</v>
      </c>
    </row>
    <row r="639">
      <c r="A639" s="5" t="str">
        <f>IFERROR(__xludf.DUMMYFUNCTION("""COMPUTED_VALUE"""),"R100395")</f>
        <v>R100395</v>
      </c>
      <c r="B639" s="5" t="str">
        <f>IFERROR(__xludf.DUMMYFUNCTION("""COMPUTED_VALUE"""),"RSV-SSP-04-150W-6500K-IP65")</f>
        <v>RSV-SSP-04-150W-6500K-IP65</v>
      </c>
      <c r="C639" s="2">
        <f>IFERROR(__xludf.DUMMYFUNCTION("""COMPUTED_VALUE"""),0.36)</f>
        <v>0.36</v>
      </c>
      <c r="D639" s="2">
        <f>IFERROR(__xludf.DUMMYFUNCTION("""COMPUTED_VALUE"""),0.0022)</f>
        <v>0.0022</v>
      </c>
      <c r="E639" s="2">
        <f>IFERROR(__xludf.DUMMYFUNCTION("""COMPUTED_VALUE"""),2336.58)</f>
        <v>2336.58</v>
      </c>
      <c r="F639" s="2">
        <f>IFERROR(__xludf.DUMMYFUNCTION("""COMPUTED_VALUE"""),1966.0)</f>
        <v>1966</v>
      </c>
      <c r="G639" s="2">
        <f>IFERROR(__xludf.DUMMYFUNCTION("""COMPUTED_VALUE"""),2314.0)</f>
        <v>2314</v>
      </c>
      <c r="H639" s="2">
        <f>IFERROR(__xludf.DUMMYFUNCTION("""COMPUTED_VALUE"""),2383.0)</f>
        <v>2383</v>
      </c>
      <c r="I639" s="2">
        <f>IFERROR(__xludf.DUMMYFUNCTION("""COMPUTED_VALUE"""),2741.0)</f>
        <v>2741</v>
      </c>
      <c r="J639" s="2">
        <f>IFERROR(__xludf.DUMMYFUNCTION("""COMPUTED_VALUE"""),1371.0)</f>
        <v>1371</v>
      </c>
      <c r="K639" s="2">
        <f>IFERROR(__xludf.DUMMYFUNCTION("""COMPUTED_VALUE"""),1.0)</f>
        <v>1</v>
      </c>
      <c r="L639" s="2" t="str">
        <f>IFERROR(__xludf.DUMMYFUNCTION("""COMPUTED_VALUE"""),"Промышленное освещение RSV")</f>
        <v>Промышленное освещение RSV</v>
      </c>
      <c r="M639" s="2" t="str">
        <f>IFERROR(__xludf.DUMMYFUNCTION("""COMPUTED_VALUE"""),"Пластиковые (линейные), LED Светильники")</f>
        <v>Пластиковые (линейные), LED Светильники</v>
      </c>
    </row>
    <row r="640">
      <c r="A640" s="5" t="str">
        <f>IFERROR(__xludf.DUMMYFUNCTION("""COMPUTED_VALUE"""),"4690612029856")</f>
        <v>4690612029856</v>
      </c>
      <c r="B640" s="5" t="str">
        <f>IFERROR(__xludf.DUMMYFUNCTION("""COMPUTED_VALUE"""),"LPU-01 75Вт ПРИЗМА 230В 6500K 7125Лм 180х1195х19мм IP40 IN HOME")</f>
        <v>LPU-01 75Вт ПРИЗМА 230В 6500K 7125Лм 180х1195х19мм IP40 IN HOME</v>
      </c>
      <c r="C640" s="2">
        <f>IFERROR(__xludf.DUMMYFUNCTION("""COMPUTED_VALUE"""),1.225)</f>
        <v>1.225</v>
      </c>
      <c r="D640" s="2">
        <f>IFERROR(__xludf.DUMMYFUNCTION("""COMPUTED_VALUE"""),0.00525)</f>
        <v>0.00525</v>
      </c>
      <c r="E640" s="2">
        <f>IFERROR(__xludf.DUMMYFUNCTION("""COMPUTED_VALUE"""),730.24)</f>
        <v>730.24</v>
      </c>
      <c r="F640" s="2">
        <f>IFERROR(__xludf.DUMMYFUNCTION("""COMPUTED_VALUE"""),808.0)</f>
        <v>808</v>
      </c>
      <c r="G640" s="2">
        <f>IFERROR(__xludf.DUMMYFUNCTION("""COMPUTED_VALUE"""),909.0)</f>
        <v>909</v>
      </c>
      <c r="H640" s="2">
        <f>IFERROR(__xludf.DUMMYFUNCTION("""COMPUTED_VALUE"""),1054.0)</f>
        <v>1054</v>
      </c>
      <c r="I640" s="2">
        <f>IFERROR(__xludf.DUMMYFUNCTION("""COMPUTED_VALUE"""),1212.0)</f>
        <v>1212</v>
      </c>
      <c r="J640" s="2">
        <f>IFERROR(__xludf.DUMMYFUNCTION("""COMPUTED_VALUE"""),606.0)</f>
        <v>606</v>
      </c>
      <c r="K640" s="2">
        <f>IFERROR(__xludf.DUMMYFUNCTION("""COMPUTED_VALUE"""),4.0)</f>
        <v>4</v>
      </c>
      <c r="L640" s="2" t="str">
        <f>IFERROR(__xludf.DUMMYFUNCTION("""COMPUTED_VALUE"""),"Панели светодиодные LP серии ПРИЗМА")</f>
        <v>Панели светодиодные LP серии ПРИЗМА</v>
      </c>
      <c r="M640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641">
      <c r="A641" s="5" t="str">
        <f>IFERROR(__xludf.DUMMYFUNCTION("""COMPUTED_VALUE"""),"4690612053028-2")</f>
        <v>4690612053028-2</v>
      </c>
      <c r="B641" s="5" t="str">
        <f>IFERROR(__xludf.DUMMYFUNCTION("""COMPUTED_VALUE"""),"ДВО-02-EMERGENCY 3665-ПРИЗМА 36Вт 6500К 595х595х19 NEOX без БАП-10W90 (2 шт в упак.)")</f>
        <v>ДВО-02-EMERGENCY 3665-ПРИЗМА 36Вт 6500К 595х595х19 NEOX без БАП-10W90 (2 шт в упак.)</v>
      </c>
      <c r="C641" s="2">
        <f>IFERROR(__xludf.DUMMYFUNCTION("""COMPUTED_VALUE"""),1.29)</f>
        <v>1.29</v>
      </c>
      <c r="D641" s="2">
        <f>IFERROR(__xludf.DUMMYFUNCTION("""COMPUTED_VALUE"""),0.0)</f>
        <v>0</v>
      </c>
      <c r="E641" s="2">
        <f>IFERROR(__xludf.DUMMYFUNCTION("""COMPUTED_VALUE"""),1204.41)</f>
        <v>1204.41</v>
      </c>
      <c r="F641" s="2">
        <f>IFERROR(__xludf.DUMMYFUNCTION("""COMPUTED_VALUE"""),1321.0)</f>
        <v>1321</v>
      </c>
      <c r="G641" s="2">
        <f>IFERROR(__xludf.DUMMYFUNCTION("""COMPUTED_VALUE"""),1734.0)</f>
        <v>1734</v>
      </c>
      <c r="H641" s="2">
        <f>IFERROR(__xludf.DUMMYFUNCTION("""COMPUTED_VALUE"""),1951.0)</f>
        <v>1951</v>
      </c>
      <c r="I641" s="2">
        <f>IFERROR(__xludf.DUMMYFUNCTION("""COMPUTED_VALUE"""),2168.0)</f>
        <v>2168</v>
      </c>
      <c r="J641" s="2">
        <f>IFERROR(__xludf.DUMMYFUNCTION("""COMPUTED_VALUE"""),1084.0)</f>
        <v>1084</v>
      </c>
      <c r="K641" s="2">
        <f>IFERROR(__xludf.DUMMYFUNCTION("""COMPUTED_VALUE"""),3.0)</f>
        <v>3</v>
      </c>
      <c r="L641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641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642">
      <c r="A642" s="5" t="str">
        <f>IFERROR(__xludf.DUMMYFUNCTION("""COMPUTED_VALUE"""),"R100284")</f>
        <v>R100284</v>
      </c>
      <c r="B642" s="5" t="str">
        <f>IFERROR(__xludf.DUMMYFUNCTION("""COMPUTED_VALUE"""),"RSV-STP-150-6500K-IP66")</f>
        <v>RSV-STP-150-6500K-IP66</v>
      </c>
      <c r="C642" s="2">
        <f>IFERROR(__xludf.DUMMYFUNCTION("""COMPUTED_VALUE"""),3.6)</f>
        <v>3.6</v>
      </c>
      <c r="D642" s="2">
        <f>IFERROR(__xludf.DUMMYFUNCTION("""COMPUTED_VALUE"""),0.0146)</f>
        <v>0.0146</v>
      </c>
      <c r="E642" s="2">
        <f>IFERROR(__xludf.DUMMYFUNCTION("""COMPUTED_VALUE"""),3012.86)</f>
        <v>3012.86</v>
      </c>
      <c r="F642" s="2">
        <f>IFERROR(__xludf.DUMMYFUNCTION("""COMPUTED_VALUE"""),2353.0)</f>
        <v>2353</v>
      </c>
      <c r="G642" s="2">
        <f>IFERROR(__xludf.DUMMYFUNCTION("""COMPUTED_VALUE"""),2769.0)</f>
        <v>2769</v>
      </c>
      <c r="H642" s="2">
        <f>IFERROR(__xludf.DUMMYFUNCTION("""COMPUTED_VALUE"""),2852.0)</f>
        <v>2852</v>
      </c>
      <c r="I642" s="2">
        <f>IFERROR(__xludf.DUMMYFUNCTION("""COMPUTED_VALUE"""),3280.0)</f>
        <v>3280</v>
      </c>
      <c r="J642" s="2">
        <f>IFERROR(__xludf.DUMMYFUNCTION("""COMPUTED_VALUE"""),1640.0)</f>
        <v>1640</v>
      </c>
      <c r="K642" s="2">
        <f>IFERROR(__xludf.DUMMYFUNCTION("""COMPUTED_VALUE"""),2.0)</f>
        <v>2</v>
      </c>
      <c r="L642" s="2" t="str">
        <f>IFERROR(__xludf.DUMMYFUNCTION("""COMPUTED_VALUE"""),"Уличное освещение RSV")</f>
        <v>Уличное освещение RSV</v>
      </c>
      <c r="M642" s="2" t="str">
        <f>IFERROR(__xludf.DUMMYFUNCTION("""COMPUTED_VALUE"""),"Для обычных дорог, LED Светильники")</f>
        <v>Для обычных дорог, LED Светильники</v>
      </c>
    </row>
    <row r="643">
      <c r="A643" s="5" t="str">
        <f>IFERROR(__xludf.DUMMYFUNCTION("""COMPUTED_VALUE"""),"4690612033822")</f>
        <v>4690612033822</v>
      </c>
      <c r="B643" s="5" t="str">
        <f>IFERROR(__xludf.DUMMYFUNCTION("""COMPUTED_VALUE"""),"ДД 008 1200Вт 180 гр.12м IP44 черный IN HOME")</f>
        <v>ДД 008 1200Вт 180 гр.12м IP44 черный IN HOME</v>
      </c>
      <c r="C643" s="2">
        <f>IFERROR(__xludf.DUMMYFUNCTION("""COMPUTED_VALUE"""),0.226)</f>
        <v>0.226</v>
      </c>
      <c r="D643" s="2">
        <f>IFERROR(__xludf.DUMMYFUNCTION("""COMPUTED_VALUE"""),0.0014)</f>
        <v>0.0014</v>
      </c>
      <c r="E643" s="2">
        <f>IFERROR(__xludf.DUMMYFUNCTION("""COMPUTED_VALUE"""),295.63)</f>
        <v>295.63</v>
      </c>
      <c r="F643" s="2">
        <f>IFERROR(__xludf.DUMMYFUNCTION("""COMPUTED_VALUE"""),437.0)</f>
        <v>437</v>
      </c>
      <c r="G643" s="2">
        <f>IFERROR(__xludf.DUMMYFUNCTION("""COMPUTED_VALUE"""),492.0)</f>
        <v>492</v>
      </c>
      <c r="H643" s="2">
        <f>IFERROR(__xludf.DUMMYFUNCTION("""COMPUTED_VALUE"""),571.0)</f>
        <v>571</v>
      </c>
      <c r="I643" s="2">
        <f>IFERROR(__xludf.DUMMYFUNCTION("""COMPUTED_VALUE"""),656.0)</f>
        <v>656</v>
      </c>
      <c r="J643" s="2">
        <f>IFERROR(__xludf.DUMMYFUNCTION("""COMPUTED_VALUE"""),296.0)</f>
        <v>296</v>
      </c>
      <c r="K643" s="2">
        <f>IFERROR(__xludf.DUMMYFUNCTION("""COMPUTED_VALUE"""),1.0)</f>
        <v>1</v>
      </c>
      <c r="L643" s="2" t="str">
        <f>IFERROR(__xludf.DUMMYFUNCTION("""COMPUTED_VALUE"""),"ASD Комплектующие")</f>
        <v>ASD Комплектующие</v>
      </c>
      <c r="M643" s="2" t="str">
        <f>IFERROR(__xludf.DUMMYFUNCTION("""COMPUTED_VALUE"""),"Прочие товары")</f>
        <v>Прочие товары</v>
      </c>
    </row>
    <row r="644">
      <c r="A644" s="5" t="str">
        <f>IFERROR(__xludf.DUMMYFUNCTION("""COMPUTED_VALUE"""),"4690612015118")</f>
        <v>4690612015118</v>
      </c>
      <c r="B644" s="5" t="str">
        <f>IFERROR(__xludf.DUMMYFUNCTION("""COMPUTED_VALUE"""),"NL02-CY Цыпленок с датчиком освещения 230В ЖЕЛТЫЙ IN HOME")</f>
        <v>NL02-CY Цыпленок с датчиком освещения 230В ЖЕЛТЫЙ IN HOME</v>
      </c>
      <c r="C644" s="2">
        <f>IFERROR(__xludf.DUMMYFUNCTION("""COMPUTED_VALUE"""),0.111)</f>
        <v>0.111</v>
      </c>
      <c r="D644" s="2">
        <f>IFERROR(__xludf.DUMMYFUNCTION("""COMPUTED_VALUE"""),0.0022)</f>
        <v>0.0022</v>
      </c>
      <c r="E644" s="2">
        <f>IFERROR(__xludf.DUMMYFUNCTION("""COMPUTED_VALUE"""),250.28)</f>
        <v>250.28</v>
      </c>
      <c r="F644" s="2">
        <f>IFERROR(__xludf.DUMMYFUNCTION("""COMPUTED_VALUE"""),100.0)</f>
        <v>100</v>
      </c>
      <c r="G644" s="2">
        <f>IFERROR(__xludf.DUMMYFUNCTION("""COMPUTED_VALUE"""),113.0)</f>
        <v>113</v>
      </c>
      <c r="H644" s="2">
        <f>IFERROR(__xludf.DUMMYFUNCTION("""COMPUTED_VALUE"""),131.0)</f>
        <v>131</v>
      </c>
      <c r="I644" s="2">
        <f>IFERROR(__xludf.DUMMYFUNCTION("""COMPUTED_VALUE"""),150.0)</f>
        <v>150</v>
      </c>
      <c r="J644" s="2">
        <f>IFERROR(__xludf.DUMMYFUNCTION("""COMPUTED_VALUE"""),75.0)</f>
        <v>75</v>
      </c>
      <c r="K644" s="2">
        <f>IFERROR(__xludf.DUMMYFUNCTION("""COMPUTED_VALUE"""),8.0)</f>
        <v>8</v>
      </c>
      <c r="L644" s="2" t="str">
        <f>IFERROR(__xludf.DUMMYFUNCTION("""COMPUTED_VALUE"""),"Светильники ночники")</f>
        <v>Светильники ночники</v>
      </c>
      <c r="M644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645">
      <c r="A645" s="5" t="str">
        <f>IFERROR(__xludf.DUMMYFUNCTION("""COMPUTED_VALUE"""),"ves015")</f>
        <v>ves015</v>
      </c>
      <c r="B645" s="5" t="str">
        <f>IFERROR(__xludf.DUMMYFUNCTION("""COMPUTED_VALUE"""),"Фонарь светодиодный NPT-SP12-ACCU")</f>
        <v>Фонарь светодиодный NPT-SP12-ACCU</v>
      </c>
      <c r="C645" s="2">
        <f>IFERROR(__xludf.DUMMYFUNCTION("""COMPUTED_VALUE"""),0.0)</f>
        <v>0</v>
      </c>
      <c r="D645" s="2">
        <f>IFERROR(__xludf.DUMMYFUNCTION("""COMPUTED_VALUE"""),0.0)</f>
        <v>0</v>
      </c>
      <c r="E645" s="2">
        <f>IFERROR(__xludf.DUMMYFUNCTION("""COMPUTED_VALUE"""),1880.96)</f>
        <v>1880.96</v>
      </c>
      <c r="F645" s="2">
        <f>IFERROR(__xludf.DUMMYFUNCTION("""COMPUTED_VALUE"""),1800.0)</f>
        <v>1800</v>
      </c>
      <c r="G645" s="2">
        <f>IFERROR(__xludf.DUMMYFUNCTION("""COMPUTED_VALUE"""),1920.0)</f>
        <v>1920</v>
      </c>
      <c r="H645" s="2">
        <f>IFERROR(__xludf.DUMMYFUNCTION("""COMPUTED_VALUE"""),2160.0)</f>
        <v>2160</v>
      </c>
      <c r="I645" s="2">
        <f>IFERROR(__xludf.DUMMYFUNCTION("""COMPUTED_VALUE"""),2400.0)</f>
        <v>2400</v>
      </c>
      <c r="J645" s="2">
        <f>IFERROR(__xludf.DUMMYFUNCTION("""COMPUTED_VALUE"""),1200.0)</f>
        <v>1200</v>
      </c>
      <c r="K645" s="2">
        <f>IFERROR(__xludf.DUMMYFUNCTION("""COMPUTED_VALUE"""),11.0)</f>
        <v>11</v>
      </c>
      <c r="L645" s="2" t="str">
        <f>IFERROR(__xludf.DUMMYFUNCTION("""COMPUTED_VALUE"""),"ves")</f>
        <v>ves</v>
      </c>
      <c r="M645" s="2" t="str">
        <f>IFERROR(__xludf.DUMMYFUNCTION("""COMPUTED_VALUE"""),"LED Светильники")</f>
        <v>LED Светильники</v>
      </c>
    </row>
    <row r="646">
      <c r="A646" s="5" t="str">
        <f>IFERROR(__xludf.DUMMYFUNCTION("""COMPUTED_VALUE"""),"12-0167")</f>
        <v>12-0167</v>
      </c>
      <c r="B646" s="5" t="str">
        <f>IFERROR(__xludf.DUMMYFUNCTION("""COMPUTED_VALUE"""),"Набор для пайки (паяльник 8 Вт, оловоотсос, подставка, припой, отвертка, интрумент для монтажа) REXANT")</f>
        <v>Набор для пайки (паяльник 8 Вт, оловоотсос, подставка, припой, отвертка, интрумент для монтажа) REXANT</v>
      </c>
      <c r="C646" s="2">
        <f>IFERROR(__xludf.DUMMYFUNCTION("""COMPUTED_VALUE"""),0.0)</f>
        <v>0</v>
      </c>
      <c r="D646" s="2">
        <f>IFERROR(__xludf.DUMMYFUNCTION("""COMPUTED_VALUE"""),0.0)</f>
        <v>0</v>
      </c>
      <c r="E646" s="2">
        <f>IFERROR(__xludf.DUMMYFUNCTION("""COMPUTED_VALUE"""),1.0)</f>
        <v>1</v>
      </c>
      <c r="F646" s="2">
        <f>IFERROR(__xludf.DUMMYFUNCTION("""COMPUTED_VALUE"""),2302.0)</f>
        <v>2302</v>
      </c>
      <c r="G646" s="2">
        <f>IFERROR(__xludf.DUMMYFUNCTION("""COMPUTED_VALUE"""),2455.0)</f>
        <v>2455</v>
      </c>
      <c r="H646" s="2">
        <f>IFERROR(__xludf.DUMMYFUNCTION("""COMPUTED_VALUE"""),2762.0)</f>
        <v>2762</v>
      </c>
      <c r="I646" s="2">
        <f>IFERROR(__xludf.DUMMYFUNCTION("""COMPUTED_VALUE"""),3068.81)</f>
        <v>3068.81</v>
      </c>
      <c r="J646" s="2">
        <f>IFERROR(__xludf.DUMMYFUNCTION("""COMPUTED_VALUE"""),2302.0)</f>
        <v>2302</v>
      </c>
      <c r="K646" s="2">
        <f>IFERROR(__xludf.DUMMYFUNCTION("""COMPUTED_VALUE"""),2.0)</f>
        <v>2</v>
      </c>
      <c r="L646" s="2" t="str">
        <f>IFERROR(__xludf.DUMMYFUNCTION("""COMPUTED_VALUE"""),"Rexant")</f>
        <v>Rexant</v>
      </c>
      <c r="M646" s="2" t="str">
        <f>IFERROR(__xludf.DUMMYFUNCTION("""COMPUTED_VALUE"""),"Прочие товары")</f>
        <v>Прочие товары</v>
      </c>
    </row>
    <row r="647">
      <c r="A647" s="5" t="str">
        <f>IFERROR(__xludf.DUMMYFUNCTION("""COMPUTED_VALUE"""),"55106")</f>
        <v>55106</v>
      </c>
      <c r="B647" s="5" t="str">
        <f>IFERROR(__xludf.DUMMYFUNCTION("""COMPUTED_VALUE"""),"Шар ""Диско"", 6 разноцветных LED ламп, 18*18*15 см, MP3 проигрыватель, 2 колонки, USB и SD разъемы, пульт в комплекте, 220v /12/6")</f>
        <v>Шар "Диско", 6 разноцветных LED ламп, 18*18*15 см, MP3 проигрыватель, 2 колонки, USB и SD разъемы, пульт в комплекте, 220v /12/6</v>
      </c>
      <c r="C647" s="2">
        <f>IFERROR(__xludf.DUMMYFUNCTION("""COMPUTED_VALUE"""),0.0)</f>
        <v>0</v>
      </c>
      <c r="D647" s="2">
        <f>IFERROR(__xludf.DUMMYFUNCTION("""COMPUTED_VALUE"""),0.0)</f>
        <v>0</v>
      </c>
      <c r="E647" s="2">
        <f>IFERROR(__xludf.DUMMYFUNCTION("""COMPUTED_VALUE"""),1811.04)</f>
        <v>1811.04</v>
      </c>
      <c r="F647" s="2">
        <f>IFERROR(__xludf.DUMMYFUNCTION("""COMPUTED_VALUE"""),1829.0)</f>
        <v>1829</v>
      </c>
      <c r="G647" s="2">
        <f>IFERROR(__xludf.DUMMYFUNCTION("""COMPUTED_VALUE"""),1995.0)</f>
        <v>1995</v>
      </c>
      <c r="H647" s="2">
        <f>IFERROR(__xludf.DUMMYFUNCTION("""COMPUTED_VALUE"""),2161.0)</f>
        <v>2161</v>
      </c>
      <c r="I647" s="2">
        <f>IFERROR(__xludf.DUMMYFUNCTION("""COMPUTED_VALUE"""),2327.0)</f>
        <v>2327</v>
      </c>
      <c r="J647" s="2">
        <f>IFERROR(__xludf.DUMMYFUNCTION("""COMPUTED_VALUE"""),1164.0)</f>
        <v>1164</v>
      </c>
      <c r="K647" s="2">
        <f>IFERROR(__xludf.DUMMYFUNCTION("""COMPUTED_VALUE"""),10.0)</f>
        <v>10</v>
      </c>
      <c r="L647" s="2" t="str">
        <f>IFERROR(__xludf.DUMMYFUNCTION("""COMPUTED_VALUE"""),"Праздничная иллюминация")</f>
        <v>Праздничная иллюминация</v>
      </c>
      <c r="M647" s="2" t="str">
        <f>IFERROR(__xludf.DUMMYFUNCTION("""COMPUTED_VALUE"""),"Гирлянды светодиодные (LED), Прочие товары")</f>
        <v>Гирлянды светодиодные (LED), Прочие товары</v>
      </c>
    </row>
    <row r="648">
      <c r="A648" s="5" t="str">
        <f>IFERROR(__xludf.DUMMYFUNCTION("""COMPUTED_VALUE"""),"14690612042333")</f>
        <v>14690612042333</v>
      </c>
      <c r="B648" s="5" t="str">
        <f>IFERROR(__xludf.DUMMYFUNCTION("""COMPUTED_VALUE"""),"ДВО-01 4065-ОПАЛ 40Вт 230В 6500К 3600Лм 180х1195х25мм NEOX (4 шт в упак.)")</f>
        <v>ДВО-01 4065-ОПАЛ 40Вт 230В 6500К 3600Лм 180х1195х25мм NEOX (4 шт в упак.)</v>
      </c>
      <c r="C648" s="2">
        <f>IFERROR(__xludf.DUMMYFUNCTION("""COMPUTED_VALUE"""),1.45)</f>
        <v>1.45</v>
      </c>
      <c r="D648" s="2">
        <f>IFERROR(__xludf.DUMMYFUNCTION("""COMPUTED_VALUE"""),0.0)</f>
        <v>0</v>
      </c>
      <c r="E648" s="2">
        <f>IFERROR(__xludf.DUMMYFUNCTION("""COMPUTED_VALUE"""),3028.73)</f>
        <v>3028.73</v>
      </c>
      <c r="F648" s="2">
        <f>IFERROR(__xludf.DUMMYFUNCTION("""COMPUTED_VALUE"""),3323.0)</f>
        <v>3323</v>
      </c>
      <c r="G648" s="2">
        <f>IFERROR(__xludf.DUMMYFUNCTION("""COMPUTED_VALUE"""),4362.0)</f>
        <v>4362</v>
      </c>
      <c r="H648" s="2">
        <f>IFERROR(__xludf.DUMMYFUNCTION("""COMPUTED_VALUE"""),4907.0)</f>
        <v>4907</v>
      </c>
      <c r="I648" s="2">
        <f>IFERROR(__xludf.DUMMYFUNCTION("""COMPUTED_VALUE"""),5452.0)</f>
        <v>5452</v>
      </c>
      <c r="J648" s="2">
        <f>IFERROR(__xludf.DUMMYFUNCTION("""COMPUTED_VALUE"""),2726.0)</f>
        <v>2726</v>
      </c>
      <c r="K648" s="2">
        <f>IFERROR(__xludf.DUMMYFUNCTION("""COMPUTED_VALUE"""),5.0)</f>
        <v>5</v>
      </c>
      <c r="L648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648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649">
      <c r="A649" s="5" t="str">
        <f>IFERROR(__xludf.DUMMYFUNCTION("""COMPUTED_VALUE"""),"4680005957880")</f>
        <v>4680005957880</v>
      </c>
      <c r="B649" s="5" t="str">
        <f>IFERROR(__xludf.DUMMYFUNCTION("""COMPUTED_VALUE"""),"Патрон-переходник Е40/Е27 короткий")</f>
        <v>Патрон-переходник Е40/Е27 короткий</v>
      </c>
      <c r="C649" s="2">
        <f>IFERROR(__xludf.DUMMYFUNCTION("""COMPUTED_VALUE"""),0.029)</f>
        <v>0.029</v>
      </c>
      <c r="D649" s="2">
        <f>IFERROR(__xludf.DUMMYFUNCTION("""COMPUTED_VALUE"""),1.2E-4)</f>
        <v>0.00012</v>
      </c>
      <c r="E649" s="2">
        <f>IFERROR(__xludf.DUMMYFUNCTION("""COMPUTED_VALUE"""),24.9)</f>
        <v>24.9</v>
      </c>
      <c r="F649" s="2">
        <f>IFERROR(__xludf.DUMMYFUNCTION("""COMPUTED_VALUE"""),31.0)</f>
        <v>31</v>
      </c>
      <c r="G649" s="2">
        <f>IFERROR(__xludf.DUMMYFUNCTION("""COMPUTED_VALUE"""),35.0)</f>
        <v>35</v>
      </c>
      <c r="H649" s="2">
        <f>IFERROR(__xludf.DUMMYFUNCTION("""COMPUTED_VALUE"""),41.0)</f>
        <v>41</v>
      </c>
      <c r="I649" s="2">
        <f>IFERROR(__xludf.DUMMYFUNCTION("""COMPUTED_VALUE"""),47.0)</f>
        <v>47</v>
      </c>
      <c r="J649" s="2">
        <f>IFERROR(__xludf.DUMMYFUNCTION("""COMPUTED_VALUE"""),24.0)</f>
        <v>24</v>
      </c>
      <c r="K649" s="2">
        <f>IFERROR(__xludf.DUMMYFUNCTION("""COMPUTED_VALUE"""),1.0)</f>
        <v>1</v>
      </c>
      <c r="L649" s="2" t="str">
        <f>IFERROR(__xludf.DUMMYFUNCTION("""COMPUTED_VALUE"""),"ASD электромонтажные изделия")</f>
        <v>ASD электромонтажные изделия</v>
      </c>
      <c r="M649" s="2" t="str">
        <f>IFERROR(__xludf.DUMMYFUNCTION("""COMPUTED_VALUE"""),"Прочие товары")</f>
        <v>Прочие товары</v>
      </c>
    </row>
    <row r="650">
      <c r="A650" s="5" t="str">
        <f>IFERROR(__xludf.DUMMYFUNCTION("""COMPUTED_VALUE"""),"4690612038162-1")</f>
        <v>4690612038162-1</v>
      </c>
      <c r="B650" s="5" t="str">
        <f>IFERROR(__xludf.DUMMYFUNCTION("""COMPUTED_VALUE"""),"ДВО-02 3640-ПРИЗМА 36Вт 230В 4000К 4020Лм 110Лм/Вт 595х595х19 NEOX (в индивид. уп)")</f>
        <v>ДВО-02 3640-ПРИЗМА 36Вт 230В 4000К 4020Лм 110Лм/Вт 595х595х19 NEOX (в индивид. уп)</v>
      </c>
      <c r="C650" s="2">
        <f>IFERROR(__xludf.DUMMYFUNCTION("""COMPUTED_VALUE"""),1.28)</f>
        <v>1.28</v>
      </c>
      <c r="D650" s="2">
        <f>IFERROR(__xludf.DUMMYFUNCTION("""COMPUTED_VALUE"""),0.006730000000000001)</f>
        <v>0.00673</v>
      </c>
      <c r="E650" s="2">
        <f>IFERROR(__xludf.DUMMYFUNCTION("""COMPUTED_VALUE"""),524.22)</f>
        <v>524.22</v>
      </c>
      <c r="F650" s="2">
        <f>IFERROR(__xludf.DUMMYFUNCTION("""COMPUTED_VALUE"""),575.0)</f>
        <v>575</v>
      </c>
      <c r="G650" s="2">
        <f>IFERROR(__xludf.DUMMYFUNCTION("""COMPUTED_VALUE"""),755.0)</f>
        <v>755</v>
      </c>
      <c r="H650" s="2">
        <f>IFERROR(__xludf.DUMMYFUNCTION("""COMPUTED_VALUE"""),850.0)</f>
        <v>850</v>
      </c>
      <c r="I650" s="2">
        <f>IFERROR(__xludf.DUMMYFUNCTION("""COMPUTED_VALUE"""),944.0)</f>
        <v>944</v>
      </c>
      <c r="J650" s="2">
        <f>IFERROR(__xludf.DUMMYFUNCTION("""COMPUTED_VALUE"""),472.0)</f>
        <v>472</v>
      </c>
      <c r="K650" s="2">
        <f>IFERROR(__xludf.DUMMYFUNCTION("""COMPUTED_VALUE"""),82.0)</f>
        <v>82</v>
      </c>
      <c r="L650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650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651">
      <c r="A651" s="5" t="str">
        <f>IFERROR(__xludf.DUMMYFUNCTION("""COMPUTED_VALUE"""),"4690612020440")</f>
        <v>4690612020440</v>
      </c>
      <c r="B651" s="5" t="str">
        <f>IFERROR(__xludf.DUMMYFUNCTION("""COMPUTED_VALUE"""),"LED-СВЕЧА-VC 8Вт 230В Е27 3000К 760Лм IN HOME")</f>
        <v>LED-СВЕЧА-VC 8Вт 230В Е27 3000К 760Лм IN HOME</v>
      </c>
      <c r="C651" s="2">
        <f>IFERROR(__xludf.DUMMYFUNCTION("""COMPUTED_VALUE"""),0.028)</f>
        <v>0.028</v>
      </c>
      <c r="D651" s="2">
        <f>IFERROR(__xludf.DUMMYFUNCTION("""COMPUTED_VALUE"""),1.9E-4)</f>
        <v>0.00019</v>
      </c>
      <c r="E651" s="2">
        <f>IFERROR(__xludf.DUMMYFUNCTION("""COMPUTED_VALUE"""),35.4)</f>
        <v>35.4</v>
      </c>
      <c r="F651" s="2">
        <f>IFERROR(__xludf.DUMMYFUNCTION("""COMPUTED_VALUE"""),45.0)</f>
        <v>45</v>
      </c>
      <c r="G651" s="2">
        <f>IFERROR(__xludf.DUMMYFUNCTION("""COMPUTED_VALUE"""),50.0)</f>
        <v>50</v>
      </c>
      <c r="H651" s="2">
        <f>IFERROR(__xludf.DUMMYFUNCTION("""COMPUTED_VALUE"""),58.0)</f>
        <v>58</v>
      </c>
      <c r="I651" s="2">
        <f>IFERROR(__xludf.DUMMYFUNCTION("""COMPUTED_VALUE"""),67.6)</f>
        <v>67.6</v>
      </c>
      <c r="J651" s="2">
        <f>IFERROR(__xludf.DUMMYFUNCTION("""COMPUTED_VALUE"""),34.0)</f>
        <v>34</v>
      </c>
      <c r="K651" s="2">
        <f>IFERROR(__xludf.DUMMYFUNCTION("""COMPUTED_VALUE"""),53.0)</f>
        <v>53</v>
      </c>
      <c r="L651" s="2" t="str">
        <f>IFERROR(__xludf.DUMMYFUNCTION("""COMPUTED_VALUE"""),"Лампа светодиодная LED-СВЕЧА-standard")</f>
        <v>Лампа светодиодная LED-СВЕЧА-standard</v>
      </c>
      <c r="M651" s="2" t="str">
        <f>IFERROR(__xludf.DUMMYFUNCTION("""COMPUTED_VALUE"""),"Лампы")</f>
        <v>Лампы</v>
      </c>
    </row>
    <row r="652">
      <c r="A652" s="5" t="str">
        <f>IFERROR(__xludf.DUMMYFUNCTION("""COMPUTED_VALUE"""),"4690612015507")</f>
        <v>4690612015507</v>
      </c>
      <c r="B652" s="5" t="str">
        <f>IFERROR(__xludf.DUMMYFUNCTION("""COMPUTED_VALUE"""),"LED-СВЕЧА-standard 10Вт 230В Е14 3000К 900Лм ASD")</f>
        <v>LED-СВЕЧА-standard 10Вт 230В Е14 3000К 900Лм ASD</v>
      </c>
      <c r="C652" s="2">
        <f>IFERROR(__xludf.DUMMYFUNCTION("""COMPUTED_VALUE"""),0.033)</f>
        <v>0.033</v>
      </c>
      <c r="D652" s="2">
        <f>IFERROR(__xludf.DUMMYFUNCTION("""COMPUTED_VALUE"""),1.9E-4)</f>
        <v>0.00019</v>
      </c>
      <c r="E652" s="2">
        <f>IFERROR(__xludf.DUMMYFUNCTION("""COMPUTED_VALUE"""),29.77)</f>
        <v>29.77</v>
      </c>
      <c r="F652" s="2">
        <f>IFERROR(__xludf.DUMMYFUNCTION("""COMPUTED_VALUE"""),33.0)</f>
        <v>33</v>
      </c>
      <c r="G652" s="2">
        <f>IFERROR(__xludf.DUMMYFUNCTION("""COMPUTED_VALUE"""),37.0)</f>
        <v>37</v>
      </c>
      <c r="H652" s="2">
        <f>IFERROR(__xludf.DUMMYFUNCTION("""COMPUTED_VALUE"""),43.0)</f>
        <v>43</v>
      </c>
      <c r="I652" s="2">
        <f>IFERROR(__xludf.DUMMYFUNCTION("""COMPUTED_VALUE"""),49.9)</f>
        <v>49.9</v>
      </c>
      <c r="J652" s="2">
        <f>IFERROR(__xludf.DUMMYFUNCTION("""COMPUTED_VALUE"""),25.0)</f>
        <v>25</v>
      </c>
      <c r="K652" s="2">
        <f>IFERROR(__xludf.DUMMYFUNCTION("""COMPUTED_VALUE"""),6.0)</f>
        <v>6</v>
      </c>
      <c r="L652" s="2" t="str">
        <f>IFERROR(__xludf.DUMMYFUNCTION("""COMPUTED_VALUE"""),"ASD лампы LED")</f>
        <v>ASD лампы LED</v>
      </c>
      <c r="M652" s="2" t="str">
        <f>IFERROR(__xludf.DUMMYFUNCTION("""COMPUTED_VALUE"""),"Лампы")</f>
        <v>Лампы</v>
      </c>
    </row>
    <row r="653">
      <c r="A653" s="5" t="str">
        <f>IFERROR(__xludf.DUMMYFUNCTION("""COMPUTED_VALUE"""),"4690612042640")</f>
        <v>4690612042640</v>
      </c>
      <c r="B653" s="5" t="str">
        <f>IFERROR(__xludf.DUMMYFUNCTION("""COMPUTED_VALUE"""),"LHB-02 200Вт 120гр 230В 5000К 21000Лм 105Лм/Вт IP65 без пульсации NEOX")</f>
        <v>LHB-02 200Вт 120гр 230В 5000К 21000Лм 105Лм/Вт IP65 без пульсации NEOX</v>
      </c>
      <c r="C653" s="2">
        <f>IFERROR(__xludf.DUMMYFUNCTION("""COMPUTED_VALUE"""),1.75)</f>
        <v>1.75</v>
      </c>
      <c r="D653" s="2">
        <f>IFERROR(__xludf.DUMMYFUNCTION("""COMPUTED_VALUE"""),0.007600000000000001)</f>
        <v>0.0076</v>
      </c>
      <c r="E653" s="2">
        <f>IFERROR(__xludf.DUMMYFUNCTION("""COMPUTED_VALUE"""),2578.07)</f>
        <v>2578.07</v>
      </c>
      <c r="F653" s="2">
        <f>IFERROR(__xludf.DUMMYFUNCTION("""COMPUTED_VALUE"""),2564.0)</f>
        <v>2564</v>
      </c>
      <c r="G653" s="2">
        <f>IFERROR(__xludf.DUMMYFUNCTION("""COMPUTED_VALUE"""),2885.0)</f>
        <v>2885</v>
      </c>
      <c r="H653" s="2">
        <f>IFERROR(__xludf.DUMMYFUNCTION("""COMPUTED_VALUE"""),3346.0)</f>
        <v>3346</v>
      </c>
      <c r="I653" s="2">
        <f>IFERROR(__xludf.DUMMYFUNCTION("""COMPUTED_VALUE"""),3846.0)</f>
        <v>3846</v>
      </c>
      <c r="J653" s="2">
        <f>IFERROR(__xludf.DUMMYFUNCTION("""COMPUTED_VALUE"""),1923.0)</f>
        <v>1923</v>
      </c>
      <c r="K653" s="2">
        <f>IFERROR(__xludf.DUMMYFUNCTION("""COMPUTED_VALUE"""),5.0)</f>
        <v>5</v>
      </c>
      <c r="L653" s="2" t="str">
        <f>IFERROR(__xludf.DUMMYFUNCTION("""COMPUTED_VALUE"""),"NEOX Светильники LED LHB, WHB")</f>
        <v>NEOX Светильники LED LHB, WHB</v>
      </c>
      <c r="M653" s="2" t="str">
        <f>IFERROR(__xludf.DUMMYFUNCTION("""COMPUTED_VALUE"""),"Промышленные светильники (LED), LED Светильники")</f>
        <v>Промышленные светильники (LED), LED Светильники</v>
      </c>
    </row>
    <row r="654">
      <c r="A654" s="5" t="str">
        <f>IFERROR(__xludf.DUMMYFUNCTION("""COMPUTED_VALUE"""),"4690612053004")</f>
        <v>4690612053004</v>
      </c>
      <c r="B654" s="5" t="str">
        <f>IFERROR(__xludf.DUMMYFUNCTION("""COMPUTED_VALUE"""),"ДВО-01 7565-ПРИЗМА 75Вт 6500К 180х1195х19 NEOX")</f>
        <v>ДВО-01 7565-ПРИЗМА 75Вт 6500К 180х1195х19 NEOX</v>
      </c>
      <c r="C654" s="2">
        <f>IFERROR(__xludf.DUMMYFUNCTION("""COMPUTED_VALUE"""),1.23)</f>
        <v>1.23</v>
      </c>
      <c r="D654" s="2">
        <f>IFERROR(__xludf.DUMMYFUNCTION("""COMPUTED_VALUE"""),0.00525)</f>
        <v>0.00525</v>
      </c>
      <c r="E654" s="2">
        <f>IFERROR(__xludf.DUMMYFUNCTION("""COMPUTED_VALUE"""),738.12)</f>
        <v>738.12</v>
      </c>
      <c r="F654" s="2">
        <f>IFERROR(__xludf.DUMMYFUNCTION("""COMPUTED_VALUE"""),945.0)</f>
        <v>945</v>
      </c>
      <c r="G654" s="2">
        <f>IFERROR(__xludf.DUMMYFUNCTION("""COMPUTED_VALUE"""),1063.0)</f>
        <v>1063</v>
      </c>
      <c r="H654" s="2">
        <f>IFERROR(__xludf.DUMMYFUNCTION("""COMPUTED_VALUE"""),1233.0)</f>
        <v>1233</v>
      </c>
      <c r="I654" s="2">
        <f>IFERROR(__xludf.DUMMYFUNCTION("""COMPUTED_VALUE"""),1417.0)</f>
        <v>1417</v>
      </c>
      <c r="J654" s="2">
        <f>IFERROR(__xludf.DUMMYFUNCTION("""COMPUTED_VALUE"""),1417.0)</f>
        <v>1417</v>
      </c>
      <c r="K654" s="2">
        <f>IFERROR(__xludf.DUMMYFUNCTION("""COMPUTED_VALUE"""),0.0)</f>
        <v>0</v>
      </c>
      <c r="L654" s="2" t="str">
        <f>IFERROR(__xludf.DUMMYFUNCTION("""COMPUTED_VALUE"""),"NEOX Светильники LED ДВО")</f>
        <v>NEOX Светильники LED ДВО</v>
      </c>
      <c r="M654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655">
      <c r="A655" s="5" t="str">
        <f>IFERROR(__xludf.DUMMYFUNCTION("""COMPUTED_VALUE"""),"G207707102")</f>
        <v>G207707102</v>
      </c>
      <c r="B655" s="5" t="str">
        <f>IFERROR(__xludf.DUMMYFUNCTION("""COMPUTED_VALUE"""),"G4 12V 2W 2700K 1/20/200")</f>
        <v>G4 12V 2W 2700K 1/20/200</v>
      </c>
      <c r="C655" s="2">
        <f>IFERROR(__xludf.DUMMYFUNCTION("""COMPUTED_VALUE"""),0.0)</f>
        <v>0</v>
      </c>
      <c r="D655" s="2">
        <f>IFERROR(__xludf.DUMMYFUNCTION("""COMPUTED_VALUE"""),0.0)</f>
        <v>0</v>
      </c>
      <c r="E655" s="2">
        <f>IFERROR(__xludf.DUMMYFUNCTION("""COMPUTED_VALUE"""),169.9)</f>
        <v>169.9</v>
      </c>
      <c r="F655" s="2">
        <f>IFERROR(__xludf.DUMMYFUNCTION("""COMPUTED_VALUE"""),186.0)</f>
        <v>186</v>
      </c>
      <c r="G655" s="2">
        <f>IFERROR(__xludf.DUMMYFUNCTION("""COMPUTED_VALUE"""),205.0)</f>
        <v>205</v>
      </c>
      <c r="H655" s="2">
        <f>IFERROR(__xludf.DUMMYFUNCTION("""COMPUTED_VALUE"""),241.0)</f>
        <v>241</v>
      </c>
      <c r="I655" s="2">
        <f>IFERROR(__xludf.DUMMYFUNCTION("""COMPUTED_VALUE"""),305.0)</f>
        <v>305</v>
      </c>
      <c r="J655" s="2">
        <f>IFERROR(__xludf.DUMMYFUNCTION("""COMPUTED_VALUE"""),153.0)</f>
        <v>153</v>
      </c>
      <c r="K655" s="2">
        <f>IFERROR(__xludf.DUMMYFUNCTION("""COMPUTED_VALUE"""),11.0)</f>
        <v>11</v>
      </c>
      <c r="L655" s="2" t="str">
        <f>IFERROR(__xludf.DUMMYFUNCTION("""COMPUTED_VALUE"""),"Капсульные лампы G4, G9")</f>
        <v>Капсульные лампы G4, G9</v>
      </c>
      <c r="M655" s="2" t="str">
        <f>IFERROR(__xludf.DUMMYFUNCTION("""COMPUTED_VALUE"""),"Лампы")</f>
        <v>Лампы</v>
      </c>
    </row>
    <row r="656">
      <c r="A656" s="5" t="str">
        <f>IFERROR(__xludf.DUMMYFUNCTION("""COMPUTED_VALUE"""),"GL81411")</f>
        <v>GL81411</v>
      </c>
      <c r="B656" s="5" t="str">
        <f>IFERROR(__xludf.DUMMYFUNCTION("""COMPUTED_VALUE"""),"GLERIO Office Special 20 Вт 4000K 82P-20D-4V-P")</f>
        <v>GLERIO Office Special 20 Вт 4000K 82P-20D-4V-P</v>
      </c>
      <c r="C656" s="2">
        <f>IFERROR(__xludf.DUMMYFUNCTION("""COMPUTED_VALUE"""),1.04)</f>
        <v>1.04</v>
      </c>
      <c r="D656" s="2">
        <f>IFERROR(__xludf.DUMMYFUNCTION("""COMPUTED_VALUE"""),0.008190000000000001)</f>
        <v>0.00819</v>
      </c>
      <c r="E656" s="2">
        <f>IFERROR(__xludf.DUMMYFUNCTION("""COMPUTED_VALUE"""),1464.7)</f>
        <v>1464.7</v>
      </c>
      <c r="F656" s="2">
        <f>IFERROR(__xludf.DUMMYFUNCTION("""COMPUTED_VALUE"""),1700.0)</f>
        <v>1700</v>
      </c>
      <c r="G656" s="2">
        <f>IFERROR(__xludf.DUMMYFUNCTION("""COMPUTED_VALUE"""),2140.0)</f>
        <v>2140</v>
      </c>
      <c r="H656" s="2">
        <f>IFERROR(__xludf.DUMMYFUNCTION("""COMPUTED_VALUE"""),2404.0)</f>
        <v>2404</v>
      </c>
      <c r="I656" s="2">
        <f>IFERROR(__xludf.DUMMYFUNCTION("""COMPUTED_VALUE"""),2667.0)</f>
        <v>2667</v>
      </c>
      <c r="J656" s="2">
        <f>IFERROR(__xludf.DUMMYFUNCTION("""COMPUTED_VALUE"""),1334.0)</f>
        <v>1334</v>
      </c>
      <c r="K656" s="2">
        <f>IFERROR(__xludf.DUMMYFUNCTION("""COMPUTED_VALUE"""),30.0)</f>
        <v>30</v>
      </c>
      <c r="L656" s="2" t="str">
        <f>IFERROR(__xludf.DUMMYFUNCTION("""COMPUTED_VALUE"""),"Office Special+ GLERIO (Офис Премиум)")</f>
        <v>Office Special+ GLERIO (Офис Премиум)</v>
      </c>
      <c r="M656" s="2" t="str">
        <f>IFERROR(__xludf.DUMMYFUNCTION("""COMPUTED_VALUE"""),"С равномерной засветкой, LED Светильники")</f>
        <v>С равномерной засветкой, LED Светильники</v>
      </c>
    </row>
    <row r="657">
      <c r="A657" s="5" t="str">
        <f>IFERROR(__xludf.DUMMYFUNCTION("""COMPUTED_VALUE"""),"100-300")</f>
        <v>100-300</v>
      </c>
      <c r="B657" s="5" t="str">
        <f>IFERROR(__xludf.DUMMYFUNCTION("""COMPUTED_VALUE"""),"Пиктограмма 100х300мм ""ВЫХОД""")</f>
        <v>Пиктограмма 100х300мм "ВЫХОД"</v>
      </c>
      <c r="C657" s="2">
        <f>IFERROR(__xludf.DUMMYFUNCTION("""COMPUTED_VALUE"""),0.0)</f>
        <v>0</v>
      </c>
      <c r="D657" s="2">
        <f>IFERROR(__xludf.DUMMYFUNCTION("""COMPUTED_VALUE"""),0.0)</f>
        <v>0</v>
      </c>
      <c r="E657" s="2">
        <f>IFERROR(__xludf.DUMMYFUNCTION("""COMPUTED_VALUE"""),31.15)</f>
        <v>31.15</v>
      </c>
      <c r="F657" s="2">
        <f>IFERROR(__xludf.DUMMYFUNCTION("""COMPUTED_VALUE"""),1.0)</f>
        <v>1</v>
      </c>
      <c r="G657" s="2">
        <f>IFERROR(__xludf.DUMMYFUNCTION("""COMPUTED_VALUE"""),1.0)</f>
        <v>1</v>
      </c>
      <c r="H657" s="2">
        <f>IFERROR(__xludf.DUMMYFUNCTION("""COMPUTED_VALUE"""),1.0)</f>
        <v>1</v>
      </c>
      <c r="I657" s="2">
        <f>IFERROR(__xludf.DUMMYFUNCTION("""COMPUTED_VALUE"""),1.5)</f>
        <v>1.5</v>
      </c>
      <c r="J657" s="2">
        <f>IFERROR(__xludf.DUMMYFUNCTION("""COMPUTED_VALUE"""),1.5)</f>
        <v>1.5</v>
      </c>
      <c r="K657" s="2">
        <f>IFERROR(__xludf.DUMMYFUNCTION("""COMPUTED_VALUE"""),12.0)</f>
        <v>12</v>
      </c>
      <c r="L657" s="2" t="str">
        <f>IFERROR(__xludf.DUMMYFUNCTION("""COMPUTED_VALUE"""),"Аварийные светильники")</f>
        <v>Аварийные светильники</v>
      </c>
      <c r="M657" s="2" t="str">
        <f>IFERROR(__xludf.DUMMYFUNCTION("""COMPUTED_VALUE"""),"Аварийные светильники, БАП (LED), Прочие товары")</f>
        <v>Аварийные светильники, БАП (LED), Прочие товары</v>
      </c>
    </row>
    <row r="658">
      <c r="A658" s="5" t="str">
        <f>IFERROR(__xludf.DUMMYFUNCTION("""COMPUTED_VALUE"""),"4690612015576")</f>
        <v>4690612015576</v>
      </c>
      <c r="B658" s="5" t="str">
        <f>IFERROR(__xludf.DUMMYFUNCTION("""COMPUTED_VALUE"""),"LED-СВЕЧА-standard 10Вт 230В Е14 4000К 900Лм ASD")</f>
        <v>LED-СВЕЧА-standard 10Вт 230В Е14 4000К 900Лм ASD</v>
      </c>
      <c r="C658" s="2">
        <f>IFERROR(__xludf.DUMMYFUNCTION("""COMPUTED_VALUE"""),0.033)</f>
        <v>0.033</v>
      </c>
      <c r="D658" s="2">
        <f>IFERROR(__xludf.DUMMYFUNCTION("""COMPUTED_VALUE"""),1.9E-4)</f>
        <v>0.00019</v>
      </c>
      <c r="E658" s="2">
        <f>IFERROR(__xludf.DUMMYFUNCTION("""COMPUTED_VALUE"""),48.02)</f>
        <v>48.02</v>
      </c>
      <c r="F658" s="2">
        <f>IFERROR(__xludf.DUMMYFUNCTION("""COMPUTED_VALUE"""),33.0)</f>
        <v>33</v>
      </c>
      <c r="G658" s="2">
        <f>IFERROR(__xludf.DUMMYFUNCTION("""COMPUTED_VALUE"""),37.0)</f>
        <v>37</v>
      </c>
      <c r="H658" s="2">
        <f>IFERROR(__xludf.DUMMYFUNCTION("""COMPUTED_VALUE"""),43.0)</f>
        <v>43</v>
      </c>
      <c r="I658" s="2">
        <f>IFERROR(__xludf.DUMMYFUNCTION("""COMPUTED_VALUE"""),49.9)</f>
        <v>49.9</v>
      </c>
      <c r="J658" s="2">
        <f>IFERROR(__xludf.DUMMYFUNCTION("""COMPUTED_VALUE"""),25.0)</f>
        <v>25</v>
      </c>
      <c r="K658" s="2">
        <f>IFERROR(__xludf.DUMMYFUNCTION("""COMPUTED_VALUE"""),3.0)</f>
        <v>3</v>
      </c>
      <c r="L658" s="2" t="str">
        <f>IFERROR(__xludf.DUMMYFUNCTION("""COMPUTED_VALUE"""),"Лампа светодиодная LED-СВЕЧА-standard")</f>
        <v>Лампа светодиодная LED-СВЕЧА-standard</v>
      </c>
      <c r="M658" s="2" t="str">
        <f>IFERROR(__xludf.DUMMYFUNCTION("""COMPUTED_VALUE"""),"Лампы")</f>
        <v>Лампы</v>
      </c>
    </row>
    <row r="659">
      <c r="A659" s="5" t="str">
        <f>IFERROR(__xludf.DUMMYFUNCTION("""COMPUTED_VALUE"""),"01-4002")</f>
        <v>01-4002</v>
      </c>
      <c r="B659" s="5" t="str">
        <f>IFERROR(__xludf.DUMMYFUNCTION("""COMPUTED_VALUE"""),"Кабель ККСВ-П+2х0,5 мм (бухта 100 м) черный REXANT")</f>
        <v>Кабель ККСВ-П+2х0,5 мм (бухта 100 м) черный REXANT</v>
      </c>
      <c r="C659" s="2">
        <f>IFERROR(__xludf.DUMMYFUNCTION("""COMPUTED_VALUE"""),0.0)</f>
        <v>0</v>
      </c>
      <c r="D659" s="2">
        <f>IFERROR(__xludf.DUMMYFUNCTION("""COMPUTED_VALUE"""),0.0)</f>
        <v>0</v>
      </c>
      <c r="E659" s="2">
        <f>IFERROR(__xludf.DUMMYFUNCTION("""COMPUTED_VALUE"""),1.0)</f>
        <v>1</v>
      </c>
      <c r="F659" s="2">
        <f>IFERROR(__xludf.DUMMYFUNCTION("""COMPUTED_VALUE"""),3387.0)</f>
        <v>3387</v>
      </c>
      <c r="G659" s="2">
        <f>IFERROR(__xludf.DUMMYFUNCTION("""COMPUTED_VALUE"""),3613.0)</f>
        <v>3613</v>
      </c>
      <c r="H659" s="2">
        <f>IFERROR(__xludf.DUMMYFUNCTION("""COMPUTED_VALUE"""),4065.0)</f>
        <v>4065</v>
      </c>
      <c r="I659" s="2">
        <f>IFERROR(__xludf.DUMMYFUNCTION("""COMPUTED_VALUE"""),4516.22)</f>
        <v>4516.22</v>
      </c>
      <c r="J659" s="2">
        <f>IFERROR(__xludf.DUMMYFUNCTION("""COMPUTED_VALUE"""),2258.0)</f>
        <v>2258</v>
      </c>
      <c r="K659" s="2">
        <f>IFERROR(__xludf.DUMMYFUNCTION("""COMPUTED_VALUE"""),3.0)</f>
        <v>3</v>
      </c>
      <c r="L659" s="2" t="str">
        <f>IFERROR(__xludf.DUMMYFUNCTION("""COMPUTED_VALUE"""),"Rexant")</f>
        <v>Rexant</v>
      </c>
      <c r="M659" s="2" t="str">
        <f>IFERROR(__xludf.DUMMYFUNCTION("""COMPUTED_VALUE"""),"Прочие товары")</f>
        <v>Прочие товары</v>
      </c>
    </row>
    <row r="660">
      <c r="A660" s="5" t="str">
        <f>IFERROR(__xludf.DUMMYFUNCTION("""COMPUTED_VALUE"""),"4690612053028-1")</f>
        <v>4690612053028-1</v>
      </c>
      <c r="B660" s="5" t="str">
        <f>IFERROR(__xludf.DUMMYFUNCTION("""COMPUTED_VALUE"""),"ДВО-02-EMERGENCY 3665-ПРИЗМА 36Вт 6500К 595х595х19 NEOX без БАП-10W90 (в индив. уп.)")</f>
        <v>ДВО-02-EMERGENCY 3665-ПРИЗМА 36Вт 6500К 595х595х19 NEOX без БАП-10W90 (в индив. уп.)</v>
      </c>
      <c r="C660" s="2">
        <f>IFERROR(__xludf.DUMMYFUNCTION("""COMPUTED_VALUE"""),0.0)</f>
        <v>0</v>
      </c>
      <c r="D660" s="2">
        <f>IFERROR(__xludf.DUMMYFUNCTION("""COMPUTED_VALUE"""),0.0)</f>
        <v>0</v>
      </c>
      <c r="E660" s="2">
        <f>IFERROR(__xludf.DUMMYFUNCTION("""COMPUTED_VALUE"""),607.3100000000001)</f>
        <v>607.31</v>
      </c>
      <c r="F660" s="2">
        <f>IFERROR(__xludf.DUMMYFUNCTION("""COMPUTED_VALUE"""),666.0)</f>
        <v>666</v>
      </c>
      <c r="G660" s="2">
        <f>IFERROR(__xludf.DUMMYFUNCTION("""COMPUTED_VALUE"""),874.0)</f>
        <v>874</v>
      </c>
      <c r="H660" s="2">
        <f>IFERROR(__xludf.DUMMYFUNCTION("""COMPUTED_VALUE"""),984.0)</f>
        <v>984</v>
      </c>
      <c r="I660" s="2">
        <f>IFERROR(__xludf.DUMMYFUNCTION("""COMPUTED_VALUE"""),1093.0)</f>
        <v>1093</v>
      </c>
      <c r="J660" s="2">
        <f>IFERROR(__xludf.DUMMYFUNCTION("""COMPUTED_VALUE"""),547.0)</f>
        <v>547</v>
      </c>
      <c r="K660" s="2">
        <f>IFERROR(__xludf.DUMMYFUNCTION("""COMPUTED_VALUE"""),2.0)</f>
        <v>2</v>
      </c>
      <c r="L660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660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661">
      <c r="A661" s="5" t="str">
        <f>IFERROR(__xludf.DUMMYFUNCTION("""COMPUTED_VALUE"""),"V13004")</f>
        <v>V13004</v>
      </c>
      <c r="B661" s="5" t="str">
        <f>IFERROR(__xludf.DUMMYFUNCTION("""COMPUTED_VALUE"""),"VRN-RTL-44-8MA50K65-U, 44Вт, Универсальный")</f>
        <v>VRN-RTL-44-8MA50K65-U, 44Вт, Универсальный</v>
      </c>
      <c r="C661" s="2">
        <f>IFERROR(__xludf.DUMMYFUNCTION("""COMPUTED_VALUE"""),2.3)</f>
        <v>2.3</v>
      </c>
      <c r="D661" s="2">
        <f>IFERROR(__xludf.DUMMYFUNCTION("""COMPUTED_VALUE"""),0.0255)</f>
        <v>0.0255</v>
      </c>
      <c r="E661" s="2">
        <f>IFERROR(__xludf.DUMMYFUNCTION("""COMPUTED_VALUE"""),3387.0)</f>
        <v>3387</v>
      </c>
      <c r="F661" s="2">
        <f>IFERROR(__xludf.DUMMYFUNCTION("""COMPUTED_VALUE"""),3725.0)</f>
        <v>3725</v>
      </c>
      <c r="G661" s="2">
        <f>IFERROR(__xludf.DUMMYFUNCTION("""COMPUTED_VALUE"""),4843.0)</f>
        <v>4843</v>
      </c>
      <c r="H661" s="2">
        <f>IFERROR(__xludf.DUMMYFUNCTION("""COMPUTED_VALUE"""),5085.0)</f>
        <v>5085</v>
      </c>
      <c r="I661" s="2">
        <f>IFERROR(__xludf.DUMMYFUNCTION("""COMPUTED_VALUE"""),5327.0)</f>
        <v>5327</v>
      </c>
      <c r="J661" s="2">
        <f>IFERROR(__xludf.DUMMYFUNCTION("""COMPUTED_VALUE"""),5327.0)</f>
        <v>5327</v>
      </c>
      <c r="K661" s="2">
        <f>IFERROR(__xludf.DUMMYFUNCTION("""COMPUTED_VALUE"""),5.0)</f>
        <v>5</v>
      </c>
      <c r="L661" s="2" t="str">
        <f>IFERROR(__xludf.DUMMYFUNCTION("""COMPUTED_VALUE"""),"Ритейл")</f>
        <v>Ритейл</v>
      </c>
      <c r="M661" s="2" t="str">
        <f>IFERROR(__xludf.DUMMYFUNCTION("""COMPUTED_VALUE"""),"Пластиковые (линейные), Накладные, Линейные (проходные), LED Светильники")</f>
        <v>Пластиковые (линейные), Накладные, Линейные (проходные), LED Светильники</v>
      </c>
    </row>
    <row r="662">
      <c r="A662" s="5" t="str">
        <f>IFERROR(__xludf.DUMMYFUNCTION("""COMPUTED_VALUE"""),"4260652196285")</f>
        <v>4260652196285</v>
      </c>
      <c r="B662" s="5" t="str">
        <f>IFERROR(__xludf.DUMMYFUNCTION("""COMPUTED_VALUE"""),"WTL-15W/02B")</f>
        <v>WTL-15W/02B</v>
      </c>
      <c r="C662" s="2">
        <f>IFERROR(__xludf.DUMMYFUNCTION("""COMPUTED_VALUE"""),0.485)</f>
        <v>0.485</v>
      </c>
      <c r="D662" s="2">
        <f>IFERROR(__xludf.DUMMYFUNCTION("""COMPUTED_VALUE"""),0.00193)</f>
        <v>0.00193</v>
      </c>
      <c r="E662" s="2">
        <f>IFERROR(__xludf.DUMMYFUNCTION("""COMPUTED_VALUE"""),875.0)</f>
        <v>875</v>
      </c>
      <c r="F662" s="2">
        <f>IFERROR(__xludf.DUMMYFUNCTION("""COMPUTED_VALUE"""),1446.0)</f>
        <v>1446</v>
      </c>
      <c r="G662" s="2">
        <f>IFERROR(__xludf.DUMMYFUNCTION("""COMPUTED_VALUE"""),1495.0)</f>
        <v>1495</v>
      </c>
      <c r="H662" s="2">
        <f>IFERROR(__xludf.DUMMYFUNCTION("""COMPUTED_VALUE"""),1960.0)</f>
        <v>1960</v>
      </c>
      <c r="I662" s="2">
        <f>IFERROR(__xludf.DUMMYFUNCTION("""COMPUTED_VALUE"""),2450.0)</f>
        <v>2450</v>
      </c>
      <c r="J662" s="2">
        <f>IFERROR(__xludf.DUMMYFUNCTION("""COMPUTED_VALUE"""),1225.0)</f>
        <v>1225</v>
      </c>
      <c r="K662" s="2">
        <f>IFERROR(__xludf.DUMMYFUNCTION("""COMPUTED_VALUE"""),2.0)</f>
        <v>2</v>
      </c>
      <c r="L662" s="2" t="str">
        <f>IFERROR(__xludf.DUMMYFUNCTION("""COMPUTED_VALUE"""),"Wolta трековые")</f>
        <v>Wolta трековые</v>
      </c>
      <c r="M662" s="2" t="str">
        <f>IFERROR(__xludf.DUMMYFUNCTION("""COMPUTED_VALUE"""),"Трековые, LED Светильники")</f>
        <v>Трековые, LED Светильники</v>
      </c>
    </row>
    <row r="663">
      <c r="A663" s="5" t="str">
        <f>IFERROR(__xludf.DUMMYFUNCTION("""COMPUTED_VALUE"""),"B2100-ST-051")</f>
        <v>B2100-ST-051</v>
      </c>
      <c r="B663" s="5" t="str">
        <f>IFERROR(__xludf.DUMMYFUNCTION("""COMPUTED_VALUE"""),"Балка яруса Ш=2100 Cтeллaжа CT-051")</f>
        <v>Балка яруса Ш=2100 Cтeллaжа CT-051</v>
      </c>
      <c r="C663" s="2">
        <f>IFERROR(__xludf.DUMMYFUNCTION("""COMPUTED_VALUE"""),0.0)</f>
        <v>0</v>
      </c>
      <c r="D663" s="2">
        <f>IFERROR(__xludf.DUMMYFUNCTION("""COMPUTED_VALUE"""),0.0)</f>
        <v>0</v>
      </c>
      <c r="E663" s="2">
        <f>IFERROR(__xludf.DUMMYFUNCTION("""COMPUTED_VALUE"""),0.0)</f>
        <v>0</v>
      </c>
      <c r="F663" s="2">
        <f>IFERROR(__xludf.DUMMYFUNCTION("""COMPUTED_VALUE"""),900.0)</f>
        <v>900</v>
      </c>
      <c r="G663" s="2">
        <f>IFERROR(__xludf.DUMMYFUNCTION("""COMPUTED_VALUE"""),960.0)</f>
        <v>960</v>
      </c>
      <c r="H663" s="2">
        <f>IFERROR(__xludf.DUMMYFUNCTION("""COMPUTED_VALUE"""),1080.0)</f>
        <v>1080</v>
      </c>
      <c r="I663" s="2">
        <f>IFERROR(__xludf.DUMMYFUNCTION("""COMPUTED_VALUE"""),1200.5)</f>
        <v>1200.5</v>
      </c>
      <c r="J663" s="2">
        <f>IFERROR(__xludf.DUMMYFUNCTION("""COMPUTED_VALUE"""),600.0)</f>
        <v>600</v>
      </c>
      <c r="K663" s="2">
        <f>IFERROR(__xludf.DUMMYFUNCTION("""COMPUTED_VALUE"""),18.0)</f>
        <v>18</v>
      </c>
      <c r="L663" s="2" t="str">
        <f>IFERROR(__xludf.DUMMYFUNCTION("""COMPUTED_VALUE"""),"Другие")</f>
        <v>Другие</v>
      </c>
      <c r="M663" s="2" t="str">
        <f>IFERROR(__xludf.DUMMYFUNCTION("""COMPUTED_VALUE"""),"Прочие товары")</f>
        <v>Прочие товары</v>
      </c>
    </row>
    <row r="664">
      <c r="A664" s="5" t="str">
        <f>IFERROR(__xludf.DUMMYFUNCTION("""COMPUTED_VALUE"""),"G103102207")</f>
        <v>G103102207</v>
      </c>
      <c r="B664" s="5" t="str">
        <f>IFERROR(__xludf.DUMMYFUNCTION("""COMPUTED_VALUE"""),"Candle E27 6.5W 4100К 1/10/100")</f>
        <v>Candle E27 6.5W 4100К 1/10/100</v>
      </c>
      <c r="C664" s="2">
        <f>IFERROR(__xludf.DUMMYFUNCTION("""COMPUTED_VALUE"""),0.0)</f>
        <v>0</v>
      </c>
      <c r="D664" s="2">
        <f>IFERROR(__xludf.DUMMYFUNCTION("""COMPUTED_VALUE"""),0.0)</f>
        <v>0</v>
      </c>
      <c r="E664" s="2">
        <f>IFERROR(__xludf.DUMMYFUNCTION("""COMPUTED_VALUE"""),78.87)</f>
        <v>78.87</v>
      </c>
      <c r="F664" s="2">
        <f>IFERROR(__xludf.DUMMYFUNCTION("""COMPUTED_VALUE"""),82.0)</f>
        <v>82</v>
      </c>
      <c r="G664" s="2">
        <f>IFERROR(__xludf.DUMMYFUNCTION("""COMPUTED_VALUE"""),90.0)</f>
        <v>90</v>
      </c>
      <c r="H664" s="2">
        <f>IFERROR(__xludf.DUMMYFUNCTION("""COMPUTED_VALUE"""),106.0)</f>
        <v>106</v>
      </c>
      <c r="I664" s="2">
        <f>IFERROR(__xludf.DUMMYFUNCTION("""COMPUTED_VALUE"""),134.0)</f>
        <v>134</v>
      </c>
      <c r="J664" s="2">
        <f>IFERROR(__xludf.DUMMYFUNCTION("""COMPUTED_VALUE"""),67.0)</f>
        <v>67</v>
      </c>
      <c r="K664" s="2">
        <f>IFERROR(__xludf.DUMMYFUNCTION("""COMPUTED_VALUE"""),49.0)</f>
        <v>49</v>
      </c>
      <c r="L664" s="2" t="str">
        <f>IFERROR(__xludf.DUMMYFUNCTION("""COMPUTED_VALUE"""),"Свечи")</f>
        <v>Свечи</v>
      </c>
      <c r="M664" s="2" t="str">
        <f>IFERROR(__xludf.DUMMYFUNCTION("""COMPUTED_VALUE"""),"Лампы")</f>
        <v>Лампы</v>
      </c>
    </row>
    <row r="665">
      <c r="A665" s="5" t="str">
        <f>IFERROR(__xludf.DUMMYFUNCTION("""COMPUTED_VALUE"""),"4690612057279")</f>
        <v>4690612057279</v>
      </c>
      <c r="B665" s="5" t="str">
        <f>IFERROR(__xludf.DUMMYFUNCTION("""COMPUTED_VALUE"""),"ДВО-PRO 4040-ОПАЛ 40Вт 4000К 120лм/Вт CRI80 IP40 595х595х30мм NEOX")</f>
        <v>ДВО-PRO 4040-ОПАЛ 40Вт 4000К 120лм/Вт CRI80 IP40 595х595х30мм NEOX</v>
      </c>
      <c r="C665" s="2">
        <f>IFERROR(__xludf.DUMMYFUNCTION("""COMPUTED_VALUE"""),0.9750000000000001)</f>
        <v>0.975</v>
      </c>
      <c r="D665" s="2">
        <f>IFERROR(__xludf.DUMMYFUNCTION("""COMPUTED_VALUE"""),0.01625)</f>
        <v>0.01625</v>
      </c>
      <c r="E665" s="2">
        <f>IFERROR(__xludf.DUMMYFUNCTION("""COMPUTED_VALUE"""),763.14)</f>
        <v>763.14</v>
      </c>
      <c r="F665" s="2">
        <f>IFERROR(__xludf.DUMMYFUNCTION("""COMPUTED_VALUE"""),964.0)</f>
        <v>964</v>
      </c>
      <c r="G665" s="2">
        <f>IFERROR(__xludf.DUMMYFUNCTION("""COMPUTED_VALUE"""),1084.0)</f>
        <v>1084</v>
      </c>
      <c r="H665" s="2">
        <f>IFERROR(__xludf.DUMMYFUNCTION("""COMPUTED_VALUE"""),1257.0)</f>
        <v>1257</v>
      </c>
      <c r="I665" s="2">
        <f>IFERROR(__xludf.DUMMYFUNCTION("""COMPUTED_VALUE"""),1445.0)</f>
        <v>1445</v>
      </c>
      <c r="J665" s="2">
        <f>IFERROR(__xludf.DUMMYFUNCTION("""COMPUTED_VALUE"""),723.0)</f>
        <v>723</v>
      </c>
      <c r="K665" s="2">
        <f>IFERROR(__xludf.DUMMYFUNCTION("""COMPUTED_VALUE"""),37.0)</f>
        <v>37</v>
      </c>
      <c r="L665" s="2" t="str">
        <f>IFERROR(__xludf.DUMMYFUNCTION("""COMPUTED_VALUE"""),"NEOX Светильники LED ДВО")</f>
        <v>NEOX Светильники LED ДВО</v>
      </c>
      <c r="M665" s="2" t="str">
        <f>IFERROR(__xludf.DUMMYFUNCTION("""COMPUTED_VALUE"""),"Светильники общего назначения (LED), Встраиваемые, Накладные, Встраиваемые, LED Светильники")</f>
        <v>Светильники общего назначения (LED), Встраиваемые, Накладные, Встраиваемые, LED Светильники</v>
      </c>
    </row>
    <row r="666">
      <c r="A666" s="5" t="str">
        <f>IFERROR(__xludf.DUMMYFUNCTION("""COMPUTED_VALUE"""),"4690612009025-5")</f>
        <v>4690612009025-5</v>
      </c>
      <c r="B666" s="5" t="str">
        <f>IFERROR(__xludf.DUMMYFUNCTION("""COMPUTED_VALUE"""),"(5 штук) Вилка прямая с заземлением 16А черная Комплект 5 шт IN HOME")</f>
        <v>(5 штук) Вилка прямая с заземлением 16А черная Комплект 5 шт IN HOME</v>
      </c>
      <c r="C666" s="2">
        <f>IFERROR(__xludf.DUMMYFUNCTION("""COMPUTED_VALUE"""),0.028)</f>
        <v>0.028</v>
      </c>
      <c r="D666" s="2">
        <f>IFERROR(__xludf.DUMMYFUNCTION("""COMPUTED_VALUE"""),1.3E-4)</f>
        <v>0.00013</v>
      </c>
      <c r="E666" s="2">
        <f>IFERROR(__xludf.DUMMYFUNCTION("""COMPUTED_VALUE"""),178.25)</f>
        <v>178.25</v>
      </c>
      <c r="F666" s="2">
        <f>IFERROR(__xludf.DUMMYFUNCTION("""COMPUTED_VALUE"""),196.0)</f>
        <v>196</v>
      </c>
      <c r="G666" s="2">
        <f>IFERROR(__xludf.DUMMYFUNCTION("""COMPUTED_VALUE"""),257.0)</f>
        <v>257</v>
      </c>
      <c r="H666" s="2">
        <f>IFERROR(__xludf.DUMMYFUNCTION("""COMPUTED_VALUE"""),289.0)</f>
        <v>289</v>
      </c>
      <c r="I666" s="2">
        <f>IFERROR(__xludf.DUMMYFUNCTION("""COMPUTED_VALUE"""),321.0)</f>
        <v>321</v>
      </c>
      <c r="J666" s="2">
        <f>IFERROR(__xludf.DUMMYFUNCTION("""COMPUTED_VALUE"""),161.0)</f>
        <v>161</v>
      </c>
      <c r="K666" s="2">
        <f>IFERROR(__xludf.DUMMYFUNCTION("""COMPUTED_VALUE"""),40.0)</f>
        <v>40</v>
      </c>
      <c r="L666" s="2" t="str">
        <f>IFERROR(__xludf.DUMMYFUNCTION("""COMPUTED_VALUE"""),"Розетки, вилки производство, упаковка")</f>
        <v>Розетки, вилки производство, упаковка</v>
      </c>
      <c r="M666" s="2" t="str">
        <f>IFERROR(__xludf.DUMMYFUNCTION("""COMPUTED_VALUE"""),"Прочие товары")</f>
        <v>Прочие товары</v>
      </c>
    </row>
    <row r="667">
      <c r="A667" s="5" t="str">
        <f>IFERROR(__xludf.DUMMYFUNCTION("""COMPUTED_VALUE"""),"G103101207")</f>
        <v>G103101207</v>
      </c>
      <c r="B667" s="5" t="str">
        <f>IFERROR(__xludf.DUMMYFUNCTION("""COMPUTED_VALUE"""),"Candle E14 6.5W 4100К 1/10/50")</f>
        <v>Candle E14 6.5W 4100К 1/10/50</v>
      </c>
      <c r="C667" s="2">
        <f>IFERROR(__xludf.DUMMYFUNCTION("""COMPUTED_VALUE"""),0.0)</f>
        <v>0</v>
      </c>
      <c r="D667" s="2">
        <f>IFERROR(__xludf.DUMMYFUNCTION("""COMPUTED_VALUE"""),0.0)</f>
        <v>0</v>
      </c>
      <c r="E667" s="2">
        <f>IFERROR(__xludf.DUMMYFUNCTION("""COMPUTED_VALUE"""),78.87)</f>
        <v>78.87</v>
      </c>
      <c r="F667" s="2">
        <f>IFERROR(__xludf.DUMMYFUNCTION("""COMPUTED_VALUE"""),82.0)</f>
        <v>82</v>
      </c>
      <c r="G667" s="2">
        <f>IFERROR(__xludf.DUMMYFUNCTION("""COMPUTED_VALUE"""),90.0)</f>
        <v>90</v>
      </c>
      <c r="H667" s="2">
        <f>IFERROR(__xludf.DUMMYFUNCTION("""COMPUTED_VALUE"""),106.0)</f>
        <v>106</v>
      </c>
      <c r="I667" s="2">
        <f>IFERROR(__xludf.DUMMYFUNCTION("""COMPUTED_VALUE"""),134.0)</f>
        <v>134</v>
      </c>
      <c r="J667" s="2">
        <f>IFERROR(__xludf.DUMMYFUNCTION("""COMPUTED_VALUE"""),67.0)</f>
        <v>67</v>
      </c>
      <c r="K667" s="2">
        <f>IFERROR(__xludf.DUMMYFUNCTION("""COMPUTED_VALUE"""),1.0)</f>
        <v>1</v>
      </c>
      <c r="L667" s="2" t="str">
        <f>IFERROR(__xludf.DUMMYFUNCTION("""COMPUTED_VALUE"""),"Свечи")</f>
        <v>Свечи</v>
      </c>
      <c r="M667" s="2" t="str">
        <f>IFERROR(__xludf.DUMMYFUNCTION("""COMPUTED_VALUE"""),"Лампы")</f>
        <v>Лампы</v>
      </c>
    </row>
    <row r="668">
      <c r="A668" s="5" t="str">
        <f>IFERROR(__xludf.DUMMYFUNCTION("""COMPUTED_VALUE"""),"4690612024042")</f>
        <v>4690612024042</v>
      </c>
      <c r="B668" s="5" t="str">
        <f>IFERROR(__xludf.DUMMYFUNCTION("""COMPUTED_VALUE"""),"LED-A60-VC 8Вт 230В Е27 6500К 760Лм IN HOME")</f>
        <v>LED-A60-VC 8Вт 230В Е27 6500К 760Лм IN HOME</v>
      </c>
      <c r="C668" s="2">
        <f>IFERROR(__xludf.DUMMYFUNCTION("""COMPUTED_VALUE"""),0.05500000000000001)</f>
        <v>0.055</v>
      </c>
      <c r="D668" s="2">
        <f>IFERROR(__xludf.DUMMYFUNCTION("""COMPUTED_VALUE"""),4.0E-4)</f>
        <v>0.0004</v>
      </c>
      <c r="E668" s="2">
        <f>IFERROR(__xludf.DUMMYFUNCTION("""COMPUTED_VALUE"""),35.55)</f>
        <v>35.55</v>
      </c>
      <c r="F668" s="2">
        <f>IFERROR(__xludf.DUMMYFUNCTION("""COMPUTED_VALUE"""),43.0)</f>
        <v>43</v>
      </c>
      <c r="G668" s="2">
        <f>IFERROR(__xludf.DUMMYFUNCTION("""COMPUTED_VALUE"""),48.0)</f>
        <v>48</v>
      </c>
      <c r="H668" s="2">
        <f>IFERROR(__xludf.DUMMYFUNCTION("""COMPUTED_VALUE"""),56.0)</f>
        <v>56</v>
      </c>
      <c r="I668" s="2">
        <f>IFERROR(__xludf.DUMMYFUNCTION("""COMPUTED_VALUE"""),64.3)</f>
        <v>64.3</v>
      </c>
      <c r="J668" s="2">
        <f>IFERROR(__xludf.DUMMYFUNCTION("""COMPUTED_VALUE"""),32.0)</f>
        <v>32</v>
      </c>
      <c r="K668" s="2">
        <f>IFERROR(__xludf.DUMMYFUNCTION("""COMPUTED_VALUE"""),8.0)</f>
        <v>8</v>
      </c>
      <c r="L668" s="2" t="str">
        <f>IFERROR(__xludf.DUMMYFUNCTION("""COMPUTED_VALUE"""),"Лампа светодиодная LED-A60-standard")</f>
        <v>Лампа светодиодная LED-A60-standard</v>
      </c>
      <c r="M668" s="2" t="str">
        <f>IFERROR(__xludf.DUMMYFUNCTION("""COMPUTED_VALUE"""),"Лампы")</f>
        <v>Лампы</v>
      </c>
    </row>
    <row r="669">
      <c r="A669" s="5" t="str">
        <f>IFERROR(__xludf.DUMMYFUNCTION("""COMPUTED_VALUE"""),"4680005959754-10")</f>
        <v>4680005959754-10</v>
      </c>
      <c r="B669" s="5" t="str">
        <f>IFERROR(__xludf.DUMMYFUNCTION("""COMPUTED_VALUE"""),"10 штук Выключатель одноклавишный с подсветкой BOLLETO белый накладной 7121 IN HOME (комплект 10 штук)")</f>
        <v>10 штук Выключатель одноклавишный с подсветкой BOLLETO белый накладной 7121 IN HOME (комплект 10 штук)</v>
      </c>
      <c r="C669" s="2">
        <f>IFERROR(__xludf.DUMMYFUNCTION("""COMPUTED_VALUE"""),0.05)</f>
        <v>0.05</v>
      </c>
      <c r="D669" s="2">
        <f>IFERROR(__xludf.DUMMYFUNCTION("""COMPUTED_VALUE"""),2.5E-4)</f>
        <v>0.00025</v>
      </c>
      <c r="E669" s="2">
        <f>IFERROR(__xludf.DUMMYFUNCTION("""COMPUTED_VALUE"""),503.5)</f>
        <v>503.5</v>
      </c>
      <c r="F669" s="2">
        <f>IFERROR(__xludf.DUMMYFUNCTION("""COMPUTED_VALUE"""),552.0)</f>
        <v>552</v>
      </c>
      <c r="G669" s="2">
        <f>IFERROR(__xludf.DUMMYFUNCTION("""COMPUTED_VALUE"""),725.0)</f>
        <v>725</v>
      </c>
      <c r="H669" s="2">
        <f>IFERROR(__xludf.DUMMYFUNCTION("""COMPUTED_VALUE"""),815.0)</f>
        <v>815</v>
      </c>
      <c r="I669" s="2">
        <f>IFERROR(__xludf.DUMMYFUNCTION("""COMPUTED_VALUE"""),906.0)</f>
        <v>906</v>
      </c>
      <c r="J669" s="2">
        <f>IFERROR(__xludf.DUMMYFUNCTION("""COMPUTED_VALUE"""),453.0)</f>
        <v>453</v>
      </c>
      <c r="K669" s="2">
        <f>IFERROR(__xludf.DUMMYFUNCTION("""COMPUTED_VALUE"""),13.0)</f>
        <v>13</v>
      </c>
      <c r="L669" s="2" t="str">
        <f>IFERROR(__xludf.DUMMYFUNCTION("""COMPUTED_VALUE"""),"Розетки, вилки производство, упаковка")</f>
        <v>Розетки, вилки производство, упаковка</v>
      </c>
      <c r="M669" s="2" t="str">
        <f>IFERROR(__xludf.DUMMYFUNCTION("""COMPUTED_VALUE"""),"Прочие товары")</f>
        <v>Прочие товары</v>
      </c>
    </row>
    <row r="670">
      <c r="A670" s="5" t="str">
        <f>IFERROR(__xludf.DUMMYFUNCTION("""COMPUTED_VALUE"""),"11700133")</f>
        <v>11700133</v>
      </c>
      <c r="B670" s="5" t="str">
        <f>IFERROR(__xludf.DUMMYFUNCTION("""COMPUTED_VALUE"""),"LTT - BROKS L1000 4000К 30Вт")</f>
        <v>LTT - BROKS L1000 4000К 30Вт</v>
      </c>
      <c r="C670" s="2">
        <f>IFERROR(__xludf.DUMMYFUNCTION("""COMPUTED_VALUE"""),1.0)</f>
        <v>1</v>
      </c>
      <c r="D670" s="2">
        <f>IFERROR(__xludf.DUMMYFUNCTION("""COMPUTED_VALUE"""),0.006840000000000001)</f>
        <v>0.00684</v>
      </c>
      <c r="E670" s="2">
        <f>IFERROR(__xludf.DUMMYFUNCTION("""COMPUTED_VALUE"""),2302.25)</f>
        <v>2302.25</v>
      </c>
      <c r="F670" s="2">
        <f>IFERROR(__xludf.DUMMYFUNCTION("""COMPUTED_VALUE"""),3308.0)</f>
        <v>3308</v>
      </c>
      <c r="G670" s="2">
        <f>IFERROR(__xludf.DUMMYFUNCTION("""COMPUTED_VALUE"""),3701.0)</f>
        <v>3701</v>
      </c>
      <c r="H670" s="2">
        <f>IFERROR(__xludf.DUMMYFUNCTION("""COMPUTED_VALUE"""),4163.0)</f>
        <v>4163</v>
      </c>
      <c r="I670" s="2">
        <f>IFERROR(__xludf.DUMMYFUNCTION("""COMPUTED_VALUE"""),4626.0)</f>
        <v>4626</v>
      </c>
      <c r="J670" s="2">
        <f>IFERROR(__xludf.DUMMYFUNCTION("""COMPUTED_VALUE"""),2313.0)</f>
        <v>2313</v>
      </c>
      <c r="K670" s="2">
        <f>IFERROR(__xludf.DUMMYFUNCTION("""COMPUTED_VALUE"""),1.0)</f>
        <v>1</v>
      </c>
      <c r="L670" s="2" t="str">
        <f>IFERROR(__xludf.DUMMYFUNCTION("""COMPUTED_VALUE"""),"LEDOS Промышленное освещение")</f>
        <v>LEDOS Промышленное освещение</v>
      </c>
      <c r="M670" s="2" t="str">
        <f>IFERROR(__xludf.DUMMYFUNCTION("""COMPUTED_VALUE"""),"Пластиковые (линейные), LED Светильники")</f>
        <v>Пластиковые (линейные), LED Светильники</v>
      </c>
    </row>
    <row r="671">
      <c r="A671" s="5" t="str">
        <f>IFERROR(__xludf.DUMMYFUNCTION("""COMPUTED_VALUE"""),"4260652193406")</f>
        <v>4260652193406</v>
      </c>
      <c r="B671" s="5" t="str">
        <f>IFERROR(__xludf.DUMMYFUNCTION("""COMPUTED_VALUE"""),"LCL04-12W-R11-6K-SOA")</f>
        <v>LCL04-12W-R11-6K-SOA</v>
      </c>
      <c r="C671" s="2">
        <f>IFERROR(__xludf.DUMMYFUNCTION("""COMPUTED_VALUE"""),0.11)</f>
        <v>0.11</v>
      </c>
      <c r="D671" s="2">
        <f>IFERROR(__xludf.DUMMYFUNCTION("""COMPUTED_VALUE"""),0.0)</f>
        <v>0</v>
      </c>
      <c r="E671" s="2">
        <f>IFERROR(__xludf.DUMMYFUNCTION("""COMPUTED_VALUE"""),237.07)</f>
        <v>237.07</v>
      </c>
      <c r="F671" s="2">
        <f>IFERROR(__xludf.DUMMYFUNCTION("""COMPUTED_VALUE"""),340.0)</f>
        <v>340</v>
      </c>
      <c r="G671" s="2">
        <f>IFERROR(__xludf.DUMMYFUNCTION("""COMPUTED_VALUE"""),352.0)</f>
        <v>352</v>
      </c>
      <c r="H671" s="2">
        <f>IFERROR(__xludf.DUMMYFUNCTION("""COMPUTED_VALUE"""),461.0)</f>
        <v>461</v>
      </c>
      <c r="I671" s="2">
        <f>IFERROR(__xludf.DUMMYFUNCTION("""COMPUTED_VALUE"""),576.0)</f>
        <v>576</v>
      </c>
      <c r="J671" s="2">
        <f>IFERROR(__xludf.DUMMYFUNCTION("""COMPUTED_VALUE"""),288.0)</f>
        <v>288</v>
      </c>
      <c r="K671" s="2">
        <f>IFERROR(__xludf.DUMMYFUNCTION("""COMPUTED_VALUE"""),34.0)</f>
        <v>34</v>
      </c>
      <c r="L671" s="2" t="str">
        <f>IFERROR(__xludf.DUMMYFUNCTION("""COMPUTED_VALUE"""),"Wolta ЖКХ")</f>
        <v>Wolta ЖКХ</v>
      </c>
      <c r="M671" s="2" t="str">
        <f>IFERROR(__xludf.DUMMYFUNCTION("""COMPUTED_VALUE"""),"Для ЖКХ, дома, дачи, LED Светильники")</f>
        <v>Для ЖКХ, дома, дачи, LED Светильники</v>
      </c>
    </row>
    <row r="672">
      <c r="A672" s="5" t="str">
        <f>IFERROR(__xludf.DUMMYFUNCTION("""COMPUTED_VALUE"""),"GL8280")</f>
        <v>GL8280</v>
      </c>
      <c r="B672" s="5" t="str">
        <f>IFERROR(__xludf.DUMMYFUNCTION("""COMPUTED_VALUE"""),"GLERIO Line Ultra 36 Вт 4000К 94P-36D-4N-M")</f>
        <v>GLERIO Line Ultra 36 Вт 4000К 94P-36D-4N-M</v>
      </c>
      <c r="C672" s="2">
        <f>IFERROR(__xludf.DUMMYFUNCTION("""COMPUTED_VALUE"""),0.7200000000000001)</f>
        <v>0.72</v>
      </c>
      <c r="D672" s="2">
        <f>IFERROR(__xludf.DUMMYFUNCTION("""COMPUTED_VALUE"""),0.00485)</f>
        <v>0.00485</v>
      </c>
      <c r="E672" s="2">
        <f>IFERROR(__xludf.DUMMYFUNCTION("""COMPUTED_VALUE"""),2114.6)</f>
        <v>2114.6</v>
      </c>
      <c r="F672" s="2">
        <f>IFERROR(__xludf.DUMMYFUNCTION("""COMPUTED_VALUE"""),2680.0)</f>
        <v>2680</v>
      </c>
      <c r="G672" s="2">
        <f>IFERROR(__xludf.DUMMYFUNCTION("""COMPUTED_VALUE"""),3374.0)</f>
        <v>3374</v>
      </c>
      <c r="H672" s="2">
        <f>IFERROR(__xludf.DUMMYFUNCTION("""COMPUTED_VALUE"""),3789.0)</f>
        <v>3789</v>
      </c>
      <c r="I672" s="2">
        <f>IFERROR(__xludf.DUMMYFUNCTION("""COMPUTED_VALUE"""),4204.0)</f>
        <v>4204</v>
      </c>
      <c r="J672" s="2">
        <f>IFERROR(__xludf.DUMMYFUNCTION("""COMPUTED_VALUE"""),2102.0)</f>
        <v>2102</v>
      </c>
      <c r="K672" s="2">
        <f>IFERROR(__xludf.DUMMYFUNCTION("""COMPUTED_VALUE"""),3.0)</f>
        <v>3</v>
      </c>
      <c r="L672" s="2" t="str">
        <f>IFERROR(__xludf.DUMMYFUNCTION("""COMPUTED_VALUE"""),"Line Ultra (Сеть) до 10.2025")</f>
        <v>Line Ultra (Сеть) до 10.2025</v>
      </c>
      <c r="M672" s="2" t="str">
        <f>IFERROR(__xludf.DUMMYFUNCTION("""COMPUTED_VALUE"""),"Пластиковые (линейные), LED Светильники")</f>
        <v>Пластиковые (линейные), LED Светильники</v>
      </c>
    </row>
    <row r="673">
      <c r="A673" s="5" t="str">
        <f>IFERROR(__xludf.DUMMYFUNCTION("""COMPUTED_VALUE"""),"14690612038169")</f>
        <v>14690612038169</v>
      </c>
      <c r="B673" s="5" t="str">
        <f>IFERROR(__xludf.DUMMYFUNCTION("""COMPUTED_VALUE"""),"ДВО-02 3640-ПРИЗМА 36Вт 230В 4000К 4020Лм 110Лм/Вт 595х595х19 NEOX (4 шт в упак.)")</f>
        <v>ДВО-02 3640-ПРИЗМА 36Вт 230В 4000К 4020Лм 110Лм/Вт 595х595х19 NEOX (4 шт в упак.)</v>
      </c>
      <c r="C673" s="2">
        <f>IFERROR(__xludf.DUMMYFUNCTION("""COMPUTED_VALUE"""),1.075)</f>
        <v>1.075</v>
      </c>
      <c r="D673" s="2">
        <f>IFERROR(__xludf.DUMMYFUNCTION("""COMPUTED_VALUE"""),0.01)</f>
        <v>0.01</v>
      </c>
      <c r="E673" s="2">
        <f>IFERROR(__xludf.DUMMYFUNCTION("""COMPUTED_VALUE"""),1924.67)</f>
        <v>1924.67</v>
      </c>
      <c r="F673" s="2">
        <f>IFERROR(__xludf.DUMMYFUNCTION("""COMPUTED_VALUE"""),2112.0)</f>
        <v>2112</v>
      </c>
      <c r="G673" s="2">
        <f>IFERROR(__xludf.DUMMYFUNCTION("""COMPUTED_VALUE"""),2771.0)</f>
        <v>2771</v>
      </c>
      <c r="H673" s="2">
        <f>IFERROR(__xludf.DUMMYFUNCTION("""COMPUTED_VALUE"""),3118.0)</f>
        <v>3118</v>
      </c>
      <c r="I673" s="2">
        <f>IFERROR(__xludf.DUMMYFUNCTION("""COMPUTED_VALUE"""),3464.0)</f>
        <v>3464</v>
      </c>
      <c r="J673" s="2">
        <f>IFERROR(__xludf.DUMMYFUNCTION("""COMPUTED_VALUE"""),1732.0)</f>
        <v>1732</v>
      </c>
      <c r="K673" s="2">
        <f>IFERROR(__xludf.DUMMYFUNCTION("""COMPUTED_VALUE"""),13.0)</f>
        <v>13</v>
      </c>
      <c r="L673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673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674">
      <c r="A674" s="5" t="str">
        <f>IFERROR(__xludf.DUMMYFUNCTION("""COMPUTED_VALUE"""),"V11013")</f>
        <v>V11013</v>
      </c>
      <c r="B674" s="5" t="str">
        <f>IFERROR(__xludf.DUMMYFUNCTION("""COMPUTED_VALUE"""),"VRN-LPE30-64-A50K67-U, 64Вт, Универсальный")</f>
        <v>VRN-LPE30-64-A50K67-U, 64Вт, Универсальный</v>
      </c>
      <c r="C674" s="2">
        <f>IFERROR(__xludf.DUMMYFUNCTION("""COMPUTED_VALUE"""),2.0)</f>
        <v>2</v>
      </c>
      <c r="D674" s="2">
        <f>IFERROR(__xludf.DUMMYFUNCTION("""COMPUTED_VALUE"""),0.0074)</f>
        <v>0.0074</v>
      </c>
      <c r="E674" s="2">
        <f>IFERROR(__xludf.DUMMYFUNCTION("""COMPUTED_VALUE"""),3250.0)</f>
        <v>3250</v>
      </c>
      <c r="F674" s="2">
        <f>IFERROR(__xludf.DUMMYFUNCTION("""COMPUTED_VALUE"""),3760.0)</f>
        <v>3760</v>
      </c>
      <c r="G674" s="2">
        <f>IFERROR(__xludf.DUMMYFUNCTION("""COMPUTED_VALUE"""),4888.0)</f>
        <v>4888</v>
      </c>
      <c r="H674" s="2">
        <f>IFERROR(__xludf.DUMMYFUNCTION("""COMPUTED_VALUE"""),5132.0)</f>
        <v>5132</v>
      </c>
      <c r="I674" s="2">
        <f>IFERROR(__xludf.DUMMYFUNCTION("""COMPUTED_VALUE"""),5377.0)</f>
        <v>5377</v>
      </c>
      <c r="J674" s="2">
        <f>IFERROR(__xludf.DUMMYFUNCTION("""COMPUTED_VALUE"""),2689.0)</f>
        <v>2689</v>
      </c>
      <c r="K674" s="2">
        <f>IFERROR(__xludf.DUMMYFUNCTION("""COMPUTED_VALUE"""),13.0)</f>
        <v>13</v>
      </c>
      <c r="L674" s="2" t="str">
        <f>IFERROR(__xludf.DUMMYFUNCTION("""COMPUTED_VALUE"""),"Прожектор Эконом")</f>
        <v>Прожектор Эконом</v>
      </c>
      <c r="M674" s="2" t="str">
        <f>IFERROR(__xludf.DUMMYFUNCTION("""COMPUTED_VALUE"""),"Для обычных дорог, Профессиональные, Модульные, LED Светильники")</f>
        <v>Для обычных дорог, Профессиональные, Модульные, LED Светильники</v>
      </c>
    </row>
    <row r="675">
      <c r="A675" s="5" t="str">
        <f>IFERROR(__xludf.DUMMYFUNCTION("""COMPUTED_VALUE"""),"4690612030890")</f>
        <v>4690612030890</v>
      </c>
      <c r="B675" s="5" t="str">
        <f>IFERROR(__xludf.DUMMYFUNCTION("""COMPUTED_VALUE"""),"LED-T8-М-PRO 10Вт 230В G13 4000К 1000Лм 600мм матовая неповоротная IN HOME")</f>
        <v>LED-T8-М-PRO 10Вт 230В G13 4000К 1000Лм 600мм матовая неповоротная IN HOME</v>
      </c>
      <c r="C675" s="2">
        <f>IFERROR(__xludf.DUMMYFUNCTION("""COMPUTED_VALUE"""),0.108)</f>
        <v>0.108</v>
      </c>
      <c r="D675" s="2">
        <f>IFERROR(__xludf.DUMMYFUNCTION("""COMPUTED_VALUE"""),7.2E-4)</f>
        <v>0.00072</v>
      </c>
      <c r="E675" s="2">
        <f>IFERROR(__xludf.DUMMYFUNCTION("""COMPUTED_VALUE"""),62.4)</f>
        <v>62.4</v>
      </c>
      <c r="F675" s="2">
        <f>IFERROR(__xludf.DUMMYFUNCTION("""COMPUTED_VALUE"""),80.0)</f>
        <v>80</v>
      </c>
      <c r="G675" s="2">
        <f>IFERROR(__xludf.DUMMYFUNCTION("""COMPUTED_VALUE"""),90.0)</f>
        <v>90</v>
      </c>
      <c r="H675" s="2">
        <f>IFERROR(__xludf.DUMMYFUNCTION("""COMPUTED_VALUE"""),104.0)</f>
        <v>104</v>
      </c>
      <c r="I675" s="2">
        <f>IFERROR(__xludf.DUMMYFUNCTION("""COMPUTED_VALUE"""),120.4)</f>
        <v>120.4</v>
      </c>
      <c r="J675" s="2">
        <f>IFERROR(__xludf.DUMMYFUNCTION("""COMPUTED_VALUE"""),60.0)</f>
        <v>60</v>
      </c>
      <c r="K675" s="2">
        <f>IFERROR(__xludf.DUMMYFUNCTION("""COMPUTED_VALUE"""),20.0)</f>
        <v>20</v>
      </c>
      <c r="L675" s="2" t="str">
        <f>IFERROR(__xludf.DUMMYFUNCTION("""COMPUTED_VALUE"""),"Лампа светодиодная LED-T8")</f>
        <v>Лампа светодиодная LED-T8</v>
      </c>
      <c r="M675" s="2" t="str">
        <f>IFERROR(__xludf.DUMMYFUNCTION("""COMPUTED_VALUE"""),"Лампы")</f>
        <v>Лампы</v>
      </c>
    </row>
    <row r="676">
      <c r="A676" s="5" t="str">
        <f>IFERROR(__xludf.DUMMYFUNCTION("""COMPUTED_VALUE"""),"G207707202")</f>
        <v>G207707202</v>
      </c>
      <c r="B676" s="5" t="str">
        <f>IFERROR(__xludf.DUMMYFUNCTION("""COMPUTED_VALUE"""),"G4 12V 2W 4100K 1/20/200")</f>
        <v>G4 12V 2W 4100K 1/20/200</v>
      </c>
      <c r="C676" s="2">
        <f>IFERROR(__xludf.DUMMYFUNCTION("""COMPUTED_VALUE"""),0.0)</f>
        <v>0</v>
      </c>
      <c r="D676" s="2">
        <f>IFERROR(__xludf.DUMMYFUNCTION("""COMPUTED_VALUE"""),0.0)</f>
        <v>0</v>
      </c>
      <c r="E676" s="2">
        <f>IFERROR(__xludf.DUMMYFUNCTION("""COMPUTED_VALUE"""),169.9)</f>
        <v>169.9</v>
      </c>
      <c r="F676" s="2">
        <f>IFERROR(__xludf.DUMMYFUNCTION("""COMPUTED_VALUE"""),186.0)</f>
        <v>186</v>
      </c>
      <c r="G676" s="2">
        <f>IFERROR(__xludf.DUMMYFUNCTION("""COMPUTED_VALUE"""),205.0)</f>
        <v>205</v>
      </c>
      <c r="H676" s="2">
        <f>IFERROR(__xludf.DUMMYFUNCTION("""COMPUTED_VALUE"""),241.0)</f>
        <v>241</v>
      </c>
      <c r="I676" s="2">
        <f>IFERROR(__xludf.DUMMYFUNCTION("""COMPUTED_VALUE"""),305.0)</f>
        <v>305</v>
      </c>
      <c r="J676" s="2">
        <f>IFERROR(__xludf.DUMMYFUNCTION("""COMPUTED_VALUE"""),153.0)</f>
        <v>153</v>
      </c>
      <c r="K676" s="2">
        <f>IFERROR(__xludf.DUMMYFUNCTION("""COMPUTED_VALUE"""),8.0)</f>
        <v>8</v>
      </c>
      <c r="L676" s="2" t="str">
        <f>IFERROR(__xludf.DUMMYFUNCTION("""COMPUTED_VALUE"""),"Капсульные лампы G4, G9")</f>
        <v>Капсульные лампы G4, G9</v>
      </c>
      <c r="M676" s="2" t="str">
        <f>IFERROR(__xludf.DUMMYFUNCTION("""COMPUTED_VALUE"""),"Лампы")</f>
        <v>Лампы</v>
      </c>
    </row>
    <row r="677">
      <c r="A677" s="5" t="str">
        <f>IFERROR(__xludf.DUMMYFUNCTION("""COMPUTED_VALUE"""),"4690612023250")</f>
        <v>4690612023250</v>
      </c>
      <c r="B677" s="5" t="str">
        <f>IFERROR(__xludf.DUMMYFUNCTION("""COMPUTED_VALUE"""),"RING-1540R-W 15Вт 230В 4000К 910Лм 190мм IP65 КРУГ IN HOME")</f>
        <v>RING-1540R-W 15Вт 230В 4000К 910Лм 190мм IP65 КРУГ IN HOME</v>
      </c>
      <c r="C677" s="2">
        <f>IFERROR(__xludf.DUMMYFUNCTION("""COMPUTED_VALUE"""),0.38333)</f>
        <v>0.38333</v>
      </c>
      <c r="D677" s="2">
        <f>IFERROR(__xludf.DUMMYFUNCTION("""COMPUTED_VALUE"""),0.00208)</f>
        <v>0.00208</v>
      </c>
      <c r="E677" s="2">
        <f>IFERROR(__xludf.DUMMYFUNCTION("""COMPUTED_VALUE"""),567.97)</f>
        <v>567.97</v>
      </c>
      <c r="F677" s="2">
        <f>IFERROR(__xludf.DUMMYFUNCTION("""COMPUTED_VALUE"""),557.0)</f>
        <v>557</v>
      </c>
      <c r="G677" s="2">
        <f>IFERROR(__xludf.DUMMYFUNCTION("""COMPUTED_VALUE"""),627.0)</f>
        <v>627</v>
      </c>
      <c r="H677" s="2">
        <f>IFERROR(__xludf.DUMMYFUNCTION("""COMPUTED_VALUE"""),727.0)</f>
        <v>727</v>
      </c>
      <c r="I677" s="2">
        <f>IFERROR(__xludf.DUMMYFUNCTION("""COMPUTED_VALUE"""),836.0)</f>
        <v>836</v>
      </c>
      <c r="J677" s="2">
        <f>IFERROR(__xludf.DUMMYFUNCTION("""COMPUTED_VALUE"""),418.0)</f>
        <v>418</v>
      </c>
      <c r="K677" s="2">
        <f>IFERROR(__xludf.DUMMYFUNCTION("""COMPUTED_VALUE"""),23.0)</f>
        <v>23</v>
      </c>
      <c r="L677" s="2" t="str">
        <f>IFERROR(__xludf.DUMMYFUNCTION("""COMPUTED_VALUE"""),"Светильники светодиодные RING")</f>
        <v>Светильники светодиодные RING</v>
      </c>
      <c r="M677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678">
      <c r="A678" s="5" t="str">
        <f>IFERROR(__xludf.DUMMYFUNCTION("""COMPUTED_VALUE"""),"4690612020297")</f>
        <v>4690612020297</v>
      </c>
      <c r="B678" s="5" t="str">
        <f>IFERROR(__xludf.DUMMYFUNCTION("""COMPUTED_VALUE"""),"LED-A60-VC 20Вт 230В Е27 3000К 1900Лм IN HOME")</f>
        <v>LED-A60-VC 20Вт 230В Е27 3000К 1900Лм IN HOME</v>
      </c>
      <c r="C678" s="2">
        <f>IFERROR(__xludf.DUMMYFUNCTION("""COMPUTED_VALUE"""),0.05500000000000001)</f>
        <v>0.055</v>
      </c>
      <c r="D678" s="2">
        <f>IFERROR(__xludf.DUMMYFUNCTION("""COMPUTED_VALUE"""),4.0E-4)</f>
        <v>0.0004</v>
      </c>
      <c r="E678" s="2">
        <f>IFERROR(__xludf.DUMMYFUNCTION("""COMPUTED_VALUE"""),57.0)</f>
        <v>57</v>
      </c>
      <c r="F678" s="2">
        <f>IFERROR(__xludf.DUMMYFUNCTION("""COMPUTED_VALUE"""),60.0)</f>
        <v>60</v>
      </c>
      <c r="G678" s="2">
        <f>IFERROR(__xludf.DUMMYFUNCTION("""COMPUTED_VALUE"""),68.0)</f>
        <v>68</v>
      </c>
      <c r="H678" s="2">
        <f>IFERROR(__xludf.DUMMYFUNCTION("""COMPUTED_VALUE"""),78.0)</f>
        <v>78</v>
      </c>
      <c r="I678" s="2">
        <f>IFERROR(__xludf.DUMMYFUNCTION("""COMPUTED_VALUE"""),90.5)</f>
        <v>90.5</v>
      </c>
      <c r="J678" s="2">
        <f>IFERROR(__xludf.DUMMYFUNCTION("""COMPUTED_VALUE"""),45.0)</f>
        <v>45</v>
      </c>
      <c r="K678" s="2">
        <f>IFERROR(__xludf.DUMMYFUNCTION("""COMPUTED_VALUE"""),13.0)</f>
        <v>13</v>
      </c>
      <c r="L678" s="2" t="str">
        <f>IFERROR(__xludf.DUMMYFUNCTION("""COMPUTED_VALUE"""),"Лампа светодиодная LED-A60-standard")</f>
        <v>Лампа светодиодная LED-A60-standard</v>
      </c>
      <c r="M678" s="2" t="str">
        <f>IFERROR(__xludf.DUMMYFUNCTION("""COMPUTED_VALUE"""),"Лампы")</f>
        <v>Лампы</v>
      </c>
    </row>
    <row r="679">
      <c r="A679" s="5" t="str">
        <f>IFERROR(__xludf.DUMMYFUNCTION("""COMPUTED_VALUE"""),"4690612044217")</f>
        <v>4690612044217</v>
      </c>
      <c r="B679" s="5" t="str">
        <f>IFERROR(__xludf.DUMMYFUNCTION("""COMPUTED_VALUE"""),"GX53R-standard RBC-10PACK под GX53 черный хром (10 шт./упак.) IN HOME")</f>
        <v>GX53R-standard RBC-10PACK под GX53 черный хром (10 шт./упак.) IN HOME</v>
      </c>
      <c r="C679" s="2">
        <f>IFERROR(__xludf.DUMMYFUNCTION("""COMPUTED_VALUE"""),0.0)</f>
        <v>0</v>
      </c>
      <c r="D679" s="2">
        <f>IFERROR(__xludf.DUMMYFUNCTION("""COMPUTED_VALUE"""),0.0)</f>
        <v>0</v>
      </c>
      <c r="E679" s="2">
        <f>IFERROR(__xludf.DUMMYFUNCTION("""COMPUTED_VALUE"""),459.45)</f>
        <v>459.45</v>
      </c>
      <c r="F679" s="2">
        <f>IFERROR(__xludf.DUMMYFUNCTION("""COMPUTED_VALUE"""),576.0)</f>
        <v>576</v>
      </c>
      <c r="G679" s="2">
        <f>IFERROR(__xludf.DUMMYFUNCTION("""COMPUTED_VALUE"""),648.0)</f>
        <v>648</v>
      </c>
      <c r="H679" s="2">
        <f>IFERROR(__xludf.DUMMYFUNCTION("""COMPUTED_VALUE"""),751.0)</f>
        <v>751</v>
      </c>
      <c r="I679" s="2">
        <f>IFERROR(__xludf.DUMMYFUNCTION("""COMPUTED_VALUE"""),864.0)</f>
        <v>864</v>
      </c>
      <c r="J679" s="2">
        <f>IFERROR(__xludf.DUMMYFUNCTION("""COMPUTED_VALUE"""),432.0)</f>
        <v>432</v>
      </c>
      <c r="K679" s="2">
        <f>IFERROR(__xludf.DUMMYFUNCTION("""COMPUTED_VALUE"""),5.0)</f>
        <v>5</v>
      </c>
      <c r="L679" s="2" t="str">
        <f>IFERROR(__xludf.DUMMYFUNCTION("""COMPUTED_VALUE"""),"Под лампу GX53")</f>
        <v>Под лампу GX53</v>
      </c>
      <c r="M679" s="2" t="str">
        <f>IFERROR(__xludf.DUMMYFUNCTION("""COMPUTED_VALUE"""),"Ламповые светильники")</f>
        <v>Ламповые светильники</v>
      </c>
    </row>
    <row r="680">
      <c r="A680" s="5" t="str">
        <f>IFERROR(__xludf.DUMMYFUNCTION("""COMPUTED_VALUE"""),"4690612029979")</f>
        <v>4690612029979</v>
      </c>
      <c r="B680" s="5" t="str">
        <f>IFERROR(__xludf.DUMMYFUNCTION("""COMPUTED_VALUE"""),"LPU-02-EMERGENCY 36Вт ПРИЗМА 230В 6500К 3420Лм 595х595х19 IN HOME без БАП-10W90")</f>
        <v>LPU-02-EMERGENCY 36Вт ПРИЗМА 230В 6500К 3420Лм 595х595х19 IN HOME без БАП-10W90</v>
      </c>
      <c r="C680" s="2">
        <f>IFERROR(__xludf.DUMMYFUNCTION("""COMPUTED_VALUE"""),1.1)</f>
        <v>1.1</v>
      </c>
      <c r="D680" s="2">
        <f>IFERROR(__xludf.DUMMYFUNCTION("""COMPUTED_VALUE"""),0.00825)</f>
        <v>0.00825</v>
      </c>
      <c r="E680" s="2">
        <f>IFERROR(__xludf.DUMMYFUNCTION("""COMPUTED_VALUE"""),542.65)</f>
        <v>542.65</v>
      </c>
      <c r="F680" s="2">
        <f>IFERROR(__xludf.DUMMYFUNCTION("""COMPUTED_VALUE"""),601.0)</f>
        <v>601</v>
      </c>
      <c r="G680" s="2">
        <f>IFERROR(__xludf.DUMMYFUNCTION("""COMPUTED_VALUE"""),676.0)</f>
        <v>676</v>
      </c>
      <c r="H680" s="2">
        <f>IFERROR(__xludf.DUMMYFUNCTION("""COMPUTED_VALUE"""),784.0)</f>
        <v>784</v>
      </c>
      <c r="I680" s="2">
        <f>IFERROR(__xludf.DUMMYFUNCTION("""COMPUTED_VALUE"""),901.0)</f>
        <v>901</v>
      </c>
      <c r="J680" s="2">
        <f>IFERROR(__xludf.DUMMYFUNCTION("""COMPUTED_VALUE"""),451.0)</f>
        <v>451</v>
      </c>
      <c r="K680" s="2">
        <f>IFERROR(__xludf.DUMMYFUNCTION("""COMPUTED_VALUE"""),4.0)</f>
        <v>4</v>
      </c>
      <c r="L680" s="2" t="str">
        <f>IFERROR(__xludf.DUMMYFUNCTION("""COMPUTED_VALUE"""),"Панели светодиодные LP серии EMERGENCY")</f>
        <v>Панели светодиодные LP серии EMERGENCY</v>
      </c>
      <c r="M680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681">
      <c r="A681" s="5" t="str">
        <f>IFERROR(__xludf.DUMMYFUNCTION("""COMPUTED_VALUE"""),"4690612064390-1")</f>
        <v>4690612064390-1</v>
      </c>
      <c r="B681" s="5" t="str">
        <f>IFERROR(__xludf.DUMMYFUNCTION("""COMPUTED_VALUE"""),"ДВО-PRO 7540-ОПАЛ 75Вт 4000К 100лм/Вт CRI80 IP40 595х595х30мм NEOX (в индивид. уп)")</f>
        <v>ДВО-PRO 7540-ОПАЛ 75Вт 4000К 100лм/Вт CRI80 IP40 595х595х30мм NEOX (в индивид. уп)</v>
      </c>
      <c r="C681" s="2">
        <f>IFERROR(__xludf.DUMMYFUNCTION("""COMPUTED_VALUE"""),0.0)</f>
        <v>0</v>
      </c>
      <c r="D681" s="2">
        <f>IFERROR(__xludf.DUMMYFUNCTION("""COMPUTED_VALUE"""),0.0)</f>
        <v>0</v>
      </c>
      <c r="E681" s="2">
        <f>IFERROR(__xludf.DUMMYFUNCTION("""COMPUTED_VALUE"""),1034.6)</f>
        <v>1034.6</v>
      </c>
      <c r="F681" s="2">
        <f>IFERROR(__xludf.DUMMYFUNCTION("""COMPUTED_VALUE"""),1135.0)</f>
        <v>1135</v>
      </c>
      <c r="G681" s="2">
        <f>IFERROR(__xludf.DUMMYFUNCTION("""COMPUTED_VALUE"""),1490.0)</f>
        <v>1490</v>
      </c>
      <c r="H681" s="2">
        <f>IFERROR(__xludf.DUMMYFUNCTION("""COMPUTED_VALUE"""),1676.0)</f>
        <v>1676</v>
      </c>
      <c r="I681" s="2">
        <f>IFERROR(__xludf.DUMMYFUNCTION("""COMPUTED_VALUE"""),1862.0)</f>
        <v>1862</v>
      </c>
      <c r="J681" s="2">
        <f>IFERROR(__xludf.DUMMYFUNCTION("""COMPUTED_VALUE"""),931.0)</f>
        <v>931</v>
      </c>
      <c r="K681" s="2">
        <f>IFERROR(__xludf.DUMMYFUNCTION("""COMPUTED_VALUE"""),21.0)</f>
        <v>21</v>
      </c>
      <c r="L681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681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682">
      <c r="A682" s="5" t="str">
        <f>IFERROR(__xludf.DUMMYFUNCTION("""COMPUTED_VALUE"""),"4690612037561")</f>
        <v>4690612037561</v>
      </c>
      <c r="B682" s="5" t="str">
        <f>IFERROR(__xludf.DUMMYFUNCTION("""COMPUTED_VALUE"""),"ССП-153 36Вт 230В 4000К 3420Лм 1200мм IP65 IN HOME")</f>
        <v>ССП-153 36Вт 230В 4000К 3420Лм 1200мм IP65 IN HOME</v>
      </c>
      <c r="C682" s="2">
        <f>IFERROR(__xludf.DUMMYFUNCTION("""COMPUTED_VALUE"""),0.196)</f>
        <v>0.196</v>
      </c>
      <c r="D682" s="2">
        <f>IFERROR(__xludf.DUMMYFUNCTION("""COMPUTED_VALUE"""),0.0014)</f>
        <v>0.0014</v>
      </c>
      <c r="E682" s="2">
        <f>IFERROR(__xludf.DUMMYFUNCTION("""COMPUTED_VALUE"""),332.64)</f>
        <v>332.64</v>
      </c>
      <c r="F682" s="2">
        <f>IFERROR(__xludf.DUMMYFUNCTION("""COMPUTED_VALUE"""),367.0)</f>
        <v>367</v>
      </c>
      <c r="G682" s="2">
        <f>IFERROR(__xludf.DUMMYFUNCTION("""COMPUTED_VALUE"""),413.0)</f>
        <v>413</v>
      </c>
      <c r="H682" s="2">
        <f>IFERROR(__xludf.DUMMYFUNCTION("""COMPUTED_VALUE"""),479.0)</f>
        <v>479</v>
      </c>
      <c r="I682" s="2">
        <f>IFERROR(__xludf.DUMMYFUNCTION("""COMPUTED_VALUE"""),550.0)</f>
        <v>550</v>
      </c>
      <c r="J682" s="2">
        <f>IFERROR(__xludf.DUMMYFUNCTION("""COMPUTED_VALUE"""),275.0)</f>
        <v>275</v>
      </c>
      <c r="K682" s="2">
        <f>IFERROR(__xludf.DUMMYFUNCTION("""COMPUTED_VALUE"""),1.0)</f>
        <v>1</v>
      </c>
      <c r="L682" s="2" t="str">
        <f>IFERROR(__xludf.DUMMYFUNCTION("""COMPUTED_VALUE"""),"Светильники светодиодные ССП")</f>
        <v>Светильники светодиодные ССП</v>
      </c>
      <c r="M682" s="2" t="str">
        <f>IFERROR(__xludf.DUMMYFUNCTION("""COMPUTED_VALUE"""),"Для ЖКХ, дома, дачи, Без датчиков, LED Светильники")</f>
        <v>Для ЖКХ, дома, дачи, Без датчиков, LED Светильники</v>
      </c>
    </row>
    <row r="683">
      <c r="A683" s="5" t="str">
        <f>IFERROR(__xludf.DUMMYFUNCTION("""COMPUTED_VALUE"""),"4690612013473")</f>
        <v>4690612013473</v>
      </c>
      <c r="B683" s="5" t="str">
        <f>IFERROR(__xludf.DUMMYFUNCTION("""COMPUTED_VALUE"""),"ССО 02Б 10Вт 4000К 625Лм сенсор-диммер, с адаптером БЕЛЫЙ IN HOME")</f>
        <v>ССО 02Б 10Вт 4000К 625Лм сенсор-диммер, с адаптером БЕЛЫЙ IN HOME</v>
      </c>
      <c r="C683" s="2">
        <f>IFERROR(__xludf.DUMMYFUNCTION("""COMPUTED_VALUE"""),0.65)</f>
        <v>0.65</v>
      </c>
      <c r="D683" s="2">
        <f>IFERROR(__xludf.DUMMYFUNCTION("""COMPUTED_VALUE"""),0.004500000000000001)</f>
        <v>0.0045</v>
      </c>
      <c r="E683" s="2">
        <f>IFERROR(__xludf.DUMMYFUNCTION("""COMPUTED_VALUE"""),670.86)</f>
        <v>670.86</v>
      </c>
      <c r="F683" s="2">
        <f>IFERROR(__xludf.DUMMYFUNCTION("""COMPUTED_VALUE"""),986.0)</f>
        <v>986</v>
      </c>
      <c r="G683" s="2">
        <f>IFERROR(__xludf.DUMMYFUNCTION("""COMPUTED_VALUE"""),1110.0)</f>
        <v>1110</v>
      </c>
      <c r="H683" s="2">
        <f>IFERROR(__xludf.DUMMYFUNCTION("""COMPUTED_VALUE"""),1287.0)</f>
        <v>1287</v>
      </c>
      <c r="I683" s="2">
        <f>IFERROR(__xludf.DUMMYFUNCTION("""COMPUTED_VALUE"""),1480.0)</f>
        <v>1480</v>
      </c>
      <c r="J683" s="2">
        <f>IFERROR(__xludf.DUMMYFUNCTION("""COMPUTED_VALUE"""),740.0)</f>
        <v>740</v>
      </c>
      <c r="K683" s="2">
        <f>IFERROR(__xludf.DUMMYFUNCTION("""COMPUTED_VALUE"""),3.0)</f>
        <v>3</v>
      </c>
      <c r="L683" s="2" t="str">
        <f>IFERROR(__xludf.DUMMYFUNCTION("""COMPUTED_VALUE"""),"Светильники настольные светодиодные")</f>
        <v>Светильники настольные светодиодные</v>
      </c>
      <c r="M683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684">
      <c r="A684" s="5" t="str">
        <f>IFERROR(__xludf.DUMMYFUNCTION("""COMPUTED_VALUE"""),"4260652193383")</f>
        <v>4260652193383</v>
      </c>
      <c r="B684" s="5" t="str">
        <f>IFERROR(__xludf.DUMMYFUNCTION("""COMPUTED_VALUE"""),"LCL04-12W-R11-4K-SOA")</f>
        <v>LCL04-12W-R11-4K-SOA</v>
      </c>
      <c r="C684" s="2">
        <f>IFERROR(__xludf.DUMMYFUNCTION("""COMPUTED_VALUE"""),0.11)</f>
        <v>0.11</v>
      </c>
      <c r="D684" s="2">
        <f>IFERROR(__xludf.DUMMYFUNCTION("""COMPUTED_VALUE"""),0.04)</f>
        <v>0.04</v>
      </c>
      <c r="E684" s="2">
        <f>IFERROR(__xludf.DUMMYFUNCTION("""COMPUTED_VALUE"""),365.12)</f>
        <v>365.12</v>
      </c>
      <c r="F684" s="2">
        <f>IFERROR(__xludf.DUMMYFUNCTION("""COMPUTED_VALUE"""),340.0)</f>
        <v>340</v>
      </c>
      <c r="G684" s="2">
        <f>IFERROR(__xludf.DUMMYFUNCTION("""COMPUTED_VALUE"""),352.0)</f>
        <v>352</v>
      </c>
      <c r="H684" s="2">
        <f>IFERROR(__xludf.DUMMYFUNCTION("""COMPUTED_VALUE"""),461.0)</f>
        <v>461</v>
      </c>
      <c r="I684" s="2">
        <f>IFERROR(__xludf.DUMMYFUNCTION("""COMPUTED_VALUE"""),576.0)</f>
        <v>576</v>
      </c>
      <c r="J684" s="2">
        <f>IFERROR(__xludf.DUMMYFUNCTION("""COMPUTED_VALUE"""),288.0)</f>
        <v>288</v>
      </c>
      <c r="K684" s="2">
        <f>IFERROR(__xludf.DUMMYFUNCTION("""COMPUTED_VALUE"""),58.0)</f>
        <v>58</v>
      </c>
      <c r="L684" s="2" t="str">
        <f>IFERROR(__xludf.DUMMYFUNCTION("""COMPUTED_VALUE"""),"Wolta ЖКХ")</f>
        <v>Wolta ЖКХ</v>
      </c>
      <c r="M684" s="2" t="str">
        <f>IFERROR(__xludf.DUMMYFUNCTION("""COMPUTED_VALUE"""),"Для ЖКХ, дома, дачи, LED Светильники")</f>
        <v>Для ЖКХ, дома, дачи, LED Светильники</v>
      </c>
    </row>
    <row r="685">
      <c r="A685" s="5" t="str">
        <f>IFERROR(__xludf.DUMMYFUNCTION("""COMPUTED_VALUE"""),"4690612003757")</f>
        <v>4690612003757</v>
      </c>
      <c r="B685" s="5" t="str">
        <f>IFERROR(__xludf.DUMMYFUNCTION("""COMPUTED_VALUE"""),"LED-JC-standard 1.5Вт 12В G4 3000К 135Лм ASD")</f>
        <v>LED-JC-standard 1.5Вт 12В G4 3000К 135Лм ASD</v>
      </c>
      <c r="C685" s="2">
        <f>IFERROR(__xludf.DUMMYFUNCTION("""COMPUTED_VALUE"""),0.004)</f>
        <v>0.004</v>
      </c>
      <c r="D685" s="2">
        <f>IFERROR(__xludf.DUMMYFUNCTION("""COMPUTED_VALUE"""),3.0E-5)</f>
        <v>0.00003</v>
      </c>
      <c r="E685" s="2">
        <f>IFERROR(__xludf.DUMMYFUNCTION("""COMPUTED_VALUE"""),45.89)</f>
        <v>45.89</v>
      </c>
      <c r="F685" s="2">
        <f>IFERROR(__xludf.DUMMYFUNCTION("""COMPUTED_VALUE"""),37.0)</f>
        <v>37</v>
      </c>
      <c r="G685" s="2">
        <f>IFERROR(__xludf.DUMMYFUNCTION("""COMPUTED_VALUE"""),42.0)</f>
        <v>42</v>
      </c>
      <c r="H685" s="2">
        <f>IFERROR(__xludf.DUMMYFUNCTION("""COMPUTED_VALUE"""),49.0)</f>
        <v>49</v>
      </c>
      <c r="I685" s="2">
        <f>IFERROR(__xludf.DUMMYFUNCTION("""COMPUTED_VALUE"""),56.5)</f>
        <v>56.5</v>
      </c>
      <c r="J685" s="2">
        <f>IFERROR(__xludf.DUMMYFUNCTION("""COMPUTED_VALUE"""),28.0)</f>
        <v>28</v>
      </c>
      <c r="K685" s="2">
        <f>IFERROR(__xludf.DUMMYFUNCTION("""COMPUTED_VALUE"""),50.0)</f>
        <v>50</v>
      </c>
      <c r="L685" s="2" t="str">
        <f>IFERROR(__xludf.DUMMYFUNCTION("""COMPUTED_VALUE"""),"Лампа светодиодная LED-JC-standard")</f>
        <v>Лампа светодиодная LED-JC-standard</v>
      </c>
      <c r="M685" s="2" t="str">
        <f>IFERROR(__xludf.DUMMYFUNCTION("""COMPUTED_VALUE"""),"Лампы")</f>
        <v>Лампы</v>
      </c>
    </row>
    <row r="686">
      <c r="A686" s="5" t="str">
        <f>IFERROR(__xludf.DUMMYFUNCTION("""COMPUTED_VALUE"""),"4690612020563")</f>
        <v>4690612020563</v>
      </c>
      <c r="B686" s="5" t="str">
        <f>IFERROR(__xludf.DUMMYFUNCTION("""COMPUTED_VALUE"""),"LED-ШАР-VC 8Вт 230В Е27 3000К 760Лм IN HOME")</f>
        <v>LED-ШАР-VC 8Вт 230В Е27 3000К 760Лм IN HOME</v>
      </c>
      <c r="C686" s="2">
        <f>IFERROR(__xludf.DUMMYFUNCTION("""COMPUTED_VALUE"""),0.031)</f>
        <v>0.031</v>
      </c>
      <c r="D686" s="2">
        <f>IFERROR(__xludf.DUMMYFUNCTION("""COMPUTED_VALUE"""),2.3E-4)</f>
        <v>0.00023</v>
      </c>
      <c r="E686" s="2">
        <f>IFERROR(__xludf.DUMMYFUNCTION("""COMPUTED_VALUE"""),35.4)</f>
        <v>35.4</v>
      </c>
      <c r="F686" s="2">
        <f>IFERROR(__xludf.DUMMYFUNCTION("""COMPUTED_VALUE"""),45.0)</f>
        <v>45</v>
      </c>
      <c r="G686" s="2">
        <f>IFERROR(__xludf.DUMMYFUNCTION("""COMPUTED_VALUE"""),50.0)</f>
        <v>50</v>
      </c>
      <c r="H686" s="2">
        <f>IFERROR(__xludf.DUMMYFUNCTION("""COMPUTED_VALUE"""),58.0)</f>
        <v>58</v>
      </c>
      <c r="I686" s="2">
        <f>IFERROR(__xludf.DUMMYFUNCTION("""COMPUTED_VALUE"""),67.6)</f>
        <v>67.6</v>
      </c>
      <c r="J686" s="2">
        <f>IFERROR(__xludf.DUMMYFUNCTION("""COMPUTED_VALUE"""),34.0)</f>
        <v>34</v>
      </c>
      <c r="K686" s="2">
        <f>IFERROR(__xludf.DUMMYFUNCTION("""COMPUTED_VALUE"""),27.0)</f>
        <v>27</v>
      </c>
      <c r="L686" s="2" t="str">
        <f>IFERROR(__xludf.DUMMYFUNCTION("""COMPUTED_VALUE"""),"Лампа светодиодная LED-ШАР-standard")</f>
        <v>Лампа светодиодная LED-ШАР-standard</v>
      </c>
      <c r="M686" s="2" t="str">
        <f>IFERROR(__xludf.DUMMYFUNCTION("""COMPUTED_VALUE"""),"Лампы")</f>
        <v>Лампы</v>
      </c>
    </row>
    <row r="687">
      <c r="A687" s="5" t="str">
        <f>IFERROR(__xludf.DUMMYFUNCTION("""COMPUTED_VALUE"""),"4260652192843")</f>
        <v>4260652192843</v>
      </c>
      <c r="B687" s="5" t="str">
        <f>IFERROR(__xludf.DUMMYFUNCTION("""COMPUTED_VALUE"""),"WTL-AC/01B")</f>
        <v>WTL-AC/01B</v>
      </c>
      <c r="C687" s="2">
        <f>IFERROR(__xludf.DUMMYFUNCTION("""COMPUTED_VALUE"""),0.05)</f>
        <v>0.05</v>
      </c>
      <c r="D687" s="2">
        <f>IFERROR(__xludf.DUMMYFUNCTION("""COMPUTED_VALUE"""),0.00158)</f>
        <v>0.00158</v>
      </c>
      <c r="E687" s="2">
        <f>IFERROR(__xludf.DUMMYFUNCTION("""COMPUTED_VALUE"""),130.75)</f>
        <v>130.75</v>
      </c>
      <c r="F687" s="2">
        <f>IFERROR(__xludf.DUMMYFUNCTION("""COMPUTED_VALUE"""),138.0)</f>
        <v>138</v>
      </c>
      <c r="G687" s="2">
        <f>IFERROR(__xludf.DUMMYFUNCTION("""COMPUTED_VALUE"""),143.0)</f>
        <v>143</v>
      </c>
      <c r="H687" s="2">
        <f>IFERROR(__xludf.DUMMYFUNCTION("""COMPUTED_VALUE"""),187.0)</f>
        <v>187</v>
      </c>
      <c r="I687" s="2">
        <f>IFERROR(__xludf.DUMMYFUNCTION("""COMPUTED_VALUE"""),234.0)</f>
        <v>234</v>
      </c>
      <c r="J687" s="2">
        <f>IFERROR(__xludf.DUMMYFUNCTION("""COMPUTED_VALUE"""),117.0)</f>
        <v>117</v>
      </c>
      <c r="K687" s="2">
        <f>IFERROR(__xludf.DUMMYFUNCTION("""COMPUTED_VALUE"""),9.0)</f>
        <v>9</v>
      </c>
      <c r="L687" s="2" t="str">
        <f>IFERROR(__xludf.DUMMYFUNCTION("""COMPUTED_VALUE"""),"Wolta трековые")</f>
        <v>Wolta трековые</v>
      </c>
      <c r="M687" s="2" t="str">
        <f>IFERROR(__xludf.DUMMYFUNCTION("""COMPUTED_VALUE"""),"Трековые, LED Светильники")</f>
        <v>Трековые, LED Светильники</v>
      </c>
    </row>
    <row r="688">
      <c r="A688" s="5" t="str">
        <f>IFERROR(__xludf.DUMMYFUNCTION("""COMPUTED_VALUE"""),"ves2015")</f>
        <v>ves2015</v>
      </c>
      <c r="B688" s="5" t="str">
        <f>IFERROR(__xludf.DUMMYFUNCTION("""COMPUTED_VALUE"""),"Вилка переносная 025 3Р+РЕ+N 32А 380В IP44")</f>
        <v>Вилка переносная 025 3Р+РЕ+N 32А 380В IP44</v>
      </c>
      <c r="C688" s="2">
        <f>IFERROR(__xludf.DUMMYFUNCTION("""COMPUTED_VALUE"""),0.0)</f>
        <v>0</v>
      </c>
      <c r="D688" s="2">
        <f>IFERROR(__xludf.DUMMYFUNCTION("""COMPUTED_VALUE"""),0.0)</f>
        <v>0</v>
      </c>
      <c r="E688" s="2">
        <f>IFERROR(__xludf.DUMMYFUNCTION("""COMPUTED_VALUE"""),225.18)</f>
        <v>225.18</v>
      </c>
      <c r="F688" s="2">
        <f>IFERROR(__xludf.DUMMYFUNCTION("""COMPUTED_VALUE"""),300.0)</f>
        <v>300</v>
      </c>
      <c r="G688" s="2">
        <f>IFERROR(__xludf.DUMMYFUNCTION("""COMPUTED_VALUE"""),320.0)</f>
        <v>320</v>
      </c>
      <c r="H688" s="2">
        <f>IFERROR(__xludf.DUMMYFUNCTION("""COMPUTED_VALUE"""),360.0)</f>
        <v>360</v>
      </c>
      <c r="I688" s="2">
        <f>IFERROR(__xludf.DUMMYFUNCTION("""COMPUTED_VALUE"""),400.02)</f>
        <v>400.02</v>
      </c>
      <c r="J688" s="2">
        <f>IFERROR(__xludf.DUMMYFUNCTION("""COMPUTED_VALUE"""),200.0)</f>
        <v>200</v>
      </c>
      <c r="K688" s="2">
        <f>IFERROR(__xludf.DUMMYFUNCTION("""COMPUTED_VALUE"""),1.0)</f>
        <v>1</v>
      </c>
      <c r="L688" s="2" t="str">
        <f>IFERROR(__xludf.DUMMYFUNCTION("""COMPUTED_VALUE"""),"ves2 (тендер)")</f>
        <v>ves2 (тендер)</v>
      </c>
      <c r="M688" s="2" t="str">
        <f>IFERROR(__xludf.DUMMYFUNCTION("""COMPUTED_VALUE"""),"Прочие товары")</f>
        <v>Прочие товары</v>
      </c>
    </row>
    <row r="689">
      <c r="A689" s="5" t="str">
        <f>IFERROR(__xludf.DUMMYFUNCTION("""COMPUTED_VALUE"""),"V9048")</f>
        <v>V9048</v>
      </c>
      <c r="B689" s="5" t="str">
        <f>IFERROR(__xludf.DUMMYFUNCTION("""COMPUTED_VALUE"""),"VRN-UNE-96D-G40K67-UV, 96Вт, Галочка")</f>
        <v>VRN-UNE-96D-G40K67-UV, 96Вт, Галочка</v>
      </c>
      <c r="C689" s="2">
        <f>IFERROR(__xludf.DUMMYFUNCTION("""COMPUTED_VALUE"""),2.45)</f>
        <v>2.45</v>
      </c>
      <c r="D689" s="2">
        <f>IFERROR(__xludf.DUMMYFUNCTION("""COMPUTED_VALUE"""),0.0103)</f>
        <v>0.0103</v>
      </c>
      <c r="E689" s="2">
        <f>IFERROR(__xludf.DUMMYFUNCTION("""COMPUTED_VALUE"""),3901.22)</f>
        <v>3901.22</v>
      </c>
      <c r="F689" s="2">
        <f>IFERROR(__xludf.DUMMYFUNCTION("""COMPUTED_VALUE"""),4510.0)</f>
        <v>4510</v>
      </c>
      <c r="G689" s="2">
        <f>IFERROR(__xludf.DUMMYFUNCTION("""COMPUTED_VALUE"""),5863.0)</f>
        <v>5863</v>
      </c>
      <c r="H689" s="2">
        <f>IFERROR(__xludf.DUMMYFUNCTION("""COMPUTED_VALUE"""),6156.0)</f>
        <v>6156</v>
      </c>
      <c r="I689" s="2">
        <f>IFERROR(__xludf.DUMMYFUNCTION("""COMPUTED_VALUE"""),6449.0)</f>
        <v>6449</v>
      </c>
      <c r="J689" s="2">
        <f>IFERROR(__xludf.DUMMYFUNCTION("""COMPUTED_VALUE"""),6449.0)</f>
        <v>6449</v>
      </c>
      <c r="K689" s="2">
        <f>IFERROR(__xludf.DUMMYFUNCTION("""COMPUTED_VALUE"""),42.0)</f>
        <v>42</v>
      </c>
      <c r="L689" s="2" t="str">
        <f>IFERROR(__xludf.DUMMYFUNCTION("""COMPUTED_VALUE"""),"Универсал Эконом")</f>
        <v>Универсал Эконом</v>
      </c>
      <c r="M689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690">
      <c r="A690" s="5" t="str">
        <f>IFERROR(__xludf.DUMMYFUNCTION("""COMPUTED_VALUE"""),"4690612042565")</f>
        <v>4690612042565</v>
      </c>
      <c r="B690" s="5" t="str">
        <f>IFERROR(__xludf.DUMMYFUNCTION("""COMPUTED_VALUE"""),"ДСП-153Н 18Вт 230В 4000К 2250Лм 125лм/Вт 600мм IP65 NEOX")</f>
        <v>ДСП-153Н 18Вт 230В 4000К 2250Лм 125лм/Вт 600мм IP65 NEOX</v>
      </c>
      <c r="C690" s="2">
        <f>IFERROR(__xludf.DUMMYFUNCTION("""COMPUTED_VALUE"""),0.17)</f>
        <v>0.17</v>
      </c>
      <c r="D690" s="2">
        <f>IFERROR(__xludf.DUMMYFUNCTION("""COMPUTED_VALUE"""),0.00145)</f>
        <v>0.00145</v>
      </c>
      <c r="E690" s="2">
        <f>IFERROR(__xludf.DUMMYFUNCTION("""COMPUTED_VALUE"""),374.33)</f>
        <v>374.33</v>
      </c>
      <c r="F690" s="2">
        <f>IFERROR(__xludf.DUMMYFUNCTION("""COMPUTED_VALUE"""),340.0)</f>
        <v>340</v>
      </c>
      <c r="G690" s="2">
        <f>IFERROR(__xludf.DUMMYFUNCTION("""COMPUTED_VALUE"""),383.0)</f>
        <v>383</v>
      </c>
      <c r="H690" s="2">
        <f>IFERROR(__xludf.DUMMYFUNCTION("""COMPUTED_VALUE"""),444.0)</f>
        <v>444</v>
      </c>
      <c r="I690" s="2">
        <f>IFERROR(__xludf.DUMMYFUNCTION("""COMPUTED_VALUE"""),510.0)</f>
        <v>510</v>
      </c>
      <c r="J690" s="2">
        <f>IFERROR(__xludf.DUMMYFUNCTION("""COMPUTED_VALUE"""),255.0)</f>
        <v>255</v>
      </c>
      <c r="K690" s="2">
        <f>IFERROR(__xludf.DUMMYFUNCTION("""COMPUTED_VALUE"""),21.0)</f>
        <v>21</v>
      </c>
      <c r="L690" s="2" t="str">
        <f>IFERROR(__xludf.DUMMYFUNCTION("""COMPUTED_VALUE"""),"NEOX Светильники LED ДСП")</f>
        <v>NEOX Светильники LED ДСП</v>
      </c>
      <c r="M690" s="2" t="str">
        <f>IFERROR(__xludf.DUMMYFUNCTION("""COMPUTED_VALUE"""),"Пластиковые (линейные), LED Светильники")</f>
        <v>Пластиковые (линейные), LED Светильники</v>
      </c>
    </row>
    <row r="691">
      <c r="A691" s="5" t="str">
        <f>IFERROR(__xludf.DUMMYFUNCTION("""COMPUTED_VALUE"""),"4260652193499")</f>
        <v>4260652193499</v>
      </c>
      <c r="B691" s="5" t="str">
        <f>IFERROR(__xludf.DUMMYFUNCTION("""COMPUTED_VALUE"""),"LCL04-18W-R21-6K-SM")</f>
        <v>LCL04-18W-R21-6K-SM</v>
      </c>
      <c r="C691" s="2">
        <f>IFERROR(__xludf.DUMMYFUNCTION("""COMPUTED_VALUE"""),0.215)</f>
        <v>0.215</v>
      </c>
      <c r="D691" s="2">
        <f>IFERROR(__xludf.DUMMYFUNCTION("""COMPUTED_VALUE"""),0.0)</f>
        <v>0</v>
      </c>
      <c r="E691" s="2">
        <f>IFERROR(__xludf.DUMMYFUNCTION("""COMPUTED_VALUE"""),555.38)</f>
        <v>555.38</v>
      </c>
      <c r="F691" s="2">
        <f>IFERROR(__xludf.DUMMYFUNCTION("""COMPUTED_VALUE"""),537.0)</f>
        <v>537</v>
      </c>
      <c r="G691" s="2">
        <f>IFERROR(__xludf.DUMMYFUNCTION("""COMPUTED_VALUE"""),555.0)</f>
        <v>555</v>
      </c>
      <c r="H691" s="2">
        <f>IFERROR(__xludf.DUMMYFUNCTION("""COMPUTED_VALUE"""),728.0)</f>
        <v>728</v>
      </c>
      <c r="I691" s="2">
        <f>IFERROR(__xludf.DUMMYFUNCTION("""COMPUTED_VALUE"""),910.0)</f>
        <v>910</v>
      </c>
      <c r="J691" s="2">
        <f>IFERROR(__xludf.DUMMYFUNCTION("""COMPUTED_VALUE"""),455.0)</f>
        <v>455</v>
      </c>
      <c r="K691" s="2">
        <f>IFERROR(__xludf.DUMMYFUNCTION("""COMPUTED_VALUE"""),32.0)</f>
        <v>32</v>
      </c>
      <c r="L691" s="2" t="str">
        <f>IFERROR(__xludf.DUMMYFUNCTION("""COMPUTED_VALUE"""),"Wolta ЖКХ")</f>
        <v>Wolta ЖКХ</v>
      </c>
      <c r="M691" s="2" t="str">
        <f>IFERROR(__xludf.DUMMYFUNCTION("""COMPUTED_VALUE"""),"Для ЖКХ, дома, дачи, LED Светильники")</f>
        <v>Для ЖКХ, дома, дачи, LED Светильники</v>
      </c>
    </row>
    <row r="692">
      <c r="A692" s="5" t="str">
        <f>IFERROR(__xludf.DUMMYFUNCTION("""COMPUTED_VALUE"""),"R102823")</f>
        <v>R102823</v>
      </c>
      <c r="B692" s="5" t="str">
        <f>IFERROR(__xludf.DUMMYFUNCTION("""COMPUTED_VALUE"""),"RSV-SPP-8W-6500K-IP65")</f>
        <v>RSV-SPP-8W-6500K-IP65</v>
      </c>
      <c r="C692" s="2">
        <f>IFERROR(__xludf.DUMMYFUNCTION("""COMPUTED_VALUE"""),0.175)</f>
        <v>0.175</v>
      </c>
      <c r="D692" s="2">
        <f>IFERROR(__xludf.DUMMYFUNCTION("""COMPUTED_VALUE"""),0.00111)</f>
        <v>0.00111</v>
      </c>
      <c r="E692" s="2">
        <f>IFERROR(__xludf.DUMMYFUNCTION("""COMPUTED_VALUE"""),159.43)</f>
        <v>159.43</v>
      </c>
      <c r="F692" s="2">
        <f>IFERROR(__xludf.DUMMYFUNCTION("""COMPUTED_VALUE"""),78.0)</f>
        <v>78</v>
      </c>
      <c r="G692" s="2">
        <f>IFERROR(__xludf.DUMMYFUNCTION("""COMPUTED_VALUE"""),92.0)</f>
        <v>92</v>
      </c>
      <c r="H692" s="2">
        <f>IFERROR(__xludf.DUMMYFUNCTION("""COMPUTED_VALUE"""),95.0)</f>
        <v>95</v>
      </c>
      <c r="I692" s="2">
        <f>IFERROR(__xludf.DUMMYFUNCTION("""COMPUTED_VALUE"""),109.0)</f>
        <v>109</v>
      </c>
      <c r="J692" s="2">
        <f>IFERROR(__xludf.DUMMYFUNCTION("""COMPUTED_VALUE"""),55.0)</f>
        <v>55</v>
      </c>
      <c r="K692" s="2">
        <f>IFERROR(__xludf.DUMMYFUNCTION("""COMPUTED_VALUE"""),130.0)</f>
        <v>130</v>
      </c>
      <c r="L692" s="2" t="str">
        <f>IFERROR(__xludf.DUMMYFUNCTION("""COMPUTED_VALUE"""),"ЖКХ светильники RSV")</f>
        <v>ЖКХ светильники RSV</v>
      </c>
      <c r="M692" s="2" t="str">
        <f>IFERROR(__xludf.DUMMYFUNCTION("""COMPUTED_VALUE"""),"Без датчиков, LED Светильники")</f>
        <v>Без датчиков, LED Светильники</v>
      </c>
    </row>
    <row r="693">
      <c r="A693" s="5" t="str">
        <f>IFERROR(__xludf.DUMMYFUNCTION("""COMPUTED_VALUE"""),"R100872")</f>
        <v>R100872</v>
      </c>
      <c r="B693" s="5" t="str">
        <f>IFERROR(__xludf.DUMMYFUNCTION("""COMPUTED_VALUE"""),"RSV-SWP-02-48W RGB ( с ИК пультом)")</f>
        <v>RSV-SWP-02-48W RGB ( с ИК пультом)</v>
      </c>
      <c r="C693" s="2">
        <f>IFERROR(__xludf.DUMMYFUNCTION("""COMPUTED_VALUE"""),0.0)</f>
        <v>0</v>
      </c>
      <c r="D693" s="2">
        <f>IFERROR(__xludf.DUMMYFUNCTION("""COMPUTED_VALUE"""),0.0)</f>
        <v>0</v>
      </c>
      <c r="E693" s="2">
        <f>IFERROR(__xludf.DUMMYFUNCTION("""COMPUTED_VALUE"""),1724.02)</f>
        <v>1724.02</v>
      </c>
      <c r="F693" s="2">
        <f>IFERROR(__xludf.DUMMYFUNCTION("""COMPUTED_VALUE"""),888.0)</f>
        <v>888</v>
      </c>
      <c r="G693" s="2">
        <f>IFERROR(__xludf.DUMMYFUNCTION("""COMPUTED_VALUE"""),1045.0)</f>
        <v>1045</v>
      </c>
      <c r="H693" s="2">
        <f>IFERROR(__xludf.DUMMYFUNCTION("""COMPUTED_VALUE"""),1077.0)</f>
        <v>1077</v>
      </c>
      <c r="I693" s="2">
        <f>IFERROR(__xludf.DUMMYFUNCTION("""COMPUTED_VALUE"""),1238.0)</f>
        <v>1238</v>
      </c>
      <c r="J693" s="2">
        <f>IFERROR(__xludf.DUMMYFUNCTION("""COMPUTED_VALUE"""),619.0)</f>
        <v>619</v>
      </c>
      <c r="K693" s="2">
        <f>IFERROR(__xludf.DUMMYFUNCTION("""COMPUTED_VALUE"""),1.0)</f>
        <v>1</v>
      </c>
      <c r="L693" s="2" t="str">
        <f>IFERROR(__xludf.DUMMYFUNCTION("""COMPUTED_VALUE"""),"Декоративные")</f>
        <v>Декоративные</v>
      </c>
      <c r="M693" s="2" t="str">
        <f>IFERROR(__xludf.DUMMYFUNCTION("""COMPUTED_VALUE"""),"Светильники общего назначения (LED), Накладные, Без датчиков, LED Светильники")</f>
        <v>Светильники общего назначения (LED), Накладные, Без датчиков, LED Светильники</v>
      </c>
    </row>
    <row r="694">
      <c r="A694" s="5" t="str">
        <f>IFERROR(__xludf.DUMMYFUNCTION("""COMPUTED_VALUE"""),"V13101")</f>
        <v>V13101</v>
      </c>
      <c r="B694" s="5" t="str">
        <f>IFERROR(__xludf.DUMMYFUNCTION("""COMPUTED_VALUE"""),"VRN-RTL-69-8MA50K65-U, 69Вт, Универсальный")</f>
        <v>VRN-RTL-69-8MA50K65-U, 69Вт, Универсальный</v>
      </c>
      <c r="C694" s="2">
        <f>IFERROR(__xludf.DUMMYFUNCTION("""COMPUTED_VALUE"""),2.0)</f>
        <v>2</v>
      </c>
      <c r="D694" s="2">
        <f>IFERROR(__xludf.DUMMYFUNCTION("""COMPUTED_VALUE"""),0.0196)</f>
        <v>0.0196</v>
      </c>
      <c r="E694" s="2">
        <f>IFERROR(__xludf.DUMMYFUNCTION("""COMPUTED_VALUE"""),3152.0)</f>
        <v>3152</v>
      </c>
      <c r="F694" s="2">
        <f>IFERROR(__xludf.DUMMYFUNCTION("""COMPUTED_VALUE"""),3465.0)</f>
        <v>3465</v>
      </c>
      <c r="G694" s="2">
        <f>IFERROR(__xludf.DUMMYFUNCTION("""COMPUTED_VALUE"""),4505.0)</f>
        <v>4505</v>
      </c>
      <c r="H694" s="2">
        <f>IFERROR(__xludf.DUMMYFUNCTION("""COMPUTED_VALUE"""),4730.0)</f>
        <v>4730</v>
      </c>
      <c r="I694" s="2">
        <f>IFERROR(__xludf.DUMMYFUNCTION("""COMPUTED_VALUE"""),4955.0)</f>
        <v>4955</v>
      </c>
      <c r="J694" s="2">
        <f>IFERROR(__xludf.DUMMYFUNCTION("""COMPUTED_VALUE"""),4955.0)</f>
        <v>4955</v>
      </c>
      <c r="K694" s="2">
        <f>IFERROR(__xludf.DUMMYFUNCTION("""COMPUTED_VALUE"""),6.0)</f>
        <v>6</v>
      </c>
      <c r="L694" s="2" t="str">
        <f>IFERROR(__xludf.DUMMYFUNCTION("""COMPUTED_VALUE"""),"Ритейл")</f>
        <v>Ритейл</v>
      </c>
      <c r="M694" s="2" t="str">
        <f>IFERROR(__xludf.DUMMYFUNCTION("""COMPUTED_VALUE"""),"Пластиковые (линейные), Накладные, Линейные (проходные), LED Светильники")</f>
        <v>Пластиковые (линейные), Накладные, Линейные (проходные), LED Светильники</v>
      </c>
    </row>
    <row r="695">
      <c r="A695" s="5" t="str">
        <f>IFERROR(__xludf.DUMMYFUNCTION("""COMPUTED_VALUE"""),"4690612001395")</f>
        <v>4690612001395</v>
      </c>
      <c r="B695" s="5" t="str">
        <f>IFERROR(__xludf.DUMMYFUNCTION("""COMPUTED_VALUE"""),"LP-КПТ на тросах для панели светодиодной")</f>
        <v>LP-КПТ на тросах для панели светодиодной</v>
      </c>
      <c r="C695" s="2">
        <f>IFERROR(__xludf.DUMMYFUNCTION("""COMPUTED_VALUE"""),0.18833)</f>
        <v>0.18833</v>
      </c>
      <c r="D695" s="2">
        <f>IFERROR(__xludf.DUMMYFUNCTION("""COMPUTED_VALUE"""),1.5E-4)</f>
        <v>0.00015</v>
      </c>
      <c r="E695" s="2">
        <f>IFERROR(__xludf.DUMMYFUNCTION("""COMPUTED_VALUE"""),271.35)</f>
        <v>271.35</v>
      </c>
      <c r="F695" s="2">
        <f>IFERROR(__xludf.DUMMYFUNCTION("""COMPUTED_VALUE"""),270.0)</f>
        <v>270</v>
      </c>
      <c r="G695" s="2">
        <f>IFERROR(__xludf.DUMMYFUNCTION("""COMPUTED_VALUE"""),304.0)</f>
        <v>304</v>
      </c>
      <c r="H695" s="2">
        <f>IFERROR(__xludf.DUMMYFUNCTION("""COMPUTED_VALUE"""),352.0)</f>
        <v>352</v>
      </c>
      <c r="I695" s="2">
        <f>IFERROR(__xludf.DUMMYFUNCTION("""COMPUTED_VALUE"""),405.0)</f>
        <v>405</v>
      </c>
      <c r="J695" s="2">
        <f>IFERROR(__xludf.DUMMYFUNCTION("""COMPUTED_VALUE"""),203.0)</f>
        <v>203</v>
      </c>
      <c r="K695" s="2">
        <f>IFERROR(__xludf.DUMMYFUNCTION("""COMPUTED_VALUE"""),1.0)</f>
        <v>1</v>
      </c>
      <c r="L695" s="2" t="str">
        <f>IFERROR(__xludf.DUMMYFUNCTION("""COMPUTED_VALUE"""),"ASD Комплектующие")</f>
        <v>ASD Комплектующие</v>
      </c>
      <c r="M695" s="2" t="str">
        <f>IFERROR(__xludf.DUMMYFUNCTION("""COMPUTED_VALUE"""),"Прочие товары")</f>
        <v>Прочие товары</v>
      </c>
    </row>
    <row r="696">
      <c r="A696" s="5" t="str">
        <f>IFERROR(__xludf.DUMMYFUNCTION("""COMPUTED_VALUE"""),"GL8113")</f>
        <v>GL8113</v>
      </c>
      <c r="B696" s="5" t="str">
        <f>IFERROR(__xludf.DUMMYFUNCTION("""COMPUTED_VALUE"""),"GLERIO Office Casual 24 Вт 4000К 81P-24D-4V-K")</f>
        <v>GLERIO Office Casual 24 Вт 4000К 81P-24D-4V-K</v>
      </c>
      <c r="C696" s="2">
        <f>IFERROR(__xludf.DUMMYFUNCTION("""COMPUTED_VALUE"""),1.04)</f>
        <v>1.04</v>
      </c>
      <c r="D696" s="2">
        <f>IFERROR(__xludf.DUMMYFUNCTION("""COMPUTED_VALUE"""),0.008190000000000001)</f>
        <v>0.00819</v>
      </c>
      <c r="E696" s="2">
        <f>IFERROR(__xludf.DUMMYFUNCTION("""COMPUTED_VALUE"""),1464.7)</f>
        <v>1464.7</v>
      </c>
      <c r="F696" s="2">
        <f>IFERROR(__xludf.DUMMYFUNCTION("""COMPUTED_VALUE"""),1700.0)</f>
        <v>1700</v>
      </c>
      <c r="G696" s="2">
        <f>IFERROR(__xludf.DUMMYFUNCTION("""COMPUTED_VALUE"""),2140.0)</f>
        <v>2140</v>
      </c>
      <c r="H696" s="2">
        <f>IFERROR(__xludf.DUMMYFUNCTION("""COMPUTED_VALUE"""),2404.0)</f>
        <v>2404</v>
      </c>
      <c r="I696" s="2">
        <f>IFERROR(__xludf.DUMMYFUNCTION("""COMPUTED_VALUE"""),2667.0)</f>
        <v>2667</v>
      </c>
      <c r="J696" s="2">
        <f>IFERROR(__xludf.DUMMYFUNCTION("""COMPUTED_VALUE"""),2667.0)</f>
        <v>2667</v>
      </c>
      <c r="K696" s="2">
        <f>IFERROR(__xludf.DUMMYFUNCTION("""COMPUTED_VALUE"""),11.0)</f>
        <v>11</v>
      </c>
      <c r="L696" s="2" t="str">
        <f>IFERROR(__xludf.DUMMYFUNCTION("""COMPUTED_VALUE"""),"Office Casual (Офис) до 10.2025")</f>
        <v>Office Casual (Офис) до 10.2025</v>
      </c>
      <c r="M696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697">
      <c r="A697" s="5" t="str">
        <f>IFERROR(__xludf.DUMMYFUNCTION("""COMPUTED_VALUE"""),"12-0123-1")</f>
        <v>12-0123-1</v>
      </c>
      <c r="B697" s="5" t="str">
        <f>IFERROR(__xludf.DUMMYFUNCTION("""COMPUTED_VALUE"""),"Паяльник с керамическим нагревателем долговечное жало ПРОФИ 220 V/40 Вт REXANT")</f>
        <v>Паяльник с керамическим нагревателем долговечное жало ПРОФИ 220 V/40 Вт REXANT</v>
      </c>
      <c r="C697" s="2">
        <f>IFERROR(__xludf.DUMMYFUNCTION("""COMPUTED_VALUE"""),0.0)</f>
        <v>0</v>
      </c>
      <c r="D697" s="2">
        <f>IFERROR(__xludf.DUMMYFUNCTION("""COMPUTED_VALUE"""),0.0)</f>
        <v>0</v>
      </c>
      <c r="E697" s="2">
        <f>IFERROR(__xludf.DUMMYFUNCTION("""COMPUTED_VALUE"""),1.0)</f>
        <v>1</v>
      </c>
      <c r="F697" s="2">
        <f>IFERROR(__xludf.DUMMYFUNCTION("""COMPUTED_VALUE"""),840.0)</f>
        <v>840</v>
      </c>
      <c r="G697" s="2">
        <f>IFERROR(__xludf.DUMMYFUNCTION("""COMPUTED_VALUE"""),896.0)</f>
        <v>896</v>
      </c>
      <c r="H697" s="2">
        <f>IFERROR(__xludf.DUMMYFUNCTION("""COMPUTED_VALUE"""),1008.0)</f>
        <v>1008</v>
      </c>
      <c r="I697" s="2">
        <f>IFERROR(__xludf.DUMMYFUNCTION("""COMPUTED_VALUE"""),1120.06)</f>
        <v>1120.06</v>
      </c>
      <c r="J697" s="2">
        <f>IFERROR(__xludf.DUMMYFUNCTION("""COMPUTED_VALUE"""),560.0)</f>
        <v>560</v>
      </c>
      <c r="K697" s="2">
        <f>IFERROR(__xludf.DUMMYFUNCTION("""COMPUTED_VALUE"""),2.0)</f>
        <v>2</v>
      </c>
      <c r="L697" s="2" t="str">
        <f>IFERROR(__xludf.DUMMYFUNCTION("""COMPUTED_VALUE"""),"Rexant")</f>
        <v>Rexant</v>
      </c>
      <c r="M697" s="2" t="str">
        <f>IFERROR(__xludf.DUMMYFUNCTION("""COMPUTED_VALUE"""),"Прочие товары")</f>
        <v>Прочие товары</v>
      </c>
    </row>
    <row r="698">
      <c r="A698" s="5" t="str">
        <f>IFERROR(__xludf.DUMMYFUNCTION("""COMPUTED_VALUE"""),"12-0186")</f>
        <v>12-0186</v>
      </c>
      <c r="B698" s="5" t="str">
        <f>IFERROR(__xludf.DUMMYFUNCTION("""COMPUTED_VALUE"""),"Набор паяльник-выжигатель (6 насадок) 220 V/30 Вт + краски REXANT")</f>
        <v>Набор паяльник-выжигатель (6 насадок) 220 V/30 Вт + краски REXANT</v>
      </c>
      <c r="C698" s="2">
        <f>IFERROR(__xludf.DUMMYFUNCTION("""COMPUTED_VALUE"""),0.0)</f>
        <v>0</v>
      </c>
      <c r="D698" s="2">
        <f>IFERROR(__xludf.DUMMYFUNCTION("""COMPUTED_VALUE"""),0.0)</f>
        <v>0</v>
      </c>
      <c r="E698" s="2">
        <f>IFERROR(__xludf.DUMMYFUNCTION("""COMPUTED_VALUE"""),1.0)</f>
        <v>1</v>
      </c>
      <c r="F698" s="2">
        <f>IFERROR(__xludf.DUMMYFUNCTION("""COMPUTED_VALUE"""),1113.0)</f>
        <v>1113</v>
      </c>
      <c r="G698" s="2">
        <f>IFERROR(__xludf.DUMMYFUNCTION("""COMPUTED_VALUE"""),1187.0)</f>
        <v>1187</v>
      </c>
      <c r="H698" s="2">
        <f>IFERROR(__xludf.DUMMYFUNCTION("""COMPUTED_VALUE"""),1335.0)</f>
        <v>1335</v>
      </c>
      <c r="I698" s="2">
        <f>IFERROR(__xludf.DUMMYFUNCTION("""COMPUTED_VALUE"""),1483.45)</f>
        <v>1483.45</v>
      </c>
      <c r="J698" s="2">
        <f>IFERROR(__xludf.DUMMYFUNCTION("""COMPUTED_VALUE"""),742.0)</f>
        <v>742</v>
      </c>
      <c r="K698" s="2">
        <f>IFERROR(__xludf.DUMMYFUNCTION("""COMPUTED_VALUE"""),4.0)</f>
        <v>4</v>
      </c>
      <c r="L698" s="2" t="str">
        <f>IFERROR(__xludf.DUMMYFUNCTION("""COMPUTED_VALUE"""),"Rexant")</f>
        <v>Rexant</v>
      </c>
      <c r="M698" s="2" t="str">
        <f>IFERROR(__xludf.DUMMYFUNCTION("""COMPUTED_VALUE"""),"Прочие товары")</f>
        <v>Прочие товары</v>
      </c>
    </row>
    <row r="699">
      <c r="A699" s="5" t="str">
        <f>IFERROR(__xludf.DUMMYFUNCTION("""COMPUTED_VALUE"""),"V9020")</f>
        <v>V9020</v>
      </c>
      <c r="B699" s="5" t="str">
        <f>IFERROR(__xludf.DUMMYFUNCTION("""COMPUTED_VALUE"""),"VRN-UNE-80-G40K67-K, 80Вт, Консольный")</f>
        <v>VRN-UNE-80-G40K67-K, 80Вт, Консольный</v>
      </c>
      <c r="C699" s="2">
        <f>IFERROR(__xludf.DUMMYFUNCTION("""COMPUTED_VALUE"""),0.064)</f>
        <v>0.064</v>
      </c>
      <c r="D699" s="2">
        <f>IFERROR(__xludf.DUMMYFUNCTION("""COMPUTED_VALUE"""),0.00805)</f>
        <v>0.00805</v>
      </c>
      <c r="E699" s="2">
        <f>IFERROR(__xludf.DUMMYFUNCTION("""COMPUTED_VALUE"""),3570.0)</f>
        <v>3570</v>
      </c>
      <c r="F699" s="2">
        <f>IFERROR(__xludf.DUMMYFUNCTION("""COMPUTED_VALUE"""),3925.0)</f>
        <v>3925</v>
      </c>
      <c r="G699" s="2">
        <f>IFERROR(__xludf.DUMMYFUNCTION("""COMPUTED_VALUE"""),5103.0)</f>
        <v>5103</v>
      </c>
      <c r="H699" s="2">
        <f>IFERROR(__xludf.DUMMYFUNCTION("""COMPUTED_VALUE"""),5358.0)</f>
        <v>5358</v>
      </c>
      <c r="I699" s="2">
        <f>IFERROR(__xludf.DUMMYFUNCTION("""COMPUTED_VALUE"""),5613.0)</f>
        <v>5613</v>
      </c>
      <c r="J699" s="2">
        <f>IFERROR(__xludf.DUMMYFUNCTION("""COMPUTED_VALUE"""),5613.0)</f>
        <v>5613</v>
      </c>
      <c r="K699" s="2">
        <f>IFERROR(__xludf.DUMMYFUNCTION("""COMPUTED_VALUE"""),12.0)</f>
        <v>12</v>
      </c>
      <c r="L699" s="2" t="str">
        <f>IFERROR(__xludf.DUMMYFUNCTION("""COMPUTED_VALUE"""),"Универсал Эконом")</f>
        <v>Универсал Эконом</v>
      </c>
      <c r="M699" s="2" t="str">
        <f>IFERROR(__xludf.DUMMYFUNCTION("""COMPUTED_VALUE"""),"Для обычных дорог, LED Светильники")</f>
        <v>Для обычных дорог, LED Светильники</v>
      </c>
    </row>
    <row r="700">
      <c r="A700" s="5" t="str">
        <f>IFERROR(__xludf.DUMMYFUNCTION("""COMPUTED_VALUE"""),"4690612044224")</f>
        <v>4690612044224</v>
      </c>
      <c r="B700" s="5" t="str">
        <f>IFERROR(__xludf.DUMMYFUNCTION("""COMPUTED_VALUE"""),"GX53R-standard RBM-10PACK под GX53 черный матовый (10 шт./упак.) IN HOME")</f>
        <v>GX53R-standard RBM-10PACK под GX53 черный матовый (10 шт./упак.) IN HOME</v>
      </c>
      <c r="C700" s="2">
        <f>IFERROR(__xludf.DUMMYFUNCTION("""COMPUTED_VALUE"""),0.65)</f>
        <v>0.65</v>
      </c>
      <c r="D700" s="2">
        <f>IFERROR(__xludf.DUMMYFUNCTION("""COMPUTED_VALUE"""),4.4E-4)</f>
        <v>0.00044</v>
      </c>
      <c r="E700" s="2">
        <f>IFERROR(__xludf.DUMMYFUNCTION("""COMPUTED_VALUE"""),426.84)</f>
        <v>426.84</v>
      </c>
      <c r="F700" s="2">
        <f>IFERROR(__xludf.DUMMYFUNCTION("""COMPUTED_VALUE"""),515.0)</f>
        <v>515</v>
      </c>
      <c r="G700" s="2">
        <f>IFERROR(__xludf.DUMMYFUNCTION("""COMPUTED_VALUE"""),579.0)</f>
        <v>579</v>
      </c>
      <c r="H700" s="2">
        <f>IFERROR(__xludf.DUMMYFUNCTION("""COMPUTED_VALUE"""),672.0)</f>
        <v>672</v>
      </c>
      <c r="I700" s="2">
        <f>IFERROR(__xludf.DUMMYFUNCTION("""COMPUTED_VALUE"""),772.0)</f>
        <v>772</v>
      </c>
      <c r="J700" s="2">
        <f>IFERROR(__xludf.DUMMYFUNCTION("""COMPUTED_VALUE"""),386.0)</f>
        <v>386</v>
      </c>
      <c r="K700" s="2">
        <f>IFERROR(__xludf.DUMMYFUNCTION("""COMPUTED_VALUE"""),9.0)</f>
        <v>9</v>
      </c>
      <c r="L700" s="2" t="str">
        <f>IFERROR(__xludf.DUMMYFUNCTION("""COMPUTED_VALUE"""),"Под лампу GX53")</f>
        <v>Под лампу GX53</v>
      </c>
      <c r="M700" s="2" t="str">
        <f>IFERROR(__xludf.DUMMYFUNCTION("""COMPUTED_VALUE"""),"Ламповые светильники")</f>
        <v>Ламповые светильники</v>
      </c>
    </row>
    <row r="701">
      <c r="A701" s="5" t="str">
        <f>IFERROR(__xludf.DUMMYFUNCTION("""COMPUTED_VALUE"""),"R100006")</f>
        <v>R100006</v>
      </c>
      <c r="B701" s="5" t="str">
        <f>IFERROR(__xludf.DUMMYFUNCTION("""COMPUTED_VALUE"""),"RSV-SPP-12W-4000K-IP65 Oval")</f>
        <v>RSV-SPP-12W-4000K-IP65 Oval</v>
      </c>
      <c r="C701" s="2">
        <f>IFERROR(__xludf.DUMMYFUNCTION("""COMPUTED_VALUE"""),0.14)</f>
        <v>0.14</v>
      </c>
      <c r="D701" s="2">
        <f>IFERROR(__xludf.DUMMYFUNCTION("""COMPUTED_VALUE"""),6.8E-4)</f>
        <v>0.00068</v>
      </c>
      <c r="E701" s="2">
        <f>IFERROR(__xludf.DUMMYFUNCTION("""COMPUTED_VALUE"""),190.37)</f>
        <v>190.37</v>
      </c>
      <c r="F701" s="2">
        <f>IFERROR(__xludf.DUMMYFUNCTION("""COMPUTED_VALUE"""),139.0)</f>
        <v>139</v>
      </c>
      <c r="G701" s="2">
        <f>IFERROR(__xludf.DUMMYFUNCTION("""COMPUTED_VALUE"""),164.0)</f>
        <v>164</v>
      </c>
      <c r="H701" s="2">
        <f>IFERROR(__xludf.DUMMYFUNCTION("""COMPUTED_VALUE"""),169.0)</f>
        <v>169</v>
      </c>
      <c r="I701" s="2">
        <f>IFERROR(__xludf.DUMMYFUNCTION("""COMPUTED_VALUE"""),194.0)</f>
        <v>194</v>
      </c>
      <c r="J701" s="2">
        <f>IFERROR(__xludf.DUMMYFUNCTION("""COMPUTED_VALUE"""),164.0)</f>
        <v>164</v>
      </c>
      <c r="K701" s="2">
        <f>IFERROR(__xludf.DUMMYFUNCTION("""COMPUTED_VALUE"""),152.0)</f>
        <v>152</v>
      </c>
      <c r="L701" s="2" t="str">
        <f>IFERROR(__xludf.DUMMYFUNCTION("""COMPUTED_VALUE"""),"ЖКХ светильники RSV")</f>
        <v>ЖКХ светильники RSV</v>
      </c>
      <c r="M701" s="2" t="str">
        <f>IFERROR(__xludf.DUMMYFUNCTION("""COMPUTED_VALUE"""),"Без датчиков, LED Светильники")</f>
        <v>Без датчиков, LED Светильники</v>
      </c>
    </row>
    <row r="702">
      <c r="A702" s="5" t="str">
        <f>IFERROR(__xludf.DUMMYFUNCTION("""COMPUTED_VALUE"""),"4690612013299")</f>
        <v>4690612013299</v>
      </c>
      <c r="B702" s="5" t="str">
        <f>IFERROR(__xludf.DUMMYFUNCTION("""COMPUTED_VALUE"""),"ЗБ-1 32 мелодии 120м с цифр. кодир. с кнопкой БЕЛЫЙ IN HOME")</f>
        <v>ЗБ-1 32 мелодии 120м с цифр. кодир. с кнопкой БЕЛЫЙ IN HOME</v>
      </c>
      <c r="C702" s="2">
        <f>IFERROR(__xludf.DUMMYFUNCTION("""COMPUTED_VALUE"""),0.13)</f>
        <v>0.13</v>
      </c>
      <c r="D702" s="2">
        <f>IFERROR(__xludf.DUMMYFUNCTION("""COMPUTED_VALUE"""),6.7E-4)</f>
        <v>0.00067</v>
      </c>
      <c r="E702" s="2">
        <f>IFERROR(__xludf.DUMMYFUNCTION("""COMPUTED_VALUE"""),253.73)</f>
        <v>253.73</v>
      </c>
      <c r="F702" s="2">
        <f>IFERROR(__xludf.DUMMYFUNCTION("""COMPUTED_VALUE"""),429.0)</f>
        <v>429</v>
      </c>
      <c r="G702" s="2">
        <f>IFERROR(__xludf.DUMMYFUNCTION("""COMPUTED_VALUE"""),483.0)</f>
        <v>483</v>
      </c>
      <c r="H702" s="2">
        <f>IFERROR(__xludf.DUMMYFUNCTION("""COMPUTED_VALUE"""),560.0)</f>
        <v>560</v>
      </c>
      <c r="I702" s="2">
        <f>IFERROR(__xludf.DUMMYFUNCTION("""COMPUTED_VALUE"""),644.0)</f>
        <v>644</v>
      </c>
      <c r="J702" s="2">
        <f>IFERROR(__xludf.DUMMYFUNCTION("""COMPUTED_VALUE"""),322.0)</f>
        <v>322</v>
      </c>
      <c r="K702" s="2">
        <f>IFERROR(__xludf.DUMMYFUNCTION("""COMPUTED_VALUE"""),1.0)</f>
        <v>1</v>
      </c>
      <c r="L702" s="2" t="str">
        <f>IFERROR(__xludf.DUMMYFUNCTION("""COMPUTED_VALUE"""),"Звонки")</f>
        <v>Звонки</v>
      </c>
      <c r="M702" s="2" t="str">
        <f>IFERROR(__xludf.DUMMYFUNCTION("""COMPUTED_VALUE"""),"Прочие товары")</f>
        <v>Прочие товары</v>
      </c>
    </row>
    <row r="703">
      <c r="A703" s="5" t="str">
        <f>IFERROR(__xludf.DUMMYFUNCTION("""COMPUTED_VALUE"""),"4690612036571")</f>
        <v>4690612036571</v>
      </c>
      <c r="B703" s="5" t="str">
        <f>IFERROR(__xludf.DUMMYFUNCTION("""COMPUTED_VALUE"""),"ССО 09Б 12Вт 3000-6500К 600Лм сенсор-диммер, с беспр. зарядкой для тел, с адаптером БЕЛЫЙ IN HOME")</f>
        <v>ССО 09Б 12Вт 3000-6500К 600Лм сенсор-диммер, с беспр. зарядкой для тел, с адаптером БЕЛЫЙ IN HOME</v>
      </c>
      <c r="C703" s="2">
        <f>IFERROR(__xludf.DUMMYFUNCTION("""COMPUTED_VALUE"""),0.6900000000000001)</f>
        <v>0.69</v>
      </c>
      <c r="D703" s="2">
        <f>IFERROR(__xludf.DUMMYFUNCTION("""COMPUTED_VALUE"""),0.00367)</f>
        <v>0.00367</v>
      </c>
      <c r="E703" s="2">
        <f>IFERROR(__xludf.DUMMYFUNCTION("""COMPUTED_VALUE"""),971.52)</f>
        <v>971.52</v>
      </c>
      <c r="F703" s="2">
        <f>IFERROR(__xludf.DUMMYFUNCTION("""COMPUTED_VALUE"""),1139.0)</f>
        <v>1139</v>
      </c>
      <c r="G703" s="2">
        <f>IFERROR(__xludf.DUMMYFUNCTION("""COMPUTED_VALUE"""),1282.0)</f>
        <v>1282</v>
      </c>
      <c r="H703" s="2">
        <f>IFERROR(__xludf.DUMMYFUNCTION("""COMPUTED_VALUE"""),1487.0)</f>
        <v>1487</v>
      </c>
      <c r="I703" s="2">
        <f>IFERROR(__xludf.DUMMYFUNCTION("""COMPUTED_VALUE"""),1709.0)</f>
        <v>1709</v>
      </c>
      <c r="J703" s="2">
        <f>IFERROR(__xludf.DUMMYFUNCTION("""COMPUTED_VALUE"""),855.0)</f>
        <v>855</v>
      </c>
      <c r="K703" s="2">
        <f>IFERROR(__xludf.DUMMYFUNCTION("""COMPUTED_VALUE"""),4.0)</f>
        <v>4</v>
      </c>
      <c r="L703" s="2" t="str">
        <f>IFERROR(__xludf.DUMMYFUNCTION("""COMPUTED_VALUE"""),"Светильники настольные светодиодные")</f>
        <v>Светильники настольные светодиодные</v>
      </c>
      <c r="M703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704">
      <c r="A704" s="5" t="str">
        <f>IFERROR(__xludf.DUMMYFUNCTION("""COMPUTED_VALUE"""),"4260652193451")</f>
        <v>4260652193451</v>
      </c>
      <c r="B704" s="5" t="str">
        <f>IFERROR(__xludf.DUMMYFUNCTION("""COMPUTED_VALUE"""),"LCL04-18W-R01-6K")</f>
        <v>LCL04-18W-R01-6K</v>
      </c>
      <c r="C704" s="2">
        <f>IFERROR(__xludf.DUMMYFUNCTION("""COMPUTED_VALUE"""),0.146)</f>
        <v>0.146</v>
      </c>
      <c r="D704" s="2">
        <f>IFERROR(__xludf.DUMMYFUNCTION("""COMPUTED_VALUE"""),0.08176000000000001)</f>
        <v>0.08176</v>
      </c>
      <c r="E704" s="2">
        <f>IFERROR(__xludf.DUMMYFUNCTION("""COMPUTED_VALUE"""),261.0)</f>
        <v>261</v>
      </c>
      <c r="F704" s="2">
        <f>IFERROR(__xludf.DUMMYFUNCTION("""COMPUTED_VALUE"""),317.0)</f>
        <v>317</v>
      </c>
      <c r="G704" s="2">
        <f>IFERROR(__xludf.DUMMYFUNCTION("""COMPUTED_VALUE"""),328.0)</f>
        <v>328</v>
      </c>
      <c r="H704" s="2">
        <f>IFERROR(__xludf.DUMMYFUNCTION("""COMPUTED_VALUE"""),430.0)</f>
        <v>430</v>
      </c>
      <c r="I704" s="2">
        <f>IFERROR(__xludf.DUMMYFUNCTION("""COMPUTED_VALUE"""),538.0)</f>
        <v>538</v>
      </c>
      <c r="J704" s="2">
        <f>IFERROR(__xludf.DUMMYFUNCTION("""COMPUTED_VALUE"""),269.0)</f>
        <v>269</v>
      </c>
      <c r="K704" s="2">
        <f>IFERROR(__xludf.DUMMYFUNCTION("""COMPUTED_VALUE"""),30.0)</f>
        <v>30</v>
      </c>
      <c r="L704" s="2" t="str">
        <f>IFERROR(__xludf.DUMMYFUNCTION("""COMPUTED_VALUE"""),"Wolta ЖКХ")</f>
        <v>Wolta ЖКХ</v>
      </c>
      <c r="M704" s="2" t="str">
        <f>IFERROR(__xludf.DUMMYFUNCTION("""COMPUTED_VALUE"""),"Для ЖКХ, дома, дачи, LED Светильники")</f>
        <v>Для ЖКХ, дома, дачи, LED Светильники</v>
      </c>
    </row>
    <row r="705">
      <c r="A705" s="5" t="str">
        <f>IFERROR(__xludf.DUMMYFUNCTION("""COMPUTED_VALUE"""),"4690612007298")</f>
        <v>4690612007298</v>
      </c>
      <c r="B705" s="5" t="str">
        <f>IFERROR(__xludf.DUMMYFUNCTION("""COMPUTED_VALUE"""),"LED-JCDR-ECO 7Вт 230В GU5.3 4000К 525Лм (5шт в упаковке) IN HOME")</f>
        <v>LED-JCDR-ECO 7Вт 230В GU5.3 4000К 525Лм (5шт в упаковке) IN HOME</v>
      </c>
      <c r="C705" s="2">
        <f>IFERROR(__xludf.DUMMYFUNCTION("""COMPUTED_VALUE"""),0.19)</f>
        <v>0.19</v>
      </c>
      <c r="D705" s="2">
        <f>IFERROR(__xludf.DUMMYFUNCTION("""COMPUTED_VALUE"""),7.5E-4)</f>
        <v>0.00075</v>
      </c>
      <c r="E705" s="2">
        <f>IFERROR(__xludf.DUMMYFUNCTION("""COMPUTED_VALUE"""),240.76)</f>
        <v>240.76</v>
      </c>
      <c r="F705" s="2">
        <f>IFERROR(__xludf.DUMMYFUNCTION("""COMPUTED_VALUE"""),289.0)</f>
        <v>289</v>
      </c>
      <c r="G705" s="2">
        <f>IFERROR(__xludf.DUMMYFUNCTION("""COMPUTED_VALUE"""),325.0)</f>
        <v>325</v>
      </c>
      <c r="H705" s="2">
        <f>IFERROR(__xludf.DUMMYFUNCTION("""COMPUTED_VALUE"""),377.0)</f>
        <v>377</v>
      </c>
      <c r="I705" s="2">
        <f>IFERROR(__xludf.DUMMYFUNCTION("""COMPUTED_VALUE"""),433.5)</f>
        <v>433.5</v>
      </c>
      <c r="J705" s="2">
        <f>IFERROR(__xludf.DUMMYFUNCTION("""COMPUTED_VALUE"""),217.0)</f>
        <v>217</v>
      </c>
      <c r="K705" s="2">
        <f>IFERROR(__xludf.DUMMYFUNCTION("""COMPUTED_VALUE"""),2.0)</f>
        <v>2</v>
      </c>
      <c r="L705" s="2" t="str">
        <f>IFERROR(__xludf.DUMMYFUNCTION("""COMPUTED_VALUE"""),"Лампа светодиодная LED-JCDR-standard")</f>
        <v>Лампа светодиодная LED-JCDR-standard</v>
      </c>
      <c r="M705" s="2" t="str">
        <f>IFERROR(__xludf.DUMMYFUNCTION("""COMPUTED_VALUE"""),"Лампы")</f>
        <v>Лампы</v>
      </c>
    </row>
    <row r="706">
      <c r="A706" s="5" t="str">
        <f>IFERROR(__xludf.DUMMYFUNCTION("""COMPUTED_VALUE"""),"4690612030814")</f>
        <v>4690612030814</v>
      </c>
      <c r="B706" s="5" t="str">
        <f>IFERROR(__xludf.DUMMYFUNCTION("""COMPUTED_VALUE"""),"LED-GX53-VC 6Вт 230В 6500К 570Лм IN HOME")</f>
        <v>LED-GX53-VC 6Вт 230В 6500К 570Лм IN HOME</v>
      </c>
      <c r="C706" s="2">
        <f>IFERROR(__xludf.DUMMYFUNCTION("""COMPUTED_VALUE"""),0.033)</f>
        <v>0.033</v>
      </c>
      <c r="D706" s="2">
        <f>IFERROR(__xludf.DUMMYFUNCTION("""COMPUTED_VALUE"""),2.1E-4)</f>
        <v>0.00021</v>
      </c>
      <c r="E706" s="2">
        <f>IFERROR(__xludf.DUMMYFUNCTION("""COMPUTED_VALUE"""),32.4)</f>
        <v>32.4</v>
      </c>
      <c r="F706" s="2">
        <f>IFERROR(__xludf.DUMMYFUNCTION("""COMPUTED_VALUE"""),36.0)</f>
        <v>36</v>
      </c>
      <c r="G706" s="2">
        <f>IFERROR(__xludf.DUMMYFUNCTION("""COMPUTED_VALUE"""),41.0)</f>
        <v>41</v>
      </c>
      <c r="H706" s="2">
        <f>IFERROR(__xludf.DUMMYFUNCTION("""COMPUTED_VALUE"""),47.0)</f>
        <v>47</v>
      </c>
      <c r="I706" s="2">
        <f>IFERROR(__xludf.DUMMYFUNCTION("""COMPUTED_VALUE"""),54.5)</f>
        <v>54.5</v>
      </c>
      <c r="J706" s="2">
        <f>IFERROR(__xludf.DUMMYFUNCTION("""COMPUTED_VALUE"""),27.0)</f>
        <v>27</v>
      </c>
      <c r="K706" s="2">
        <f>IFERROR(__xludf.DUMMYFUNCTION("""COMPUTED_VALUE"""),63.0)</f>
        <v>63</v>
      </c>
      <c r="L706" s="2" t="str">
        <f>IFERROR(__xludf.DUMMYFUNCTION("""COMPUTED_VALUE"""),"Лампа светодиодная LED-GX53-standard")</f>
        <v>Лампа светодиодная LED-GX53-standard</v>
      </c>
      <c r="M706" s="2" t="str">
        <f>IFERROR(__xludf.DUMMYFUNCTION("""COMPUTED_VALUE"""),"Лампы")</f>
        <v>Лампы</v>
      </c>
    </row>
    <row r="707">
      <c r="A707" s="5" t="str">
        <f>IFERROR(__xludf.DUMMYFUNCTION("""COMPUTED_VALUE"""),"4680005959754")</f>
        <v>4680005959754</v>
      </c>
      <c r="B707" s="5" t="str">
        <f>IFERROR(__xludf.DUMMYFUNCTION("""COMPUTED_VALUE"""),"BOLLETO Выключатель белый накладной 7121 IN HOME")</f>
        <v>BOLLETO Выключатель белый накладной 7121 IN HOME</v>
      </c>
      <c r="C707" s="2">
        <f>IFERROR(__xludf.DUMMYFUNCTION("""COMPUTED_VALUE"""),0.05)</f>
        <v>0.05</v>
      </c>
      <c r="D707" s="2">
        <f>IFERROR(__xludf.DUMMYFUNCTION("""COMPUTED_VALUE"""),2.5E-4)</f>
        <v>0.00025</v>
      </c>
      <c r="E707" s="2">
        <f>IFERROR(__xludf.DUMMYFUNCTION("""COMPUTED_VALUE"""),50.35)</f>
        <v>50.35</v>
      </c>
      <c r="F707" s="2">
        <f>IFERROR(__xludf.DUMMYFUNCTION("""COMPUTED_VALUE"""),56.0)</f>
        <v>56</v>
      </c>
      <c r="G707" s="2">
        <f>IFERROR(__xludf.DUMMYFUNCTION("""COMPUTED_VALUE"""),64.0)</f>
        <v>64</v>
      </c>
      <c r="H707" s="2">
        <f>IFERROR(__xludf.DUMMYFUNCTION("""COMPUTED_VALUE"""),74.0)</f>
        <v>74</v>
      </c>
      <c r="I707" s="2">
        <f>IFERROR(__xludf.DUMMYFUNCTION("""COMPUTED_VALUE"""),85.0)</f>
        <v>85</v>
      </c>
      <c r="J707" s="2">
        <f>IFERROR(__xludf.DUMMYFUNCTION("""COMPUTED_VALUE"""),64.0)</f>
        <v>64</v>
      </c>
      <c r="K707" s="2">
        <f>IFERROR(__xludf.DUMMYFUNCTION("""COMPUTED_VALUE"""),7.0)</f>
        <v>7</v>
      </c>
      <c r="L707" s="2" t="str">
        <f>IFERROR(__xludf.DUMMYFUNCTION("""COMPUTED_VALUE"""),"Выключатель")</f>
        <v>Выключатель</v>
      </c>
      <c r="M707" s="2" t="str">
        <f>IFERROR(__xludf.DUMMYFUNCTION("""COMPUTED_VALUE"""),"Прочие товары")</f>
        <v>Прочие товары</v>
      </c>
    </row>
    <row r="708">
      <c r="A708" s="5" t="str">
        <f>IFERROR(__xludf.DUMMYFUNCTION("""COMPUTED_VALUE"""),"ves2011")</f>
        <v>ves2011</v>
      </c>
      <c r="B708" s="5" t="str">
        <f>IFERROR(__xludf.DUMMYFUNCTION("""COMPUTED_VALUE"""),"Вилка переносная SBE-32-PP3-220")</f>
        <v>Вилка переносная SBE-32-PP3-220</v>
      </c>
      <c r="C708" s="2">
        <f>IFERROR(__xludf.DUMMYFUNCTION("""COMPUTED_VALUE"""),0.0)</f>
        <v>0</v>
      </c>
      <c r="D708" s="2">
        <f>IFERROR(__xludf.DUMMYFUNCTION("""COMPUTED_VALUE"""),0.0)</f>
        <v>0</v>
      </c>
      <c r="E708" s="2">
        <f>IFERROR(__xludf.DUMMYFUNCTION("""COMPUTED_VALUE"""),181.21)</f>
        <v>181.21</v>
      </c>
      <c r="F708" s="2">
        <f>IFERROR(__xludf.DUMMYFUNCTION("""COMPUTED_VALUE"""),260.0)</f>
        <v>260</v>
      </c>
      <c r="G708" s="2">
        <f>IFERROR(__xludf.DUMMYFUNCTION("""COMPUTED_VALUE"""),277.0)</f>
        <v>277</v>
      </c>
      <c r="H708" s="2">
        <f>IFERROR(__xludf.DUMMYFUNCTION("""COMPUTED_VALUE"""),312.0)</f>
        <v>312</v>
      </c>
      <c r="I708" s="2">
        <f>IFERROR(__xludf.DUMMYFUNCTION("""COMPUTED_VALUE"""),346.56)</f>
        <v>346.56</v>
      </c>
      <c r="J708" s="2">
        <f>IFERROR(__xludf.DUMMYFUNCTION("""COMPUTED_VALUE"""),173.0)</f>
        <v>173</v>
      </c>
      <c r="K708" s="2">
        <f>IFERROR(__xludf.DUMMYFUNCTION("""COMPUTED_VALUE"""),4.0)</f>
        <v>4</v>
      </c>
      <c r="L708" s="2" t="str">
        <f>IFERROR(__xludf.DUMMYFUNCTION("""COMPUTED_VALUE"""),"ves2 (тендер)")</f>
        <v>ves2 (тендер)</v>
      </c>
      <c r="M708" s="2" t="str">
        <f>IFERROR(__xludf.DUMMYFUNCTION("""COMPUTED_VALUE"""),"Прочие товары")</f>
        <v>Прочие товары</v>
      </c>
    </row>
    <row r="709">
      <c r="A709" s="5" t="str">
        <f>IFERROR(__xludf.DUMMYFUNCTION("""COMPUTED_VALUE"""),"12-0183-1")</f>
        <v>12-0183-1</v>
      </c>
      <c r="B709" s="5" t="str">
        <f>IFERROR(__xludf.DUMMYFUNCTION("""COMPUTED_VALUE"""),"Набор паяльник-выжигатель (19 насадок) ПРОФИ 220 V/30 Вт REXANT")</f>
        <v>Набор паяльник-выжигатель (19 насадок) ПРОФИ 220 V/30 Вт REXANT</v>
      </c>
      <c r="C709" s="2">
        <f>IFERROR(__xludf.DUMMYFUNCTION("""COMPUTED_VALUE"""),0.0)</f>
        <v>0</v>
      </c>
      <c r="D709" s="2">
        <f>IFERROR(__xludf.DUMMYFUNCTION("""COMPUTED_VALUE"""),0.0)</f>
        <v>0</v>
      </c>
      <c r="E709" s="2">
        <f>IFERROR(__xludf.DUMMYFUNCTION("""COMPUTED_VALUE"""),1.0)</f>
        <v>1</v>
      </c>
      <c r="F709" s="2">
        <f>IFERROR(__xludf.DUMMYFUNCTION("""COMPUTED_VALUE"""),1343.0)</f>
        <v>1343</v>
      </c>
      <c r="G709" s="2">
        <f>IFERROR(__xludf.DUMMYFUNCTION("""COMPUTED_VALUE"""),1432.0)</f>
        <v>1432</v>
      </c>
      <c r="H709" s="2">
        <f>IFERROR(__xludf.DUMMYFUNCTION("""COMPUTED_VALUE"""),1611.0)</f>
        <v>1611</v>
      </c>
      <c r="I709" s="2">
        <f>IFERROR(__xludf.DUMMYFUNCTION("""COMPUTED_VALUE"""),1790.21)</f>
        <v>1790.21</v>
      </c>
      <c r="J709" s="2">
        <f>IFERROR(__xludf.DUMMYFUNCTION("""COMPUTED_VALUE"""),895.0)</f>
        <v>895</v>
      </c>
      <c r="K709" s="2">
        <f>IFERROR(__xludf.DUMMYFUNCTION("""COMPUTED_VALUE"""),1.0)</f>
        <v>1</v>
      </c>
      <c r="L709" s="2" t="str">
        <f>IFERROR(__xludf.DUMMYFUNCTION("""COMPUTED_VALUE"""),"Rexant")</f>
        <v>Rexant</v>
      </c>
      <c r="M709" s="2" t="str">
        <f>IFERROR(__xludf.DUMMYFUNCTION("""COMPUTED_VALUE"""),"Прочие товары")</f>
        <v>Прочие товары</v>
      </c>
    </row>
    <row r="710">
      <c r="A710" s="5" t="str">
        <f>IFERROR(__xludf.DUMMYFUNCTION("""COMPUTED_VALUE"""),"4690612013480")</f>
        <v>4690612013480</v>
      </c>
      <c r="B710" s="5" t="str">
        <f>IFERROR(__xludf.DUMMYFUNCTION("""COMPUTED_VALUE"""),"ССО 02Ч 10Вт 4000К 625Лм сенсор-диммер, с адаптером ЧЕРНЫЙ IN HOME")</f>
        <v>ССО 02Ч 10Вт 4000К 625Лм сенсор-диммер, с адаптером ЧЕРНЫЙ IN HOME</v>
      </c>
      <c r="C710" s="2">
        <f>IFERROR(__xludf.DUMMYFUNCTION("""COMPUTED_VALUE"""),0.65)</f>
        <v>0.65</v>
      </c>
      <c r="D710" s="2">
        <f>IFERROR(__xludf.DUMMYFUNCTION("""COMPUTED_VALUE"""),0.004500000000000001)</f>
        <v>0.0045</v>
      </c>
      <c r="E710" s="2">
        <f>IFERROR(__xludf.DUMMYFUNCTION("""COMPUTED_VALUE"""),678.0)</f>
        <v>678</v>
      </c>
      <c r="F710" s="2">
        <f>IFERROR(__xludf.DUMMYFUNCTION("""COMPUTED_VALUE"""),986.0)</f>
        <v>986</v>
      </c>
      <c r="G710" s="2">
        <f>IFERROR(__xludf.DUMMYFUNCTION("""COMPUTED_VALUE"""),1110.0)</f>
        <v>1110</v>
      </c>
      <c r="H710" s="2">
        <f>IFERROR(__xludf.DUMMYFUNCTION("""COMPUTED_VALUE"""),1287.0)</f>
        <v>1287</v>
      </c>
      <c r="I710" s="2">
        <f>IFERROR(__xludf.DUMMYFUNCTION("""COMPUTED_VALUE"""),1480.0)</f>
        <v>1480</v>
      </c>
      <c r="J710" s="2">
        <f>IFERROR(__xludf.DUMMYFUNCTION("""COMPUTED_VALUE"""),740.0)</f>
        <v>740</v>
      </c>
      <c r="K710" s="2">
        <f>IFERROR(__xludf.DUMMYFUNCTION("""COMPUTED_VALUE"""),1.0)</f>
        <v>1</v>
      </c>
      <c r="L710" s="2" t="str">
        <f>IFERROR(__xludf.DUMMYFUNCTION("""COMPUTED_VALUE"""),"Светильники настольные светодиодные")</f>
        <v>Светильники настольные светодиодные</v>
      </c>
      <c r="M710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711">
      <c r="A711" s="5" t="str">
        <f>IFERROR(__xludf.DUMMYFUNCTION("""COMPUTED_VALUE"""),"4690612013497")</f>
        <v>4690612013497</v>
      </c>
      <c r="B711" s="5" t="str">
        <f>IFERROR(__xludf.DUMMYFUNCTION("""COMPUTED_VALUE"""),"ССО-03Б 9Вт сенсор-диммер ночник адаптер БЕЛЫЙ IN HOME")</f>
        <v>ССО-03Б 9Вт сенсор-диммер ночник адаптер БЕЛЫЙ IN HOME</v>
      </c>
      <c r="C711" s="2">
        <f>IFERROR(__xludf.DUMMYFUNCTION("""COMPUTED_VALUE"""),0.62)</f>
        <v>0.62</v>
      </c>
      <c r="D711" s="2">
        <f>IFERROR(__xludf.DUMMYFUNCTION("""COMPUTED_VALUE"""),0.004500000000000001)</f>
        <v>0.0045</v>
      </c>
      <c r="E711" s="2">
        <f>IFERROR(__xludf.DUMMYFUNCTION("""COMPUTED_VALUE"""),1090.33)</f>
        <v>1090.33</v>
      </c>
      <c r="F711" s="2">
        <f>IFERROR(__xludf.DUMMYFUNCTION("""COMPUTED_VALUE"""),813.0)</f>
        <v>813</v>
      </c>
      <c r="G711" s="2">
        <f>IFERROR(__xludf.DUMMYFUNCTION("""COMPUTED_VALUE"""),915.0)</f>
        <v>915</v>
      </c>
      <c r="H711" s="2">
        <f>IFERROR(__xludf.DUMMYFUNCTION("""COMPUTED_VALUE"""),1061.0)</f>
        <v>1061</v>
      </c>
      <c r="I711" s="2">
        <f>IFERROR(__xludf.DUMMYFUNCTION("""COMPUTED_VALUE"""),1220.0)</f>
        <v>1220</v>
      </c>
      <c r="J711" s="2">
        <f>IFERROR(__xludf.DUMMYFUNCTION("""COMPUTED_VALUE"""),610.0)</f>
        <v>610</v>
      </c>
      <c r="K711" s="2">
        <f>IFERROR(__xludf.DUMMYFUNCTION("""COMPUTED_VALUE"""),6.0)</f>
        <v>6</v>
      </c>
      <c r="L711" s="2" t="str">
        <f>IFERROR(__xludf.DUMMYFUNCTION("""COMPUTED_VALUE"""),"Светильники настольные светодиодные")</f>
        <v>Светильники настольные светодиодные</v>
      </c>
      <c r="M711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712">
      <c r="A712" s="5" t="str">
        <f>IFERROR(__xludf.DUMMYFUNCTION("""COMPUTED_VALUE"""),"GL81211")</f>
        <v>GL81211</v>
      </c>
      <c r="B712" s="5" t="str">
        <f>IFERROR(__xludf.DUMMYFUNCTION("""COMPUTED_VALUE"""),"GLERIO Office Casual 30 Вт 4000K 81P-30D-4V-P")</f>
        <v>GLERIO Office Casual 30 Вт 4000K 81P-30D-4V-P</v>
      </c>
      <c r="C712" s="2">
        <f>IFERROR(__xludf.DUMMYFUNCTION("""COMPUTED_VALUE"""),1.14)</f>
        <v>1.14</v>
      </c>
      <c r="D712" s="2">
        <f>IFERROR(__xludf.DUMMYFUNCTION("""COMPUTED_VALUE"""),0.008190000000000001)</f>
        <v>0.00819</v>
      </c>
      <c r="E712" s="2">
        <f>IFERROR(__xludf.DUMMYFUNCTION("""COMPUTED_VALUE"""),2095.2)</f>
        <v>2095.2</v>
      </c>
      <c r="F712" s="2">
        <f>IFERROR(__xludf.DUMMYFUNCTION("""COMPUTED_VALUE"""),2420.0)</f>
        <v>2420</v>
      </c>
      <c r="G712" s="2">
        <f>IFERROR(__xludf.DUMMYFUNCTION("""COMPUTED_VALUE"""),3047.0)</f>
        <v>3047</v>
      </c>
      <c r="H712" s="2">
        <f>IFERROR(__xludf.DUMMYFUNCTION("""COMPUTED_VALUE"""),3422.0)</f>
        <v>3422</v>
      </c>
      <c r="I712" s="2">
        <f>IFERROR(__xludf.DUMMYFUNCTION("""COMPUTED_VALUE"""),3796.0)</f>
        <v>3796</v>
      </c>
      <c r="J712" s="2">
        <f>IFERROR(__xludf.DUMMYFUNCTION("""COMPUTED_VALUE"""),3047.0)</f>
        <v>3047</v>
      </c>
      <c r="K712" s="2">
        <f>IFERROR(__xludf.DUMMYFUNCTION("""COMPUTED_VALUE"""),25.0)</f>
        <v>25</v>
      </c>
      <c r="L712" s="2" t="str">
        <f>IFERROR(__xludf.DUMMYFUNCTION("""COMPUTED_VALUE"""),"Office Casual+ GLERIO (Офис)")</f>
        <v>Office Casual+ GLERIO (Офис)</v>
      </c>
      <c r="M712" s="2" t="str">
        <f>IFERROR(__xludf.DUMMYFUNCTION("""COMPUTED_VALUE"""),"С равномерной засветкой, LED Светильники")</f>
        <v>С равномерной засветкой, LED Светильники</v>
      </c>
    </row>
    <row r="713">
      <c r="A713" s="5" t="str">
        <f>IFERROR(__xludf.DUMMYFUNCTION("""COMPUTED_VALUE"""),"4690626052659")</f>
        <v>4690626052659</v>
      </c>
      <c r="B713" s="5" t="str">
        <f>IFERROR(__xludf.DUMMYFUNCTION("""COMPUTED_VALUE"""),"SBL-P45-9_5-40K-E14")</f>
        <v>SBL-P45-9_5-40K-E14</v>
      </c>
      <c r="C713" s="2">
        <f>IFERROR(__xludf.DUMMYFUNCTION("""COMPUTED_VALUE"""),0.035)</f>
        <v>0.035</v>
      </c>
      <c r="D713" s="2">
        <f>IFERROR(__xludf.DUMMYFUNCTION("""COMPUTED_VALUE"""),2.5E-4)</f>
        <v>0.00025</v>
      </c>
      <c r="E713" s="2">
        <f>IFERROR(__xludf.DUMMYFUNCTION("""COMPUTED_VALUE"""),44.98)</f>
        <v>44.98</v>
      </c>
      <c r="F713" s="2">
        <f>IFERROR(__xludf.DUMMYFUNCTION("""COMPUTED_VALUE"""),47.0)</f>
        <v>47</v>
      </c>
      <c r="G713" s="2">
        <f>IFERROR(__xludf.DUMMYFUNCTION("""COMPUTED_VALUE"""),52.0)</f>
        <v>52</v>
      </c>
      <c r="H713" s="2">
        <f>IFERROR(__xludf.DUMMYFUNCTION("""COMPUTED_VALUE"""),57.0)</f>
        <v>57</v>
      </c>
      <c r="I713" s="2">
        <f>IFERROR(__xludf.DUMMYFUNCTION("""COMPUTED_VALUE"""),63.0)</f>
        <v>63</v>
      </c>
      <c r="J713" s="2">
        <f>IFERROR(__xludf.DUMMYFUNCTION("""COMPUTED_VALUE"""),32.0)</f>
        <v>32</v>
      </c>
      <c r="K713" s="2">
        <f>IFERROR(__xludf.DUMMYFUNCTION("""COMPUTED_VALUE"""),1.0)</f>
        <v>1</v>
      </c>
      <c r="L713" s="2" t="str">
        <f>IFERROR(__xludf.DUMMYFUNCTION("""COMPUTED_VALUE"""),"Smartbuy лампы LED")</f>
        <v>Smartbuy лампы LED</v>
      </c>
      <c r="M713" s="2" t="str">
        <f>IFERROR(__xludf.DUMMYFUNCTION("""COMPUTED_VALUE"""),"Лампы")</f>
        <v>Лампы</v>
      </c>
    </row>
    <row r="714">
      <c r="A714" s="5" t="str">
        <f>IFERROR(__xludf.DUMMYFUNCTION("""COMPUTED_VALUE"""),"4690612038803-1")</f>
        <v>4690612038803-1</v>
      </c>
      <c r="B714" s="5" t="str">
        <f>IFERROR(__xludf.DUMMYFUNCTION("""COMPUTED_VALUE"""),"ДВО-02 4040-ОПАЛ 40Вт 230В 4000К 3600Лм 595х595х25 NEOX (в индивид. упак.)")</f>
        <v>ДВО-02 4040-ОПАЛ 40Вт 230В 4000К 3600Лм 595х595х25 NEOX (в индивид. упак.)</v>
      </c>
      <c r="C714" s="2">
        <f>IFERROR(__xludf.DUMMYFUNCTION("""COMPUTED_VALUE"""),1.2925)</f>
        <v>1.2925</v>
      </c>
      <c r="D714" s="2">
        <f>IFERROR(__xludf.DUMMYFUNCTION("""COMPUTED_VALUE"""),0.00885)</f>
        <v>0.00885</v>
      </c>
      <c r="E714" s="2">
        <f>IFERROR(__xludf.DUMMYFUNCTION("""COMPUTED_VALUE"""),717.53)</f>
        <v>717.53</v>
      </c>
      <c r="F714" s="2">
        <f>IFERROR(__xludf.DUMMYFUNCTION("""COMPUTED_VALUE"""),787.0)</f>
        <v>787</v>
      </c>
      <c r="G714" s="2">
        <f>IFERROR(__xludf.DUMMYFUNCTION("""COMPUTED_VALUE"""),1034.0)</f>
        <v>1034</v>
      </c>
      <c r="H714" s="2">
        <f>IFERROR(__xludf.DUMMYFUNCTION("""COMPUTED_VALUE"""),1163.0)</f>
        <v>1163</v>
      </c>
      <c r="I714" s="2">
        <f>IFERROR(__xludf.DUMMYFUNCTION("""COMPUTED_VALUE"""),1292.0)</f>
        <v>1292</v>
      </c>
      <c r="J714" s="2">
        <f>IFERROR(__xludf.DUMMYFUNCTION("""COMPUTED_VALUE"""),646.0)</f>
        <v>646</v>
      </c>
      <c r="K714" s="2">
        <f>IFERROR(__xludf.DUMMYFUNCTION("""COMPUTED_VALUE"""),1.0)</f>
        <v>1</v>
      </c>
      <c r="L714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714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715">
      <c r="A715" s="5" t="str">
        <f>IFERROR(__xludf.DUMMYFUNCTION("""COMPUTED_VALUE"""),"4690612005102")</f>
        <v>4690612005102</v>
      </c>
      <c r="B715" s="5" t="str">
        <f>IFERROR(__xludf.DUMMYFUNCTION("""COMPUTED_VALUE"""),"LED-GX53-standard 8Вт 160-260В 4000К 640Лм ASD")</f>
        <v>LED-GX53-standard 8Вт 160-260В 4000К 640Лм ASD</v>
      </c>
      <c r="C715" s="2">
        <f>IFERROR(__xludf.DUMMYFUNCTION("""COMPUTED_VALUE"""),0.05)</f>
        <v>0.05</v>
      </c>
      <c r="D715" s="2">
        <f>IFERROR(__xludf.DUMMYFUNCTION("""COMPUTED_VALUE"""),1.9E-4)</f>
        <v>0.00019</v>
      </c>
      <c r="E715" s="2">
        <f>IFERROR(__xludf.DUMMYFUNCTION("""COMPUTED_VALUE"""),50.25)</f>
        <v>50.25</v>
      </c>
      <c r="F715" s="2">
        <f>IFERROR(__xludf.DUMMYFUNCTION("""COMPUTED_VALUE"""),53.0)</f>
        <v>53</v>
      </c>
      <c r="G715" s="2">
        <f>IFERROR(__xludf.DUMMYFUNCTION("""COMPUTED_VALUE"""),59.0)</f>
        <v>59</v>
      </c>
      <c r="H715" s="2">
        <f>IFERROR(__xludf.DUMMYFUNCTION("""COMPUTED_VALUE"""),69.0)</f>
        <v>69</v>
      </c>
      <c r="I715" s="2">
        <f>IFERROR(__xludf.DUMMYFUNCTION("""COMPUTED_VALUE"""),79.5)</f>
        <v>79.5</v>
      </c>
      <c r="J715" s="2">
        <f>IFERROR(__xludf.DUMMYFUNCTION("""COMPUTED_VALUE"""),40.0)</f>
        <v>40</v>
      </c>
      <c r="K715" s="2">
        <f>IFERROR(__xludf.DUMMYFUNCTION("""COMPUTED_VALUE"""),1.0)</f>
        <v>1</v>
      </c>
      <c r="L715" s="2" t="str">
        <f>IFERROR(__xludf.DUMMYFUNCTION("""COMPUTED_VALUE"""),"Лампа светодиодная LED-GX53-standard")</f>
        <v>Лампа светодиодная LED-GX53-standard</v>
      </c>
      <c r="M715" s="2" t="str">
        <f>IFERROR(__xludf.DUMMYFUNCTION("""COMPUTED_VALUE"""),"Лампы")</f>
        <v>Лампы</v>
      </c>
    </row>
    <row r="716">
      <c r="A716" s="5" t="str">
        <f>IFERROR(__xludf.DUMMYFUNCTION("""COMPUTED_VALUE"""),"GL51301")</f>
        <v>GL51301</v>
      </c>
      <c r="B716" s="5" t="str">
        <f>IFERROR(__xludf.DUMMYFUNCTION("""COMPUTED_VALUE"""),"GLERIO Practical 64 Вт 5000К 6A-64D-5U+")</f>
        <v>GLERIO Practical 64 Вт 5000К 6A-64D-5U+</v>
      </c>
      <c r="C716" s="2">
        <f>IFERROR(__xludf.DUMMYFUNCTION("""COMPUTED_VALUE"""),1.2)</f>
        <v>1.2</v>
      </c>
      <c r="D716" s="2">
        <f>IFERROR(__xludf.DUMMYFUNCTION("""COMPUTED_VALUE"""),0.00357)</f>
        <v>0.00357</v>
      </c>
      <c r="E716" s="2">
        <f>IFERROR(__xludf.DUMMYFUNCTION("""COMPUTED_VALUE"""),2095.2)</f>
        <v>2095.2</v>
      </c>
      <c r="F716" s="2">
        <f>IFERROR(__xludf.DUMMYFUNCTION("""COMPUTED_VALUE"""),2400.0)</f>
        <v>2400</v>
      </c>
      <c r="G716" s="2">
        <f>IFERROR(__xludf.DUMMYFUNCTION("""COMPUTED_VALUE"""),3000.0)</f>
        <v>3000</v>
      </c>
      <c r="H716" s="2">
        <f>IFERROR(__xludf.DUMMYFUNCTION("""COMPUTED_VALUE"""),3375.0)</f>
        <v>3375</v>
      </c>
      <c r="I716" s="2">
        <f>IFERROR(__xludf.DUMMYFUNCTION("""COMPUTED_VALUE"""),3750.0)</f>
        <v>3750</v>
      </c>
      <c r="J716" s="2">
        <f>IFERROR(__xludf.DUMMYFUNCTION("""COMPUTED_VALUE"""),3750.0)</f>
        <v>3750</v>
      </c>
      <c r="K716" s="2">
        <f>IFERROR(__xludf.DUMMYFUNCTION("""COMPUTED_VALUE"""),18.0)</f>
        <v>18</v>
      </c>
      <c r="L716" s="2" t="str">
        <f>IFERROR(__xludf.DUMMYFUNCTION("""COMPUTED_VALUE"""),"Practical+ Уличные GLERIO")</f>
        <v>Practical+ Уличные GLERIO</v>
      </c>
      <c r="M716" s="2" t="str">
        <f>IFERROR(__xludf.DUMMYFUNCTION("""COMPUTED_VALUE"""),"Для обычных дорог, LED Светильники")</f>
        <v>Для обычных дорог, LED Светильники</v>
      </c>
    </row>
    <row r="717">
      <c r="A717" s="5" t="str">
        <f>IFERROR(__xludf.DUMMYFUNCTION("""COMPUTED_VALUE"""),"4690612034782")</f>
        <v>4690612034782</v>
      </c>
      <c r="B717" s="5" t="str">
        <f>IFERROR(__xludf.DUMMYFUNCTION("""COMPUTED_VALUE"""),"COMFORT CRYSTAL 75Вт 230В 3000-6500K 6000Лм 505x125мм с пультом ДУ IN HOME")</f>
        <v>COMFORT CRYSTAL 75Вт 230В 3000-6500K 6000Лм 505x125мм с пультом ДУ IN HOME</v>
      </c>
      <c r="C717" s="2">
        <f>IFERROR(__xludf.DUMMYFUNCTION("""COMPUTED_VALUE"""),2.14)</f>
        <v>2.14</v>
      </c>
      <c r="D717" s="2">
        <f>IFERROR(__xludf.DUMMYFUNCTION("""COMPUTED_VALUE"""),0.03800000000000001)</f>
        <v>0.038</v>
      </c>
      <c r="E717" s="2">
        <f>IFERROR(__xludf.DUMMYFUNCTION("""COMPUTED_VALUE"""),0.0)</f>
        <v>0</v>
      </c>
      <c r="F717" s="2">
        <f>IFERROR(__xludf.DUMMYFUNCTION("""COMPUTED_VALUE"""),1829.0)</f>
        <v>1829</v>
      </c>
      <c r="G717" s="2">
        <f>IFERROR(__xludf.DUMMYFUNCTION("""COMPUTED_VALUE"""),2058.0)</f>
        <v>2058</v>
      </c>
      <c r="H717" s="2">
        <f>IFERROR(__xludf.DUMMYFUNCTION("""COMPUTED_VALUE"""),2387.0)</f>
        <v>2387</v>
      </c>
      <c r="I717" s="2">
        <f>IFERROR(__xludf.DUMMYFUNCTION("""COMPUTED_VALUE"""),2744.0)</f>
        <v>2744</v>
      </c>
      <c r="J717" s="2">
        <f>IFERROR(__xludf.DUMMYFUNCTION("""COMPUTED_VALUE"""),1372.0)</f>
        <v>1372</v>
      </c>
      <c r="K717" s="2">
        <f>IFERROR(__xludf.DUMMYFUNCTION("""COMPUTED_VALUE"""),1.0)</f>
        <v>1</v>
      </c>
      <c r="L717" s="2" t="str">
        <f>IFERROR(__xludf.DUMMYFUNCTION("""COMPUTED_VALUE"""),"Светильники светодиодные COMFORT")</f>
        <v>Светильники светодиодные COMFORT</v>
      </c>
      <c r="M717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718">
      <c r="A718" s="5" t="str">
        <f>IFERROR(__xludf.DUMMYFUNCTION("""COMPUTED_VALUE"""),"Fefco/0201-8")</f>
        <v>Fefco/0201-8</v>
      </c>
      <c r="B718" s="5" t="str">
        <f>IFERROR(__xludf.DUMMYFUNCTION("""COMPUTED_VALUE"""),"Короб 300х300х200 (картон Т-24 ""В"" бурый)")</f>
        <v>Короб 300х300х200 (картон Т-24 "В" бурый)</v>
      </c>
      <c r="C718" s="2">
        <f>IFERROR(__xludf.DUMMYFUNCTION("""COMPUTED_VALUE"""),0.0)</f>
        <v>0</v>
      </c>
      <c r="D718" s="2">
        <f>IFERROR(__xludf.DUMMYFUNCTION("""COMPUTED_VALUE"""),0.0)</f>
        <v>0</v>
      </c>
      <c r="E718" s="2">
        <f>IFERROR(__xludf.DUMMYFUNCTION("""COMPUTED_VALUE"""),71.0)</f>
        <v>71</v>
      </c>
      <c r="F718" s="2">
        <f>IFERROR(__xludf.DUMMYFUNCTION("""COMPUTED_VALUE"""),1.0)</f>
        <v>1</v>
      </c>
      <c r="G718" s="2">
        <f>IFERROR(__xludf.DUMMYFUNCTION("""COMPUTED_VALUE"""),1.0)</f>
        <v>1</v>
      </c>
      <c r="H718" s="2">
        <f>IFERROR(__xludf.DUMMYFUNCTION("""COMPUTED_VALUE"""),1.0)</f>
        <v>1</v>
      </c>
      <c r="I718" s="2">
        <f>IFERROR(__xludf.DUMMYFUNCTION("""COMPUTED_VALUE"""),1.5)</f>
        <v>1.5</v>
      </c>
      <c r="J718" s="2">
        <f>IFERROR(__xludf.DUMMYFUNCTION("""COMPUTED_VALUE"""),1.5)</f>
        <v>1.5</v>
      </c>
      <c r="K718" s="2">
        <f>IFERROR(__xludf.DUMMYFUNCTION("""COMPUTED_VALUE"""),12.0)</f>
        <v>12</v>
      </c>
      <c r="L718" s="2" t="str">
        <f>IFERROR(__xludf.DUMMYFUNCTION("""COMPUTED_VALUE"""),"Упаковка")</f>
        <v>Упаковка</v>
      </c>
      <c r="M718" s="2" t="str">
        <f>IFERROR(__xludf.DUMMYFUNCTION("""COMPUTED_VALUE"""),"Прочие товары")</f>
        <v>Прочие товары</v>
      </c>
    </row>
    <row r="719">
      <c r="A719" s="5" t="str">
        <f>IFERROR(__xludf.DUMMYFUNCTION("""COMPUTED_VALUE"""),"4690612029887")</f>
        <v>4690612029887</v>
      </c>
      <c r="B719" s="5" t="str">
        <f>IFERROR(__xludf.DUMMYFUNCTION("""COMPUTED_VALUE"""),"LPU-02 40Вт ОПАЛ 230В 4000К 3600Лм 595х595х25мм IP40 IN HOME")</f>
        <v>LPU-02 40Вт ОПАЛ 230В 4000К 3600Лм 595х595х25мм IP40 IN HOME</v>
      </c>
      <c r="C719" s="2">
        <f>IFERROR(__xludf.DUMMYFUNCTION("""COMPUTED_VALUE"""),1.2)</f>
        <v>1.2</v>
      </c>
      <c r="D719" s="2">
        <f>IFERROR(__xludf.DUMMYFUNCTION("""COMPUTED_VALUE"""),0.00975)</f>
        <v>0.00975</v>
      </c>
      <c r="E719" s="2">
        <f>IFERROR(__xludf.DUMMYFUNCTION("""COMPUTED_VALUE"""),697.82)</f>
        <v>697.82</v>
      </c>
      <c r="F719" s="2">
        <f>IFERROR(__xludf.DUMMYFUNCTION("""COMPUTED_VALUE"""),690.0)</f>
        <v>690</v>
      </c>
      <c r="G719" s="2">
        <f>IFERROR(__xludf.DUMMYFUNCTION("""COMPUTED_VALUE"""),776.0)</f>
        <v>776</v>
      </c>
      <c r="H719" s="2">
        <f>IFERROR(__xludf.DUMMYFUNCTION("""COMPUTED_VALUE"""),900.0)</f>
        <v>900</v>
      </c>
      <c r="I719" s="2">
        <f>IFERROR(__xludf.DUMMYFUNCTION("""COMPUTED_VALUE"""),1035.0)</f>
        <v>1035</v>
      </c>
      <c r="J719" s="2">
        <f>IFERROR(__xludf.DUMMYFUNCTION("""COMPUTED_VALUE"""),518.0)</f>
        <v>518</v>
      </c>
      <c r="K719" s="2">
        <f>IFERROR(__xludf.DUMMYFUNCTION("""COMPUTED_VALUE"""),2.0)</f>
        <v>2</v>
      </c>
      <c r="L719" s="2" t="str">
        <f>IFERROR(__xludf.DUMMYFUNCTION("""COMPUTED_VALUE"""),"Панели светодиодные LP серии ОПАЛ")</f>
        <v>Панели светодиодные LP серии ОПАЛ</v>
      </c>
      <c r="M719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720">
      <c r="A720" s="5" t="str">
        <f>IFERROR(__xludf.DUMMYFUNCTION("""COMPUTED_VALUE"""),"4680005959884")</f>
        <v>4680005959884</v>
      </c>
      <c r="B720" s="5" t="str">
        <f>IFERROR(__xludf.DUMMYFUNCTION("""COMPUTED_VALUE"""),"Вт CLASSICO белый 2111 IN HOME")</f>
        <v>Вт CLASSICO белый 2111 IN HOME</v>
      </c>
      <c r="C720" s="2">
        <f>IFERROR(__xludf.DUMMYFUNCTION("""COMPUTED_VALUE"""),0.08700000000000001)</f>
        <v>0.087</v>
      </c>
      <c r="D720" s="2">
        <f>IFERROR(__xludf.DUMMYFUNCTION("""COMPUTED_VALUE"""),4.0E-4)</f>
        <v>0.0004</v>
      </c>
      <c r="E720" s="2">
        <f>IFERROR(__xludf.DUMMYFUNCTION("""COMPUTED_VALUE"""),159.74)</f>
        <v>159.74</v>
      </c>
      <c r="F720" s="2">
        <f>IFERROR(__xludf.DUMMYFUNCTION("""COMPUTED_VALUE"""),264.0)</f>
        <v>264</v>
      </c>
      <c r="G720" s="2">
        <f>IFERROR(__xludf.DUMMYFUNCTION("""COMPUTED_VALUE"""),297.0)</f>
        <v>297</v>
      </c>
      <c r="H720" s="2">
        <f>IFERROR(__xludf.DUMMYFUNCTION("""COMPUTED_VALUE"""),345.0)</f>
        <v>345</v>
      </c>
      <c r="I720" s="2">
        <f>IFERROR(__xludf.DUMMYFUNCTION("""COMPUTED_VALUE"""),396.0)</f>
        <v>396</v>
      </c>
      <c r="J720" s="2">
        <f>IFERROR(__xludf.DUMMYFUNCTION("""COMPUTED_VALUE"""),198.0)</f>
        <v>198</v>
      </c>
      <c r="K720" s="2">
        <f>IFERROR(__xludf.DUMMYFUNCTION("""COMPUTED_VALUE"""),10.0)</f>
        <v>10</v>
      </c>
      <c r="L720" s="2" t="str">
        <f>IFERROR(__xludf.DUMMYFUNCTION("""COMPUTED_VALUE"""),"Выключатель")</f>
        <v>Выключатель</v>
      </c>
      <c r="M720" s="2" t="str">
        <f>IFERROR(__xludf.DUMMYFUNCTION("""COMPUTED_VALUE"""),"Прочие товары")</f>
        <v>Прочие товары</v>
      </c>
    </row>
    <row r="721">
      <c r="A721" s="5" t="str">
        <f>IFERROR(__xludf.DUMMYFUNCTION("""COMPUTED_VALUE"""),"06-0080-A2")</f>
        <v>06-0080-A2</v>
      </c>
      <c r="B721" s="5" t="str">
        <f>IFERROR(__xludf.DUMMYFUNCTION("""COMPUTED_VALUE"""),"Разъем телефонный на кабель, штекер 6Р4С (Rj-11), под обжим (2шт.) REXANT")</f>
        <v>Разъем телефонный на кабель, штекер 6Р4С (Rj-11), под обжим (2шт.) REXANT</v>
      </c>
      <c r="C721" s="2">
        <f>IFERROR(__xludf.DUMMYFUNCTION("""COMPUTED_VALUE"""),0.0)</f>
        <v>0</v>
      </c>
      <c r="D721" s="2">
        <f>IFERROR(__xludf.DUMMYFUNCTION("""COMPUTED_VALUE"""),0.0)</f>
        <v>0</v>
      </c>
      <c r="E721" s="2">
        <f>IFERROR(__xludf.DUMMYFUNCTION("""COMPUTED_VALUE"""),1.0)</f>
        <v>1</v>
      </c>
      <c r="F721" s="2">
        <f>IFERROR(__xludf.DUMMYFUNCTION("""COMPUTED_VALUE"""),18.0)</f>
        <v>18</v>
      </c>
      <c r="G721" s="2">
        <f>IFERROR(__xludf.DUMMYFUNCTION("""COMPUTED_VALUE"""),19.0)</f>
        <v>19</v>
      </c>
      <c r="H721" s="2">
        <f>IFERROR(__xludf.DUMMYFUNCTION("""COMPUTED_VALUE"""),21.0)</f>
        <v>21</v>
      </c>
      <c r="I721" s="2">
        <f>IFERROR(__xludf.DUMMYFUNCTION("""COMPUTED_VALUE"""),23.4)</f>
        <v>23.4</v>
      </c>
      <c r="J721" s="2">
        <f>IFERROR(__xludf.DUMMYFUNCTION("""COMPUTED_VALUE"""),12.0)</f>
        <v>12</v>
      </c>
      <c r="K721" s="2">
        <f>IFERROR(__xludf.DUMMYFUNCTION("""COMPUTED_VALUE"""),10.0)</f>
        <v>10</v>
      </c>
      <c r="L721" s="2" t="str">
        <f>IFERROR(__xludf.DUMMYFUNCTION("""COMPUTED_VALUE"""),"Rexant")</f>
        <v>Rexant</v>
      </c>
      <c r="M721" s="2" t="str">
        <f>IFERROR(__xludf.DUMMYFUNCTION("""COMPUTED_VALUE"""),"Прочие товары")</f>
        <v>Прочие товары</v>
      </c>
    </row>
    <row r="722">
      <c r="A722" s="5" t="str">
        <f>IFERROR(__xludf.DUMMYFUNCTION("""COMPUTED_VALUE"""),"4690626031821")</f>
        <v>4690626031821</v>
      </c>
      <c r="B722" s="5" t="str">
        <f>IFERROR(__xludf.DUMMYFUNCTION("""COMPUTED_VALUE"""),"SBL-FLSen-10-65K")</f>
        <v>SBL-FLSen-10-65K</v>
      </c>
      <c r="C722" s="2">
        <f>IFERROR(__xludf.DUMMYFUNCTION("""COMPUTED_VALUE"""),0.33)</f>
        <v>0.33</v>
      </c>
      <c r="D722" s="2">
        <f>IFERROR(__xludf.DUMMYFUNCTION("""COMPUTED_VALUE"""),4.0E-5)</f>
        <v>0.00004</v>
      </c>
      <c r="E722" s="2">
        <f>IFERROR(__xludf.DUMMYFUNCTION("""COMPUTED_VALUE"""),462.0)</f>
        <v>462</v>
      </c>
      <c r="F722" s="2">
        <f>IFERROR(__xludf.DUMMYFUNCTION("""COMPUTED_VALUE"""),588.0)</f>
        <v>588</v>
      </c>
      <c r="G722" s="2">
        <f>IFERROR(__xludf.DUMMYFUNCTION("""COMPUTED_VALUE"""),645.0)</f>
        <v>645</v>
      </c>
      <c r="H722" s="2">
        <f>IFERROR(__xludf.DUMMYFUNCTION("""COMPUTED_VALUE"""),717.0)</f>
        <v>717</v>
      </c>
      <c r="I722" s="2">
        <f>IFERROR(__xludf.DUMMYFUNCTION("""COMPUTED_VALUE"""),788.0)</f>
        <v>788</v>
      </c>
      <c r="J722" s="2">
        <f>IFERROR(__xludf.DUMMYFUNCTION("""COMPUTED_VALUE"""),394.0)</f>
        <v>394</v>
      </c>
      <c r="K722" s="2">
        <f>IFERROR(__xludf.DUMMYFUNCTION("""COMPUTED_VALUE"""),2.0)</f>
        <v>2</v>
      </c>
      <c r="L722" s="2" t="str">
        <f>IFERROR(__xludf.DUMMYFUNCTION("""COMPUTED_VALUE"""),"Smartbuy LED светильники")</f>
        <v>Smartbuy LED светильники</v>
      </c>
      <c r="M722" s="2" t="str">
        <f>IFERROR(__xludf.DUMMYFUNCTION("""COMPUTED_VALUE"""),"Бытовые (недорогие), С датчиками, LED Светильники")</f>
        <v>Бытовые (недорогие), С датчиками, LED Светильники</v>
      </c>
    </row>
    <row r="723">
      <c r="A723" s="5" t="str">
        <f>IFERROR(__xludf.DUMMYFUNCTION("""COMPUTED_VALUE"""),"GL81111")</f>
        <v>GL81111</v>
      </c>
      <c r="B723" s="5" t="str">
        <f>IFERROR(__xludf.DUMMYFUNCTION("""COMPUTED_VALUE"""),"GLERIO Office Casual 20 Вт 4000K 81P-20D-4V-P")</f>
        <v>GLERIO Office Casual 20 Вт 4000K 81P-20D-4V-P</v>
      </c>
      <c r="C723" s="2">
        <f>IFERROR(__xludf.DUMMYFUNCTION("""COMPUTED_VALUE"""),1.04)</f>
        <v>1.04</v>
      </c>
      <c r="D723" s="2">
        <f>IFERROR(__xludf.DUMMYFUNCTION("""COMPUTED_VALUE"""),0.008190000000000001)</f>
        <v>0.00819</v>
      </c>
      <c r="E723" s="2">
        <f>IFERROR(__xludf.DUMMYFUNCTION("""COMPUTED_VALUE"""),1461.68)</f>
        <v>1461.68</v>
      </c>
      <c r="F723" s="2">
        <f>IFERROR(__xludf.DUMMYFUNCTION("""COMPUTED_VALUE"""),1700.0)</f>
        <v>1700</v>
      </c>
      <c r="G723" s="2">
        <f>IFERROR(__xludf.DUMMYFUNCTION("""COMPUTED_VALUE"""),2140.0)</f>
        <v>2140</v>
      </c>
      <c r="H723" s="2">
        <f>IFERROR(__xludf.DUMMYFUNCTION("""COMPUTED_VALUE"""),2404.0)</f>
        <v>2404</v>
      </c>
      <c r="I723" s="2">
        <f>IFERROR(__xludf.DUMMYFUNCTION("""COMPUTED_VALUE"""),2667.0)</f>
        <v>2667</v>
      </c>
      <c r="J723" s="2">
        <f>IFERROR(__xludf.DUMMYFUNCTION("""COMPUTED_VALUE"""),2667.0)</f>
        <v>2667</v>
      </c>
      <c r="K723" s="2">
        <f>IFERROR(__xludf.DUMMYFUNCTION("""COMPUTED_VALUE"""),12.0)</f>
        <v>12</v>
      </c>
      <c r="L723" s="2" t="str">
        <f>IFERROR(__xludf.DUMMYFUNCTION("""COMPUTED_VALUE"""),"Office Casual+ GLERIO (Офис)")</f>
        <v>Office Casual+ GLERIO (Офис)</v>
      </c>
      <c r="M723" s="2" t="str">
        <f>IFERROR(__xludf.DUMMYFUNCTION("""COMPUTED_VALUE"""),"С равномерной засветкой, LED Светильники")</f>
        <v>С равномерной засветкой, LED Светильники</v>
      </c>
    </row>
    <row r="724">
      <c r="A724" s="5" t="str">
        <f>IFERROR(__xludf.DUMMYFUNCTION("""COMPUTED_VALUE"""),"Fefco/0201-9")</f>
        <v>Fefco/0201-9</v>
      </c>
      <c r="B724" s="5" t="str">
        <f>IFERROR(__xludf.DUMMYFUNCTION("""COMPUTED_VALUE"""),"Короб 450х320х320 (картон Т-24 ""В"" бурый)")</f>
        <v>Короб 450х320х320 (картон Т-24 "В" бурый)</v>
      </c>
      <c r="C724" s="2">
        <f>IFERROR(__xludf.DUMMYFUNCTION("""COMPUTED_VALUE"""),0.0)</f>
        <v>0</v>
      </c>
      <c r="D724" s="2">
        <f>IFERROR(__xludf.DUMMYFUNCTION("""COMPUTED_VALUE"""),0.0)</f>
        <v>0</v>
      </c>
      <c r="E724" s="2">
        <f>IFERROR(__xludf.DUMMYFUNCTION("""COMPUTED_VALUE"""),99.0)</f>
        <v>99</v>
      </c>
      <c r="F724" s="2">
        <f>IFERROR(__xludf.DUMMYFUNCTION("""COMPUTED_VALUE"""),1.0)</f>
        <v>1</v>
      </c>
      <c r="G724" s="2">
        <f>IFERROR(__xludf.DUMMYFUNCTION("""COMPUTED_VALUE"""),1.0)</f>
        <v>1</v>
      </c>
      <c r="H724" s="2">
        <f>IFERROR(__xludf.DUMMYFUNCTION("""COMPUTED_VALUE"""),1.0)</f>
        <v>1</v>
      </c>
      <c r="I724" s="2">
        <f>IFERROR(__xludf.DUMMYFUNCTION("""COMPUTED_VALUE"""),1.5)</f>
        <v>1.5</v>
      </c>
      <c r="J724" s="2">
        <f>IFERROR(__xludf.DUMMYFUNCTION("""COMPUTED_VALUE"""),1.5)</f>
        <v>1.5</v>
      </c>
      <c r="K724" s="2">
        <f>IFERROR(__xludf.DUMMYFUNCTION("""COMPUTED_VALUE"""),41.0)</f>
        <v>41</v>
      </c>
      <c r="L724" s="2" t="str">
        <f>IFERROR(__xludf.DUMMYFUNCTION("""COMPUTED_VALUE"""),"Упаковка")</f>
        <v>Упаковка</v>
      </c>
      <c r="M724" s="2" t="str">
        <f>IFERROR(__xludf.DUMMYFUNCTION("""COMPUTED_VALUE"""),"Прочие товары")</f>
        <v>Прочие товары</v>
      </c>
    </row>
    <row r="725">
      <c r="A725" s="5" t="str">
        <f>IFERROR(__xludf.DUMMYFUNCTION("""COMPUTED_VALUE"""),"4690612030753")</f>
        <v>4690612030753</v>
      </c>
      <c r="B725" s="5" t="str">
        <f>IFERROR(__xludf.DUMMYFUNCTION("""COMPUTED_VALUE"""),"LED-JCDRC-VC 6Вт 230В GU10 6500К 530Лм IN HOME")</f>
        <v>LED-JCDRC-VC 6Вт 230В GU10 6500К 530Лм IN HOME</v>
      </c>
      <c r="C725" s="2">
        <f>IFERROR(__xludf.DUMMYFUNCTION("""COMPUTED_VALUE"""),0.035)</f>
        <v>0.035</v>
      </c>
      <c r="D725" s="2">
        <f>IFERROR(__xludf.DUMMYFUNCTION("""COMPUTED_VALUE"""),2.1E-4)</f>
        <v>0.00021</v>
      </c>
      <c r="E725" s="2">
        <f>IFERROR(__xludf.DUMMYFUNCTION("""COMPUTED_VALUE"""),30.19)</f>
        <v>30.19</v>
      </c>
      <c r="F725" s="2">
        <f>IFERROR(__xludf.DUMMYFUNCTION("""COMPUTED_VALUE"""),35.0)</f>
        <v>35</v>
      </c>
      <c r="G725" s="2">
        <f>IFERROR(__xludf.DUMMYFUNCTION("""COMPUTED_VALUE"""),40.0)</f>
        <v>40</v>
      </c>
      <c r="H725" s="2">
        <f>IFERROR(__xludf.DUMMYFUNCTION("""COMPUTED_VALUE"""),46.0)</f>
        <v>46</v>
      </c>
      <c r="I725" s="2">
        <f>IFERROR(__xludf.DUMMYFUNCTION("""COMPUTED_VALUE"""),53.5)</f>
        <v>53.5</v>
      </c>
      <c r="J725" s="2">
        <f>IFERROR(__xludf.DUMMYFUNCTION("""COMPUTED_VALUE"""),27.0)</f>
        <v>27</v>
      </c>
      <c r="K725" s="2">
        <f>IFERROR(__xludf.DUMMYFUNCTION("""COMPUTED_VALUE"""),69.0)</f>
        <v>69</v>
      </c>
      <c r="L725" s="2" t="str">
        <f>IFERROR(__xludf.DUMMYFUNCTION("""COMPUTED_VALUE"""),"Лампа светодиодная LED-JCDR-standard")</f>
        <v>Лампа светодиодная LED-JCDR-standard</v>
      </c>
      <c r="M725" s="2" t="str">
        <f>IFERROR(__xludf.DUMMYFUNCTION("""COMPUTED_VALUE"""),"Лампы")</f>
        <v>Лампы</v>
      </c>
    </row>
    <row r="726">
      <c r="A726" s="5" t="str">
        <f>IFERROR(__xludf.DUMMYFUNCTION("""COMPUTED_VALUE"""),"R100343")</f>
        <v>R100343</v>
      </c>
      <c r="B726" s="5" t="str">
        <f>IFERROR(__xludf.DUMMYFUNCTION("""COMPUTED_VALUE"""),"RSV-A65-20W-4000K-E27 P")</f>
        <v>RSV-A65-20W-4000K-E27 P</v>
      </c>
      <c r="C726" s="2">
        <f>IFERROR(__xludf.DUMMYFUNCTION("""COMPUTED_VALUE"""),0.0727)</f>
        <v>0.0727</v>
      </c>
      <c r="D726" s="2">
        <f>IFERROR(__xludf.DUMMYFUNCTION("""COMPUTED_VALUE"""),7.5E-4)</f>
        <v>0.00075</v>
      </c>
      <c r="E726" s="2">
        <f>IFERROR(__xludf.DUMMYFUNCTION("""COMPUTED_VALUE"""),77.82000000000001)</f>
        <v>77.82</v>
      </c>
      <c r="F726" s="2">
        <f>IFERROR(__xludf.DUMMYFUNCTION("""COMPUTED_VALUE"""),108.0)</f>
        <v>108</v>
      </c>
      <c r="G726" s="2">
        <f>IFERROR(__xludf.DUMMYFUNCTION("""COMPUTED_VALUE"""),116.0)</f>
        <v>116</v>
      </c>
      <c r="H726" s="2">
        <f>IFERROR(__xludf.DUMMYFUNCTION("""COMPUTED_VALUE"""),130.0)</f>
        <v>130</v>
      </c>
      <c r="I726" s="2">
        <f>IFERROR(__xludf.DUMMYFUNCTION("""COMPUTED_VALUE"""),144.38)</f>
        <v>144.38</v>
      </c>
      <c r="J726" s="2">
        <f>IFERROR(__xludf.DUMMYFUNCTION("""COMPUTED_VALUE"""),72.0)</f>
        <v>72</v>
      </c>
      <c r="K726" s="2">
        <f>IFERROR(__xludf.DUMMYFUNCTION("""COMPUTED_VALUE"""),20.0)</f>
        <v>20</v>
      </c>
      <c r="L726" s="2" t="str">
        <f>IFERROR(__xludf.DUMMYFUNCTION("""COMPUTED_VALUE"""),"Светодиодные лампы A60")</f>
        <v>Светодиодные лампы A60</v>
      </c>
      <c r="M726" s="2" t="str">
        <f>IFERROR(__xludf.DUMMYFUNCTION("""COMPUTED_VALUE"""),"Лампы")</f>
        <v>Лампы</v>
      </c>
    </row>
    <row r="727">
      <c r="A727" s="5" t="str">
        <f>IFERROR(__xludf.DUMMYFUNCTION("""COMPUTED_VALUE"""),"4690612026145")</f>
        <v>4690612026145</v>
      </c>
      <c r="B727" s="5" t="str">
        <f>IFERROR(__xludf.DUMMYFUNCTION("""COMPUTED_VALUE"""),"LED-A60-deco 11Вт 230В Е27 4000К 1160Лм прозрачная IN HOME")</f>
        <v>LED-A60-deco 11Вт 230В Е27 4000К 1160Лм прозрачная IN HOME</v>
      </c>
      <c r="C727" s="2">
        <f>IFERROR(__xludf.DUMMYFUNCTION("""COMPUTED_VALUE"""),0.044)</f>
        <v>0.044</v>
      </c>
      <c r="D727" s="2">
        <f>IFERROR(__xludf.DUMMYFUNCTION("""COMPUTED_VALUE"""),5.600000000000001E-4)</f>
        <v>0.00056</v>
      </c>
      <c r="E727" s="2">
        <f>IFERROR(__xludf.DUMMYFUNCTION("""COMPUTED_VALUE"""),81.0)</f>
        <v>81</v>
      </c>
      <c r="F727" s="2">
        <f>IFERROR(__xludf.DUMMYFUNCTION("""COMPUTED_VALUE"""),98.0)</f>
        <v>98</v>
      </c>
      <c r="G727" s="2">
        <f>IFERROR(__xludf.DUMMYFUNCTION("""COMPUTED_VALUE"""),110.0)</f>
        <v>110</v>
      </c>
      <c r="H727" s="2">
        <f>IFERROR(__xludf.DUMMYFUNCTION("""COMPUTED_VALUE"""),128.0)</f>
        <v>128</v>
      </c>
      <c r="I727" s="2">
        <f>IFERROR(__xludf.DUMMYFUNCTION("""COMPUTED_VALUE"""),147.5)</f>
        <v>147.5</v>
      </c>
      <c r="J727" s="2">
        <f>IFERROR(__xludf.DUMMYFUNCTION("""COMPUTED_VALUE"""),74.0)</f>
        <v>74</v>
      </c>
      <c r="K727" s="2">
        <f>IFERROR(__xludf.DUMMYFUNCTION("""COMPUTED_VALUE"""),4.0)</f>
        <v>4</v>
      </c>
      <c r="L727" s="2" t="str">
        <f>IFERROR(__xludf.DUMMYFUNCTION("""COMPUTED_VALUE"""),"Лампа светодиодная LED-A60 DECO")</f>
        <v>Лампа светодиодная LED-A60 DECO</v>
      </c>
      <c r="M727" s="2" t="str">
        <f>IFERROR(__xludf.DUMMYFUNCTION("""COMPUTED_VALUE"""),"Лампы")</f>
        <v>Лампы</v>
      </c>
    </row>
    <row r="728">
      <c r="A728" s="5" t="str">
        <f>IFERROR(__xludf.DUMMYFUNCTION("""COMPUTED_VALUE"""),"4690612010182")</f>
        <v>4690612010182</v>
      </c>
      <c r="B728" s="5" t="str">
        <f>IFERROR(__xludf.DUMMYFUNCTION("""COMPUTED_VALUE"""),"РШ/ВШ карболитовый 25А 380В черный 9112 IN HOME")</f>
        <v>РШ/ВШ карболитовый 25А 380В черный 9112 IN HOME</v>
      </c>
      <c r="C728" s="2">
        <f>IFERROR(__xludf.DUMMYFUNCTION("""COMPUTED_VALUE"""),0.20694)</f>
        <v>0.20694</v>
      </c>
      <c r="D728" s="2">
        <f>IFERROR(__xludf.DUMMYFUNCTION("""COMPUTED_VALUE"""),5.0E-4)</f>
        <v>0.0005</v>
      </c>
      <c r="E728" s="2">
        <f>IFERROR(__xludf.DUMMYFUNCTION("""COMPUTED_VALUE"""),139.9)</f>
        <v>139.9</v>
      </c>
      <c r="F728" s="2">
        <f>IFERROR(__xludf.DUMMYFUNCTION("""COMPUTED_VALUE"""),172.0)</f>
        <v>172</v>
      </c>
      <c r="G728" s="2">
        <f>IFERROR(__xludf.DUMMYFUNCTION("""COMPUTED_VALUE"""),194.0)</f>
        <v>194</v>
      </c>
      <c r="H728" s="2">
        <f>IFERROR(__xludf.DUMMYFUNCTION("""COMPUTED_VALUE"""),224.0)</f>
        <v>224</v>
      </c>
      <c r="I728" s="2">
        <f>IFERROR(__xludf.DUMMYFUNCTION("""COMPUTED_VALUE"""),258.0)</f>
        <v>258</v>
      </c>
      <c r="J728" s="2">
        <f>IFERROR(__xludf.DUMMYFUNCTION("""COMPUTED_VALUE"""),129.0)</f>
        <v>129</v>
      </c>
      <c r="K728" s="2">
        <f>IFERROR(__xludf.DUMMYFUNCTION("""COMPUTED_VALUE"""),6.0)</f>
        <v>6</v>
      </c>
      <c r="L728" s="2" t="str">
        <f>IFERROR(__xludf.DUMMYFUNCTION("""COMPUTED_VALUE"""),"Розетки, вилки и колодки")</f>
        <v>Розетки, вилки и колодки</v>
      </c>
      <c r="M728" s="2" t="str">
        <f>IFERROR(__xludf.DUMMYFUNCTION("""COMPUTED_VALUE"""),"Прочие товары")</f>
        <v>Прочие товары</v>
      </c>
    </row>
    <row r="729">
      <c r="A729" s="5" t="str">
        <f>IFERROR(__xludf.DUMMYFUNCTION("""COMPUTED_VALUE"""),"4690612035581-10")</f>
        <v>4690612035581-10</v>
      </c>
      <c r="B729" s="5" t="str">
        <f>IFERROR(__xludf.DUMMYFUNCTION("""COMPUTED_VALUE"""),"10 шт. Лампа LED-A60-deco 13Вт 230В Е27 3000К 1370Лм прозрачная IN HOME (Комплект 10 шт)")</f>
        <v>10 шт. Лампа LED-A60-deco 13Вт 230В Е27 3000К 1370Лм прозрачная IN HOME (Комплект 10 шт)</v>
      </c>
      <c r="C729" s="2">
        <f>IFERROR(__xludf.DUMMYFUNCTION("""COMPUTED_VALUE"""),0.04)</f>
        <v>0.04</v>
      </c>
      <c r="D729" s="2">
        <f>IFERROR(__xludf.DUMMYFUNCTION("""COMPUTED_VALUE"""),0.0028)</f>
        <v>0.0028</v>
      </c>
      <c r="E729" s="2">
        <f>IFERROR(__xludf.DUMMYFUNCTION("""COMPUTED_VALUE"""),1019.8)</f>
        <v>1019.8</v>
      </c>
      <c r="F729" s="2">
        <f>IFERROR(__xludf.DUMMYFUNCTION("""COMPUTED_VALUE"""),1119.0)</f>
        <v>1119</v>
      </c>
      <c r="G729" s="2">
        <f>IFERROR(__xludf.DUMMYFUNCTION("""COMPUTED_VALUE"""),1469.0)</f>
        <v>1469</v>
      </c>
      <c r="H729" s="2">
        <f>IFERROR(__xludf.DUMMYFUNCTION("""COMPUTED_VALUE"""),1652.0)</f>
        <v>1652</v>
      </c>
      <c r="I729" s="2">
        <f>IFERROR(__xludf.DUMMYFUNCTION("""COMPUTED_VALUE"""),1836.0)</f>
        <v>1836</v>
      </c>
      <c r="J729" s="2">
        <f>IFERROR(__xludf.DUMMYFUNCTION("""COMPUTED_VALUE"""),918.0)</f>
        <v>918</v>
      </c>
      <c r="K729" s="2">
        <f>IFERROR(__xludf.DUMMYFUNCTION("""COMPUTED_VALUE"""),4.0)</f>
        <v>4</v>
      </c>
      <c r="L729" s="2" t="str">
        <f>IFERROR(__xludf.DUMMYFUNCTION("""COMPUTED_VALUE"""),"Лампы производство, упаковка")</f>
        <v>Лампы производство, упаковка</v>
      </c>
      <c r="M729" s="2" t="str">
        <f>IFERROR(__xludf.DUMMYFUNCTION("""COMPUTED_VALUE"""),"Лампы")</f>
        <v>Лампы</v>
      </c>
    </row>
    <row r="730">
      <c r="A730" s="5" t="str">
        <f>IFERROR(__xludf.DUMMYFUNCTION("""COMPUTED_VALUE"""),"ZUK77")</f>
        <v>ZUK77</v>
      </c>
      <c r="B730" s="5" t="str">
        <f>IFERROR(__xludf.DUMMYFUNCTION("""COMPUTED_VALUE"""),"Защитный уголок из картона 40х40х4х1200")</f>
        <v>Защитный уголок из картона 40х40х4х1200</v>
      </c>
      <c r="C730" s="2">
        <f>IFERROR(__xludf.DUMMYFUNCTION("""COMPUTED_VALUE"""),0.0)</f>
        <v>0</v>
      </c>
      <c r="D730" s="2">
        <f>IFERROR(__xludf.DUMMYFUNCTION("""COMPUTED_VALUE"""),0.0)</f>
        <v>0</v>
      </c>
      <c r="E730" s="2">
        <f>IFERROR(__xludf.DUMMYFUNCTION("""COMPUTED_VALUE"""),30.33)</f>
        <v>30.33</v>
      </c>
      <c r="F730" s="2">
        <f>IFERROR(__xludf.DUMMYFUNCTION("""COMPUTED_VALUE"""),1.0)</f>
        <v>1</v>
      </c>
      <c r="G730" s="2">
        <f>IFERROR(__xludf.DUMMYFUNCTION("""COMPUTED_VALUE"""),1.0)</f>
        <v>1</v>
      </c>
      <c r="H730" s="2">
        <f>IFERROR(__xludf.DUMMYFUNCTION("""COMPUTED_VALUE"""),1.0)</f>
        <v>1</v>
      </c>
      <c r="I730" s="2">
        <f>IFERROR(__xludf.DUMMYFUNCTION("""COMPUTED_VALUE"""),1.5)</f>
        <v>1.5</v>
      </c>
      <c r="J730" s="2">
        <f>IFERROR(__xludf.DUMMYFUNCTION("""COMPUTED_VALUE"""),1.5)</f>
        <v>1.5</v>
      </c>
      <c r="K730" s="2">
        <f>IFERROR(__xludf.DUMMYFUNCTION("""COMPUTED_VALUE"""),942.0)</f>
        <v>942</v>
      </c>
      <c r="L730" s="2" t="str">
        <f>IFERROR(__xludf.DUMMYFUNCTION("""COMPUTED_VALUE"""),"Упаковка")</f>
        <v>Упаковка</v>
      </c>
      <c r="M730" s="2" t="str">
        <f>IFERROR(__xludf.DUMMYFUNCTION("""COMPUTED_VALUE"""),"Прочие товары")</f>
        <v>Прочие товары</v>
      </c>
    </row>
    <row r="731">
      <c r="A731" s="5" t="str">
        <f>IFERROR(__xludf.DUMMYFUNCTION("""COMPUTED_VALUE"""),"4690612042701-2")</f>
        <v>4690612042701-2</v>
      </c>
      <c r="B731" s="5" t="str">
        <f>IFERROR(__xludf.DUMMYFUNCTION("""COMPUTED_VALUE"""),"ДВО-01 3640-ПРИЗМА 36 Вт 230В 4000K 3600Лм 180х1195х19мм NEOX (2 штуки в упаковке)")</f>
        <v>ДВО-01 3640-ПРИЗМА 36 Вт 230В 4000K 3600Лм 180х1195х19мм NEOX (2 штуки в упаковке)</v>
      </c>
      <c r="C731" s="2">
        <f>IFERROR(__xludf.DUMMYFUNCTION("""COMPUTED_VALUE"""),1.35)</f>
        <v>1.35</v>
      </c>
      <c r="D731" s="2">
        <f>IFERROR(__xludf.DUMMYFUNCTION("""COMPUTED_VALUE"""),0.0)</f>
        <v>0</v>
      </c>
      <c r="E731" s="2">
        <f>IFERROR(__xludf.DUMMYFUNCTION("""COMPUTED_VALUE"""),1147.76)</f>
        <v>1147.76</v>
      </c>
      <c r="F731" s="2">
        <f>IFERROR(__xludf.DUMMYFUNCTION("""COMPUTED_VALUE"""),1259.0)</f>
        <v>1259</v>
      </c>
      <c r="G731" s="2">
        <f>IFERROR(__xludf.DUMMYFUNCTION("""COMPUTED_VALUE"""),1653.0)</f>
        <v>1653</v>
      </c>
      <c r="H731" s="2">
        <f>IFERROR(__xludf.DUMMYFUNCTION("""COMPUTED_VALUE"""),1859.0)</f>
        <v>1859</v>
      </c>
      <c r="I731" s="2">
        <f>IFERROR(__xludf.DUMMYFUNCTION("""COMPUTED_VALUE"""),2066.0)</f>
        <v>2066</v>
      </c>
      <c r="J731" s="2">
        <f>IFERROR(__xludf.DUMMYFUNCTION("""COMPUTED_VALUE"""),1033.0)</f>
        <v>1033</v>
      </c>
      <c r="K731" s="2">
        <f>IFERROR(__xludf.DUMMYFUNCTION("""COMPUTED_VALUE"""),7.0)</f>
        <v>7</v>
      </c>
      <c r="L731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731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732">
      <c r="A732" s="5" t="str">
        <f>IFERROR(__xludf.DUMMYFUNCTION("""COMPUTED_VALUE"""),"4690612014111")</f>
        <v>4690612014111</v>
      </c>
      <c r="B732" s="5" t="str">
        <f>IFERROR(__xludf.DUMMYFUNCTION("""COMPUTED_VALUE"""),"GX53R-glass SMT под лампу GX53 КВАДРАТ СТЕКЛО 230B матовый IN HOME")</f>
        <v>GX53R-glass SMT под лампу GX53 КВАДРАТ СТЕКЛО 230B матовый IN HOME</v>
      </c>
      <c r="C732" s="2">
        <f>IFERROR(__xludf.DUMMYFUNCTION("""COMPUTED_VALUE"""),0.294)</f>
        <v>0.294</v>
      </c>
      <c r="D732" s="2">
        <f>IFERROR(__xludf.DUMMYFUNCTION("""COMPUTED_VALUE"""),0.001)</f>
        <v>0.001</v>
      </c>
      <c r="E732" s="2">
        <f>IFERROR(__xludf.DUMMYFUNCTION("""COMPUTED_VALUE"""),178.97)</f>
        <v>178.97</v>
      </c>
      <c r="F732" s="2">
        <f>IFERROR(__xludf.DUMMYFUNCTION("""COMPUTED_VALUE"""),181.0)</f>
        <v>181</v>
      </c>
      <c r="G732" s="2">
        <f>IFERROR(__xludf.DUMMYFUNCTION("""COMPUTED_VALUE"""),203.0)</f>
        <v>203</v>
      </c>
      <c r="H732" s="2">
        <f>IFERROR(__xludf.DUMMYFUNCTION("""COMPUTED_VALUE"""),236.0)</f>
        <v>236</v>
      </c>
      <c r="I732" s="2">
        <f>IFERROR(__xludf.DUMMYFUNCTION("""COMPUTED_VALUE"""),271.0)</f>
        <v>271</v>
      </c>
      <c r="J732" s="2">
        <f>IFERROR(__xludf.DUMMYFUNCTION("""COMPUTED_VALUE"""),136.0)</f>
        <v>136</v>
      </c>
      <c r="K732" s="2">
        <f>IFERROR(__xludf.DUMMYFUNCTION("""COMPUTED_VALUE"""),5.0)</f>
        <v>5</v>
      </c>
      <c r="L732" s="2" t="str">
        <f>IFERROR(__xludf.DUMMYFUNCTION("""COMPUTED_VALUE"""),"Под лампу GX53")</f>
        <v>Под лампу GX53</v>
      </c>
      <c r="M732" s="2" t="str">
        <f>IFERROR(__xludf.DUMMYFUNCTION("""COMPUTED_VALUE"""),"Точечные круглые Downlight, Ламповые светильники")</f>
        <v>Точечные круглые Downlight, Ламповые светильники</v>
      </c>
    </row>
    <row r="733">
      <c r="A733" s="5" t="str">
        <f>IFERROR(__xludf.DUMMYFUNCTION("""COMPUTED_VALUE"""),"426052929244723")</f>
        <v>426052929244723</v>
      </c>
      <c r="B733" s="5" t="str">
        <f>IFERROR(__xludf.DUMMYFUNCTION("""COMPUTED_VALUE"""),"WT5S10W60 10 Вт 4000К IP20 700 Лм 32x23x570 мм 1/30")</f>
        <v>WT5S10W60 10 Вт 4000К IP20 700 Лм 32x23x570 мм 1/30</v>
      </c>
      <c r="C733" s="2">
        <f>IFERROR(__xludf.DUMMYFUNCTION("""COMPUTED_VALUE"""),0.186)</f>
        <v>0.186</v>
      </c>
      <c r="D733" s="2">
        <f>IFERROR(__xludf.DUMMYFUNCTION("""COMPUTED_VALUE"""),7.700000000000001E-4)</f>
        <v>0.00077</v>
      </c>
      <c r="E733" s="2">
        <f>IFERROR(__xludf.DUMMYFUNCTION("""COMPUTED_VALUE"""),235.52)</f>
        <v>235.52</v>
      </c>
      <c r="F733" s="2">
        <f>IFERROR(__xludf.DUMMYFUNCTION("""COMPUTED_VALUE"""),214.0)</f>
        <v>214</v>
      </c>
      <c r="G733" s="2">
        <f>IFERROR(__xludf.DUMMYFUNCTION("""COMPUTED_VALUE"""),221.0)</f>
        <v>221</v>
      </c>
      <c r="H733" s="2">
        <f>IFERROR(__xludf.DUMMYFUNCTION("""COMPUTED_VALUE"""),290.0)</f>
        <v>290</v>
      </c>
      <c r="I733" s="2">
        <f>IFERROR(__xludf.DUMMYFUNCTION("""COMPUTED_VALUE"""),363.0)</f>
        <v>363</v>
      </c>
      <c r="J733" s="2">
        <f>IFERROR(__xludf.DUMMYFUNCTION("""COMPUTED_VALUE"""),182.0)</f>
        <v>182</v>
      </c>
      <c r="K733" s="2">
        <f>IFERROR(__xludf.DUMMYFUNCTION("""COMPUTED_VALUE"""),58.0)</f>
        <v>58</v>
      </c>
      <c r="L733" s="2" t="str">
        <f>IFERROR(__xludf.DUMMYFUNCTION("""COMPUTED_VALUE"""),"Wolta")</f>
        <v>Wolta</v>
      </c>
      <c r="M733" s="2" t="str">
        <f>IFERROR(__xludf.DUMMYFUNCTION("""COMPUTED_VALUE"""),"Пластиковые (линейные), LED Светильники")</f>
        <v>Пластиковые (линейные), LED Светильники</v>
      </c>
    </row>
    <row r="734">
      <c r="A734" s="5" t="str">
        <f>IFERROR(__xludf.DUMMYFUNCTION("""COMPUTED_VALUE"""),"4690612008462")</f>
        <v>4690612008462</v>
      </c>
      <c r="B734" s="5" t="str">
        <f>IFERROR(__xludf.DUMMYFUNCTION("""COMPUTED_VALUE"""),"GX53R-mini RG ультратонкий металл под лампу GX53 230В золото IN HOME")</f>
        <v>GX53R-mini RG ультратонкий металл под лампу GX53 230В золото IN HOME</v>
      </c>
      <c r="C734" s="2">
        <f>IFERROR(__xludf.DUMMYFUNCTION("""COMPUTED_VALUE"""),0.05300000000000001)</f>
        <v>0.053</v>
      </c>
      <c r="D734" s="2">
        <f>IFERROR(__xludf.DUMMYFUNCTION("""COMPUTED_VALUE"""),2.5E-4)</f>
        <v>0.00025</v>
      </c>
      <c r="E734" s="2">
        <f>IFERROR(__xludf.DUMMYFUNCTION("""COMPUTED_VALUE"""),52.89)</f>
        <v>52.89</v>
      </c>
      <c r="F734" s="2">
        <f>IFERROR(__xludf.DUMMYFUNCTION("""COMPUTED_VALUE"""),65.0)</f>
        <v>65</v>
      </c>
      <c r="G734" s="2">
        <f>IFERROR(__xludf.DUMMYFUNCTION("""COMPUTED_VALUE"""),74.0)</f>
        <v>74</v>
      </c>
      <c r="H734" s="2">
        <f>IFERROR(__xludf.DUMMYFUNCTION("""COMPUTED_VALUE"""),85.0)</f>
        <v>85</v>
      </c>
      <c r="I734" s="2">
        <f>IFERROR(__xludf.DUMMYFUNCTION("""COMPUTED_VALUE"""),98.0)</f>
        <v>98</v>
      </c>
      <c r="J734" s="2">
        <f>IFERROR(__xludf.DUMMYFUNCTION("""COMPUTED_VALUE"""),49.0)</f>
        <v>49</v>
      </c>
      <c r="K734" s="2">
        <f>IFERROR(__xludf.DUMMYFUNCTION("""COMPUTED_VALUE"""),6.0)</f>
        <v>6</v>
      </c>
      <c r="L734" s="2" t="str">
        <f>IFERROR(__xludf.DUMMYFUNCTION("""COMPUTED_VALUE"""),"Под лампу GX53")</f>
        <v>Под лампу GX53</v>
      </c>
      <c r="M734" s="2" t="str">
        <f>IFERROR(__xludf.DUMMYFUNCTION("""COMPUTED_VALUE"""),"Точечные круглые Downlight, Ламповые светильники")</f>
        <v>Точечные круглые Downlight, Ламповые светильники</v>
      </c>
    </row>
    <row r="735">
      <c r="A735" s="5" t="str">
        <f>IFERROR(__xludf.DUMMYFUNCTION("""COMPUTED_VALUE"""),"4690612013466")</f>
        <v>4690612013466</v>
      </c>
      <c r="B735" s="5" t="str">
        <f>IFERROR(__xludf.DUMMYFUNCTION("""COMPUTED_VALUE"""),"ССО-01Б 8Вт сенсор-диммер RGB-ночник адаптер БЕЛЫЙ IN HOME")</f>
        <v>ССО-01Б 8Вт сенсор-диммер RGB-ночник адаптер БЕЛЫЙ IN HOME</v>
      </c>
      <c r="C735" s="2">
        <f>IFERROR(__xludf.DUMMYFUNCTION("""COMPUTED_VALUE"""),0.64)</f>
        <v>0.64</v>
      </c>
      <c r="D735" s="2">
        <f>IFERROR(__xludf.DUMMYFUNCTION("""COMPUTED_VALUE"""),0.004750000000000001)</f>
        <v>0.00475</v>
      </c>
      <c r="E735" s="2">
        <f>IFERROR(__xludf.DUMMYFUNCTION("""COMPUTED_VALUE"""),919.26)</f>
        <v>919.26</v>
      </c>
      <c r="F735" s="2">
        <f>IFERROR(__xludf.DUMMYFUNCTION("""COMPUTED_VALUE"""),820.0)</f>
        <v>820</v>
      </c>
      <c r="G735" s="2">
        <f>IFERROR(__xludf.DUMMYFUNCTION("""COMPUTED_VALUE"""),923.0)</f>
        <v>923</v>
      </c>
      <c r="H735" s="2">
        <f>IFERROR(__xludf.DUMMYFUNCTION("""COMPUTED_VALUE"""),1070.0)</f>
        <v>1070</v>
      </c>
      <c r="I735" s="2">
        <f>IFERROR(__xludf.DUMMYFUNCTION("""COMPUTED_VALUE"""),1230.0)</f>
        <v>1230</v>
      </c>
      <c r="J735" s="2">
        <f>IFERROR(__xludf.DUMMYFUNCTION("""COMPUTED_VALUE"""),615.0)</f>
        <v>615</v>
      </c>
      <c r="K735" s="2">
        <f>IFERROR(__xludf.DUMMYFUNCTION("""COMPUTED_VALUE"""),3.0)</f>
        <v>3</v>
      </c>
      <c r="L735" s="2" t="str">
        <f>IFERROR(__xludf.DUMMYFUNCTION("""COMPUTED_VALUE"""),"Светильники настольные светодиодные")</f>
        <v>Светильники настольные светодиодные</v>
      </c>
      <c r="M735" s="2" t="str">
        <f>IFERROR(__xludf.DUMMYFUNCTION("""COMPUTED_VALUE"""),"Светильники общего назначения (LED), Декоративные, LED Светильники")</f>
        <v>Светильники общего назначения (LED), Декоративные, LED Светильники</v>
      </c>
    </row>
    <row r="736">
      <c r="A736" s="5" t="str">
        <f>IFERROR(__xludf.DUMMYFUNCTION("""COMPUTED_VALUE"""),"4690626071278")</f>
        <v>4690626071278</v>
      </c>
      <c r="B736" s="5" t="str">
        <f>IFERROR(__xludf.DUMMYFUNCTION("""COMPUTED_VALUE"""),"Светодиодный (LED) прожектор FL ФИТО Smartbuy-30W/1300K/IP65 (SBL-FLFITO-30-65K)")</f>
        <v>Светодиодный (LED) прожектор FL ФИТО Smartbuy-30W/1300K/IP65 (SBL-FLFITO-30-65K)</v>
      </c>
      <c r="C736" s="2">
        <f>IFERROR(__xludf.DUMMYFUNCTION("""COMPUTED_VALUE"""),0.0)</f>
        <v>0</v>
      </c>
      <c r="D736" s="2">
        <f>IFERROR(__xludf.DUMMYFUNCTION("""COMPUTED_VALUE"""),0.0)</f>
        <v>0</v>
      </c>
      <c r="E736" s="2">
        <f>IFERROR(__xludf.DUMMYFUNCTION("""COMPUTED_VALUE"""),561.7)</f>
        <v>561.7</v>
      </c>
      <c r="F736" s="2">
        <f>IFERROR(__xludf.DUMMYFUNCTION("""COMPUTED_VALUE"""),606.0)</f>
        <v>606</v>
      </c>
      <c r="G736" s="2">
        <f>IFERROR(__xludf.DUMMYFUNCTION("""COMPUTED_VALUE"""),665.0)</f>
        <v>665</v>
      </c>
      <c r="H736" s="2">
        <f>IFERROR(__xludf.DUMMYFUNCTION("""COMPUTED_VALUE"""),739.0)</f>
        <v>739</v>
      </c>
      <c r="I736" s="2">
        <f>IFERROR(__xludf.DUMMYFUNCTION("""COMPUTED_VALUE"""),813.0)</f>
        <v>813</v>
      </c>
      <c r="J736" s="2">
        <f>IFERROR(__xludf.DUMMYFUNCTION("""COMPUTED_VALUE"""),407.0)</f>
        <v>407</v>
      </c>
      <c r="K736" s="2">
        <f>IFERROR(__xludf.DUMMYFUNCTION("""COMPUTED_VALUE"""),9.0)</f>
        <v>9</v>
      </c>
      <c r="L736" s="2" t="str">
        <f>IFERROR(__xludf.DUMMYFUNCTION("""COMPUTED_VALUE"""),"Smartbuy LED светильники")</f>
        <v>Smartbuy LED светильники</v>
      </c>
      <c r="M736" s="2" t="str">
        <f>IFERROR(__xludf.DUMMYFUNCTION("""COMPUTED_VALUE"""),"Фито светильники (для растений), LED Светильники")</f>
        <v>Фито светильники (для растений), LED Светильники</v>
      </c>
    </row>
    <row r="737">
      <c r="A737" s="5" t="str">
        <f>IFERROR(__xludf.DUMMYFUNCTION("""COMPUTED_VALUE"""),"G103101207-10")</f>
        <v>G103101207-10</v>
      </c>
      <c r="B737" s="5" t="str">
        <f>IFERROR(__xludf.DUMMYFUNCTION("""COMPUTED_VALUE"""),"10 шт. Лампа Candle E14 6.5W 4100К 1/10/50 (Комплект 10 шт)")</f>
        <v>10 шт. Лампа Candle E14 6.5W 4100К 1/10/50 (Комплект 10 шт)</v>
      </c>
      <c r="C737" s="2">
        <f>IFERROR(__xludf.DUMMYFUNCTION("""COMPUTED_VALUE"""),0.03)</f>
        <v>0.03</v>
      </c>
      <c r="D737" s="2">
        <f>IFERROR(__xludf.DUMMYFUNCTION("""COMPUTED_VALUE"""),0.0)</f>
        <v>0</v>
      </c>
      <c r="E737" s="2">
        <f>IFERROR(__xludf.DUMMYFUNCTION("""COMPUTED_VALUE"""),788.7)</f>
        <v>788.7</v>
      </c>
      <c r="F737" s="2">
        <f>IFERROR(__xludf.DUMMYFUNCTION("""COMPUTED_VALUE"""),865.0)</f>
        <v>865</v>
      </c>
      <c r="G737" s="2">
        <f>IFERROR(__xludf.DUMMYFUNCTION("""COMPUTED_VALUE"""),1136.0)</f>
        <v>1136</v>
      </c>
      <c r="H737" s="2">
        <f>IFERROR(__xludf.DUMMYFUNCTION("""COMPUTED_VALUE"""),1278.0)</f>
        <v>1278</v>
      </c>
      <c r="I737" s="2">
        <f>IFERROR(__xludf.DUMMYFUNCTION("""COMPUTED_VALUE"""),1420.0)</f>
        <v>1420</v>
      </c>
      <c r="J737" s="2">
        <f>IFERROR(__xludf.DUMMYFUNCTION("""COMPUTED_VALUE"""),710.0)</f>
        <v>710</v>
      </c>
      <c r="K737" s="2">
        <f>IFERROR(__xludf.DUMMYFUNCTION("""COMPUTED_VALUE"""),8.0)</f>
        <v>8</v>
      </c>
      <c r="L737" s="2" t="str">
        <f>IFERROR(__xludf.DUMMYFUNCTION("""COMPUTED_VALUE"""),"Лампы производство, упаковка")</f>
        <v>Лампы производство, упаковка</v>
      </c>
      <c r="M737" s="2" t="str">
        <f>IFERROR(__xludf.DUMMYFUNCTION("""COMPUTED_VALUE"""),"Лампы")</f>
        <v>Лампы</v>
      </c>
    </row>
    <row r="738">
      <c r="A738" s="5" t="str">
        <f>IFERROR(__xludf.DUMMYFUNCTION("""COMPUTED_VALUE"""),"4690612029849")</f>
        <v>4690612029849</v>
      </c>
      <c r="B738" s="5" t="str">
        <f>IFERROR(__xludf.DUMMYFUNCTION("""COMPUTED_VALUE"""),"LPU-01 75Вт ПРИЗМА 230В 4000K 7125Лм 180х1195х19мм IP40 IN HOME")</f>
        <v>LPU-01 75Вт ПРИЗМА 230В 4000K 7125Лм 180х1195х19мм IP40 IN HOME</v>
      </c>
      <c r="C738" s="2">
        <f>IFERROR(__xludf.DUMMYFUNCTION("""COMPUTED_VALUE"""),1.225)</f>
        <v>1.225</v>
      </c>
      <c r="D738" s="2">
        <f>IFERROR(__xludf.DUMMYFUNCTION("""COMPUTED_VALUE"""),0.00525)</f>
        <v>0.00525</v>
      </c>
      <c r="E738" s="2">
        <f>IFERROR(__xludf.DUMMYFUNCTION("""COMPUTED_VALUE"""),718.0600000000001)</f>
        <v>718.06</v>
      </c>
      <c r="F738" s="2">
        <f>IFERROR(__xludf.DUMMYFUNCTION("""COMPUTED_VALUE"""),808.0)</f>
        <v>808</v>
      </c>
      <c r="G738" s="2">
        <f>IFERROR(__xludf.DUMMYFUNCTION("""COMPUTED_VALUE"""),909.0)</f>
        <v>909</v>
      </c>
      <c r="H738" s="2">
        <f>IFERROR(__xludf.DUMMYFUNCTION("""COMPUTED_VALUE"""),1054.0)</f>
        <v>1054</v>
      </c>
      <c r="I738" s="2">
        <f>IFERROR(__xludf.DUMMYFUNCTION("""COMPUTED_VALUE"""),1212.0)</f>
        <v>1212</v>
      </c>
      <c r="J738" s="2">
        <f>IFERROR(__xludf.DUMMYFUNCTION("""COMPUTED_VALUE"""),606.0)</f>
        <v>606</v>
      </c>
      <c r="K738" s="2">
        <f>IFERROR(__xludf.DUMMYFUNCTION("""COMPUTED_VALUE"""),9.0)</f>
        <v>9</v>
      </c>
      <c r="L738" s="2" t="str">
        <f>IFERROR(__xludf.DUMMYFUNCTION("""COMPUTED_VALUE"""),"Панели светодиодные LP серии ПРИЗМА")</f>
        <v>Панели светодиодные LP серии ПРИЗМА</v>
      </c>
      <c r="M738" s="2" t="str">
        <f>IFERROR(__xludf.DUMMYFUNCTION("""COMPUTED_VALUE"""),"Встраиваемые, Накладные, LED Светильники")</f>
        <v>Встраиваемые, Накладные, LED Светильники</v>
      </c>
    </row>
    <row r="739">
      <c r="A739" s="5" t="str">
        <f>IFERROR(__xludf.DUMMYFUNCTION("""COMPUTED_VALUE"""),"4260652193222")</f>
        <v>4260652193222</v>
      </c>
      <c r="B739" s="5" t="str">
        <f>IFERROR(__xludf.DUMMYFUNCTION("""COMPUTED_VALUE"""),"LCL04-8W-R21-4K-SM")</f>
        <v>LCL04-8W-R21-4K-SM</v>
      </c>
      <c r="C739" s="2">
        <f>IFERROR(__xludf.DUMMYFUNCTION("""COMPUTED_VALUE"""),0.09000000000000001)</f>
        <v>0.09</v>
      </c>
      <c r="D739" s="2">
        <f>IFERROR(__xludf.DUMMYFUNCTION("""COMPUTED_VALUE"""),0.0353)</f>
        <v>0.0353</v>
      </c>
      <c r="E739" s="2">
        <f>IFERROR(__xludf.DUMMYFUNCTION("""COMPUTED_VALUE"""),434.9)</f>
        <v>434.9</v>
      </c>
      <c r="F739" s="2">
        <f>IFERROR(__xludf.DUMMYFUNCTION("""COMPUTED_VALUE"""),431.0)</f>
        <v>431</v>
      </c>
      <c r="G739" s="2">
        <f>IFERROR(__xludf.DUMMYFUNCTION("""COMPUTED_VALUE"""),446.0)</f>
        <v>446</v>
      </c>
      <c r="H739" s="2">
        <f>IFERROR(__xludf.DUMMYFUNCTION("""COMPUTED_VALUE"""),585.0)</f>
        <v>585</v>
      </c>
      <c r="I739" s="2">
        <f>IFERROR(__xludf.DUMMYFUNCTION("""COMPUTED_VALUE"""),731.0)</f>
        <v>731</v>
      </c>
      <c r="J739" s="2">
        <f>IFERROR(__xludf.DUMMYFUNCTION("""COMPUTED_VALUE"""),366.0)</f>
        <v>366</v>
      </c>
      <c r="K739" s="2">
        <f>IFERROR(__xludf.DUMMYFUNCTION("""COMPUTED_VALUE"""),16.0)</f>
        <v>16</v>
      </c>
      <c r="L739" s="2" t="str">
        <f>IFERROR(__xludf.DUMMYFUNCTION("""COMPUTED_VALUE"""),"Wolta ЖКХ")</f>
        <v>Wolta ЖКХ</v>
      </c>
      <c r="M739" s="2" t="str">
        <f>IFERROR(__xludf.DUMMYFUNCTION("""COMPUTED_VALUE"""),"Для ЖКХ, дома, дачи, LED Светильники")</f>
        <v>Для ЖКХ, дома, дачи, LED Светильники</v>
      </c>
    </row>
    <row r="740">
      <c r="A740" s="5" t="str">
        <f>IFERROR(__xludf.DUMMYFUNCTION("""COMPUTED_VALUE"""),"4690612035109")</f>
        <v>4690612035109</v>
      </c>
      <c r="B740" s="5" t="str">
        <f>IFERROR(__xludf.DUMMYFUNCTION("""COMPUTED_VALUE"""),"COMFORT Loft-G 75Вт 230В 3000-6500K 6000Лм 500x100мм с пультом ДУ IN HOME")</f>
        <v>COMFORT Loft-G 75Вт 230В 3000-6500K 6000Лм 500x100мм с пультом ДУ IN HOME</v>
      </c>
      <c r="C740" s="2">
        <f>IFERROR(__xludf.DUMMYFUNCTION("""COMPUTED_VALUE"""),1.72)</f>
        <v>1.72</v>
      </c>
      <c r="D740" s="2">
        <f>IFERROR(__xludf.DUMMYFUNCTION("""COMPUTED_VALUE"""),0.034)</f>
        <v>0.034</v>
      </c>
      <c r="E740" s="2">
        <f>IFERROR(__xludf.DUMMYFUNCTION("""COMPUTED_VALUE"""),2271.72)</f>
        <v>2271.72</v>
      </c>
      <c r="F740" s="2">
        <f>IFERROR(__xludf.DUMMYFUNCTION("""COMPUTED_VALUE"""),1518.0)</f>
        <v>1518</v>
      </c>
      <c r="G740" s="2">
        <f>IFERROR(__xludf.DUMMYFUNCTION("""COMPUTED_VALUE"""),1708.0)</f>
        <v>1708</v>
      </c>
      <c r="H740" s="2">
        <f>IFERROR(__xludf.DUMMYFUNCTION("""COMPUTED_VALUE"""),1981.0)</f>
        <v>1981</v>
      </c>
      <c r="I740" s="2">
        <f>IFERROR(__xludf.DUMMYFUNCTION("""COMPUTED_VALUE"""),2277.0)</f>
        <v>2277</v>
      </c>
      <c r="J740" s="2">
        <f>IFERROR(__xludf.DUMMYFUNCTION("""COMPUTED_VALUE"""),1139.0)</f>
        <v>1139</v>
      </c>
      <c r="K740" s="2">
        <f>IFERROR(__xludf.DUMMYFUNCTION("""COMPUTED_VALUE"""),1.0)</f>
        <v>1</v>
      </c>
      <c r="L740" s="2" t="str">
        <f>IFERROR(__xludf.DUMMYFUNCTION("""COMPUTED_VALUE"""),"Светильники светодиодные COMFORT")</f>
        <v>Светильники светодиодные COMFORT</v>
      </c>
      <c r="M740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741">
      <c r="A741" s="5" t="str">
        <f>IFERROR(__xludf.DUMMYFUNCTION("""COMPUTED_VALUE"""),"4690612048291-1")</f>
        <v>4690612048291-1</v>
      </c>
      <c r="B741" s="5" t="str">
        <f>IFERROR(__xludf.DUMMYFUNCTION("""COMPUTED_VALUE"""),"SPO-108 PRIZMA 50Вт 4000К 4500Лм 1200мм IP40 IN HOME (в индивидуальной упаковке)")</f>
        <v>SPO-108 PRIZMA 50Вт 4000К 4500Лм 1200мм IP40 IN HOME (в индивидуальной упаковке)</v>
      </c>
      <c r="C741" s="2">
        <f>IFERROR(__xludf.DUMMYFUNCTION("""COMPUTED_VALUE"""),0.0)</f>
        <v>0</v>
      </c>
      <c r="D741" s="2">
        <f>IFERROR(__xludf.DUMMYFUNCTION("""COMPUTED_VALUE"""),0.00293)</f>
        <v>0.00293</v>
      </c>
      <c r="E741" s="2">
        <f>IFERROR(__xludf.DUMMYFUNCTION("""COMPUTED_VALUE"""),374.3)</f>
        <v>374.3</v>
      </c>
      <c r="F741" s="2">
        <f>IFERROR(__xludf.DUMMYFUNCTION("""COMPUTED_VALUE"""),411.0)</f>
        <v>411</v>
      </c>
      <c r="G741" s="2">
        <f>IFERROR(__xludf.DUMMYFUNCTION("""COMPUTED_VALUE"""),539.0)</f>
        <v>539</v>
      </c>
      <c r="H741" s="2">
        <f>IFERROR(__xludf.DUMMYFUNCTION("""COMPUTED_VALUE"""),607.0)</f>
        <v>607</v>
      </c>
      <c r="I741" s="2">
        <f>IFERROR(__xludf.DUMMYFUNCTION("""COMPUTED_VALUE"""),674.0)</f>
        <v>674</v>
      </c>
      <c r="J741" s="2">
        <f>IFERROR(__xludf.DUMMYFUNCTION("""COMPUTED_VALUE"""),337.0)</f>
        <v>337</v>
      </c>
      <c r="K741" s="2">
        <f>IFERROR(__xludf.DUMMYFUNCTION("""COMPUTED_VALUE"""),1.0)</f>
        <v>1</v>
      </c>
      <c r="L741" s="2" t="str">
        <f>IFERROR(__xludf.DUMMYFUNCTION("""COMPUTED_VALUE"""),"InHome Светильники LED SPO-108, SPO-110 производство, упаковка (1 штука)")</f>
        <v>InHome Светильники LED SPO-108, SPO-110 производство, упаковка (1 штука)</v>
      </c>
      <c r="M741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742">
      <c r="A742" s="5" t="str">
        <f>IFERROR(__xludf.DUMMYFUNCTION("""COMPUTED_VALUE"""),"4690612037653-1")</f>
        <v>4690612037653-1</v>
      </c>
      <c r="B742" s="5" t="str">
        <f>IFERROR(__xludf.DUMMYFUNCTION("""COMPUTED_VALUE"""),"ДВО-02 4565-ПРИЗМА 45Вт 230В 6500К 4500Лм 100Лм/Вт 595х595х19 NEOX (в индивид. уп)")</f>
        <v>ДВО-02 4565-ПРИЗМА 45Вт 230В 6500К 4500Лм 100Лм/Вт 595х595х19 NEOX (в индивид. уп)</v>
      </c>
      <c r="C742" s="2">
        <f>IFERROR(__xludf.DUMMYFUNCTION("""COMPUTED_VALUE"""),1.35)</f>
        <v>1.35</v>
      </c>
      <c r="D742" s="2">
        <f>IFERROR(__xludf.DUMMYFUNCTION("""COMPUTED_VALUE"""),0.006730000000000001)</f>
        <v>0.00673</v>
      </c>
      <c r="E742" s="2">
        <f>IFERROR(__xludf.DUMMYFUNCTION("""COMPUTED_VALUE"""),613.88)</f>
        <v>613.88</v>
      </c>
      <c r="F742" s="2">
        <f>IFERROR(__xludf.DUMMYFUNCTION("""COMPUTED_VALUE"""),674.0)</f>
        <v>674</v>
      </c>
      <c r="G742" s="2">
        <f>IFERROR(__xludf.DUMMYFUNCTION("""COMPUTED_VALUE"""),884.0)</f>
        <v>884</v>
      </c>
      <c r="H742" s="2">
        <f>IFERROR(__xludf.DUMMYFUNCTION("""COMPUTED_VALUE"""),995.0)</f>
        <v>995</v>
      </c>
      <c r="I742" s="2">
        <f>IFERROR(__xludf.DUMMYFUNCTION("""COMPUTED_VALUE"""),1105.0)</f>
        <v>1105</v>
      </c>
      <c r="J742" s="2">
        <f>IFERROR(__xludf.DUMMYFUNCTION("""COMPUTED_VALUE"""),553.0)</f>
        <v>553</v>
      </c>
      <c r="K742" s="2">
        <f>IFERROR(__xludf.DUMMYFUNCTION("""COMPUTED_VALUE"""),2.0)</f>
        <v>2</v>
      </c>
      <c r="L742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742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743">
      <c r="A743" s="5" t="str">
        <f>IFERROR(__xludf.DUMMYFUNCTION("""COMPUTED_VALUE"""),"4262356474317")</f>
        <v>4262356474317</v>
      </c>
      <c r="B743" s="5" t="str">
        <f>IFERROR(__xludf.DUMMYFUNCTION("""COMPUTED_VALUE"""),"WTL-GX53/01W")</f>
        <v>WTL-GX53/01W</v>
      </c>
      <c r="C743" s="2">
        <f>IFERROR(__xludf.DUMMYFUNCTION("""COMPUTED_VALUE"""),0.209)</f>
        <v>0.209</v>
      </c>
      <c r="D743" s="2">
        <f>IFERROR(__xludf.DUMMYFUNCTION("""COMPUTED_VALUE"""),0.0)</f>
        <v>0</v>
      </c>
      <c r="E743" s="2">
        <f>IFERROR(__xludf.DUMMYFUNCTION("""COMPUTED_VALUE"""),395.5)</f>
        <v>395.5</v>
      </c>
      <c r="F743" s="2">
        <f>IFERROR(__xludf.DUMMYFUNCTION("""COMPUTED_VALUE"""),480.0)</f>
        <v>480</v>
      </c>
      <c r="G743" s="2">
        <f>IFERROR(__xludf.DUMMYFUNCTION("""COMPUTED_VALUE"""),497.0)</f>
        <v>497</v>
      </c>
      <c r="H743" s="2">
        <f>IFERROR(__xludf.DUMMYFUNCTION("""COMPUTED_VALUE"""),651.0)</f>
        <v>651</v>
      </c>
      <c r="I743" s="2">
        <f>IFERROR(__xludf.DUMMYFUNCTION("""COMPUTED_VALUE"""),814.0)</f>
        <v>814</v>
      </c>
      <c r="J743" s="2">
        <f>IFERROR(__xludf.DUMMYFUNCTION("""COMPUTED_VALUE"""),407.0)</f>
        <v>407</v>
      </c>
      <c r="K743" s="2">
        <f>IFERROR(__xludf.DUMMYFUNCTION("""COMPUTED_VALUE"""),1.0)</f>
        <v>1</v>
      </c>
      <c r="L743" s="2" t="str">
        <f>IFERROR(__xludf.DUMMYFUNCTION("""COMPUTED_VALUE"""),"Wolta трековые")</f>
        <v>Wolta трековые</v>
      </c>
      <c r="M743" s="2" t="str">
        <f>IFERROR(__xludf.DUMMYFUNCTION("""COMPUTED_VALUE"""),"Трековые, LED Светильники")</f>
        <v>Трековые, LED Светильники</v>
      </c>
    </row>
    <row r="744">
      <c r="A744" s="5" t="str">
        <f>IFERROR(__xludf.DUMMYFUNCTION("""COMPUTED_VALUE"""),"4690612053004-1")</f>
        <v>4690612053004-1</v>
      </c>
      <c r="B744" s="5" t="str">
        <f>IFERROR(__xludf.DUMMYFUNCTION("""COMPUTED_VALUE"""),"ДВО-01 7565-ПРИЗМА 75Вт 6500К 180х1195х19 NEOX (в индивидуальной упаковке)")</f>
        <v>ДВО-01 7565-ПРИЗМА 75Вт 6500К 180х1195х19 NEOX (в индивидуальной упаковке)</v>
      </c>
      <c r="C744" s="2">
        <f>IFERROR(__xludf.DUMMYFUNCTION("""COMPUTED_VALUE"""),0.0)</f>
        <v>0</v>
      </c>
      <c r="D744" s="2">
        <f>IFERROR(__xludf.DUMMYFUNCTION("""COMPUTED_VALUE"""),0.0)</f>
        <v>0</v>
      </c>
      <c r="E744" s="2">
        <f>IFERROR(__xludf.DUMMYFUNCTION("""COMPUTED_VALUE"""),786.53)</f>
        <v>786.53</v>
      </c>
      <c r="F744" s="2">
        <f>IFERROR(__xludf.DUMMYFUNCTION("""COMPUTED_VALUE"""),863.0)</f>
        <v>863</v>
      </c>
      <c r="G744" s="2">
        <f>IFERROR(__xludf.DUMMYFUNCTION("""COMPUTED_VALUE"""),1133.0)</f>
        <v>1133</v>
      </c>
      <c r="H744" s="2">
        <f>IFERROR(__xludf.DUMMYFUNCTION("""COMPUTED_VALUE"""),1274.0)</f>
        <v>1274</v>
      </c>
      <c r="I744" s="2">
        <f>IFERROR(__xludf.DUMMYFUNCTION("""COMPUTED_VALUE"""),1416.0)</f>
        <v>1416</v>
      </c>
      <c r="J744" s="2">
        <f>IFERROR(__xludf.DUMMYFUNCTION("""COMPUTED_VALUE"""),708.0)</f>
        <v>708</v>
      </c>
      <c r="K744" s="2">
        <f>IFERROR(__xludf.DUMMYFUNCTION("""COMPUTED_VALUE"""),18.0)</f>
        <v>18</v>
      </c>
      <c r="L744" s="2" t="str">
        <f>IFERROR(__xludf.DUMMYFUNCTION("""COMPUTED_VALUE"""),"NEOX Светильники LED ДВО - Призма производство, упаковка")</f>
        <v>NEOX Светильники LED ДВО - Призма производство, упаковка</v>
      </c>
      <c r="M744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745">
      <c r="A745" s="5" t="str">
        <f>IFERROR(__xludf.DUMMYFUNCTION("""COMPUTED_VALUE"""),"V12020")</f>
        <v>V12020</v>
      </c>
      <c r="B745" s="5" t="str">
        <f>IFERROR(__xludf.DUMMYFUNCTION("""COMPUTED_VALUE"""),"VRN-LME136X78-128D-A50K67-K, 128Вт, Консольный")</f>
        <v>VRN-LME136X78-128D-A50K67-K, 128Вт, Консольный</v>
      </c>
      <c r="C745" s="2">
        <f>IFERROR(__xludf.DUMMYFUNCTION("""COMPUTED_VALUE"""),0.0)</f>
        <v>0</v>
      </c>
      <c r="D745" s="2">
        <f>IFERROR(__xludf.DUMMYFUNCTION("""COMPUTED_VALUE"""),0.0)</f>
        <v>0</v>
      </c>
      <c r="E745" s="2">
        <f>IFERROR(__xludf.DUMMYFUNCTION("""COMPUTED_VALUE"""),6500.0)</f>
        <v>6500</v>
      </c>
      <c r="F745" s="2">
        <f>IFERROR(__xludf.DUMMYFUNCTION("""COMPUTED_VALUE"""),7515.0)</f>
        <v>7515</v>
      </c>
      <c r="G745" s="2">
        <f>IFERROR(__xludf.DUMMYFUNCTION("""COMPUTED_VALUE"""),9770.0)</f>
        <v>9770</v>
      </c>
      <c r="H745" s="2">
        <f>IFERROR(__xludf.DUMMYFUNCTION("""COMPUTED_VALUE"""),10258.0)</f>
        <v>10258</v>
      </c>
      <c r="I745" s="2">
        <f>IFERROR(__xludf.DUMMYFUNCTION("""COMPUTED_VALUE"""),10746.0)</f>
        <v>10746</v>
      </c>
      <c r="J745" s="2">
        <f>IFERROR(__xludf.DUMMYFUNCTION("""COMPUTED_VALUE"""),5373.0)</f>
        <v>5373</v>
      </c>
      <c r="K745" s="2">
        <f>IFERROR(__xludf.DUMMYFUNCTION("""COMPUTED_VALUE"""),1.0)</f>
        <v>1</v>
      </c>
      <c r="L745" s="2" t="str">
        <f>IFERROR(__xludf.DUMMYFUNCTION("""COMPUTED_VALUE"""),"Магистраль Эконом")</f>
        <v>Магистраль Эконом</v>
      </c>
      <c r="M745" s="2" t="str">
        <f>IFERROR(__xludf.DUMMYFUNCTION("""COMPUTED_VALUE"""),"Для автомагистралей, LED Светильники")</f>
        <v>Для автомагистралей, LED Светильники</v>
      </c>
    </row>
    <row r="746">
      <c r="A746" s="5" t="str">
        <f>IFERROR(__xludf.DUMMYFUNCTION("""COMPUTED_VALUE"""),"4690612042718-2")</f>
        <v>4690612042718-2</v>
      </c>
      <c r="B746" s="5" t="str">
        <f>IFERROR(__xludf.DUMMYFUNCTION("""COMPUTED_VALUE"""),"ДВО-01 4040-ОПАЛ 40Вт 230В 4000К 3600Лм 180х1195х25мм NEOX (2 штуки в упаковке)")</f>
        <v>ДВО-01 4040-ОПАЛ 40Вт 230В 4000К 3600Лм 180х1195х25мм NEOX (2 штуки в упаковке)</v>
      </c>
      <c r="C746" s="2">
        <f>IFERROR(__xludf.DUMMYFUNCTION("""COMPUTED_VALUE"""),1.36)</f>
        <v>1.36</v>
      </c>
      <c r="D746" s="2">
        <f>IFERROR(__xludf.DUMMYFUNCTION("""COMPUTED_VALUE"""),0.0)</f>
        <v>0</v>
      </c>
      <c r="E746" s="2">
        <f>IFERROR(__xludf.DUMMYFUNCTION("""COMPUTED_VALUE"""),1298.81)</f>
        <v>1298.81</v>
      </c>
      <c r="F746" s="2">
        <f>IFERROR(__xludf.DUMMYFUNCTION("""COMPUTED_VALUE"""),1425.0)</f>
        <v>1425</v>
      </c>
      <c r="G746" s="2">
        <f>IFERROR(__xludf.DUMMYFUNCTION("""COMPUTED_VALUE"""),1870.0)</f>
        <v>1870</v>
      </c>
      <c r="H746" s="2">
        <f>IFERROR(__xludf.DUMMYFUNCTION("""COMPUTED_VALUE"""),2104.0)</f>
        <v>2104</v>
      </c>
      <c r="I746" s="2">
        <f>IFERROR(__xludf.DUMMYFUNCTION("""COMPUTED_VALUE"""),2338.0)</f>
        <v>2338</v>
      </c>
      <c r="J746" s="2">
        <f>IFERROR(__xludf.DUMMYFUNCTION("""COMPUTED_VALUE"""),1169.0)</f>
        <v>1169</v>
      </c>
      <c r="K746" s="2">
        <f>IFERROR(__xludf.DUMMYFUNCTION("""COMPUTED_VALUE"""),5.0)</f>
        <v>5</v>
      </c>
      <c r="L746" s="2" t="str">
        <f>IFERROR(__xludf.DUMMYFUNCTION("""COMPUTED_VALUE"""),"NEOX Светильники LED ДВО - Опал производство, упаковка")</f>
        <v>NEOX Светильники LED ДВО - Опал производство, упаковка</v>
      </c>
      <c r="M746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>Светильники общего назначения (LED), Встраиваемые, Накладные, Светильники для торговых помещений (LED), Встраиваемые, Прочие товары</v>
      </c>
    </row>
    <row r="747">
      <c r="A747" s="5" t="str">
        <f>IFERROR(__xludf.DUMMYFUNCTION("""COMPUTED_VALUE"""),"CS16")</f>
        <v>CS16</v>
      </c>
      <c r="B747" s="5" t="str">
        <f>IFERROR(__xludf.DUMMYFUNCTION("""COMPUTED_VALUE"""),"Светодиодный светильник СПЕЦСВЕТ 01-009-104 [142] АС 36 В подвесной ЖЕЛУДЬ с решеткой ГУ (ДСП)")</f>
        <v>Светодиодный светильник СПЕЦСВЕТ 01-009-104 [142] АС 36 В подвесной ЖЕЛУДЬ с решеткой ГУ (ДСП)</v>
      </c>
      <c r="C747" s="2">
        <f>IFERROR(__xludf.DUMMYFUNCTION("""COMPUTED_VALUE"""),0.0)</f>
        <v>0</v>
      </c>
      <c r="D747" s="2">
        <f>IFERROR(__xludf.DUMMYFUNCTION("""COMPUTED_VALUE"""),0.0)</f>
        <v>0</v>
      </c>
      <c r="E747" s="2">
        <f>IFERROR(__xludf.DUMMYFUNCTION("""COMPUTED_VALUE"""),734.3000000000001)</f>
        <v>734.3</v>
      </c>
      <c r="F747" s="2">
        <f>IFERROR(__xludf.DUMMYFUNCTION("""COMPUTED_VALUE"""),309.0)</f>
        <v>309</v>
      </c>
      <c r="G747" s="2">
        <f>IFERROR(__xludf.DUMMYFUNCTION("""COMPUTED_VALUE"""),330.0)</f>
        <v>330</v>
      </c>
      <c r="H747" s="2">
        <f>IFERROR(__xludf.DUMMYFUNCTION("""COMPUTED_VALUE"""),371.0)</f>
        <v>371</v>
      </c>
      <c r="I747" s="2">
        <f>IFERROR(__xludf.DUMMYFUNCTION("""COMPUTED_VALUE"""),412.44)</f>
        <v>412.44</v>
      </c>
      <c r="J747" s="2">
        <f>IFERROR(__xludf.DUMMYFUNCTION("""COMPUTED_VALUE"""),206.0)</f>
        <v>206</v>
      </c>
      <c r="K747" s="2">
        <f>IFERROR(__xludf.DUMMYFUNCTION("""COMPUTED_VALUE"""),2.0)</f>
        <v>2</v>
      </c>
      <c r="L747" s="2" t="str">
        <f>IFERROR(__xludf.DUMMYFUNCTION("""COMPUTED_VALUE"""),"CS")</f>
        <v>CS</v>
      </c>
      <c r="M747" s="2" t="str">
        <f>IFERROR(__xludf.DUMMYFUNCTION("""COMPUTED_VALUE"""),"Промышленные светильники (LED), Для ЖКХ, дома, дачи, LED Светильники")</f>
        <v>Промышленные светильники (LED), Для ЖКХ, дома, дачи, LED Светильники</v>
      </c>
    </row>
    <row r="748">
      <c r="A748" s="5" t="str">
        <f>IFERROR(__xludf.DUMMYFUNCTION("""COMPUTED_VALUE"""),"4690612035369")</f>
        <v>4690612035369</v>
      </c>
      <c r="B748" s="5" t="str">
        <f>IFERROR(__xludf.DUMMYFUNCTION("""COMPUTED_VALUE"""),"ELEGANT SANSA-W 90Вт 230В 3000-6500K 7000Лм 650х650х130мм c пультом ДУ белый IN HOME")</f>
        <v>ELEGANT SANSA-W 90Вт 230В 3000-6500K 7000Лм 650х650х130мм c пультом ДУ белый IN HOME</v>
      </c>
      <c r="C748" s="2">
        <f>IFERROR(__xludf.DUMMYFUNCTION("""COMPUTED_VALUE"""),2.0)</f>
        <v>2</v>
      </c>
      <c r="D748" s="2">
        <f>IFERROR(__xludf.DUMMYFUNCTION("""COMPUTED_VALUE"""),0.016)</f>
        <v>0.016</v>
      </c>
      <c r="E748" s="2">
        <f>IFERROR(__xludf.DUMMYFUNCTION("""COMPUTED_VALUE"""),4391.08)</f>
        <v>4391.08</v>
      </c>
      <c r="F748" s="2">
        <f>IFERROR(__xludf.DUMMYFUNCTION("""COMPUTED_VALUE"""),2421.0)</f>
        <v>2421</v>
      </c>
      <c r="G748" s="2">
        <f>IFERROR(__xludf.DUMMYFUNCTION("""COMPUTED_VALUE"""),2723.0)</f>
        <v>2723</v>
      </c>
      <c r="H748" s="2">
        <f>IFERROR(__xludf.DUMMYFUNCTION("""COMPUTED_VALUE"""),3159.0)</f>
        <v>3159</v>
      </c>
      <c r="I748" s="2">
        <f>IFERROR(__xludf.DUMMYFUNCTION("""COMPUTED_VALUE"""),3631.0)</f>
        <v>3631</v>
      </c>
      <c r="J748" s="2">
        <f>IFERROR(__xludf.DUMMYFUNCTION("""COMPUTED_VALUE"""),1816.0)</f>
        <v>1816</v>
      </c>
      <c r="K748" s="2">
        <f>IFERROR(__xludf.DUMMYFUNCTION("""COMPUTED_VALUE"""),2.0)</f>
        <v>2</v>
      </c>
      <c r="L748" s="2" t="str">
        <f>IFERROR(__xludf.DUMMYFUNCTION("""COMPUTED_VALUE"""),"Светильники светодиодные серии ELEGANT IN HOME")</f>
        <v>Светильники светодиодные серии ELEGANT IN HOME</v>
      </c>
      <c r="M748" s="2" t="str">
        <f>IFERROR(__xludf.DUMMYFUNCTION("""COMPUTED_VALUE"""),"Накладные, Декоративные, LED Светильники")</f>
        <v>Накладные, Декоративные, LED Светильники</v>
      </c>
    </row>
    <row r="749">
      <c r="A749" s="5" t="str">
        <f>IFERROR(__xludf.DUMMYFUNCTION("""COMPUTED_VALUE"""),"4260529295639")</f>
        <v>4260529295639</v>
      </c>
      <c r="B749" s="5" t="str">
        <f>IFERROR(__xludf.DUMMYFUNCTION("""COMPUTED_VALUE"""),"WT5S6W30")</f>
        <v>WT5S6W30</v>
      </c>
      <c r="C749" s="2">
        <f>IFERROR(__xludf.DUMMYFUNCTION("""COMPUTED_VALUE"""),0.14)</f>
        <v>0.14</v>
      </c>
      <c r="D749" s="2">
        <f>IFERROR(__xludf.DUMMYFUNCTION("""COMPUTED_VALUE"""),0.014)</f>
        <v>0.014</v>
      </c>
      <c r="E749" s="2">
        <f>IFERROR(__xludf.DUMMYFUNCTION("""COMPUTED_VALUE"""),192.7)</f>
        <v>192.7</v>
      </c>
      <c r="F749" s="2">
        <f>IFERROR(__xludf.DUMMYFUNCTION("""COMPUTED_VALUE"""),227.0)</f>
        <v>227</v>
      </c>
      <c r="G749" s="2">
        <f>IFERROR(__xludf.DUMMYFUNCTION("""COMPUTED_VALUE"""),235.0)</f>
        <v>235</v>
      </c>
      <c r="H749" s="2">
        <f>IFERROR(__xludf.DUMMYFUNCTION("""COMPUTED_VALUE"""),308.0)</f>
        <v>308</v>
      </c>
      <c r="I749" s="2">
        <f>IFERROR(__xludf.DUMMYFUNCTION("""COMPUTED_VALUE"""),385.0)</f>
        <v>385</v>
      </c>
      <c r="J749" s="2">
        <f>IFERROR(__xludf.DUMMYFUNCTION("""COMPUTED_VALUE"""),193.0)</f>
        <v>193</v>
      </c>
      <c r="K749" s="2">
        <f>IFERROR(__xludf.DUMMYFUNCTION("""COMPUTED_VALUE"""),23.0)</f>
        <v>23</v>
      </c>
      <c r="L749" s="2" t="str">
        <f>IFERROR(__xludf.DUMMYFUNCTION("""COMPUTED_VALUE"""),"Wolta светильники бытовые WT4, WT5, WT8")</f>
        <v>Wolta светильники бытовые WT4, WT5, WT8</v>
      </c>
      <c r="M749" s="2" t="str">
        <f>IFERROR(__xludf.DUMMYFUNCTION("""COMPUTED_VALUE"""),"Светильники общего назначения (LED), Прочие товары")</f>
        <v>Светильники общего назначения (LED), Прочие товары</v>
      </c>
    </row>
    <row r="750">
      <c r="A750" s="5" t="str">
        <f>IFERROR(__xludf.DUMMYFUNCTION("""COMPUTED_VALUE"""),"4260652193185")</f>
        <v>4260652193185</v>
      </c>
      <c r="B750" s="5" t="str">
        <f>IFERROR(__xludf.DUMMYFUNCTION("""COMPUTED_VALUE"""),"LCL04-8W-R01-4K")</f>
        <v>LCL04-8W-R01-4K</v>
      </c>
      <c r="C750" s="2">
        <f>IFERROR(__xludf.DUMMYFUNCTION("""COMPUTED_VALUE"""),0.09000000000000001)</f>
        <v>0.09</v>
      </c>
      <c r="D750" s="2">
        <f>IFERROR(__xludf.DUMMYFUNCTION("""COMPUTED_VALUE"""),0.0012)</f>
        <v>0.0012</v>
      </c>
      <c r="E750" s="2">
        <f>IFERROR(__xludf.DUMMYFUNCTION("""COMPUTED_VALUE"""),208.21)</f>
        <v>208.21</v>
      </c>
      <c r="F750" s="2">
        <f>IFERROR(__xludf.DUMMYFUNCTION("""COMPUTED_VALUE"""),179.0)</f>
        <v>179</v>
      </c>
      <c r="G750" s="2">
        <f>IFERROR(__xludf.DUMMYFUNCTION("""COMPUTED_VALUE"""),185.0)</f>
        <v>185</v>
      </c>
      <c r="H750" s="2">
        <f>IFERROR(__xludf.DUMMYFUNCTION("""COMPUTED_VALUE"""),242.0)</f>
        <v>242</v>
      </c>
      <c r="I750" s="2">
        <f>IFERROR(__xludf.DUMMYFUNCTION("""COMPUTED_VALUE"""),303.0)</f>
        <v>303</v>
      </c>
      <c r="J750" s="2">
        <f>IFERROR(__xludf.DUMMYFUNCTION("""COMPUTED_VALUE"""),185.0)</f>
        <v>185</v>
      </c>
      <c r="K750" s="2">
        <f>IFERROR(__xludf.DUMMYFUNCTION("""COMPUTED_VALUE"""),2.0)</f>
        <v>2</v>
      </c>
      <c r="L750" s="2" t="str">
        <f>IFERROR(__xludf.DUMMYFUNCTION("""COMPUTED_VALUE"""),"Wolta ЖКХ")</f>
        <v>Wolta ЖКХ</v>
      </c>
      <c r="M750" s="2" t="str">
        <f>IFERROR(__xludf.DUMMYFUNCTION("""COMPUTED_VALUE"""),"Для ЖКХ, дома, дачи, LED Светильники")</f>
        <v>Для ЖКХ, дома, дачи, LED Светильники</v>
      </c>
    </row>
    <row r="751">
      <c r="A751" s="5" t="str">
        <f>IFERROR(__xludf.DUMMYFUNCTION("""COMPUTED_VALUE"""),"4260529296704")</f>
        <v>4260529296704</v>
      </c>
      <c r="B751" s="5" t="str">
        <f>IFERROR(__xludf.DUMMYFUNCTION("""COMPUTED_VALUE"""),"ДПП01-12-021-4К-ОА")</f>
        <v>ДПП01-12-021-4К-ОА</v>
      </c>
      <c r="C751" s="2">
        <f>IFERROR(__xludf.DUMMYFUNCTION("""COMPUTED_VALUE"""),0.14)</f>
        <v>0.14</v>
      </c>
      <c r="D751" s="2">
        <f>IFERROR(__xludf.DUMMYFUNCTION("""COMPUTED_VALUE"""),0.04029000000000001)</f>
        <v>0.04029</v>
      </c>
      <c r="E751" s="2">
        <f>IFERROR(__xludf.DUMMYFUNCTION("""COMPUTED_VALUE"""),374.5)</f>
        <v>374.5</v>
      </c>
      <c r="F751" s="2">
        <f>IFERROR(__xludf.DUMMYFUNCTION("""COMPUTED_VALUE"""),913.0)</f>
        <v>913</v>
      </c>
      <c r="G751" s="2">
        <f>IFERROR(__xludf.DUMMYFUNCTION("""COMPUTED_VALUE"""),944.0)</f>
        <v>944</v>
      </c>
      <c r="H751" s="2">
        <f>IFERROR(__xludf.DUMMYFUNCTION("""COMPUTED_VALUE"""),1238.0)</f>
        <v>1238</v>
      </c>
      <c r="I751" s="2">
        <f>IFERROR(__xludf.DUMMYFUNCTION("""COMPUTED_VALUE"""),1547.0)</f>
        <v>1547</v>
      </c>
      <c r="J751" s="2">
        <f>IFERROR(__xludf.DUMMYFUNCTION("""COMPUTED_VALUE"""),774.0)</f>
        <v>774</v>
      </c>
      <c r="K751" s="2">
        <f>IFERROR(__xludf.DUMMYFUNCTION("""COMPUTED_VALUE"""),1.0)</f>
        <v>1</v>
      </c>
      <c r="L751" s="2" t="str">
        <f>IFERROR(__xludf.DUMMYFUNCTION("""COMPUTED_VALUE"""),"Wolta ЖКХ")</f>
        <v>Wolta ЖКХ</v>
      </c>
      <c r="M751" s="2" t="str">
        <f>IFERROR(__xludf.DUMMYFUNCTION("""COMPUTED_VALUE"""),"Для ЖКХ, дома, дачи, LED Светильники")</f>
        <v>Для ЖКХ, дома, дачи, LED Светильники</v>
      </c>
    </row>
    <row r="752">
      <c r="A752" s="5" t="str">
        <f>IFERROR(__xludf.DUMMYFUNCTION("""COMPUTED_VALUE"""),"R100088")</f>
        <v>R100088</v>
      </c>
      <c r="B752" s="5" t="str">
        <f>IFERROR(__xludf.DUMMYFUNCTION("""COMPUTED_VALUE"""),"RSV-STP-50-6500K-IP66")</f>
        <v>RSV-STP-50-6500K-IP66</v>
      </c>
      <c r="C752" s="2">
        <f>IFERROR(__xludf.DUMMYFUNCTION("""COMPUTED_VALUE"""),1.15)</f>
        <v>1.15</v>
      </c>
      <c r="D752" s="2">
        <f>IFERROR(__xludf.DUMMYFUNCTION("""COMPUTED_VALUE"""),5.600000000000001E-4)</f>
        <v>0.00056</v>
      </c>
      <c r="E752" s="2">
        <f>IFERROR(__xludf.DUMMYFUNCTION("""COMPUTED_VALUE"""),1411.09)</f>
        <v>1411.09</v>
      </c>
      <c r="F752" s="2">
        <f>IFERROR(__xludf.DUMMYFUNCTION("""COMPUTED_VALUE"""),1937.0)</f>
        <v>1937</v>
      </c>
      <c r="G752" s="2">
        <f>IFERROR(__xludf.DUMMYFUNCTION("""COMPUTED_VALUE"""),2279.0)</f>
        <v>2279</v>
      </c>
      <c r="H752" s="2">
        <f>IFERROR(__xludf.DUMMYFUNCTION("""COMPUTED_VALUE"""),2348.0)</f>
        <v>2348</v>
      </c>
      <c r="I752" s="2">
        <f>IFERROR(__xludf.DUMMYFUNCTION("""COMPUTED_VALUE"""),2700.0)</f>
        <v>2700</v>
      </c>
      <c r="J752" s="2">
        <f>IFERROR(__xludf.DUMMYFUNCTION("""COMPUTED_VALUE"""),1350.0)</f>
        <v>1350</v>
      </c>
      <c r="K752" s="2">
        <f>IFERROR(__xludf.DUMMYFUNCTION("""COMPUTED_VALUE"""),3.0)</f>
        <v>3</v>
      </c>
      <c r="L752" s="2" t="str">
        <f>IFERROR(__xludf.DUMMYFUNCTION("""COMPUTED_VALUE"""),"Уличное освещение RSV")</f>
        <v>Уличное освещение RSV</v>
      </c>
      <c r="M752" s="2" t="str">
        <f>IFERROR(__xludf.DUMMYFUNCTION("""COMPUTED_VALUE"""),"Для обычных дорог, LED Светильники")</f>
        <v>Для обычных дорог, LED Светильники</v>
      </c>
    </row>
    <row r="753">
      <c r="A753" s="5" t="str">
        <f>IFERROR(__xludf.DUMMYFUNCTION("""COMPUTED_VALUE"""),"V1007")</f>
        <v>V1007</v>
      </c>
      <c r="B753" s="5" t="str">
        <f>IFERROR(__xludf.DUMMYFUNCTION("""COMPUTED_VALUE"""),"VRN-UN-48-G50K67-U, 48Вт, Универсальный")</f>
        <v>VRN-UN-48-G50K67-U, 48Вт, Универсальный</v>
      </c>
      <c r="C753" s="2">
        <f>IFERROR(__xludf.DUMMYFUNCTION("""COMPUTED_VALUE"""),1.3)</f>
        <v>1.3</v>
      </c>
      <c r="D753" s="2">
        <f>IFERROR(__xludf.DUMMYFUNCTION("""COMPUTED_VALUE"""),0.00483)</f>
        <v>0.00483</v>
      </c>
      <c r="E753" s="2">
        <f>IFERROR(__xludf.DUMMYFUNCTION("""COMPUTED_VALUE"""),2506.68)</f>
        <v>2506.68</v>
      </c>
      <c r="F753" s="2">
        <f>IFERROR(__xludf.DUMMYFUNCTION("""COMPUTED_VALUE"""),2895.0)</f>
        <v>2895</v>
      </c>
      <c r="G753" s="2">
        <f>IFERROR(__xludf.DUMMYFUNCTION("""COMPUTED_VALUE"""),3764.0)</f>
        <v>3764</v>
      </c>
      <c r="H753" s="2">
        <f>IFERROR(__xludf.DUMMYFUNCTION("""COMPUTED_VALUE"""),3952.0)</f>
        <v>3952</v>
      </c>
      <c r="I753" s="2">
        <f>IFERROR(__xludf.DUMMYFUNCTION("""COMPUTED_VALUE"""),4140.0)</f>
        <v>4140</v>
      </c>
      <c r="J753" s="2">
        <f>IFERROR(__xludf.DUMMYFUNCTION("""COMPUTED_VALUE"""),4140.0)</f>
        <v>4140</v>
      </c>
      <c r="K753" s="2">
        <f>IFERROR(__xludf.DUMMYFUNCTION("""COMPUTED_VALUE"""),33.0)</f>
        <v>33</v>
      </c>
      <c r="L753" s="2" t="str">
        <f>IFERROR(__xludf.DUMMYFUNCTION("""COMPUTED_VALUE"""),"Универсал")</f>
        <v>Универсал</v>
      </c>
      <c r="M753" s="2" t="str">
        <f>IFERROR(__xludf.DUMMYFUNCTION("""COMPUTED_VALUE"""),"Для обычных дорог, Модульные, LED Светильники")</f>
        <v>Для обычных дорог, Модульные, LED Светильники</v>
      </c>
    </row>
    <row r="754">
      <c r="A754" s="5" t="str">
        <f>IFERROR(__xludf.DUMMYFUNCTION("""COMPUTED_VALUE"""),"4690626079649")</f>
        <v>4690626079649</v>
      </c>
      <c r="B754" s="5" t="str">
        <f>IFERROR(__xludf.DUMMYFUNCTION("""COMPUTED_VALUE"""),"Светодиодная (LED) Лампа ФИТО Smartbuy-5 лепестков-40W/E27 (SBL-5-leaves-40-fito-E27)/25")</f>
        <v>Светодиодная (LED) Лампа ФИТО Smartbuy-5 лепестков-40W/E27 (SBL-5-leaves-40-fito-E27)/25</v>
      </c>
      <c r="C754" s="2">
        <f>IFERROR(__xludf.DUMMYFUNCTION("""COMPUTED_VALUE"""),0.0)</f>
        <v>0</v>
      </c>
      <c r="D754" s="2">
        <f>IFERROR(__xludf.DUMMYFUNCTION("""COMPUTED_VALUE"""),0.0)</f>
        <v>0</v>
      </c>
      <c r="E754" s="2">
        <f>IFERROR(__xludf.DUMMYFUNCTION("""COMPUTED_VALUE"""),807.9300000000001)</f>
        <v>807.93</v>
      </c>
      <c r="F754" s="2">
        <f>IFERROR(__xludf.DUMMYFUNCTION("""COMPUTED_VALUE"""),772.0)</f>
        <v>772</v>
      </c>
      <c r="G754" s="2">
        <f>IFERROR(__xludf.DUMMYFUNCTION("""COMPUTED_VALUE"""),847.0)</f>
        <v>847</v>
      </c>
      <c r="H754" s="2">
        <f>IFERROR(__xludf.DUMMYFUNCTION("""COMPUTED_VALUE"""),941.0)</f>
        <v>941</v>
      </c>
      <c r="I754" s="2">
        <f>IFERROR(__xludf.DUMMYFUNCTION("""COMPUTED_VALUE"""),1035.0)</f>
        <v>1035</v>
      </c>
      <c r="J754" s="2">
        <f>IFERROR(__xludf.DUMMYFUNCTION("""COMPUTED_VALUE"""),847.0)</f>
        <v>847</v>
      </c>
      <c r="K754" s="2">
        <f>IFERROR(__xludf.DUMMYFUNCTION("""COMPUTED_VALUE"""),2.0)</f>
        <v>2</v>
      </c>
      <c r="L754" s="2" t="str">
        <f>IFERROR(__xludf.DUMMYFUNCTION("""COMPUTED_VALUE"""),"Smartbuy лампы LED")</f>
        <v>Smartbuy лампы LED</v>
      </c>
      <c r="M754" s="2" t="str">
        <f>IFERROR(__xludf.DUMMYFUNCTION("""COMPUTED_VALUE"""),"Лампы")</f>
        <v>Лампы</v>
      </c>
    </row>
    <row r="755">
      <c r="A755" s="5" t="str">
        <f>IFERROR(__xludf.DUMMYFUNCTION("""COMPUTED_VALUE"""),"4690612020464")</f>
        <v>4690612020464</v>
      </c>
      <c r="B755" s="5" t="str">
        <f>IFERROR(__xludf.DUMMYFUNCTION("""COMPUTED_VALUE"""),"LED-СВЕЧА-VC 11Вт 230В Е14 3000К 1050Лм IN HOME")</f>
        <v>LED-СВЕЧА-VC 11Вт 230В Е14 3000К 1050Лм IN HOME</v>
      </c>
      <c r="C755" s="2">
        <f>IFERROR(__xludf.DUMMYFUNCTION("""COMPUTED_VALUE"""),0.035)</f>
        <v>0.035</v>
      </c>
      <c r="D755" s="2">
        <f>IFERROR(__xludf.DUMMYFUNCTION("""COMPUTED_VALUE"""),1.9E-4)</f>
        <v>0.00019</v>
      </c>
      <c r="E755" s="2">
        <f>IFERROR(__xludf.DUMMYFUNCTION("""COMPUTED_VALUE"""),40.2)</f>
        <v>40.2</v>
      </c>
      <c r="F755" s="2">
        <f>IFERROR(__xludf.DUMMYFUNCTION("""COMPUTED_VALUE"""),46.0)</f>
        <v>46</v>
      </c>
      <c r="G755" s="2">
        <f>IFERROR(__xludf.DUMMYFUNCTION("""COMPUTED_VALUE"""),52.0)</f>
        <v>52</v>
      </c>
      <c r="H755" s="2">
        <f>IFERROR(__xludf.DUMMYFUNCTION("""COMPUTED_VALUE"""),60.0)</f>
        <v>60</v>
      </c>
      <c r="I755" s="2">
        <f>IFERROR(__xludf.DUMMYFUNCTION("""COMPUTED_VALUE"""),69.8)</f>
        <v>69.8</v>
      </c>
      <c r="J755" s="2">
        <f>IFERROR(__xludf.DUMMYFUNCTION("""COMPUTED_VALUE"""),35.0)</f>
        <v>35</v>
      </c>
      <c r="K755" s="2">
        <f>IFERROR(__xludf.DUMMYFUNCTION("""COMPUTED_VALUE"""),36.0)</f>
        <v>36</v>
      </c>
      <c r="L755" s="2" t="str">
        <f>IFERROR(__xludf.DUMMYFUNCTION("""COMPUTED_VALUE"""),"Лампа светодиодная LED-СВЕЧА-standard")</f>
        <v>Лампа светодиодная LED-СВЕЧА-standard</v>
      </c>
      <c r="M755" s="2" t="str">
        <f>IFERROR(__xludf.DUMMYFUNCTION("""COMPUTED_VALUE"""),"Лампы")</f>
        <v>Лампы</v>
      </c>
    </row>
    <row r="756">
      <c r="A756" s="5" t="str">
        <f>IFERROR(__xludf.DUMMYFUNCTION("""COMPUTED_VALUE"""),"Fefco/0203-1")</f>
        <v>Fefco/0203-1</v>
      </c>
      <c r="B756" s="5" t="str">
        <f>IFERROR(__xludf.DUMMYFUNCTION("""COMPUTED_VALUE"""),"Короб 605х30х605 (картон Т-24 ""В"" бурый)")</f>
        <v>Короб 605х30х605 (картон Т-24 "В" бурый)</v>
      </c>
      <c r="C756" s="2">
        <f>IFERROR(__xludf.DUMMYFUNCTION("""COMPUTED_VALUE"""),0.36)</f>
        <v>0.36</v>
      </c>
      <c r="D756" s="2">
        <f>IFERROR(__xludf.DUMMYFUNCTION("""COMPUTED_VALUE"""),0.004)</f>
        <v>0.004</v>
      </c>
      <c r="E756" s="2">
        <f>IFERROR(__xludf.DUMMYFUNCTION("""COMPUTED_VALUE"""),55.4)</f>
        <v>55.4</v>
      </c>
      <c r="F756" s="2">
        <f>IFERROR(__xludf.DUMMYFUNCTION("""COMPUTED_VALUE"""),1.0)</f>
        <v>1</v>
      </c>
      <c r="G756" s="2">
        <f>IFERROR(__xludf.DUMMYFUNCTION("""COMPUTED_VALUE"""),1.0)</f>
        <v>1</v>
      </c>
      <c r="H756" s="2">
        <f>IFERROR(__xludf.DUMMYFUNCTION("""COMPUTED_VALUE"""),1.0)</f>
        <v>1</v>
      </c>
      <c r="I756" s="2">
        <f>IFERROR(__xludf.DUMMYFUNCTION("""COMPUTED_VALUE"""),1.5)</f>
        <v>1.5</v>
      </c>
      <c r="J756" s="2">
        <f>IFERROR(__xludf.DUMMYFUNCTION("""COMPUTED_VALUE"""),1.5)</f>
        <v>1.5</v>
      </c>
      <c r="K756" s="2">
        <f>IFERROR(__xludf.DUMMYFUNCTION("""COMPUTED_VALUE"""),-276.0)</f>
        <v>-276</v>
      </c>
      <c r="L756" s="2" t="str">
        <f>IFERROR(__xludf.DUMMYFUNCTION("""COMPUTED_VALUE"""),"Упаковка")</f>
        <v>Упаковка</v>
      </c>
      <c r="M756" s="2" t="str">
        <f>IFERROR(__xludf.DUMMYFUNCTION("""COMPUTED_VALUE"""),"Прочие товары")</f>
        <v>Прочие товары</v>
      </c>
    </row>
    <row r="757">
      <c r="A757" s="5" t="str">
        <f>IFERROR(__xludf.DUMMYFUNCTION("""COMPUTED_VALUE"""),"4690612050829-10")</f>
        <v>4690612050829-10</v>
      </c>
      <c r="B757" s="5" t="str">
        <f>IFERROR(__xludf.DUMMYFUNCTION("""COMPUTED_VALUE"""),"10 шт. Лампа LED-ST64-deco 9Вт 230В Е27 4000К 1140Лм прозрачная IN HOME (Комплект 10 шт)")</f>
        <v>10 шт. Лампа LED-ST64-deco 9Вт 230В Е27 4000К 1140Лм прозрачная IN HOME (Комплект 10 шт)</v>
      </c>
      <c r="C757" s="2">
        <f>IFERROR(__xludf.DUMMYFUNCTION("""COMPUTED_VALUE"""),0.07)</f>
        <v>0.07</v>
      </c>
      <c r="D757" s="2">
        <f>IFERROR(__xludf.DUMMYFUNCTION("""COMPUTED_VALUE"""),0.004200000000000001)</f>
        <v>0.0042</v>
      </c>
      <c r="E757" s="2">
        <f>IFERROR(__xludf.DUMMYFUNCTION("""COMPUTED_VALUE"""),1164.0)</f>
        <v>1164</v>
      </c>
      <c r="F757" s="2">
        <f>IFERROR(__xludf.DUMMYFUNCTION("""COMPUTED_VALUE"""),1277.0)</f>
        <v>1277</v>
      </c>
      <c r="G757" s="2">
        <f>IFERROR(__xludf.DUMMYFUNCTION("""COMPUTED_VALUE"""),1676.0)</f>
        <v>1676</v>
      </c>
      <c r="H757" s="2">
        <f>IFERROR(__xludf.DUMMYFUNCTION("""COMPUTED_VALUE"""),1886.0)</f>
        <v>1886</v>
      </c>
      <c r="I757" s="2">
        <f>IFERROR(__xludf.DUMMYFUNCTION("""COMPUTED_VALUE"""),2095.0)</f>
        <v>2095</v>
      </c>
      <c r="J757" s="2">
        <f>IFERROR(__xludf.DUMMYFUNCTION("""COMPUTED_VALUE"""),1048.0)</f>
        <v>1048</v>
      </c>
      <c r="K757" s="2">
        <f>IFERROR(__xludf.DUMMYFUNCTION("""COMPUTED_VALUE"""),5.0)</f>
        <v>5</v>
      </c>
      <c r="L757" s="2" t="str">
        <f>IFERROR(__xludf.DUMMYFUNCTION("""COMPUTED_VALUE"""),"Лампы производство, упаковка")</f>
        <v>Лампы производство, упаковка</v>
      </c>
      <c r="M757" s="2" t="str">
        <f>IFERROR(__xludf.DUMMYFUNCTION("""COMPUTED_VALUE"""),"Лампы")</f>
        <v>Лампы</v>
      </c>
    </row>
    <row r="758">
      <c r="A758" s="5" t="str">
        <f>IFERROR(__xludf.DUMMYFUNCTION("""COMPUTED_VALUE"""),"4690612026107")</f>
        <v>4690612026107</v>
      </c>
      <c r="B758" s="5" t="str">
        <f>IFERROR(__xludf.DUMMYFUNCTION("""COMPUTED_VALUE"""),"LED-A60-deco 9Вт 230В Е27 6500К 1040Лм прозрачная IN HOME")</f>
        <v>LED-A60-deco 9Вт 230В Е27 6500К 1040Лм прозрачная IN HOME</v>
      </c>
      <c r="C758" s="2">
        <f>IFERROR(__xludf.DUMMYFUNCTION("""COMPUTED_VALUE"""),0.044)</f>
        <v>0.044</v>
      </c>
      <c r="D758" s="2">
        <f>IFERROR(__xludf.DUMMYFUNCTION("""COMPUTED_VALUE"""),5.600000000000001E-4)</f>
        <v>0.00056</v>
      </c>
      <c r="E758" s="2">
        <f>IFERROR(__xludf.DUMMYFUNCTION("""COMPUTED_VALUE"""),68.34)</f>
        <v>68.34</v>
      </c>
      <c r="F758" s="2">
        <f>IFERROR(__xludf.DUMMYFUNCTION("""COMPUTED_VALUE"""),69.0)</f>
        <v>69</v>
      </c>
      <c r="G758" s="2">
        <f>IFERROR(__xludf.DUMMYFUNCTION("""COMPUTED_VALUE"""),77.0)</f>
        <v>77</v>
      </c>
      <c r="H758" s="2">
        <f>IFERROR(__xludf.DUMMYFUNCTION("""COMPUTED_VALUE"""),90.0)</f>
        <v>90</v>
      </c>
      <c r="I758" s="2">
        <f>IFERROR(__xludf.DUMMYFUNCTION("""COMPUTED_VALUE"""),103.5)</f>
        <v>103.5</v>
      </c>
      <c r="J758" s="2">
        <f>IFERROR(__xludf.DUMMYFUNCTION("""COMPUTED_VALUE"""),52.0)</f>
        <v>52</v>
      </c>
      <c r="K758" s="2">
        <f>IFERROR(__xludf.DUMMYFUNCTION("""COMPUTED_VALUE"""),40.0)</f>
        <v>40</v>
      </c>
      <c r="L758" s="2" t="str">
        <f>IFERROR(__xludf.DUMMYFUNCTION("""COMPUTED_VALUE"""),"Лампа светодиодная LED-A60 DECO")</f>
        <v>Лампа светодиодная LED-A60 DECO</v>
      </c>
      <c r="M758" s="2" t="str">
        <f>IFERROR(__xludf.DUMMYFUNCTION("""COMPUTED_VALUE"""),"Лампы")</f>
        <v>Лампы</v>
      </c>
    </row>
    <row r="759">
      <c r="A759" s="5" t="str">
        <f>IFERROR(__xludf.DUMMYFUNCTION("""COMPUTED_VALUE"""),"4690612029412")</f>
        <v>4690612029412</v>
      </c>
      <c r="B759" s="5" t="str">
        <f>IFERROR(__xludf.DUMMYFUNCTION("""COMPUTED_VALUE"""),"Ввод питания шинопровода P-B-TL черный серии TOP-LINE IN HOME")</f>
        <v>Ввод питания шинопровода P-B-TL черный серии TOP-LINE IN HOME</v>
      </c>
      <c r="C759" s="2">
        <f>IFERROR(__xludf.DUMMYFUNCTION("""COMPUTED_VALUE"""),0.018)</f>
        <v>0.018</v>
      </c>
      <c r="D759" s="2">
        <f>IFERROR(__xludf.DUMMYFUNCTION("""COMPUTED_VALUE"""),3.0E-5)</f>
        <v>0.00003</v>
      </c>
      <c r="E759" s="2">
        <f>IFERROR(__xludf.DUMMYFUNCTION("""COMPUTED_VALUE"""),31.9)</f>
        <v>31.9</v>
      </c>
      <c r="F759" s="2">
        <f>IFERROR(__xludf.DUMMYFUNCTION("""COMPUTED_VALUE"""),33.0)</f>
        <v>33</v>
      </c>
      <c r="G759" s="2">
        <f>IFERROR(__xludf.DUMMYFUNCTION("""COMPUTED_VALUE"""),37.0)</f>
        <v>37</v>
      </c>
      <c r="H759" s="2">
        <f>IFERROR(__xludf.DUMMYFUNCTION("""COMPUTED_VALUE"""),43.0)</f>
        <v>43</v>
      </c>
      <c r="I759" s="2">
        <f>IFERROR(__xludf.DUMMYFUNCTION("""COMPUTED_VALUE"""),49.0)</f>
        <v>49</v>
      </c>
      <c r="J759" s="2">
        <f>IFERROR(__xludf.DUMMYFUNCTION("""COMPUTED_VALUE"""),25.0)</f>
        <v>25</v>
      </c>
      <c r="K759" s="2">
        <f>IFERROR(__xludf.DUMMYFUNCTION("""COMPUTED_VALUE"""),10.0)</f>
        <v>10</v>
      </c>
      <c r="L759" s="2" t="str">
        <f>IFERROR(__xludf.DUMMYFUNCTION("""COMPUTED_VALUE"""),"Шинопровод и комплектующие")</f>
        <v>Шинопровод и комплектующие</v>
      </c>
      <c r="M759" s="2" t="str">
        <f>IFERROR(__xludf.DUMMYFUNCTION("""COMPUTED_VALUE"""),"Прочие товары")</f>
        <v>Прочие товары</v>
      </c>
    </row>
    <row r="760">
      <c r="A760" s="5" t="str">
        <f>IFERROR(__xludf.DUMMYFUNCTION("""COMPUTED_VALUE"""),"4690612007267")</f>
        <v>4690612007267</v>
      </c>
      <c r="B760" s="5" t="str">
        <f>IFERROR(__xludf.DUMMYFUNCTION("""COMPUTED_VALUE"""),"LED-ШАР-ECO 5Вт 230В Е14 4000К 375Лм (5шт в упаковке) IN HOME")</f>
        <v>LED-ШАР-ECO 5Вт 230В Е14 4000К 375Лм (5шт в упаковке) IN HOME</v>
      </c>
      <c r="C760" s="2">
        <f>IFERROR(__xludf.DUMMYFUNCTION("""COMPUTED_VALUE"""),0.21)</f>
        <v>0.21</v>
      </c>
      <c r="D760" s="2">
        <f>IFERROR(__xludf.DUMMYFUNCTION("""COMPUTED_VALUE"""),8.500000000000001E-4)</f>
        <v>0.00085</v>
      </c>
      <c r="E760" s="2">
        <f>IFERROR(__xludf.DUMMYFUNCTION("""COMPUTED_VALUE"""),193.92)</f>
        <v>193.92</v>
      </c>
      <c r="F760" s="2">
        <f>IFERROR(__xludf.DUMMYFUNCTION("""COMPUTED_VALUE"""),153.0)</f>
        <v>153</v>
      </c>
      <c r="G760" s="2">
        <f>IFERROR(__xludf.DUMMYFUNCTION("""COMPUTED_VALUE"""),173.0)</f>
        <v>173</v>
      </c>
      <c r="H760" s="2">
        <f>IFERROR(__xludf.DUMMYFUNCTION("""COMPUTED_VALUE"""),200.0)</f>
        <v>200</v>
      </c>
      <c r="I760" s="2">
        <f>IFERROR(__xludf.DUMMYFUNCTION("""COMPUTED_VALUE"""),230.5)</f>
        <v>230.5</v>
      </c>
      <c r="J760" s="2">
        <f>IFERROR(__xludf.DUMMYFUNCTION("""COMPUTED_VALUE"""),115.0)</f>
        <v>115</v>
      </c>
      <c r="K760" s="2">
        <f>IFERROR(__xludf.DUMMYFUNCTION("""COMPUTED_VALUE"""),13.0)</f>
        <v>13</v>
      </c>
      <c r="L760" s="2" t="str">
        <f>IFERROR(__xludf.DUMMYFUNCTION("""COMPUTED_VALUE"""),"Лампа светодиодная LED-ШАР-standard")</f>
        <v>Лампа светодиодная LED-ШАР-standard</v>
      </c>
      <c r="M760" s="2" t="str">
        <f>IFERROR(__xludf.DUMMYFUNCTION("""COMPUTED_VALUE"""),"Лампы")</f>
        <v>Лампы</v>
      </c>
    </row>
    <row r="761">
      <c r="A761" s="5" t="str">
        <f>IFERROR(__xludf.DUMMYFUNCTION("""COMPUTED_VALUE"""),"4690612057286-1")</f>
        <v>4690612057286-1</v>
      </c>
      <c r="B761" s="5" t="str">
        <f>IFERROR(__xludf.DUMMYFUNCTION("""COMPUTED_VALUE"""),"ДВО-PRO 4065-ОПАЛ 40Вт 6500К 120лм/Вт CRI80 IP40 595х595х30мм NEOX (в индивид. уп)")</f>
        <v>ДВО-PRO 4065-ОПАЛ 40Вт 6500К 120лм/Вт CRI80 IP40 595х595х30мм NEOX (в индивид. уп)</v>
      </c>
      <c r="C761" s="2">
        <f>IFERROR(__xludf.DUMMYFUNCTION("""COMPUTED_VALUE"""),0.0)</f>
        <v>0</v>
      </c>
      <c r="D761" s="2">
        <f>IFERROR(__xludf.DUMMYFUNCTION("""COMPUTED_VALUE"""),0.0)</f>
        <v>0</v>
      </c>
      <c r="E761" s="2">
        <f>IFERROR(__xludf.DUMMYFUNCTION("""COMPUTED_VALUE"""),990.86)</f>
        <v>990.86</v>
      </c>
      <c r="F761" s="2">
        <f>IFERROR(__xludf.DUMMYFUNCTION("""COMPUTED_VALUE"""),1087.0)</f>
        <v>1087</v>
      </c>
      <c r="G761" s="2">
        <f>IFERROR(__xludf.DUMMYFUNCTION("""COMPUTED_VALUE"""),1427.0)</f>
        <v>1427</v>
      </c>
      <c r="H761" s="2">
        <f>IFERROR(__xludf.DUMMYFUNCTION("""COMPUTED_VALUE"""),1606.0)</f>
        <v>1606</v>
      </c>
      <c r="I761" s="2">
        <f>IFERROR(__xludf.DUMMYFUNCTION("""COMPUTED_VALUE"""),1784.0)</f>
        <v>1784</v>
      </c>
      <c r="J761" s="2">
        <f>IFERROR(__xludf.DUMMYFUNCTION("""COMPUTED_VALUE"""),892.0)</f>
        <v>892</v>
      </c>
      <c r="K761" s="2">
        <f>IFERROR(__xludf.DUMMYFUNCTION("""COMPUTED_VALUE"""),4.0)</f>
        <v>4</v>
      </c>
      <c r="L761" s="2" t="str">
        <f>IFERROR(__xludf.DUMMYFUNCTION("""COMPUTED_VALUE"""),"NEOX Светильники LED ДВО-PRO производство, упаковка")</f>
        <v>NEOX Светильники LED ДВО-PRO производство, упаковка</v>
      </c>
      <c r="M761" s="2" t="str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>Светильники общего назначения (LED), Встраиваемые, Накладные, Светильники для торговых помещений (LED), Встраиваемые, LED Светильники</v>
      </c>
    </row>
    <row r="762">
      <c r="A762" s="5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A763" s="5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A764" s="5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A765" s="5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A766" s="5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A767" s="5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A768" s="5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A769" s="5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A770" s="5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A771" s="5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A772" s="5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88"/>
  </cols>
  <sheetData>
    <row r="1">
      <c r="C1" s="1" t="s">
        <v>4</v>
      </c>
      <c r="D1" s="1" t="s">
        <v>5</v>
      </c>
    </row>
    <row r="2">
      <c r="A2" s="6" t="s">
        <v>6</v>
      </c>
      <c r="B2" s="7" t="s">
        <v>7</v>
      </c>
      <c r="C2" s="1" t="s">
        <v>8</v>
      </c>
      <c r="D2" s="1" t="s">
        <v>9</v>
      </c>
    </row>
    <row r="3">
      <c r="A3" s="1" t="s">
        <v>10</v>
      </c>
      <c r="B3" s="8" t="s">
        <v>11</v>
      </c>
    </row>
    <row r="4">
      <c r="A4" s="1" t="s">
        <v>12</v>
      </c>
      <c r="B4" s="8" t="s">
        <v>13</v>
      </c>
    </row>
  </sheetData>
  <hyperlinks>
    <hyperlink r:id="rId1" ref="B2"/>
    <hyperlink r:id="rId2" ref="B3"/>
    <hyperlink r:id="rId3" ref="B4"/>
  </hyperlinks>
  <drawing r:id="rId4"/>
</worksheet>
</file>